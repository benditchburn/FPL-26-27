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ensfolderaccount/Desktop/FPL 26:27/"/>
    </mc:Choice>
  </mc:AlternateContent>
  <xr:revisionPtr revIDLastSave="0" documentId="8_{5AEA5E9D-D49A-D14B-84AD-764D3CF84C0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shboard" sheetId="1" r:id="rId1"/>
    <sheet name="Players" sheetId="2" r:id="rId2"/>
    <sheet name="Attack_Priors" sheetId="3" r:id="rId3"/>
    <sheet name="Team_Attack" sheetId="4" r:id="rId4"/>
    <sheet name="Priors" sheetId="5" r:id="rId5"/>
    <sheet name="Fixtures" sheetId="6" r:id="rId6"/>
    <sheet name="Projections" sheetId="7" r:id="rId7"/>
    <sheet name="Squad" sheetId="8" r:id="rId8"/>
    <sheet name="Lists" sheetId="9" r:id="rId9"/>
    <sheet name="Team_Defence" sheetId="10" r:id="rId10"/>
    <sheet name="Def_Priors" sheetId="11" r:id="rId11"/>
    <sheet name="Team_26_27" sheetId="12" r:id="rId12"/>
    <sheet name="Market_Odds" sheetId="13" r:id="rId13"/>
    <sheet name="Fixture_Engine" sheetId="14" r:id="rId14"/>
    <sheet name="GW1_Playe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61" i="14" l="1"/>
  <c r="T760" i="14"/>
  <c r="T759" i="14"/>
  <c r="T758" i="14"/>
  <c r="T757" i="14"/>
  <c r="T756" i="14"/>
  <c r="T755" i="14"/>
  <c r="T754" i="14"/>
  <c r="T753" i="14"/>
  <c r="T752" i="14"/>
  <c r="T751" i="14"/>
  <c r="T750" i="14"/>
  <c r="T749" i="14"/>
  <c r="T748" i="14"/>
  <c r="T747" i="14"/>
  <c r="T746" i="14"/>
  <c r="T745" i="14"/>
  <c r="T744" i="14"/>
  <c r="T743" i="14"/>
  <c r="T742" i="14"/>
  <c r="T741" i="14"/>
  <c r="T740" i="14"/>
  <c r="T739" i="14"/>
  <c r="T738" i="14"/>
  <c r="T737" i="14"/>
  <c r="T736" i="14"/>
  <c r="T735" i="14"/>
  <c r="T734" i="14"/>
  <c r="T733" i="14"/>
  <c r="T732" i="14"/>
  <c r="T731" i="14"/>
  <c r="T730" i="14"/>
  <c r="T729" i="14"/>
  <c r="T728" i="14"/>
  <c r="T727" i="14"/>
  <c r="T726" i="14"/>
  <c r="T725" i="14"/>
  <c r="T724" i="14"/>
  <c r="T723" i="14"/>
  <c r="T722" i="14"/>
  <c r="T721" i="14"/>
  <c r="T720" i="14"/>
  <c r="T719" i="14"/>
  <c r="T718" i="14"/>
  <c r="T717" i="14"/>
  <c r="T716" i="14"/>
  <c r="T715" i="14"/>
  <c r="T714" i="14"/>
  <c r="T713" i="14"/>
  <c r="T712" i="14"/>
  <c r="T711" i="14"/>
  <c r="T710" i="14"/>
  <c r="T709" i="14"/>
  <c r="T708" i="14"/>
  <c r="T707" i="14"/>
  <c r="T706" i="14"/>
  <c r="T705" i="14"/>
  <c r="T704" i="14"/>
  <c r="T703" i="14"/>
  <c r="T702" i="14"/>
  <c r="T701" i="14"/>
  <c r="T700" i="14"/>
  <c r="T699" i="14"/>
  <c r="T698" i="14"/>
  <c r="T697" i="14"/>
  <c r="T696" i="14"/>
  <c r="T695" i="14"/>
  <c r="T694" i="14"/>
  <c r="T693" i="14"/>
  <c r="T692" i="14"/>
  <c r="T691" i="14"/>
  <c r="T690" i="14"/>
  <c r="T689" i="14"/>
  <c r="T688" i="14"/>
  <c r="T687" i="14"/>
  <c r="T686" i="14"/>
  <c r="T685" i="14"/>
  <c r="T684" i="14"/>
  <c r="T683" i="14"/>
  <c r="T682" i="14"/>
  <c r="T681" i="14"/>
  <c r="T680" i="14"/>
  <c r="T679" i="14"/>
  <c r="T678" i="14"/>
  <c r="T677" i="14"/>
  <c r="T676" i="14"/>
  <c r="T675" i="14"/>
  <c r="T674" i="14"/>
  <c r="T673" i="14"/>
  <c r="T672" i="14"/>
  <c r="T671" i="14"/>
  <c r="T670" i="14"/>
  <c r="T669" i="14"/>
  <c r="T668" i="14"/>
  <c r="T667" i="14"/>
  <c r="T666" i="14"/>
  <c r="T665" i="14"/>
  <c r="T664" i="14"/>
  <c r="T663" i="14"/>
  <c r="T662" i="14"/>
  <c r="T661" i="14"/>
  <c r="T660" i="14"/>
  <c r="T659" i="14"/>
  <c r="T658" i="14"/>
  <c r="T657" i="14"/>
  <c r="T656" i="14"/>
  <c r="T655" i="14"/>
  <c r="T654" i="14"/>
  <c r="T653" i="14"/>
  <c r="T652" i="14"/>
  <c r="T651" i="14"/>
  <c r="T650" i="14"/>
  <c r="T649" i="14"/>
  <c r="T648" i="14"/>
  <c r="T647" i="14"/>
  <c r="T646" i="14"/>
  <c r="T645" i="14"/>
  <c r="T644" i="14"/>
  <c r="T643" i="14"/>
  <c r="T642" i="14"/>
  <c r="T641" i="14"/>
  <c r="T640" i="14"/>
  <c r="T639" i="14"/>
  <c r="T638" i="14"/>
  <c r="T637" i="14"/>
  <c r="T636" i="14"/>
  <c r="T635" i="14"/>
  <c r="T634" i="14"/>
  <c r="T633" i="14"/>
  <c r="T632" i="14"/>
  <c r="T631" i="14"/>
  <c r="T630" i="14"/>
  <c r="T629" i="14"/>
  <c r="T628" i="14"/>
  <c r="T627" i="14"/>
  <c r="T626" i="14"/>
  <c r="T625" i="14"/>
  <c r="T624" i="14"/>
  <c r="T623" i="14"/>
  <c r="T622" i="14"/>
  <c r="T621" i="14"/>
  <c r="T620" i="14"/>
  <c r="T619" i="14"/>
  <c r="T618" i="14"/>
  <c r="T617" i="14"/>
  <c r="T616" i="14"/>
  <c r="T615" i="14"/>
  <c r="T614" i="14"/>
  <c r="T613" i="14"/>
  <c r="T612" i="14"/>
  <c r="T611" i="14"/>
  <c r="T610" i="14"/>
  <c r="T609" i="14"/>
  <c r="T608" i="14"/>
  <c r="T607" i="14"/>
  <c r="T606" i="14"/>
  <c r="T605" i="14"/>
  <c r="T604" i="14"/>
  <c r="T603" i="14"/>
  <c r="T602" i="14"/>
  <c r="T601" i="14"/>
  <c r="T600" i="14"/>
  <c r="T599" i="14"/>
  <c r="T598" i="14"/>
  <c r="T597" i="14"/>
  <c r="T596" i="14"/>
  <c r="T595" i="14"/>
  <c r="T594" i="14"/>
  <c r="T593" i="14"/>
  <c r="T592" i="14"/>
  <c r="T591" i="14"/>
  <c r="T590" i="14"/>
  <c r="T589" i="14"/>
  <c r="T588" i="14"/>
  <c r="T587" i="14"/>
  <c r="T586" i="14"/>
  <c r="T585" i="14"/>
  <c r="T584" i="14"/>
  <c r="T583" i="14"/>
  <c r="T582" i="14"/>
  <c r="T581" i="14"/>
  <c r="T580" i="14"/>
  <c r="T579" i="14"/>
  <c r="T578" i="14"/>
  <c r="T577" i="14"/>
  <c r="T576" i="14"/>
  <c r="T575" i="14"/>
  <c r="T574" i="14"/>
  <c r="T573" i="14"/>
  <c r="T572" i="14"/>
  <c r="T571" i="14"/>
  <c r="T570" i="14"/>
  <c r="T569" i="14"/>
  <c r="T568" i="14"/>
  <c r="T567" i="14"/>
  <c r="T566" i="14"/>
  <c r="T565" i="14"/>
  <c r="T564" i="14"/>
  <c r="T563" i="14"/>
  <c r="T562" i="14"/>
  <c r="T561" i="14"/>
  <c r="T560" i="14"/>
  <c r="T559" i="14"/>
  <c r="T558" i="14"/>
  <c r="T557" i="14"/>
  <c r="T556" i="14"/>
  <c r="T555" i="14"/>
  <c r="T554" i="14"/>
  <c r="T553" i="14"/>
  <c r="T552" i="14"/>
  <c r="T551" i="14"/>
  <c r="T550" i="14"/>
  <c r="T549" i="14"/>
  <c r="T548" i="14"/>
  <c r="T547" i="14"/>
  <c r="T546" i="14"/>
  <c r="T545" i="14"/>
  <c r="T544" i="14"/>
  <c r="T543" i="14"/>
  <c r="T542" i="14"/>
  <c r="I542" i="14"/>
  <c r="Q542" i="14" s="1"/>
  <c r="R542" i="14" s="1"/>
  <c r="T541" i="14"/>
  <c r="T540" i="14"/>
  <c r="T539" i="14"/>
  <c r="T538" i="14"/>
  <c r="T537" i="14"/>
  <c r="T536" i="14"/>
  <c r="T535" i="14"/>
  <c r="T534" i="14"/>
  <c r="T533" i="14"/>
  <c r="T532" i="14"/>
  <c r="T531" i="14"/>
  <c r="T530" i="14"/>
  <c r="T529" i="14"/>
  <c r="T528" i="14"/>
  <c r="T527" i="14"/>
  <c r="T526" i="14"/>
  <c r="T525" i="14"/>
  <c r="T524" i="14"/>
  <c r="T523" i="14"/>
  <c r="T522" i="14"/>
  <c r="T521" i="14"/>
  <c r="T520" i="14"/>
  <c r="T519" i="14"/>
  <c r="T518" i="14"/>
  <c r="T517" i="14"/>
  <c r="T516" i="14"/>
  <c r="T515" i="14"/>
  <c r="T514" i="14"/>
  <c r="T513" i="14"/>
  <c r="T512" i="14"/>
  <c r="T511" i="14"/>
  <c r="T510" i="14"/>
  <c r="T509" i="14"/>
  <c r="T508" i="14"/>
  <c r="T507" i="14"/>
  <c r="T506" i="14"/>
  <c r="T505" i="14"/>
  <c r="T504" i="14"/>
  <c r="T503" i="14"/>
  <c r="T502" i="14"/>
  <c r="T501" i="14"/>
  <c r="T500" i="14"/>
  <c r="T499" i="14"/>
  <c r="T498" i="14"/>
  <c r="T497" i="14"/>
  <c r="T496" i="14"/>
  <c r="H496" i="14"/>
  <c r="P496" i="14" s="1"/>
  <c r="S496" i="14" s="1"/>
  <c r="T495" i="14"/>
  <c r="T494" i="14"/>
  <c r="T493" i="14"/>
  <c r="T492" i="14"/>
  <c r="T491" i="14"/>
  <c r="T490" i="14"/>
  <c r="T489" i="14"/>
  <c r="T488" i="14"/>
  <c r="T487" i="14"/>
  <c r="T486" i="14"/>
  <c r="T485" i="14"/>
  <c r="T484" i="14"/>
  <c r="T483" i="14"/>
  <c r="T482" i="14"/>
  <c r="T481" i="14"/>
  <c r="H481" i="14"/>
  <c r="P481" i="14" s="1"/>
  <c r="S481" i="14" s="1"/>
  <c r="T480" i="14"/>
  <c r="T479" i="14"/>
  <c r="T478" i="14"/>
  <c r="T477" i="14"/>
  <c r="T476" i="14"/>
  <c r="T475" i="14"/>
  <c r="T474" i="14"/>
  <c r="T473" i="14"/>
  <c r="T472" i="14"/>
  <c r="T471" i="14"/>
  <c r="T470" i="14"/>
  <c r="T469" i="14"/>
  <c r="T468" i="14"/>
  <c r="T467" i="14"/>
  <c r="T466" i="14"/>
  <c r="T465" i="14"/>
  <c r="T464" i="14"/>
  <c r="T463" i="14"/>
  <c r="T462" i="14"/>
  <c r="T461" i="14"/>
  <c r="T460" i="14"/>
  <c r="T459" i="14"/>
  <c r="T458" i="14"/>
  <c r="T457" i="14"/>
  <c r="T456" i="14"/>
  <c r="T455" i="14"/>
  <c r="T454" i="14"/>
  <c r="T453" i="14"/>
  <c r="T452" i="14"/>
  <c r="T451" i="14"/>
  <c r="T450" i="14"/>
  <c r="T449" i="14"/>
  <c r="T448" i="14"/>
  <c r="T447" i="14"/>
  <c r="T446" i="14"/>
  <c r="T445" i="14"/>
  <c r="T444" i="14"/>
  <c r="T443" i="14"/>
  <c r="T442" i="14"/>
  <c r="T441" i="14"/>
  <c r="T440" i="14"/>
  <c r="T439" i="14"/>
  <c r="T438" i="14"/>
  <c r="T437" i="14"/>
  <c r="T436" i="14"/>
  <c r="T435" i="14"/>
  <c r="T434" i="14"/>
  <c r="T433" i="14"/>
  <c r="T432" i="14"/>
  <c r="T431" i="14"/>
  <c r="T430" i="14"/>
  <c r="T429" i="14"/>
  <c r="T428" i="14"/>
  <c r="T427" i="14"/>
  <c r="T426" i="14"/>
  <c r="I426" i="14"/>
  <c r="Q426" i="14" s="1"/>
  <c r="R426" i="14" s="1"/>
  <c r="T425" i="14"/>
  <c r="T424" i="14"/>
  <c r="T423" i="14"/>
  <c r="T422" i="14"/>
  <c r="T421" i="14"/>
  <c r="T420" i="14"/>
  <c r="T419" i="14"/>
  <c r="T418" i="14"/>
  <c r="T417" i="14"/>
  <c r="T416" i="14"/>
  <c r="T415" i="14"/>
  <c r="T414" i="14"/>
  <c r="T413" i="14"/>
  <c r="T412" i="14"/>
  <c r="T411" i="14"/>
  <c r="T410" i="14"/>
  <c r="T409" i="14"/>
  <c r="T408" i="14"/>
  <c r="T407" i="14"/>
  <c r="T406" i="14"/>
  <c r="T405" i="14"/>
  <c r="T404" i="14"/>
  <c r="T403" i="14"/>
  <c r="T402" i="14"/>
  <c r="T401" i="14"/>
  <c r="T400" i="14"/>
  <c r="T399" i="14"/>
  <c r="T398" i="14"/>
  <c r="T397" i="14"/>
  <c r="T396" i="14"/>
  <c r="T395" i="14"/>
  <c r="T394" i="14"/>
  <c r="I394" i="14"/>
  <c r="Q394" i="14" s="1"/>
  <c r="R394" i="14" s="1"/>
  <c r="T393" i="14"/>
  <c r="T392" i="14"/>
  <c r="T391" i="14"/>
  <c r="T390" i="14"/>
  <c r="T389" i="14"/>
  <c r="T388" i="14"/>
  <c r="T387" i="14"/>
  <c r="T386" i="14"/>
  <c r="T385" i="14"/>
  <c r="T384" i="14"/>
  <c r="I384" i="14"/>
  <c r="Q384" i="14" s="1"/>
  <c r="R384" i="14" s="1"/>
  <c r="T383" i="14"/>
  <c r="T382" i="14"/>
  <c r="T381" i="14"/>
  <c r="T380" i="14"/>
  <c r="T379" i="14"/>
  <c r="T378" i="14"/>
  <c r="T377" i="14"/>
  <c r="T376" i="14"/>
  <c r="T375" i="14"/>
  <c r="T374" i="14"/>
  <c r="T373" i="14"/>
  <c r="T372" i="14"/>
  <c r="T371" i="14"/>
  <c r="T370" i="14"/>
  <c r="T369" i="14"/>
  <c r="T368" i="14"/>
  <c r="T367" i="14"/>
  <c r="T366" i="14"/>
  <c r="T365" i="14"/>
  <c r="T364" i="14"/>
  <c r="T363" i="14"/>
  <c r="T362" i="14"/>
  <c r="I362" i="14"/>
  <c r="Q362" i="14" s="1"/>
  <c r="R362" i="14" s="1"/>
  <c r="T361" i="14"/>
  <c r="T360" i="14"/>
  <c r="T359" i="14"/>
  <c r="T358" i="14"/>
  <c r="T357" i="14"/>
  <c r="T356" i="14"/>
  <c r="T355" i="14"/>
  <c r="T354" i="14"/>
  <c r="I354" i="14"/>
  <c r="Q354" i="14" s="1"/>
  <c r="R354" i="14" s="1"/>
  <c r="T353" i="14"/>
  <c r="T352" i="14"/>
  <c r="T351" i="14"/>
  <c r="T350" i="14"/>
  <c r="T349" i="14"/>
  <c r="T348" i="14"/>
  <c r="T347" i="14"/>
  <c r="T346" i="14"/>
  <c r="T345" i="14"/>
  <c r="T344" i="14"/>
  <c r="I344" i="14"/>
  <c r="Q344" i="14" s="1"/>
  <c r="R344" i="14" s="1"/>
  <c r="T343" i="14"/>
  <c r="T342" i="14"/>
  <c r="T341" i="14"/>
  <c r="T340" i="14"/>
  <c r="T339" i="14"/>
  <c r="T338" i="14"/>
  <c r="T337" i="14"/>
  <c r="T336" i="14"/>
  <c r="T335" i="14"/>
  <c r="T334" i="14"/>
  <c r="T333" i="14"/>
  <c r="T332" i="14"/>
  <c r="T331" i="14"/>
  <c r="T330" i="14"/>
  <c r="T329" i="14"/>
  <c r="T328" i="14"/>
  <c r="T327" i="14"/>
  <c r="T326" i="14"/>
  <c r="T325" i="14"/>
  <c r="T324" i="14"/>
  <c r="T323" i="14"/>
  <c r="T322" i="14"/>
  <c r="T321" i="14"/>
  <c r="H321" i="14"/>
  <c r="P321" i="14" s="1"/>
  <c r="S321" i="14" s="1"/>
  <c r="T320" i="14"/>
  <c r="T319" i="14"/>
  <c r="T318" i="14"/>
  <c r="T317" i="14"/>
  <c r="T316" i="14"/>
  <c r="T315" i="14"/>
  <c r="I315" i="14"/>
  <c r="Q315" i="14" s="1"/>
  <c r="R315" i="14" s="1"/>
  <c r="T314" i="14"/>
  <c r="T313" i="14"/>
  <c r="T312" i="14"/>
  <c r="T311" i="14"/>
  <c r="T310" i="14"/>
  <c r="T309" i="14"/>
  <c r="T308" i="14"/>
  <c r="T307" i="14"/>
  <c r="T306" i="14"/>
  <c r="T305" i="14"/>
  <c r="H305" i="14"/>
  <c r="P305" i="14" s="1"/>
  <c r="S305" i="14" s="1"/>
  <c r="T304" i="14"/>
  <c r="T303" i="14"/>
  <c r="T302" i="14"/>
  <c r="T301" i="14"/>
  <c r="T300" i="14"/>
  <c r="T299" i="14"/>
  <c r="T298" i="14"/>
  <c r="T297" i="14"/>
  <c r="T296" i="14"/>
  <c r="S296" i="14"/>
  <c r="H296" i="14"/>
  <c r="P296" i="14" s="1"/>
  <c r="T295" i="14"/>
  <c r="T294" i="14"/>
  <c r="T293" i="14"/>
  <c r="T292" i="14"/>
  <c r="T291" i="14"/>
  <c r="T290" i="14"/>
  <c r="T289" i="14"/>
  <c r="H289" i="14"/>
  <c r="P289" i="14" s="1"/>
  <c r="S289" i="14" s="1"/>
  <c r="T288" i="14"/>
  <c r="T287" i="14"/>
  <c r="T286" i="14"/>
  <c r="T285" i="14"/>
  <c r="T284" i="14"/>
  <c r="T283" i="14"/>
  <c r="H283" i="14"/>
  <c r="P283" i="14" s="1"/>
  <c r="S283" i="14" s="1"/>
  <c r="T282" i="14"/>
  <c r="T281" i="14"/>
  <c r="T280" i="14"/>
  <c r="S280" i="14"/>
  <c r="H280" i="14"/>
  <c r="P280" i="14" s="1"/>
  <c r="T279" i="14"/>
  <c r="T278" i="14"/>
  <c r="T277" i="14"/>
  <c r="T276" i="14"/>
  <c r="T275" i="14"/>
  <c r="T274" i="14"/>
  <c r="T273" i="14"/>
  <c r="H273" i="14"/>
  <c r="P273" i="14" s="1"/>
  <c r="S273" i="14" s="1"/>
  <c r="T272" i="14"/>
  <c r="T271" i="14"/>
  <c r="T270" i="14"/>
  <c r="T269" i="14"/>
  <c r="T268" i="14"/>
  <c r="T267" i="14"/>
  <c r="I267" i="14"/>
  <c r="Q267" i="14" s="1"/>
  <c r="R267" i="14" s="1"/>
  <c r="H267" i="14"/>
  <c r="P267" i="14" s="1"/>
  <c r="S267" i="14" s="1"/>
  <c r="T266" i="14"/>
  <c r="T265" i="14"/>
  <c r="T264" i="14"/>
  <c r="H264" i="14"/>
  <c r="P264" i="14" s="1"/>
  <c r="S264" i="14" s="1"/>
  <c r="T263" i="14"/>
  <c r="T262" i="14"/>
  <c r="T261" i="14"/>
  <c r="T260" i="14"/>
  <c r="T259" i="14"/>
  <c r="T258" i="14"/>
  <c r="T257" i="14"/>
  <c r="T256" i="14"/>
  <c r="T255" i="14"/>
  <c r="T254" i="14"/>
  <c r="T253" i="14"/>
  <c r="T252" i="14"/>
  <c r="T251" i="14"/>
  <c r="I251" i="14"/>
  <c r="Q251" i="14" s="1"/>
  <c r="R251" i="14" s="1"/>
  <c r="T250" i="14"/>
  <c r="T249" i="14"/>
  <c r="T248" i="14"/>
  <c r="H248" i="14"/>
  <c r="P248" i="14" s="1"/>
  <c r="S248" i="14" s="1"/>
  <c r="T247" i="14"/>
  <c r="T246" i="14"/>
  <c r="T245" i="14"/>
  <c r="T244" i="14"/>
  <c r="T243" i="14"/>
  <c r="T242" i="14"/>
  <c r="T241" i="14"/>
  <c r="H241" i="14"/>
  <c r="P241" i="14" s="1"/>
  <c r="S241" i="14" s="1"/>
  <c r="T240" i="14"/>
  <c r="T239" i="14"/>
  <c r="T238" i="14"/>
  <c r="T237" i="14"/>
  <c r="T236" i="14"/>
  <c r="T235" i="14"/>
  <c r="H235" i="14"/>
  <c r="P235" i="14" s="1"/>
  <c r="S235" i="14" s="1"/>
  <c r="T234" i="14"/>
  <c r="T233" i="14"/>
  <c r="T232" i="14"/>
  <c r="T231" i="14"/>
  <c r="T230" i="14"/>
  <c r="T229" i="14"/>
  <c r="T228" i="14"/>
  <c r="T227" i="14"/>
  <c r="T226" i="14"/>
  <c r="I226" i="14"/>
  <c r="Q226" i="14" s="1"/>
  <c r="R226" i="14" s="1"/>
  <c r="T225" i="14"/>
  <c r="T224" i="14"/>
  <c r="T223" i="14"/>
  <c r="T222" i="14"/>
  <c r="T221" i="14"/>
  <c r="T220" i="14"/>
  <c r="H220" i="14"/>
  <c r="P220" i="14" s="1"/>
  <c r="S220" i="14" s="1"/>
  <c r="T219" i="14"/>
  <c r="T218" i="14"/>
  <c r="T217" i="14"/>
  <c r="T216" i="14"/>
  <c r="T215" i="14"/>
  <c r="T214" i="14"/>
  <c r="T213" i="14"/>
  <c r="T212" i="14"/>
  <c r="T211" i="14"/>
  <c r="T210" i="14"/>
  <c r="T209" i="14"/>
  <c r="T208" i="14"/>
  <c r="H208" i="14"/>
  <c r="P208" i="14" s="1"/>
  <c r="S208" i="14" s="1"/>
  <c r="T207" i="14"/>
  <c r="T206" i="14"/>
  <c r="H206" i="14"/>
  <c r="P206" i="14" s="1"/>
  <c r="S206" i="14" s="1"/>
  <c r="T205" i="14"/>
  <c r="T204" i="14"/>
  <c r="T203" i="14"/>
  <c r="T202" i="14"/>
  <c r="T201" i="14"/>
  <c r="T200" i="14"/>
  <c r="T199" i="14"/>
  <c r="T198" i="14"/>
  <c r="I198" i="14"/>
  <c r="Q198" i="14" s="1"/>
  <c r="R198" i="14" s="1"/>
  <c r="H198" i="14"/>
  <c r="P198" i="14" s="1"/>
  <c r="S198" i="14" s="1"/>
  <c r="T197" i="14"/>
  <c r="T196" i="14"/>
  <c r="T195" i="14"/>
  <c r="T194" i="14"/>
  <c r="T193" i="14"/>
  <c r="T192" i="14"/>
  <c r="I192" i="14"/>
  <c r="Q192" i="14" s="1"/>
  <c r="R192" i="14" s="1"/>
  <c r="H192" i="14"/>
  <c r="P192" i="14" s="1"/>
  <c r="S192" i="14" s="1"/>
  <c r="T191" i="14"/>
  <c r="T190" i="14"/>
  <c r="T189" i="14"/>
  <c r="T188" i="14"/>
  <c r="T187" i="14"/>
  <c r="T186" i="14"/>
  <c r="T185" i="14"/>
  <c r="T184" i="14"/>
  <c r="Q184" i="14"/>
  <c r="R184" i="14" s="1"/>
  <c r="I184" i="14"/>
  <c r="T183" i="14"/>
  <c r="T182" i="14"/>
  <c r="I182" i="14"/>
  <c r="Q182" i="14" s="1"/>
  <c r="R182" i="14" s="1"/>
  <c r="T181" i="14"/>
  <c r="T180" i="14"/>
  <c r="T179" i="14"/>
  <c r="T178" i="14"/>
  <c r="T177" i="14"/>
  <c r="T176" i="14"/>
  <c r="P176" i="14"/>
  <c r="S176" i="14" s="1"/>
  <c r="H176" i="14"/>
  <c r="T175" i="14"/>
  <c r="T174" i="14"/>
  <c r="T173" i="14"/>
  <c r="T172" i="14"/>
  <c r="T171" i="14"/>
  <c r="T170" i="14"/>
  <c r="T169" i="14"/>
  <c r="T168" i="14"/>
  <c r="T167" i="14"/>
  <c r="T166" i="14"/>
  <c r="I166" i="14"/>
  <c r="Q166" i="14" s="1"/>
  <c r="R166" i="14" s="1"/>
  <c r="T165" i="14"/>
  <c r="T164" i="14"/>
  <c r="T163" i="14"/>
  <c r="T162" i="14"/>
  <c r="T161" i="14"/>
  <c r="T160" i="14"/>
  <c r="H160" i="14"/>
  <c r="P160" i="14" s="1"/>
  <c r="S160" i="14" s="1"/>
  <c r="T159" i="14"/>
  <c r="T158" i="14"/>
  <c r="I158" i="14"/>
  <c r="Q158" i="14" s="1"/>
  <c r="R158" i="14" s="1"/>
  <c r="T157" i="14"/>
  <c r="T156" i="14"/>
  <c r="T155" i="14"/>
  <c r="T154" i="14"/>
  <c r="T153" i="14"/>
  <c r="T152" i="14"/>
  <c r="H152" i="14"/>
  <c r="P152" i="14" s="1"/>
  <c r="S152" i="14" s="1"/>
  <c r="T151" i="14"/>
  <c r="T150" i="14"/>
  <c r="H150" i="14"/>
  <c r="P150" i="14" s="1"/>
  <c r="S150" i="14" s="1"/>
  <c r="T149" i="14"/>
  <c r="T148" i="14"/>
  <c r="T147" i="14"/>
  <c r="T146" i="14"/>
  <c r="T145" i="14"/>
  <c r="T144" i="14"/>
  <c r="H144" i="14"/>
  <c r="P144" i="14" s="1"/>
  <c r="S144" i="14" s="1"/>
  <c r="T143" i="14"/>
  <c r="T142" i="14"/>
  <c r="T141" i="14"/>
  <c r="T140" i="14"/>
  <c r="T139" i="14"/>
  <c r="T138" i="14"/>
  <c r="T137" i="14"/>
  <c r="T136" i="14"/>
  <c r="T135" i="14"/>
  <c r="T134" i="14"/>
  <c r="I134" i="14"/>
  <c r="Q134" i="14" s="1"/>
  <c r="R134" i="14" s="1"/>
  <c r="H134" i="14"/>
  <c r="P134" i="14" s="1"/>
  <c r="S134" i="14" s="1"/>
  <c r="T133" i="14"/>
  <c r="T132" i="14"/>
  <c r="T131" i="14"/>
  <c r="T130" i="14"/>
  <c r="T129" i="14"/>
  <c r="T128" i="14"/>
  <c r="I128" i="14"/>
  <c r="Q128" i="14" s="1"/>
  <c r="R128" i="14" s="1"/>
  <c r="T127" i="14"/>
  <c r="T126" i="14"/>
  <c r="I126" i="14"/>
  <c r="Q126" i="14" s="1"/>
  <c r="R126" i="14" s="1"/>
  <c r="T125" i="14"/>
  <c r="T124" i="14"/>
  <c r="T123" i="14"/>
  <c r="T122" i="14"/>
  <c r="T121" i="14"/>
  <c r="T120" i="14"/>
  <c r="T119" i="14"/>
  <c r="I119" i="14"/>
  <c r="Q119" i="14" s="1"/>
  <c r="R119" i="14" s="1"/>
  <c r="H119" i="14"/>
  <c r="P119" i="14" s="1"/>
  <c r="S119" i="14" s="1"/>
  <c r="T118" i="14"/>
  <c r="T117" i="14"/>
  <c r="T116" i="14"/>
  <c r="T115" i="14"/>
  <c r="T114" i="14"/>
  <c r="T113" i="14"/>
  <c r="T112" i="14"/>
  <c r="P112" i="14"/>
  <c r="S112" i="14" s="1"/>
  <c r="H112" i="14"/>
  <c r="T111" i="14"/>
  <c r="T110" i="14"/>
  <c r="I110" i="14"/>
  <c r="Q110" i="14" s="1"/>
  <c r="R110" i="14" s="1"/>
  <c r="T109" i="14"/>
  <c r="T108" i="14"/>
  <c r="T107" i="14"/>
  <c r="T106" i="14"/>
  <c r="T105" i="14"/>
  <c r="T104" i="14"/>
  <c r="T103" i="14"/>
  <c r="H103" i="14"/>
  <c r="P103" i="14" s="1"/>
  <c r="S103" i="14" s="1"/>
  <c r="T102" i="14"/>
  <c r="T101" i="14"/>
  <c r="T100" i="14"/>
  <c r="T99" i="14"/>
  <c r="T98" i="14"/>
  <c r="I98" i="14"/>
  <c r="Q98" i="14" s="1"/>
  <c r="R98" i="14" s="1"/>
  <c r="T97" i="14"/>
  <c r="H97" i="14"/>
  <c r="P97" i="14" s="1"/>
  <c r="S97" i="14" s="1"/>
  <c r="T96" i="14"/>
  <c r="T95" i="14"/>
  <c r="I95" i="14"/>
  <c r="Q95" i="14" s="1"/>
  <c r="R95" i="14" s="1"/>
  <c r="T94" i="14"/>
  <c r="T93" i="14"/>
  <c r="T92" i="14"/>
  <c r="H92" i="14"/>
  <c r="P92" i="14" s="1"/>
  <c r="S92" i="14" s="1"/>
  <c r="T91" i="14"/>
  <c r="T90" i="14"/>
  <c r="T89" i="14"/>
  <c r="T88" i="14"/>
  <c r="I88" i="14"/>
  <c r="Q88" i="14" s="1"/>
  <c r="R88" i="14" s="1"/>
  <c r="T87" i="14"/>
  <c r="H87" i="14"/>
  <c r="P87" i="14" s="1"/>
  <c r="S87" i="14" s="1"/>
  <c r="T86" i="14"/>
  <c r="T85" i="14"/>
  <c r="T84" i="14"/>
  <c r="T83" i="14"/>
  <c r="T82" i="14"/>
  <c r="T81" i="14"/>
  <c r="T80" i="14"/>
  <c r="T79" i="14"/>
  <c r="T78" i="14"/>
  <c r="I78" i="14"/>
  <c r="Q78" i="14" s="1"/>
  <c r="R78" i="14" s="1"/>
  <c r="H78" i="14"/>
  <c r="P78" i="14" s="1"/>
  <c r="S78" i="14" s="1"/>
  <c r="T77" i="14"/>
  <c r="T76" i="14"/>
  <c r="T75" i="14"/>
  <c r="T74" i="14"/>
  <c r="T73" i="14"/>
  <c r="I73" i="14"/>
  <c r="Q73" i="14" s="1"/>
  <c r="R73" i="14" s="1"/>
  <c r="T72" i="14"/>
  <c r="H72" i="14"/>
  <c r="P72" i="14" s="1"/>
  <c r="S72" i="14" s="1"/>
  <c r="T71" i="14"/>
  <c r="T70" i="14"/>
  <c r="T69" i="14"/>
  <c r="I69" i="14"/>
  <c r="Q69" i="14" s="1"/>
  <c r="R69" i="14" s="1"/>
  <c r="H69" i="14"/>
  <c r="P69" i="14" s="1"/>
  <c r="S69" i="14" s="1"/>
  <c r="T68" i="14"/>
  <c r="H68" i="14"/>
  <c r="P68" i="14" s="1"/>
  <c r="S68" i="14" s="1"/>
  <c r="T67" i="14"/>
  <c r="T66" i="14"/>
  <c r="T65" i="14"/>
  <c r="I65" i="14"/>
  <c r="Q65" i="14" s="1"/>
  <c r="R65" i="14" s="1"/>
  <c r="H65" i="14"/>
  <c r="P65" i="14" s="1"/>
  <c r="S65" i="14" s="1"/>
  <c r="T64" i="14"/>
  <c r="P64" i="14"/>
  <c r="S64" i="14" s="1"/>
  <c r="I64" i="14"/>
  <c r="Q64" i="14" s="1"/>
  <c r="R64" i="14" s="1"/>
  <c r="H64" i="14"/>
  <c r="T63" i="14"/>
  <c r="T62" i="14"/>
  <c r="H62" i="14"/>
  <c r="P62" i="14" s="1"/>
  <c r="S62" i="14" s="1"/>
  <c r="T61" i="14"/>
  <c r="T60" i="14"/>
  <c r="T59" i="14"/>
  <c r="T58" i="14"/>
  <c r="R58" i="14"/>
  <c r="Q58" i="14"/>
  <c r="I58" i="14"/>
  <c r="T57" i="14"/>
  <c r="T56" i="14"/>
  <c r="I56" i="14"/>
  <c r="Q56" i="14" s="1"/>
  <c r="R56" i="14" s="1"/>
  <c r="T55" i="14"/>
  <c r="H55" i="14"/>
  <c r="P55" i="14" s="1"/>
  <c r="S55" i="14" s="1"/>
  <c r="T54" i="14"/>
  <c r="T53" i="14"/>
  <c r="T52" i="14"/>
  <c r="T51" i="14"/>
  <c r="T50" i="14"/>
  <c r="I50" i="14"/>
  <c r="Q50" i="14" s="1"/>
  <c r="R50" i="14" s="1"/>
  <c r="T49" i="14"/>
  <c r="T48" i="14"/>
  <c r="T47" i="14"/>
  <c r="T46" i="14"/>
  <c r="T45" i="14"/>
  <c r="T44" i="14"/>
  <c r="T43" i="14"/>
  <c r="T42" i="14"/>
  <c r="I42" i="14"/>
  <c r="Q42" i="14" s="1"/>
  <c r="R42" i="14" s="1"/>
  <c r="T41" i="14"/>
  <c r="T40" i="14"/>
  <c r="T39" i="14"/>
  <c r="T38" i="14"/>
  <c r="T37" i="14"/>
  <c r="T36" i="14"/>
  <c r="T35" i="14"/>
  <c r="T34" i="14"/>
  <c r="I34" i="14"/>
  <c r="Q34" i="14" s="1"/>
  <c r="R34" i="14" s="1"/>
  <c r="T33" i="14"/>
  <c r="T32" i="14"/>
  <c r="T31" i="14"/>
  <c r="I31" i="14"/>
  <c r="Q31" i="14" s="1"/>
  <c r="R31" i="14" s="1"/>
  <c r="T30" i="14"/>
  <c r="S30" i="14"/>
  <c r="H30" i="14"/>
  <c r="P30" i="14" s="1"/>
  <c r="T29" i="14"/>
  <c r="T28" i="14"/>
  <c r="T27" i="14"/>
  <c r="T26" i="14"/>
  <c r="I26" i="14"/>
  <c r="Q26" i="14" s="1"/>
  <c r="R26" i="14" s="1"/>
  <c r="T25" i="14"/>
  <c r="I25" i="14"/>
  <c r="Q25" i="14" s="1"/>
  <c r="R25" i="14" s="1"/>
  <c r="H25" i="14"/>
  <c r="P25" i="14" s="1"/>
  <c r="S25" i="14" s="1"/>
  <c r="T24" i="14"/>
  <c r="P24" i="14"/>
  <c r="S24" i="14" s="1"/>
  <c r="H24" i="14"/>
  <c r="T23" i="14"/>
  <c r="H23" i="14"/>
  <c r="P23" i="14" s="1"/>
  <c r="S23" i="14" s="1"/>
  <c r="T22" i="14"/>
  <c r="S22" i="14"/>
  <c r="H22" i="14"/>
  <c r="P22" i="14" s="1"/>
  <c r="I18" i="14"/>
  <c r="Q18" i="14" s="1"/>
  <c r="H16" i="14"/>
  <c r="H15" i="14"/>
  <c r="P15" i="14" s="1"/>
  <c r="R10" i="14"/>
  <c r="Q10" i="14"/>
  <c r="I10" i="14"/>
  <c r="I9" i="14"/>
  <c r="Q9" i="14" s="1"/>
  <c r="H9" i="14"/>
  <c r="P8" i="14"/>
  <c r="I8" i="14"/>
  <c r="Q8" i="14" s="1"/>
  <c r="H8" i="14"/>
  <c r="T8" i="14" s="1"/>
  <c r="H7" i="14"/>
  <c r="P7" i="14" s="1"/>
  <c r="I6" i="14"/>
  <c r="Q6" i="14" s="1"/>
  <c r="I2" i="14"/>
  <c r="Q2" i="14" s="1"/>
  <c r="U21" i="12"/>
  <c r="T21" i="12"/>
  <c r="U20" i="12"/>
  <c r="T20" i="12"/>
  <c r="U19" i="12"/>
  <c r="H337" i="14" s="1"/>
  <c r="P337" i="14" s="1"/>
  <c r="S337" i="14" s="1"/>
  <c r="T19" i="12"/>
  <c r="U18" i="12"/>
  <c r="I150" i="14" s="1"/>
  <c r="Q150" i="14" s="1"/>
  <c r="R150" i="14" s="1"/>
  <c r="T18" i="12"/>
  <c r="U17" i="12"/>
  <c r="T17" i="12"/>
  <c r="H275" i="14" s="1"/>
  <c r="P275" i="14" s="1"/>
  <c r="S275" i="14" s="1"/>
  <c r="U16" i="12"/>
  <c r="T16" i="12"/>
  <c r="H377" i="14" s="1"/>
  <c r="P377" i="14" s="1"/>
  <c r="S377" i="14" s="1"/>
  <c r="U15" i="12"/>
  <c r="H174" i="14" s="1"/>
  <c r="P174" i="14" s="1"/>
  <c r="S174" i="14" s="1"/>
  <c r="T15" i="12"/>
  <c r="U14" i="12"/>
  <c r="I208" i="14" s="1"/>
  <c r="Q208" i="14" s="1"/>
  <c r="R208" i="14" s="1"/>
  <c r="T14" i="12"/>
  <c r="U13" i="12"/>
  <c r="T13" i="12"/>
  <c r="U12" i="12"/>
  <c r="T12" i="12"/>
  <c r="U11" i="12"/>
  <c r="I331" i="14" s="1"/>
  <c r="Q331" i="14" s="1"/>
  <c r="R331" i="14" s="1"/>
  <c r="T11" i="12"/>
  <c r="U10" i="12"/>
  <c r="H128" i="14" s="1"/>
  <c r="P128" i="14" s="1"/>
  <c r="S128" i="14" s="1"/>
  <c r="T10" i="12"/>
  <c r="U9" i="12"/>
  <c r="T9" i="12"/>
  <c r="U8" i="12"/>
  <c r="T8" i="12"/>
  <c r="U7" i="12"/>
  <c r="I200" i="14" s="1"/>
  <c r="Q200" i="14" s="1"/>
  <c r="R200" i="14" s="1"/>
  <c r="T7" i="12"/>
  <c r="U6" i="12"/>
  <c r="I85" i="14" s="1"/>
  <c r="Q85" i="14" s="1"/>
  <c r="R85" i="14" s="1"/>
  <c r="T6" i="12"/>
  <c r="U5" i="12"/>
  <c r="T5" i="12"/>
  <c r="I345" i="14" s="1"/>
  <c r="Q345" i="14" s="1"/>
  <c r="R345" i="14" s="1"/>
  <c r="U4" i="12"/>
  <c r="T4" i="12"/>
  <c r="U3" i="12"/>
  <c r="I136" i="14" s="1"/>
  <c r="Q136" i="14" s="1"/>
  <c r="R136" i="14" s="1"/>
  <c r="T3" i="12"/>
  <c r="U2" i="12"/>
  <c r="T2" i="12"/>
  <c r="AJ568" i="11"/>
  <c r="R568" i="11"/>
  <c r="X568" i="11" s="1"/>
  <c r="AG568" i="11" s="1"/>
  <c r="AK568" i="11" s="1"/>
  <c r="AK567" i="11"/>
  <c r="AF567" i="11"/>
  <c r="AD567" i="11"/>
  <c r="X567" i="11"/>
  <c r="AG567" i="11" s="1"/>
  <c r="R567" i="11"/>
  <c r="AF566" i="11"/>
  <c r="AD566" i="11"/>
  <c r="R566" i="11"/>
  <c r="X566" i="11" s="1"/>
  <c r="AG566" i="11" s="1"/>
  <c r="AK566" i="11" s="1"/>
  <c r="AJ565" i="11"/>
  <c r="AG565" i="11"/>
  <c r="AK565" i="11" s="1"/>
  <c r="X565" i="11"/>
  <c r="R565" i="11"/>
  <c r="AF564" i="11"/>
  <c r="AD564" i="11"/>
  <c r="R564" i="11"/>
  <c r="X564" i="11" s="1"/>
  <c r="AG564" i="11" s="1"/>
  <c r="AK564" i="11" s="1"/>
  <c r="AF563" i="11"/>
  <c r="AD563" i="11"/>
  <c r="X563" i="11"/>
  <c r="AG563" i="11" s="1"/>
  <c r="AK563" i="11" s="1"/>
  <c r="R563" i="11"/>
  <c r="AF562" i="11"/>
  <c r="AD562" i="11"/>
  <c r="R562" i="11"/>
  <c r="X562" i="11" s="1"/>
  <c r="AG562" i="11" s="1"/>
  <c r="AK562" i="11" s="1"/>
  <c r="AJ561" i="11"/>
  <c r="R561" i="11"/>
  <c r="X561" i="11" s="1"/>
  <c r="AG561" i="11" s="1"/>
  <c r="AK561" i="11" s="1"/>
  <c r="AF560" i="11"/>
  <c r="AD560" i="11"/>
  <c r="R560" i="11"/>
  <c r="X560" i="11" s="1"/>
  <c r="AG560" i="11" s="1"/>
  <c r="AK560" i="11" s="1"/>
  <c r="AF559" i="11"/>
  <c r="AD559" i="11"/>
  <c r="R559" i="11"/>
  <c r="X559" i="11" s="1"/>
  <c r="AG559" i="11" s="1"/>
  <c r="AK559" i="11" s="1"/>
  <c r="AF558" i="11"/>
  <c r="AD558" i="11"/>
  <c r="R558" i="11"/>
  <c r="X558" i="11" s="1"/>
  <c r="AG558" i="11" s="1"/>
  <c r="AK558" i="11" s="1"/>
  <c r="AF557" i="11"/>
  <c r="AD557" i="11"/>
  <c r="X557" i="11"/>
  <c r="AG557" i="11" s="1"/>
  <c r="AK557" i="11" s="1"/>
  <c r="R557" i="11"/>
  <c r="AK556" i="11"/>
  <c r="AJ556" i="11"/>
  <c r="R556" i="11"/>
  <c r="X556" i="11" s="1"/>
  <c r="AG556" i="11" s="1"/>
  <c r="AJ555" i="11"/>
  <c r="R555" i="11"/>
  <c r="X555" i="11" s="1"/>
  <c r="AG555" i="11" s="1"/>
  <c r="AK555" i="11" s="1"/>
  <c r="AF554" i="11"/>
  <c r="AD554" i="11"/>
  <c r="R554" i="11"/>
  <c r="X554" i="11" s="1"/>
  <c r="AK553" i="11"/>
  <c r="AF553" i="11"/>
  <c r="AD553" i="11"/>
  <c r="X553" i="11"/>
  <c r="AG553" i="11" s="1"/>
  <c r="R553" i="11"/>
  <c r="AK552" i="11"/>
  <c r="AF552" i="11"/>
  <c r="AD552" i="11"/>
  <c r="R552" i="11"/>
  <c r="X552" i="11" s="1"/>
  <c r="AG552" i="11" s="1"/>
  <c r="AG551" i="11"/>
  <c r="AK551" i="11" s="1"/>
  <c r="AF551" i="11"/>
  <c r="AD551" i="11"/>
  <c r="R551" i="11"/>
  <c r="X551" i="11" s="1"/>
  <c r="AK550" i="11"/>
  <c r="AF550" i="11"/>
  <c r="AD550" i="11"/>
  <c r="R550" i="11"/>
  <c r="X550" i="11" s="1"/>
  <c r="AG550" i="11" s="1"/>
  <c r="AF549" i="11"/>
  <c r="AD549" i="11"/>
  <c r="X549" i="11"/>
  <c r="AG549" i="11" s="1"/>
  <c r="AK549" i="11" s="1"/>
  <c r="R549" i="11"/>
  <c r="AF548" i="11"/>
  <c r="AD548" i="11"/>
  <c r="R548" i="11"/>
  <c r="X548" i="11" s="1"/>
  <c r="AF547" i="11"/>
  <c r="AD547" i="11"/>
  <c r="X547" i="11"/>
  <c r="AG547" i="11" s="1"/>
  <c r="AK547" i="11" s="1"/>
  <c r="R547" i="11"/>
  <c r="AF546" i="11"/>
  <c r="AD546" i="11"/>
  <c r="R546" i="11"/>
  <c r="X546" i="11" s="1"/>
  <c r="AG546" i="11" s="1"/>
  <c r="AK546" i="11" s="1"/>
  <c r="AF545" i="11"/>
  <c r="AD545" i="11"/>
  <c r="R545" i="11"/>
  <c r="X545" i="11" s="1"/>
  <c r="AF544" i="11"/>
  <c r="AD544" i="11"/>
  <c r="R544" i="11"/>
  <c r="X544" i="11" s="1"/>
  <c r="AF543" i="11"/>
  <c r="AD543" i="11"/>
  <c r="R543" i="11"/>
  <c r="X543" i="11" s="1"/>
  <c r="AG543" i="11" s="1"/>
  <c r="AK543" i="11" s="1"/>
  <c r="AF542" i="11"/>
  <c r="AD542" i="11"/>
  <c r="R542" i="11"/>
  <c r="X542" i="11" s="1"/>
  <c r="AG542" i="11" s="1"/>
  <c r="AK542" i="11" s="1"/>
  <c r="AG541" i="11"/>
  <c r="AK541" i="11" s="1"/>
  <c r="AF541" i="11"/>
  <c r="AD541" i="11"/>
  <c r="X541" i="11"/>
  <c r="R541" i="11"/>
  <c r="AK540" i="11"/>
  <c r="AF540" i="11"/>
  <c r="AD540" i="11"/>
  <c r="R540" i="11"/>
  <c r="X540" i="11" s="1"/>
  <c r="AG540" i="11" s="1"/>
  <c r="AF539" i="11"/>
  <c r="AD539" i="11"/>
  <c r="R539" i="11"/>
  <c r="X539" i="11" s="1"/>
  <c r="AG539" i="11" s="1"/>
  <c r="AK539" i="11" s="1"/>
  <c r="AF538" i="11"/>
  <c r="AD538" i="11"/>
  <c r="R538" i="11"/>
  <c r="X538" i="11" s="1"/>
  <c r="AK537" i="11"/>
  <c r="AF537" i="11"/>
  <c r="AD537" i="11"/>
  <c r="X537" i="11"/>
  <c r="AG537" i="11" s="1"/>
  <c r="R537" i="11"/>
  <c r="AK536" i="11"/>
  <c r="AF536" i="11"/>
  <c r="AD536" i="11"/>
  <c r="R536" i="11"/>
  <c r="X536" i="11" s="1"/>
  <c r="AG536" i="11" s="1"/>
  <c r="AF535" i="11"/>
  <c r="AD535" i="11"/>
  <c r="R535" i="11"/>
  <c r="X535" i="11" s="1"/>
  <c r="AK534" i="11"/>
  <c r="AF534" i="11"/>
  <c r="AD534" i="11"/>
  <c r="R534" i="11"/>
  <c r="X534" i="11" s="1"/>
  <c r="AG534" i="11" s="1"/>
  <c r="AF533" i="11"/>
  <c r="AD533" i="11"/>
  <c r="X533" i="11"/>
  <c r="AG533" i="11" s="1"/>
  <c r="AK533" i="11" s="1"/>
  <c r="R533" i="11"/>
  <c r="AJ532" i="11"/>
  <c r="R532" i="11"/>
  <c r="X532" i="11" s="1"/>
  <c r="AK531" i="11"/>
  <c r="AJ531" i="11"/>
  <c r="X531" i="11"/>
  <c r="AG531" i="11" s="1"/>
  <c r="R531" i="11"/>
  <c r="AJ530" i="11"/>
  <c r="R530" i="11"/>
  <c r="X530" i="11" s="1"/>
  <c r="AG530" i="11" s="1"/>
  <c r="AK530" i="11" s="1"/>
  <c r="AF529" i="11"/>
  <c r="AD529" i="11"/>
  <c r="R529" i="11"/>
  <c r="X529" i="11" s="1"/>
  <c r="AG529" i="11" s="1"/>
  <c r="AK529" i="11" s="1"/>
  <c r="AK528" i="11"/>
  <c r="AF528" i="11"/>
  <c r="AD528" i="11"/>
  <c r="R528" i="11"/>
  <c r="X528" i="11" s="1"/>
  <c r="AG528" i="11" s="1"/>
  <c r="AF527" i="11"/>
  <c r="AD527" i="11"/>
  <c r="R527" i="11"/>
  <c r="X527" i="11" s="1"/>
  <c r="AG527" i="11" s="1"/>
  <c r="AK527" i="11" s="1"/>
  <c r="AF526" i="11"/>
  <c r="AD526" i="11"/>
  <c r="R526" i="11"/>
  <c r="X526" i="11" s="1"/>
  <c r="AF525" i="11"/>
  <c r="AD525" i="11"/>
  <c r="X525" i="11"/>
  <c r="R525" i="11"/>
  <c r="AK524" i="11"/>
  <c r="AF524" i="11"/>
  <c r="AD524" i="11"/>
  <c r="R524" i="11"/>
  <c r="X524" i="11" s="1"/>
  <c r="AG524" i="11" s="1"/>
  <c r="AG523" i="11"/>
  <c r="AK523" i="11" s="1"/>
  <c r="AF523" i="11"/>
  <c r="AD523" i="11"/>
  <c r="R523" i="11"/>
  <c r="X523" i="11" s="1"/>
  <c r="AK522" i="11"/>
  <c r="AF522" i="11"/>
  <c r="AD522" i="11"/>
  <c r="R522" i="11"/>
  <c r="X522" i="11" s="1"/>
  <c r="AG522" i="11" s="1"/>
  <c r="AF521" i="11"/>
  <c r="AD521" i="11"/>
  <c r="X521" i="11"/>
  <c r="AG521" i="11" s="1"/>
  <c r="AK521" i="11" s="1"/>
  <c r="R521" i="11"/>
  <c r="AK520" i="11"/>
  <c r="AF520" i="11"/>
  <c r="AD520" i="11"/>
  <c r="R520" i="11"/>
  <c r="X520" i="11" s="1"/>
  <c r="AG520" i="11" s="1"/>
  <c r="AF519" i="11"/>
  <c r="AD519" i="11"/>
  <c r="R519" i="11"/>
  <c r="X519" i="11" s="1"/>
  <c r="AK518" i="11"/>
  <c r="AF518" i="11"/>
  <c r="AD518" i="11"/>
  <c r="R518" i="11"/>
  <c r="X518" i="11" s="1"/>
  <c r="AG518" i="11" s="1"/>
  <c r="AF517" i="11"/>
  <c r="AD517" i="11"/>
  <c r="X517" i="11"/>
  <c r="AG517" i="11" s="1"/>
  <c r="AK517" i="11" s="1"/>
  <c r="R517" i="11"/>
  <c r="AF516" i="11"/>
  <c r="AD516" i="11"/>
  <c r="R516" i="11"/>
  <c r="X516" i="11" s="1"/>
  <c r="AF515" i="11"/>
  <c r="AD515" i="11"/>
  <c r="X515" i="11"/>
  <c r="R515" i="11"/>
  <c r="AF514" i="11"/>
  <c r="AD514" i="11"/>
  <c r="R514" i="11"/>
  <c r="X514" i="11" s="1"/>
  <c r="AG514" i="11" s="1"/>
  <c r="AK514" i="11" s="1"/>
  <c r="AG513" i="11"/>
  <c r="AK513" i="11" s="1"/>
  <c r="AF513" i="11"/>
  <c r="AD513" i="11"/>
  <c r="R513" i="11"/>
  <c r="X513" i="11" s="1"/>
  <c r="AK512" i="11"/>
  <c r="AF512" i="11"/>
  <c r="AD512" i="11"/>
  <c r="R512" i="11"/>
  <c r="X512" i="11" s="1"/>
  <c r="AG512" i="11" s="1"/>
  <c r="AF511" i="11"/>
  <c r="AD511" i="11"/>
  <c r="R511" i="11"/>
  <c r="X511" i="11" s="1"/>
  <c r="AG511" i="11" s="1"/>
  <c r="AK511" i="11" s="1"/>
  <c r="AF510" i="11"/>
  <c r="AD510" i="11"/>
  <c r="R510" i="11"/>
  <c r="X510" i="11" s="1"/>
  <c r="AF509" i="11"/>
  <c r="AD509" i="11"/>
  <c r="R509" i="11"/>
  <c r="X509" i="11" s="1"/>
  <c r="AK508" i="11"/>
  <c r="AF508" i="11"/>
  <c r="AD508" i="11"/>
  <c r="R508" i="11"/>
  <c r="X508" i="11" s="1"/>
  <c r="AG508" i="11" s="1"/>
  <c r="AG507" i="11"/>
  <c r="AK507" i="11" s="1"/>
  <c r="AF507" i="11"/>
  <c r="AD507" i="11"/>
  <c r="R507" i="11"/>
  <c r="X507" i="11" s="1"/>
  <c r="AK506" i="11"/>
  <c r="AF506" i="11"/>
  <c r="AD506" i="11"/>
  <c r="R506" i="11"/>
  <c r="X506" i="11" s="1"/>
  <c r="AG506" i="11" s="1"/>
  <c r="AF505" i="11"/>
  <c r="AD505" i="11"/>
  <c r="X505" i="11"/>
  <c r="AG505" i="11" s="1"/>
  <c r="AK505" i="11" s="1"/>
  <c r="R505" i="11"/>
  <c r="AK504" i="11"/>
  <c r="AF504" i="11"/>
  <c r="AD504" i="11"/>
  <c r="R504" i="11"/>
  <c r="X504" i="11" s="1"/>
  <c r="AG504" i="11" s="1"/>
  <c r="AF503" i="11"/>
  <c r="AD503" i="11"/>
  <c r="X503" i="11"/>
  <c r="R503" i="11"/>
  <c r="AK502" i="11"/>
  <c r="AF502" i="11"/>
  <c r="AD502" i="11"/>
  <c r="R502" i="11"/>
  <c r="X502" i="11" s="1"/>
  <c r="AG502" i="11" s="1"/>
  <c r="AF501" i="11"/>
  <c r="AD501" i="11"/>
  <c r="X501" i="11"/>
  <c r="AG501" i="11" s="1"/>
  <c r="AK501" i="11" s="1"/>
  <c r="R501" i="11"/>
  <c r="AF500" i="11"/>
  <c r="AD500" i="11"/>
  <c r="R500" i="11"/>
  <c r="X500" i="11" s="1"/>
  <c r="AF499" i="11"/>
  <c r="AD499" i="11"/>
  <c r="X499" i="11"/>
  <c r="R499" i="11"/>
  <c r="AJ498" i="11"/>
  <c r="R498" i="11"/>
  <c r="X498" i="11" s="1"/>
  <c r="AG498" i="11" s="1"/>
  <c r="AK498" i="11" s="1"/>
  <c r="AJ497" i="11"/>
  <c r="AG497" i="11"/>
  <c r="AK497" i="11" s="1"/>
  <c r="X497" i="11"/>
  <c r="R497" i="11"/>
  <c r="AJ496" i="11"/>
  <c r="R496" i="11"/>
  <c r="X496" i="11" s="1"/>
  <c r="AG496" i="11" s="1"/>
  <c r="AK496" i="11" s="1"/>
  <c r="AJ495" i="11"/>
  <c r="R495" i="11"/>
  <c r="X495" i="11" s="1"/>
  <c r="AF494" i="11"/>
  <c r="AD494" i="11"/>
  <c r="R494" i="11"/>
  <c r="X494" i="11" s="1"/>
  <c r="AG493" i="11"/>
  <c r="AK493" i="11" s="1"/>
  <c r="AF493" i="11"/>
  <c r="AD493" i="11"/>
  <c r="R493" i="11"/>
  <c r="X493" i="11" s="1"/>
  <c r="AK492" i="11"/>
  <c r="AF492" i="11"/>
  <c r="AD492" i="11"/>
  <c r="R492" i="11"/>
  <c r="X492" i="11" s="1"/>
  <c r="AG492" i="11" s="1"/>
  <c r="AF491" i="11"/>
  <c r="AD491" i="11"/>
  <c r="R491" i="11"/>
  <c r="X491" i="11" s="1"/>
  <c r="AF490" i="11"/>
  <c r="AD490" i="11"/>
  <c r="R490" i="11"/>
  <c r="X490" i="11" s="1"/>
  <c r="AG490" i="11" s="1"/>
  <c r="AK490" i="11" s="1"/>
  <c r="AF489" i="11"/>
  <c r="AD489" i="11"/>
  <c r="X489" i="11"/>
  <c r="AG489" i="11" s="1"/>
  <c r="AK489" i="11" s="1"/>
  <c r="R489" i="11"/>
  <c r="AK488" i="11"/>
  <c r="AF488" i="11"/>
  <c r="AD488" i="11"/>
  <c r="R488" i="11"/>
  <c r="X488" i="11" s="1"/>
  <c r="AG488" i="11" s="1"/>
  <c r="AG487" i="11"/>
  <c r="AK487" i="11" s="1"/>
  <c r="AF487" i="11"/>
  <c r="AD487" i="11"/>
  <c r="R487" i="11"/>
  <c r="X487" i="11" s="1"/>
  <c r="AK486" i="11"/>
  <c r="AF486" i="11"/>
  <c r="AD486" i="11"/>
  <c r="R486" i="11"/>
  <c r="X486" i="11" s="1"/>
  <c r="AG486" i="11" s="1"/>
  <c r="AF485" i="11"/>
  <c r="AD485" i="11"/>
  <c r="X485" i="11"/>
  <c r="AG485" i="11" s="1"/>
  <c r="AK485" i="11" s="1"/>
  <c r="R485" i="11"/>
  <c r="AF484" i="11"/>
  <c r="AD484" i="11"/>
  <c r="R484" i="11"/>
  <c r="X484" i="11" s="1"/>
  <c r="AK483" i="11"/>
  <c r="AF483" i="11"/>
  <c r="AD483" i="11"/>
  <c r="X483" i="11"/>
  <c r="AG483" i="11" s="1"/>
  <c r="R483" i="11"/>
  <c r="AF482" i="11"/>
  <c r="AD482" i="11"/>
  <c r="R482" i="11"/>
  <c r="X482" i="11" s="1"/>
  <c r="AG482" i="11" s="1"/>
  <c r="AK482" i="11" s="1"/>
  <c r="AF481" i="11"/>
  <c r="AD481" i="11"/>
  <c r="X481" i="11"/>
  <c r="R481" i="11"/>
  <c r="AF480" i="11"/>
  <c r="AD480" i="11"/>
  <c r="R480" i="11"/>
  <c r="X480" i="11" s="1"/>
  <c r="AG480" i="11" s="1"/>
  <c r="AK480" i="11" s="1"/>
  <c r="AF479" i="11"/>
  <c r="AD479" i="11"/>
  <c r="R479" i="11"/>
  <c r="X479" i="11" s="1"/>
  <c r="AG479" i="11" s="1"/>
  <c r="AK479" i="11" s="1"/>
  <c r="AF478" i="11"/>
  <c r="AD478" i="11"/>
  <c r="R478" i="11"/>
  <c r="X478" i="11" s="1"/>
  <c r="AG477" i="11"/>
  <c r="AK477" i="11" s="1"/>
  <c r="AF477" i="11"/>
  <c r="AD477" i="11"/>
  <c r="R477" i="11"/>
  <c r="X477" i="11" s="1"/>
  <c r="AK476" i="11"/>
  <c r="AF476" i="11"/>
  <c r="AD476" i="11"/>
  <c r="R476" i="11"/>
  <c r="X476" i="11" s="1"/>
  <c r="AG476" i="11" s="1"/>
  <c r="AF475" i="11"/>
  <c r="AD475" i="11"/>
  <c r="R475" i="11"/>
  <c r="X475" i="11" s="1"/>
  <c r="AF474" i="11"/>
  <c r="AD474" i="11"/>
  <c r="R474" i="11"/>
  <c r="X474" i="11" s="1"/>
  <c r="AG474" i="11" s="1"/>
  <c r="AK474" i="11" s="1"/>
  <c r="AF473" i="11"/>
  <c r="AD473" i="11"/>
  <c r="X473" i="11"/>
  <c r="AG473" i="11" s="1"/>
  <c r="AK473" i="11" s="1"/>
  <c r="R473" i="11"/>
  <c r="AK472" i="11"/>
  <c r="AF472" i="11"/>
  <c r="AD472" i="11"/>
  <c r="R472" i="11"/>
  <c r="X472" i="11" s="1"/>
  <c r="AG472" i="11" s="1"/>
  <c r="AG471" i="11"/>
  <c r="AK471" i="11" s="1"/>
  <c r="AF471" i="11"/>
  <c r="AD471" i="11"/>
  <c r="R471" i="11"/>
  <c r="X471" i="11" s="1"/>
  <c r="AK470" i="11"/>
  <c r="AF470" i="11"/>
  <c r="AD470" i="11"/>
  <c r="R470" i="11"/>
  <c r="X470" i="11" s="1"/>
  <c r="AG470" i="11" s="1"/>
  <c r="AJ469" i="11"/>
  <c r="X469" i="11"/>
  <c r="AG469" i="11" s="1"/>
  <c r="AK469" i="11" s="1"/>
  <c r="R469" i="11"/>
  <c r="AJ468" i="11"/>
  <c r="R468" i="11"/>
  <c r="X468" i="11" s="1"/>
  <c r="AK467" i="11"/>
  <c r="AF467" i="11"/>
  <c r="AD467" i="11"/>
  <c r="X467" i="11"/>
  <c r="AG467" i="11" s="1"/>
  <c r="R467" i="11"/>
  <c r="AF466" i="11"/>
  <c r="AD466" i="11"/>
  <c r="R466" i="11"/>
  <c r="X466" i="11" s="1"/>
  <c r="AG466" i="11" s="1"/>
  <c r="AK466" i="11" s="1"/>
  <c r="AF465" i="11"/>
  <c r="AD465" i="11"/>
  <c r="X465" i="11"/>
  <c r="R465" i="11"/>
  <c r="AF464" i="11"/>
  <c r="AD464" i="11"/>
  <c r="R464" i="11"/>
  <c r="X464" i="11" s="1"/>
  <c r="AG464" i="11" s="1"/>
  <c r="AK464" i="11" s="1"/>
  <c r="AF463" i="11"/>
  <c r="AD463" i="11"/>
  <c r="R463" i="11"/>
  <c r="X463" i="11" s="1"/>
  <c r="AG463" i="11" s="1"/>
  <c r="AK463" i="11" s="1"/>
  <c r="AF462" i="11"/>
  <c r="AD462" i="11"/>
  <c r="R462" i="11"/>
  <c r="X462" i="11" s="1"/>
  <c r="AG462" i="11" s="1"/>
  <c r="AK462" i="11" s="1"/>
  <c r="AF461" i="11"/>
  <c r="AD461" i="11"/>
  <c r="R461" i="11"/>
  <c r="X461" i="11" s="1"/>
  <c r="AK460" i="11"/>
  <c r="AF460" i="11"/>
  <c r="AD460" i="11"/>
  <c r="R460" i="11"/>
  <c r="X460" i="11" s="1"/>
  <c r="AG460" i="11" s="1"/>
  <c r="AF459" i="11"/>
  <c r="AD459" i="11"/>
  <c r="R459" i="11"/>
  <c r="X459" i="11" s="1"/>
  <c r="AF458" i="11"/>
  <c r="AD458" i="11"/>
  <c r="R458" i="11"/>
  <c r="X458" i="11" s="1"/>
  <c r="AG458" i="11" s="1"/>
  <c r="AK458" i="11" s="1"/>
  <c r="AF457" i="11"/>
  <c r="AD457" i="11"/>
  <c r="X457" i="11"/>
  <c r="AG457" i="11" s="1"/>
  <c r="AK457" i="11" s="1"/>
  <c r="R457" i="11"/>
  <c r="AK456" i="11"/>
  <c r="AF456" i="11"/>
  <c r="AD456" i="11"/>
  <c r="R456" i="11"/>
  <c r="X456" i="11" s="1"/>
  <c r="AG456" i="11" s="1"/>
  <c r="AG455" i="11"/>
  <c r="AK455" i="11" s="1"/>
  <c r="AF455" i="11"/>
  <c r="AD455" i="11"/>
  <c r="R455" i="11"/>
  <c r="X455" i="11" s="1"/>
  <c r="AK454" i="11"/>
  <c r="AF454" i="11"/>
  <c r="AD454" i="11"/>
  <c r="R454" i="11"/>
  <c r="X454" i="11" s="1"/>
  <c r="AG454" i="11" s="1"/>
  <c r="AF453" i="11"/>
  <c r="AD453" i="11"/>
  <c r="R453" i="11"/>
  <c r="X453" i="11" s="1"/>
  <c r="AG452" i="11"/>
  <c r="AK452" i="11" s="1"/>
  <c r="AF452" i="11"/>
  <c r="AD452" i="11"/>
  <c r="X452" i="11"/>
  <c r="R452" i="11"/>
  <c r="AF451" i="11"/>
  <c r="AD451" i="11"/>
  <c r="R451" i="11"/>
  <c r="X451" i="11" s="1"/>
  <c r="AG450" i="11"/>
  <c r="AK450" i="11" s="1"/>
  <c r="AF450" i="11"/>
  <c r="AD450" i="11"/>
  <c r="X450" i="11"/>
  <c r="R450" i="11"/>
  <c r="AF449" i="11"/>
  <c r="AD449" i="11"/>
  <c r="R449" i="11"/>
  <c r="X449" i="11" s="1"/>
  <c r="AF448" i="11"/>
  <c r="AD448" i="11"/>
  <c r="X448" i="11"/>
  <c r="AG448" i="11" s="1"/>
  <c r="AK448" i="11" s="1"/>
  <c r="R448" i="11"/>
  <c r="AF447" i="11"/>
  <c r="AD447" i="11"/>
  <c r="R447" i="11"/>
  <c r="X447" i="11" s="1"/>
  <c r="AK446" i="11"/>
  <c r="AF446" i="11"/>
  <c r="AD446" i="11"/>
  <c r="X446" i="11"/>
  <c r="AG446" i="11" s="1"/>
  <c r="R446" i="11"/>
  <c r="AJ445" i="11"/>
  <c r="R445" i="11"/>
  <c r="X445" i="11" s="1"/>
  <c r="AG445" i="11" s="1"/>
  <c r="AK445" i="11" s="1"/>
  <c r="AJ444" i="11"/>
  <c r="X444" i="11"/>
  <c r="AG444" i="11" s="1"/>
  <c r="AK444" i="11" s="1"/>
  <c r="R444" i="11"/>
  <c r="AJ443" i="11"/>
  <c r="R443" i="11"/>
  <c r="X443" i="11" s="1"/>
  <c r="AF442" i="11"/>
  <c r="AD442" i="11"/>
  <c r="X442" i="11"/>
  <c r="AG442" i="11" s="1"/>
  <c r="AK442" i="11" s="1"/>
  <c r="R442" i="11"/>
  <c r="AF441" i="11"/>
  <c r="AD441" i="11"/>
  <c r="R441" i="11"/>
  <c r="X441" i="11" s="1"/>
  <c r="AG440" i="11"/>
  <c r="AK440" i="11" s="1"/>
  <c r="AF440" i="11"/>
  <c r="AD440" i="11"/>
  <c r="X440" i="11"/>
  <c r="R440" i="11"/>
  <c r="AF439" i="11"/>
  <c r="AD439" i="11"/>
  <c r="R439" i="11"/>
  <c r="X439" i="11" s="1"/>
  <c r="AG438" i="11"/>
  <c r="AK438" i="11" s="1"/>
  <c r="AF438" i="11"/>
  <c r="AD438" i="11"/>
  <c r="X438" i="11"/>
  <c r="R438" i="11"/>
  <c r="AF437" i="11"/>
  <c r="AD437" i="11"/>
  <c r="R437" i="11"/>
  <c r="X437" i="11" s="1"/>
  <c r="AG437" i="11" s="1"/>
  <c r="AK437" i="11" s="1"/>
  <c r="AG436" i="11"/>
  <c r="AK436" i="11" s="1"/>
  <c r="AF436" i="11"/>
  <c r="AD436" i="11"/>
  <c r="X436" i="11"/>
  <c r="R436" i="11"/>
  <c r="AF435" i="11"/>
  <c r="AD435" i="11"/>
  <c r="R435" i="11"/>
  <c r="X435" i="11" s="1"/>
  <c r="AG434" i="11"/>
  <c r="AK434" i="11" s="1"/>
  <c r="AF434" i="11"/>
  <c r="AD434" i="11"/>
  <c r="X434" i="11"/>
  <c r="R434" i="11"/>
  <c r="AF433" i="11"/>
  <c r="AD433" i="11"/>
  <c r="R433" i="11"/>
  <c r="X433" i="11" s="1"/>
  <c r="AF432" i="11"/>
  <c r="AD432" i="11"/>
  <c r="X432" i="11"/>
  <c r="AG432" i="11" s="1"/>
  <c r="AK432" i="11" s="1"/>
  <c r="R432" i="11"/>
  <c r="AF431" i="11"/>
  <c r="AD431" i="11"/>
  <c r="R431" i="11"/>
  <c r="X431" i="11" s="1"/>
  <c r="AF430" i="11"/>
  <c r="AD430" i="11"/>
  <c r="X430" i="11"/>
  <c r="AG430" i="11" s="1"/>
  <c r="AK430" i="11" s="1"/>
  <c r="R430" i="11"/>
  <c r="AF429" i="11"/>
  <c r="AD429" i="11"/>
  <c r="R429" i="11"/>
  <c r="X429" i="11" s="1"/>
  <c r="AF428" i="11"/>
  <c r="AD428" i="11"/>
  <c r="X428" i="11"/>
  <c r="AG428" i="11" s="1"/>
  <c r="AK428" i="11" s="1"/>
  <c r="R428" i="11"/>
  <c r="AF427" i="11"/>
  <c r="AD427" i="11"/>
  <c r="R427" i="11"/>
  <c r="X427" i="11" s="1"/>
  <c r="AF426" i="11"/>
  <c r="AD426" i="11"/>
  <c r="X426" i="11"/>
  <c r="R426" i="11"/>
  <c r="AF425" i="11"/>
  <c r="AD425" i="11"/>
  <c r="R425" i="11"/>
  <c r="X425" i="11" s="1"/>
  <c r="AG425" i="11" s="1"/>
  <c r="AK425" i="11" s="1"/>
  <c r="AK424" i="11"/>
  <c r="AG424" i="11"/>
  <c r="AF424" i="11"/>
  <c r="AD424" i="11"/>
  <c r="X424" i="11"/>
  <c r="R424" i="11"/>
  <c r="AF423" i="11"/>
  <c r="AD423" i="11"/>
  <c r="R423" i="11"/>
  <c r="X423" i="11" s="1"/>
  <c r="AG422" i="11"/>
  <c r="AK422" i="11" s="1"/>
  <c r="AF422" i="11"/>
  <c r="AD422" i="11"/>
  <c r="X422" i="11"/>
  <c r="R422" i="11"/>
  <c r="AF421" i="11"/>
  <c r="AD421" i="11"/>
  <c r="R421" i="11"/>
  <c r="X421" i="11" s="1"/>
  <c r="AG420" i="11"/>
  <c r="AK420" i="11" s="1"/>
  <c r="AF420" i="11"/>
  <c r="AD420" i="11"/>
  <c r="X420" i="11"/>
  <c r="R420" i="11"/>
  <c r="AF419" i="11"/>
  <c r="AD419" i="11"/>
  <c r="R419" i="11"/>
  <c r="X419" i="11" s="1"/>
  <c r="AG418" i="11"/>
  <c r="AK418" i="11" s="1"/>
  <c r="AF418" i="11"/>
  <c r="AD418" i="11"/>
  <c r="X418" i="11"/>
  <c r="R418" i="11"/>
  <c r="AF417" i="11"/>
  <c r="AD417" i="11"/>
  <c r="R417" i="11"/>
  <c r="X417" i="11" s="1"/>
  <c r="AF416" i="11"/>
  <c r="AD416" i="11"/>
  <c r="Y416" i="11"/>
  <c r="Z416" i="11" s="1"/>
  <c r="AB416" i="11" s="1"/>
  <c r="AJ416" i="11" s="1"/>
  <c r="X416" i="11"/>
  <c r="AG416" i="11" s="1"/>
  <c r="AK416" i="11" s="1"/>
  <c r="R416" i="11"/>
  <c r="AJ415" i="11"/>
  <c r="R415" i="11"/>
  <c r="X415" i="11" s="1"/>
  <c r="AG415" i="11" s="1"/>
  <c r="AK415" i="11" s="1"/>
  <c r="AJ414" i="11"/>
  <c r="X414" i="11"/>
  <c r="R414" i="11"/>
  <c r="AJ413" i="11"/>
  <c r="R413" i="11"/>
  <c r="X413" i="11" s="1"/>
  <c r="AK412" i="11"/>
  <c r="AF412" i="11"/>
  <c r="AD412" i="11"/>
  <c r="X412" i="11"/>
  <c r="AG412" i="11" s="1"/>
  <c r="R412" i="11"/>
  <c r="AF411" i="11"/>
  <c r="AD411" i="11"/>
  <c r="R411" i="11"/>
  <c r="X411" i="11" s="1"/>
  <c r="AG411" i="11" s="1"/>
  <c r="AK411" i="11" s="1"/>
  <c r="AF410" i="11"/>
  <c r="AD410" i="11"/>
  <c r="Y410" i="11"/>
  <c r="X410" i="11"/>
  <c r="R410" i="11"/>
  <c r="AF409" i="11"/>
  <c r="AD409" i="11"/>
  <c r="R409" i="11"/>
  <c r="X409" i="11" s="1"/>
  <c r="AG409" i="11" s="1"/>
  <c r="AK409" i="11" s="1"/>
  <c r="AG408" i="11"/>
  <c r="AK408" i="11" s="1"/>
  <c r="AF408" i="11"/>
  <c r="AD408" i="11"/>
  <c r="X408" i="11"/>
  <c r="R408" i="11"/>
  <c r="AF407" i="11"/>
  <c r="AD407" i="11"/>
  <c r="R407" i="11"/>
  <c r="X407" i="11" s="1"/>
  <c r="AG406" i="11"/>
  <c r="AK406" i="11" s="1"/>
  <c r="AF406" i="11"/>
  <c r="AD406" i="11"/>
  <c r="X406" i="11"/>
  <c r="R406" i="11"/>
  <c r="AF405" i="11"/>
  <c r="AE405" i="11"/>
  <c r="AD405" i="11"/>
  <c r="R405" i="11"/>
  <c r="X405" i="11" s="1"/>
  <c r="AG404" i="11"/>
  <c r="AK404" i="11" s="1"/>
  <c r="AF404" i="11"/>
  <c r="AD404" i="11"/>
  <c r="X404" i="11"/>
  <c r="R404" i="11"/>
  <c r="AF403" i="11"/>
  <c r="AD403" i="11"/>
  <c r="R403" i="11"/>
  <c r="X403" i="11" s="1"/>
  <c r="AG402" i="11"/>
  <c r="AK402" i="11" s="1"/>
  <c r="AF402" i="11"/>
  <c r="AD402" i="11"/>
  <c r="X402" i="11"/>
  <c r="R402" i="11"/>
  <c r="AF401" i="11"/>
  <c r="AD401" i="11"/>
  <c r="R401" i="11"/>
  <c r="X401" i="11" s="1"/>
  <c r="AF400" i="11"/>
  <c r="AD400" i="11"/>
  <c r="X400" i="11"/>
  <c r="AG400" i="11" s="1"/>
  <c r="AK400" i="11" s="1"/>
  <c r="R400" i="11"/>
  <c r="AF399" i="11"/>
  <c r="AD399" i="11"/>
  <c r="R399" i="11"/>
  <c r="X399" i="11" s="1"/>
  <c r="AG398" i="11"/>
  <c r="AK398" i="11" s="1"/>
  <c r="AF398" i="11"/>
  <c r="AD398" i="11"/>
  <c r="X398" i="11"/>
  <c r="R398" i="11"/>
  <c r="AF397" i="11"/>
  <c r="AD397" i="11"/>
  <c r="R397" i="11"/>
  <c r="X397" i="11" s="1"/>
  <c r="AG397" i="11" s="1"/>
  <c r="AK397" i="11" s="1"/>
  <c r="AG396" i="11"/>
  <c r="AK396" i="11" s="1"/>
  <c r="AF396" i="11"/>
  <c r="AD396" i="11"/>
  <c r="X396" i="11"/>
  <c r="R396" i="11"/>
  <c r="AF395" i="11"/>
  <c r="AD395" i="11"/>
  <c r="R395" i="11"/>
  <c r="X395" i="11" s="1"/>
  <c r="AG394" i="11"/>
  <c r="AK394" i="11" s="1"/>
  <c r="AF394" i="11"/>
  <c r="AD394" i="11"/>
  <c r="X394" i="11"/>
  <c r="R394" i="11"/>
  <c r="AF393" i="11"/>
  <c r="AD393" i="11"/>
  <c r="R393" i="11"/>
  <c r="X393" i="11" s="1"/>
  <c r="AG392" i="11"/>
  <c r="AK392" i="11" s="1"/>
  <c r="AF392" i="11"/>
  <c r="AD392" i="11"/>
  <c r="X392" i="11"/>
  <c r="R392" i="11"/>
  <c r="AF391" i="11"/>
  <c r="AD391" i="11"/>
  <c r="R391" i="11"/>
  <c r="X391" i="11" s="1"/>
  <c r="AF390" i="11"/>
  <c r="AD390" i="11"/>
  <c r="X390" i="11"/>
  <c r="R390" i="11"/>
  <c r="AF389" i="11"/>
  <c r="AD389" i="11"/>
  <c r="R389" i="11"/>
  <c r="X389" i="11" s="1"/>
  <c r="AK388" i="11"/>
  <c r="AF388" i="11"/>
  <c r="AD388" i="11"/>
  <c r="X388" i="11"/>
  <c r="AG388" i="11" s="1"/>
  <c r="R388" i="11"/>
  <c r="AJ387" i="11"/>
  <c r="R387" i="11"/>
  <c r="X387" i="11" s="1"/>
  <c r="AG387" i="11" s="1"/>
  <c r="AK387" i="11" s="1"/>
  <c r="AJ386" i="11"/>
  <c r="X386" i="11"/>
  <c r="R386" i="11"/>
  <c r="AJ385" i="11"/>
  <c r="R385" i="11"/>
  <c r="X385" i="11" s="1"/>
  <c r="AK384" i="11"/>
  <c r="AF384" i="11"/>
  <c r="AD384" i="11"/>
  <c r="X384" i="11"/>
  <c r="AG384" i="11" s="1"/>
  <c r="R384" i="11"/>
  <c r="AF383" i="11"/>
  <c r="AD383" i="11"/>
  <c r="R383" i="11"/>
  <c r="X383" i="11" s="1"/>
  <c r="AG383" i="11" s="1"/>
  <c r="AK383" i="11" s="1"/>
  <c r="AF382" i="11"/>
  <c r="AD382" i="11"/>
  <c r="Y382" i="11"/>
  <c r="Z382" i="11" s="1"/>
  <c r="AB382" i="11" s="1"/>
  <c r="AJ382" i="11" s="1"/>
  <c r="X382" i="11"/>
  <c r="AG382" i="11" s="1"/>
  <c r="AK382" i="11" s="1"/>
  <c r="R382" i="11"/>
  <c r="AF381" i="11"/>
  <c r="AD381" i="11"/>
  <c r="R381" i="11"/>
  <c r="X381" i="11" s="1"/>
  <c r="AG380" i="11"/>
  <c r="AK380" i="11" s="1"/>
  <c r="AF380" i="11"/>
  <c r="AD380" i="11"/>
  <c r="X380" i="11"/>
  <c r="R380" i="11"/>
  <c r="AF379" i="11"/>
  <c r="AD379" i="11"/>
  <c r="R379" i="11"/>
  <c r="X379" i="11" s="1"/>
  <c r="AG379" i="11" s="1"/>
  <c r="AK379" i="11" s="1"/>
  <c r="AG378" i="11"/>
  <c r="AK378" i="11" s="1"/>
  <c r="AF378" i="11"/>
  <c r="AD378" i="11"/>
  <c r="X378" i="11"/>
  <c r="R378" i="11"/>
  <c r="AF377" i="11"/>
  <c r="AD377" i="11"/>
  <c r="R377" i="11"/>
  <c r="X377" i="11" s="1"/>
  <c r="AG377" i="11" s="1"/>
  <c r="AK377" i="11" s="1"/>
  <c r="AG376" i="11"/>
  <c r="AK376" i="11" s="1"/>
  <c r="AF376" i="11"/>
  <c r="AD376" i="11"/>
  <c r="X376" i="11"/>
  <c r="R376" i="11"/>
  <c r="AF375" i="11"/>
  <c r="AE375" i="11"/>
  <c r="AD375" i="11"/>
  <c r="R375" i="11"/>
  <c r="X375" i="11" s="1"/>
  <c r="AF374" i="11"/>
  <c r="AD374" i="11"/>
  <c r="X374" i="11"/>
  <c r="R374" i="11"/>
  <c r="AF373" i="11"/>
  <c r="AD373" i="11"/>
  <c r="R373" i="11"/>
  <c r="X373" i="11" s="1"/>
  <c r="AG372" i="11"/>
  <c r="AK372" i="11" s="1"/>
  <c r="AF372" i="11"/>
  <c r="AD372" i="11"/>
  <c r="X372" i="11"/>
  <c r="R372" i="11"/>
  <c r="AF371" i="11"/>
  <c r="AD371" i="11"/>
  <c r="R371" i="11"/>
  <c r="X371" i="11" s="1"/>
  <c r="AK370" i="11"/>
  <c r="AF370" i="11"/>
  <c r="AD370" i="11"/>
  <c r="Y370" i="11"/>
  <c r="X370" i="11"/>
  <c r="AG370" i="11" s="1"/>
  <c r="R370" i="11"/>
  <c r="AF369" i="11"/>
  <c r="AD369" i="11"/>
  <c r="R369" i="11"/>
  <c r="X369" i="11" s="1"/>
  <c r="AK368" i="11"/>
  <c r="AF368" i="11"/>
  <c r="AD368" i="11"/>
  <c r="X368" i="11"/>
  <c r="AG368" i="11" s="1"/>
  <c r="R368" i="11"/>
  <c r="AF367" i="11"/>
  <c r="AD367" i="11"/>
  <c r="R367" i="11"/>
  <c r="X367" i="11" s="1"/>
  <c r="AF366" i="11"/>
  <c r="AD366" i="11"/>
  <c r="X366" i="11"/>
  <c r="AG366" i="11" s="1"/>
  <c r="AK366" i="11" s="1"/>
  <c r="R366" i="11"/>
  <c r="AF365" i="11"/>
  <c r="AD365" i="11"/>
  <c r="R365" i="11"/>
  <c r="X365" i="11" s="1"/>
  <c r="AG365" i="11" s="1"/>
  <c r="AK365" i="11" s="1"/>
  <c r="AG364" i="11"/>
  <c r="AK364" i="11" s="1"/>
  <c r="AF364" i="11"/>
  <c r="AD364" i="11"/>
  <c r="X364" i="11"/>
  <c r="R364" i="11"/>
  <c r="AF363" i="11"/>
  <c r="AD363" i="11"/>
  <c r="R363" i="11"/>
  <c r="X363" i="11" s="1"/>
  <c r="AG363" i="11" s="1"/>
  <c r="AK363" i="11" s="1"/>
  <c r="AG362" i="11"/>
  <c r="AK362" i="11" s="1"/>
  <c r="AF362" i="11"/>
  <c r="AD362" i="11"/>
  <c r="X362" i="11"/>
  <c r="R362" i="11"/>
  <c r="AF361" i="11"/>
  <c r="AD361" i="11"/>
  <c r="R361" i="11"/>
  <c r="X361" i="11" s="1"/>
  <c r="AG360" i="11"/>
  <c r="AK360" i="11" s="1"/>
  <c r="AF360" i="11"/>
  <c r="AD360" i="11"/>
  <c r="X360" i="11"/>
  <c r="R360" i="11"/>
  <c r="AF359" i="11"/>
  <c r="AD359" i="11"/>
  <c r="R359" i="11"/>
  <c r="X359" i="11" s="1"/>
  <c r="AF358" i="11"/>
  <c r="AD358" i="11"/>
  <c r="X358" i="11"/>
  <c r="R358" i="11"/>
  <c r="AF357" i="11"/>
  <c r="AD357" i="11"/>
  <c r="R357" i="11"/>
  <c r="X357" i="11" s="1"/>
  <c r="AJ356" i="11"/>
  <c r="X356" i="11"/>
  <c r="AG356" i="11" s="1"/>
  <c r="AK356" i="11" s="1"/>
  <c r="R356" i="11"/>
  <c r="AJ355" i="11"/>
  <c r="R355" i="11"/>
  <c r="X355" i="11" s="1"/>
  <c r="AG355" i="11" s="1"/>
  <c r="AK355" i="11" s="1"/>
  <c r="AJ354" i="11"/>
  <c r="R354" i="11"/>
  <c r="X354" i="11" s="1"/>
  <c r="AG354" i="11" s="1"/>
  <c r="AK354" i="11" s="1"/>
  <c r="AJ353" i="11"/>
  <c r="R353" i="11"/>
  <c r="X353" i="11" s="1"/>
  <c r="AJ352" i="11"/>
  <c r="X352" i="11"/>
  <c r="R352" i="11"/>
  <c r="AJ351" i="11"/>
  <c r="R351" i="11"/>
  <c r="X351" i="11" s="1"/>
  <c r="AF350" i="11"/>
  <c r="AD350" i="11"/>
  <c r="X350" i="11"/>
  <c r="AG350" i="11" s="1"/>
  <c r="AK350" i="11" s="1"/>
  <c r="R350" i="11"/>
  <c r="AF349" i="11"/>
  <c r="AD349" i="11"/>
  <c r="R349" i="11"/>
  <c r="X349" i="11" s="1"/>
  <c r="AG348" i="11"/>
  <c r="AK348" i="11" s="1"/>
  <c r="AF348" i="11"/>
  <c r="AD348" i="11"/>
  <c r="R348" i="11"/>
  <c r="X348" i="11" s="1"/>
  <c r="AF347" i="11"/>
  <c r="AD347" i="11"/>
  <c r="R347" i="11"/>
  <c r="X347" i="11" s="1"/>
  <c r="AF346" i="11"/>
  <c r="AD346" i="11"/>
  <c r="R346" i="11"/>
  <c r="X346" i="11" s="1"/>
  <c r="AF345" i="11"/>
  <c r="AD345" i="11"/>
  <c r="R345" i="11"/>
  <c r="X345" i="11" s="1"/>
  <c r="AF344" i="11"/>
  <c r="AD344" i="11"/>
  <c r="X344" i="11"/>
  <c r="AG344" i="11" s="1"/>
  <c r="AK344" i="11" s="1"/>
  <c r="R344" i="11"/>
  <c r="AF343" i="11"/>
  <c r="AD343" i="11"/>
  <c r="AC343" i="11"/>
  <c r="R343" i="11"/>
  <c r="X343" i="11" s="1"/>
  <c r="AF342" i="11"/>
  <c r="AD342" i="11"/>
  <c r="Y342" i="11"/>
  <c r="Z342" i="11" s="1"/>
  <c r="AB342" i="11" s="1"/>
  <c r="AJ342" i="11" s="1"/>
  <c r="X342" i="11"/>
  <c r="AG342" i="11" s="1"/>
  <c r="AK342" i="11" s="1"/>
  <c r="R342" i="11"/>
  <c r="AF341" i="11"/>
  <c r="AD341" i="11"/>
  <c r="R341" i="11"/>
  <c r="X341" i="11" s="1"/>
  <c r="AG341" i="11" s="1"/>
  <c r="AK341" i="11" s="1"/>
  <c r="AF340" i="11"/>
  <c r="AD340" i="11"/>
  <c r="R340" i="11"/>
  <c r="X340" i="11" s="1"/>
  <c r="AK339" i="11"/>
  <c r="AF339" i="11"/>
  <c r="AD339" i="11"/>
  <c r="R339" i="11"/>
  <c r="X339" i="11" s="1"/>
  <c r="AG339" i="11" s="1"/>
  <c r="AF338" i="11"/>
  <c r="AD338" i="11"/>
  <c r="R338" i="11"/>
  <c r="X338" i="11" s="1"/>
  <c r="AG338" i="11" s="1"/>
  <c r="AK338" i="11" s="1"/>
  <c r="AF337" i="11"/>
  <c r="AE337" i="11"/>
  <c r="AD337" i="11"/>
  <c r="R337" i="11"/>
  <c r="X337" i="11" s="1"/>
  <c r="AF336" i="11"/>
  <c r="AD336" i="11"/>
  <c r="R336" i="11"/>
  <c r="X336" i="11" s="1"/>
  <c r="AG336" i="11" s="1"/>
  <c r="AK336" i="11" s="1"/>
  <c r="AK335" i="11"/>
  <c r="AF335" i="11"/>
  <c r="AD335" i="11"/>
  <c r="R335" i="11"/>
  <c r="X335" i="11" s="1"/>
  <c r="AG335" i="11" s="1"/>
  <c r="AG334" i="11"/>
  <c r="AK334" i="11" s="1"/>
  <c r="AF334" i="11"/>
  <c r="AD334" i="11"/>
  <c r="R334" i="11"/>
  <c r="X334" i="11" s="1"/>
  <c r="AK333" i="11"/>
  <c r="AF333" i="11"/>
  <c r="AD333" i="11"/>
  <c r="R333" i="11"/>
  <c r="X333" i="11" s="1"/>
  <c r="AG333" i="11" s="1"/>
  <c r="AK332" i="11"/>
  <c r="AF332" i="11"/>
  <c r="AD332" i="11"/>
  <c r="X332" i="11"/>
  <c r="AG332" i="11" s="1"/>
  <c r="R332" i="11"/>
  <c r="AF331" i="11"/>
  <c r="AE331" i="11"/>
  <c r="AD331" i="11"/>
  <c r="R331" i="11"/>
  <c r="X331" i="11" s="1"/>
  <c r="AG331" i="11" s="1"/>
  <c r="AK331" i="11" s="1"/>
  <c r="AF330" i="11"/>
  <c r="AD330" i="11"/>
  <c r="R330" i="11"/>
  <c r="X330" i="11" s="1"/>
  <c r="AK329" i="11"/>
  <c r="AF329" i="11"/>
  <c r="AD329" i="11"/>
  <c r="R329" i="11"/>
  <c r="X329" i="11" s="1"/>
  <c r="AG329" i="11" s="1"/>
  <c r="AF328" i="11"/>
  <c r="AD328" i="11"/>
  <c r="R328" i="11"/>
  <c r="X328" i="11" s="1"/>
  <c r="AJ327" i="11"/>
  <c r="R327" i="11"/>
  <c r="X327" i="11" s="1"/>
  <c r="AJ326" i="11"/>
  <c r="X326" i="11"/>
  <c r="R326" i="11"/>
  <c r="AF325" i="11"/>
  <c r="AD325" i="11"/>
  <c r="R325" i="11"/>
  <c r="X325" i="11" s="1"/>
  <c r="AG325" i="11" s="1"/>
  <c r="AK325" i="11" s="1"/>
  <c r="AF324" i="11"/>
  <c r="AD324" i="11"/>
  <c r="R324" i="11"/>
  <c r="X324" i="11" s="1"/>
  <c r="AG324" i="11" s="1"/>
  <c r="AK324" i="11" s="1"/>
  <c r="AK323" i="11"/>
  <c r="AF323" i="11"/>
  <c r="AD323" i="11"/>
  <c r="R323" i="11"/>
  <c r="X323" i="11" s="1"/>
  <c r="AG323" i="11" s="1"/>
  <c r="AF322" i="11"/>
  <c r="AD322" i="11"/>
  <c r="R322" i="11"/>
  <c r="X322" i="11" s="1"/>
  <c r="AG322" i="11" s="1"/>
  <c r="AK322" i="11" s="1"/>
  <c r="AF321" i="11"/>
  <c r="AE321" i="11"/>
  <c r="AD321" i="11"/>
  <c r="R321" i="11"/>
  <c r="X321" i="11" s="1"/>
  <c r="AG321" i="11" s="1"/>
  <c r="AK321" i="11" s="1"/>
  <c r="AG320" i="11"/>
  <c r="AK320" i="11" s="1"/>
  <c r="AF320" i="11"/>
  <c r="AD320" i="11"/>
  <c r="X320" i="11"/>
  <c r="R320" i="11"/>
  <c r="AK319" i="11"/>
  <c r="AF319" i="11"/>
  <c r="AD319" i="11"/>
  <c r="R319" i="11"/>
  <c r="X319" i="11" s="1"/>
  <c r="AG319" i="11" s="1"/>
  <c r="AF318" i="11"/>
  <c r="AE318" i="11"/>
  <c r="AD318" i="11"/>
  <c r="R318" i="11"/>
  <c r="X318" i="11" s="1"/>
  <c r="AG318" i="11" s="1"/>
  <c r="AK318" i="11" s="1"/>
  <c r="AK317" i="11"/>
  <c r="AF317" i="11"/>
  <c r="AD317" i="11"/>
  <c r="R317" i="11"/>
  <c r="X317" i="11" s="1"/>
  <c r="AG317" i="11" s="1"/>
  <c r="AF316" i="11"/>
  <c r="AD316" i="11"/>
  <c r="X316" i="11"/>
  <c r="AG316" i="11" s="1"/>
  <c r="AK316" i="11" s="1"/>
  <c r="R316" i="11"/>
  <c r="AF315" i="11"/>
  <c r="AE315" i="11"/>
  <c r="AD315" i="11"/>
  <c r="R315" i="11"/>
  <c r="X315" i="11" s="1"/>
  <c r="AG315" i="11" s="1"/>
  <c r="AK315" i="11" s="1"/>
  <c r="AG314" i="11"/>
  <c r="AK314" i="11" s="1"/>
  <c r="AF314" i="11"/>
  <c r="AD314" i="11"/>
  <c r="X314" i="11"/>
  <c r="R314" i="11"/>
  <c r="AF313" i="11"/>
  <c r="AD313" i="11"/>
  <c r="R313" i="11"/>
  <c r="X313" i="11" s="1"/>
  <c r="AG313" i="11" s="1"/>
  <c r="AK313" i="11" s="1"/>
  <c r="AG312" i="11"/>
  <c r="AK312" i="11" s="1"/>
  <c r="AF312" i="11"/>
  <c r="AD312" i="11"/>
  <c r="X312" i="11"/>
  <c r="R312" i="11"/>
  <c r="AF311" i="11"/>
  <c r="AD311" i="11"/>
  <c r="R311" i="11"/>
  <c r="X311" i="11" s="1"/>
  <c r="AG311" i="11" s="1"/>
  <c r="AK311" i="11" s="1"/>
  <c r="AG310" i="11"/>
  <c r="AK310" i="11" s="1"/>
  <c r="AF310" i="11"/>
  <c r="AD310" i="11"/>
  <c r="X310" i="11"/>
  <c r="R310" i="11"/>
  <c r="AF309" i="11"/>
  <c r="AE309" i="11"/>
  <c r="AD309" i="11"/>
  <c r="R309" i="11"/>
  <c r="X309" i="11" s="1"/>
  <c r="AG309" i="11" s="1"/>
  <c r="AK309" i="11" s="1"/>
  <c r="AF308" i="11"/>
  <c r="AD308" i="11"/>
  <c r="X308" i="11"/>
  <c r="AG308" i="11" s="1"/>
  <c r="AK308" i="11" s="1"/>
  <c r="R308" i="11"/>
  <c r="AF307" i="11"/>
  <c r="AD307" i="11"/>
  <c r="R307" i="11"/>
  <c r="X307" i="11" s="1"/>
  <c r="AG307" i="11" s="1"/>
  <c r="AK307" i="11" s="1"/>
  <c r="AF306" i="11"/>
  <c r="AD306" i="11"/>
  <c r="X306" i="11"/>
  <c r="AG306" i="11" s="1"/>
  <c r="AK306" i="11" s="1"/>
  <c r="R306" i="11"/>
  <c r="AF305" i="11"/>
  <c r="AD305" i="11"/>
  <c r="R305" i="11"/>
  <c r="X305" i="11" s="1"/>
  <c r="AG305" i="11" s="1"/>
  <c r="AK305" i="11" s="1"/>
  <c r="AF304" i="11"/>
  <c r="AD304" i="11"/>
  <c r="X304" i="11"/>
  <c r="AG304" i="11" s="1"/>
  <c r="AK304" i="11" s="1"/>
  <c r="R304" i="11"/>
  <c r="AJ303" i="11"/>
  <c r="R303" i="11"/>
  <c r="X303" i="11" s="1"/>
  <c r="AG303" i="11" s="1"/>
  <c r="AK303" i="11" s="1"/>
  <c r="AJ302" i="11"/>
  <c r="X302" i="11"/>
  <c r="AG302" i="11" s="1"/>
  <c r="AK302" i="11" s="1"/>
  <c r="R302" i="11"/>
  <c r="AJ301" i="11"/>
  <c r="R301" i="11"/>
  <c r="X301" i="11" s="1"/>
  <c r="AG301" i="11" s="1"/>
  <c r="AK301" i="11" s="1"/>
  <c r="AF300" i="11"/>
  <c r="AD300" i="11"/>
  <c r="X300" i="11"/>
  <c r="AG300" i="11" s="1"/>
  <c r="AK300" i="11" s="1"/>
  <c r="R300" i="11"/>
  <c r="AF299" i="11"/>
  <c r="AE299" i="11"/>
  <c r="AD299" i="11"/>
  <c r="R299" i="11"/>
  <c r="X299" i="11" s="1"/>
  <c r="AG299" i="11" s="1"/>
  <c r="AK299" i="11" s="1"/>
  <c r="AG298" i="11"/>
  <c r="AK298" i="11" s="1"/>
  <c r="AF298" i="11"/>
  <c r="AD298" i="11"/>
  <c r="X298" i="11"/>
  <c r="R298" i="11"/>
  <c r="AF297" i="11"/>
  <c r="AD297" i="11"/>
  <c r="R297" i="11"/>
  <c r="X297" i="11" s="1"/>
  <c r="AG297" i="11" s="1"/>
  <c r="AK297" i="11" s="1"/>
  <c r="AG296" i="11"/>
  <c r="AK296" i="11" s="1"/>
  <c r="AF296" i="11"/>
  <c r="AD296" i="11"/>
  <c r="X296" i="11"/>
  <c r="R296" i="11"/>
  <c r="AF295" i="11"/>
  <c r="AD295" i="11"/>
  <c r="R295" i="11"/>
  <c r="X295" i="11" s="1"/>
  <c r="AG295" i="11" s="1"/>
  <c r="AK295" i="11" s="1"/>
  <c r="AG294" i="11"/>
  <c r="AK294" i="11" s="1"/>
  <c r="AF294" i="11"/>
  <c r="AD294" i="11"/>
  <c r="X294" i="11"/>
  <c r="R294" i="11"/>
  <c r="AF293" i="11"/>
  <c r="AE293" i="11"/>
  <c r="AD293" i="11"/>
  <c r="R293" i="11"/>
  <c r="X293" i="11" s="1"/>
  <c r="AG293" i="11" s="1"/>
  <c r="AK293" i="11" s="1"/>
  <c r="AF292" i="11"/>
  <c r="AD292" i="11"/>
  <c r="Y292" i="11"/>
  <c r="Z292" i="11" s="1"/>
  <c r="AB292" i="11" s="1"/>
  <c r="AJ292" i="11" s="1"/>
  <c r="X292" i="11"/>
  <c r="AG292" i="11" s="1"/>
  <c r="AK292" i="11" s="1"/>
  <c r="R292" i="11"/>
  <c r="AF291" i="11"/>
  <c r="AD291" i="11"/>
  <c r="R291" i="11"/>
  <c r="X291" i="11" s="1"/>
  <c r="AG291" i="11" s="1"/>
  <c r="AK291" i="11" s="1"/>
  <c r="AK290" i="11"/>
  <c r="AF290" i="11"/>
  <c r="AD290" i="11"/>
  <c r="AB290" i="11"/>
  <c r="AJ290" i="11" s="1"/>
  <c r="Y290" i="11"/>
  <c r="Z290" i="11" s="1"/>
  <c r="X290" i="11"/>
  <c r="AG290" i="11" s="1"/>
  <c r="R290" i="11"/>
  <c r="AF289" i="11"/>
  <c r="AD289" i="11"/>
  <c r="R289" i="11"/>
  <c r="X289" i="11" s="1"/>
  <c r="AG289" i="11" s="1"/>
  <c r="AK289" i="11" s="1"/>
  <c r="AK288" i="11"/>
  <c r="AF288" i="11"/>
  <c r="AD288" i="11"/>
  <c r="X288" i="11"/>
  <c r="AG288" i="11" s="1"/>
  <c r="R288" i="11"/>
  <c r="AF287" i="11"/>
  <c r="AD287" i="11"/>
  <c r="R287" i="11"/>
  <c r="X287" i="11" s="1"/>
  <c r="AG287" i="11" s="1"/>
  <c r="AK287" i="11" s="1"/>
  <c r="AG286" i="11"/>
  <c r="AK286" i="11" s="1"/>
  <c r="AF286" i="11"/>
  <c r="AD286" i="11"/>
  <c r="Y286" i="11"/>
  <c r="Z286" i="11" s="1"/>
  <c r="AB286" i="11" s="1"/>
  <c r="AJ286" i="11" s="1"/>
  <c r="X286" i="11"/>
  <c r="R286" i="11"/>
  <c r="AF285" i="11"/>
  <c r="AD285" i="11"/>
  <c r="R285" i="11"/>
  <c r="X285" i="11" s="1"/>
  <c r="AG285" i="11" s="1"/>
  <c r="AK285" i="11" s="1"/>
  <c r="AF284" i="11"/>
  <c r="AD284" i="11"/>
  <c r="X284" i="11"/>
  <c r="AG284" i="11" s="1"/>
  <c r="AK284" i="11" s="1"/>
  <c r="R284" i="11"/>
  <c r="AF283" i="11"/>
  <c r="AE283" i="11"/>
  <c r="AD283" i="11"/>
  <c r="R283" i="11"/>
  <c r="X283" i="11" s="1"/>
  <c r="AG283" i="11" s="1"/>
  <c r="AK283" i="11" s="1"/>
  <c r="AG282" i="11"/>
  <c r="AK282" i="11" s="1"/>
  <c r="AF282" i="11"/>
  <c r="AD282" i="11"/>
  <c r="X282" i="11"/>
  <c r="R282" i="11"/>
  <c r="AF281" i="11"/>
  <c r="AE281" i="11"/>
  <c r="AD281" i="11"/>
  <c r="R281" i="11"/>
  <c r="X281" i="11" s="1"/>
  <c r="AG281" i="11" s="1"/>
  <c r="AK281" i="11" s="1"/>
  <c r="AG280" i="11"/>
  <c r="AK280" i="11" s="1"/>
  <c r="AF280" i="11"/>
  <c r="AD280" i="11"/>
  <c r="X280" i="11"/>
  <c r="R280" i="11"/>
  <c r="AF279" i="11"/>
  <c r="AD279" i="11"/>
  <c r="AC279" i="11"/>
  <c r="R279" i="11"/>
  <c r="X279" i="11" s="1"/>
  <c r="AG279" i="11" s="1"/>
  <c r="AK279" i="11" s="1"/>
  <c r="AG278" i="11"/>
  <c r="AK278" i="11" s="1"/>
  <c r="AF278" i="11"/>
  <c r="AD278" i="11"/>
  <c r="X278" i="11"/>
  <c r="R278" i="11"/>
  <c r="AJ277" i="11"/>
  <c r="AC277" i="11"/>
  <c r="AD277" i="11" s="1"/>
  <c r="R277" i="11"/>
  <c r="X277" i="11" s="1"/>
  <c r="AG277" i="11" s="1"/>
  <c r="AK277" i="11" s="1"/>
  <c r="AJ276" i="11"/>
  <c r="Y276" i="11"/>
  <c r="Z276" i="11" s="1"/>
  <c r="AB276" i="11" s="1"/>
  <c r="X276" i="11"/>
  <c r="AG276" i="11" s="1"/>
  <c r="AK276" i="11" s="1"/>
  <c r="R276" i="11"/>
  <c r="AJ275" i="11"/>
  <c r="R275" i="11"/>
  <c r="X275" i="11" s="1"/>
  <c r="AG275" i="11" s="1"/>
  <c r="AK275" i="11" s="1"/>
  <c r="AK274" i="11"/>
  <c r="AJ274" i="11"/>
  <c r="Y274" i="11"/>
  <c r="Z274" i="11" s="1"/>
  <c r="AB274" i="11" s="1"/>
  <c r="X274" i="11"/>
  <c r="AG274" i="11" s="1"/>
  <c r="R274" i="11"/>
  <c r="AF273" i="11"/>
  <c r="AD273" i="11"/>
  <c r="R273" i="11"/>
  <c r="X273" i="11" s="1"/>
  <c r="AG272" i="11"/>
  <c r="AK272" i="11" s="1"/>
  <c r="AF272" i="11"/>
  <c r="AD272" i="11"/>
  <c r="X272" i="11"/>
  <c r="R272" i="11"/>
  <c r="AF271" i="11"/>
  <c r="AE271" i="11"/>
  <c r="AD271" i="11"/>
  <c r="R271" i="11"/>
  <c r="X271" i="11" s="1"/>
  <c r="AG270" i="11"/>
  <c r="AK270" i="11" s="1"/>
  <c r="AF270" i="11"/>
  <c r="AD270" i="11"/>
  <c r="X270" i="11"/>
  <c r="R270" i="11"/>
  <c r="AF269" i="11"/>
  <c r="AE269" i="11"/>
  <c r="AD269" i="11"/>
  <c r="R269" i="11"/>
  <c r="X269" i="11" s="1"/>
  <c r="AG268" i="11"/>
  <c r="AK268" i="11" s="1"/>
  <c r="AF268" i="11"/>
  <c r="AD268" i="11"/>
  <c r="X268" i="11"/>
  <c r="R268" i="11"/>
  <c r="AF267" i="11"/>
  <c r="AD267" i="11"/>
  <c r="R267" i="11"/>
  <c r="X267" i="11" s="1"/>
  <c r="AG266" i="11"/>
  <c r="AK266" i="11" s="1"/>
  <c r="AF266" i="11"/>
  <c r="AD266" i="11"/>
  <c r="X266" i="11"/>
  <c r="R266" i="11"/>
  <c r="AF265" i="11"/>
  <c r="AE265" i="11"/>
  <c r="AD265" i="11"/>
  <c r="AC265" i="11"/>
  <c r="R265" i="11"/>
  <c r="X265" i="11" s="1"/>
  <c r="AF264" i="11"/>
  <c r="AD264" i="11"/>
  <c r="Z264" i="11"/>
  <c r="AB264" i="11" s="1"/>
  <c r="AJ264" i="11" s="1"/>
  <c r="Y264" i="11"/>
  <c r="X264" i="11"/>
  <c r="AG264" i="11" s="1"/>
  <c r="AK264" i="11" s="1"/>
  <c r="R264" i="11"/>
  <c r="AF263" i="11"/>
  <c r="AD263" i="11"/>
  <c r="R263" i="11"/>
  <c r="X263" i="11" s="1"/>
  <c r="AF262" i="11"/>
  <c r="AD262" i="11"/>
  <c r="Y262" i="11"/>
  <c r="X262" i="11"/>
  <c r="R262" i="11"/>
  <c r="AF261" i="11"/>
  <c r="AD261" i="11"/>
  <c r="R261" i="11"/>
  <c r="X261" i="11" s="1"/>
  <c r="AK260" i="11"/>
  <c r="AF260" i="11"/>
  <c r="AD260" i="11"/>
  <c r="X260" i="11"/>
  <c r="AG260" i="11" s="1"/>
  <c r="R260" i="11"/>
  <c r="AF259" i="11"/>
  <c r="AD259" i="11"/>
  <c r="R259" i="11"/>
  <c r="X259" i="11" s="1"/>
  <c r="AG258" i="11"/>
  <c r="AK258" i="11" s="1"/>
  <c r="AF258" i="11"/>
  <c r="AD258" i="11"/>
  <c r="X258" i="11"/>
  <c r="R258" i="11"/>
  <c r="AF257" i="11"/>
  <c r="AD257" i="11"/>
  <c r="R257" i="11"/>
  <c r="X257" i="11" s="1"/>
  <c r="AF256" i="11"/>
  <c r="AD256" i="11"/>
  <c r="X256" i="11"/>
  <c r="R256" i="11"/>
  <c r="AF255" i="11"/>
  <c r="AE255" i="11"/>
  <c r="AD255" i="11"/>
  <c r="R255" i="11"/>
  <c r="X255" i="11" s="1"/>
  <c r="AG254" i="11"/>
  <c r="AK254" i="11" s="1"/>
  <c r="AF254" i="11"/>
  <c r="AD254" i="11"/>
  <c r="X254" i="11"/>
  <c r="R254" i="11"/>
  <c r="AJ253" i="11"/>
  <c r="AE253" i="11"/>
  <c r="AF253" i="11" s="1"/>
  <c r="R253" i="11"/>
  <c r="X253" i="11" s="1"/>
  <c r="AG253" i="11" s="1"/>
  <c r="AK253" i="11" s="1"/>
  <c r="AJ252" i="11"/>
  <c r="AG252" i="11"/>
  <c r="AK252" i="11" s="1"/>
  <c r="X252" i="11"/>
  <c r="R252" i="11"/>
  <c r="AJ251" i="11"/>
  <c r="R251" i="11"/>
  <c r="X251" i="11" s="1"/>
  <c r="AG250" i="11"/>
  <c r="AK250" i="11" s="1"/>
  <c r="AF250" i="11"/>
  <c r="AD250" i="11"/>
  <c r="X250" i="11"/>
  <c r="R250" i="11"/>
  <c r="AF249" i="11"/>
  <c r="AE249" i="11"/>
  <c r="AD249" i="11"/>
  <c r="R249" i="11"/>
  <c r="X249" i="11" s="1"/>
  <c r="AF248" i="11"/>
  <c r="AD248" i="11"/>
  <c r="Y248" i="11"/>
  <c r="Z248" i="11" s="1"/>
  <c r="AB248" i="11" s="1"/>
  <c r="AJ248" i="11" s="1"/>
  <c r="X248" i="11"/>
  <c r="AG248" i="11" s="1"/>
  <c r="AK248" i="11" s="1"/>
  <c r="R248" i="11"/>
  <c r="AF247" i="11"/>
  <c r="AD247" i="11"/>
  <c r="R247" i="11"/>
  <c r="X247" i="11" s="1"/>
  <c r="AF246" i="11"/>
  <c r="AD246" i="11"/>
  <c r="Y246" i="11"/>
  <c r="X246" i="11"/>
  <c r="R246" i="11"/>
  <c r="AF245" i="11"/>
  <c r="AD245" i="11"/>
  <c r="R245" i="11"/>
  <c r="X245" i="11" s="1"/>
  <c r="AF244" i="11"/>
  <c r="AD244" i="11"/>
  <c r="X244" i="11"/>
  <c r="R244" i="11"/>
  <c r="AF243" i="11"/>
  <c r="AD243" i="11"/>
  <c r="R243" i="11"/>
  <c r="X243" i="11" s="1"/>
  <c r="AG242" i="11"/>
  <c r="AK242" i="11" s="1"/>
  <c r="AF242" i="11"/>
  <c r="AD242" i="11"/>
  <c r="Y242" i="11"/>
  <c r="X242" i="11"/>
  <c r="Z242" i="11" s="1"/>
  <c r="AB242" i="11" s="1"/>
  <c r="AJ242" i="11" s="1"/>
  <c r="R242" i="11"/>
  <c r="AF241" i="11"/>
  <c r="AD241" i="11"/>
  <c r="R241" i="11"/>
  <c r="X241" i="11" s="1"/>
  <c r="AF240" i="11"/>
  <c r="AD240" i="11"/>
  <c r="X240" i="11"/>
  <c r="R240" i="11"/>
  <c r="AF239" i="11"/>
  <c r="AE239" i="11"/>
  <c r="AD239" i="11"/>
  <c r="R239" i="11"/>
  <c r="X239" i="11" s="1"/>
  <c r="AG238" i="11"/>
  <c r="AK238" i="11" s="1"/>
  <c r="AF238" i="11"/>
  <c r="AD238" i="11"/>
  <c r="X238" i="11"/>
  <c r="R238" i="11"/>
  <c r="AF237" i="11"/>
  <c r="AE237" i="11"/>
  <c r="AD237" i="11"/>
  <c r="R237" i="11"/>
  <c r="X237" i="11" s="1"/>
  <c r="AG236" i="11"/>
  <c r="AK236" i="11" s="1"/>
  <c r="AF236" i="11"/>
  <c r="AD236" i="11"/>
  <c r="X236" i="11"/>
  <c r="R236" i="11"/>
  <c r="AF235" i="11"/>
  <c r="AD235" i="11"/>
  <c r="AC235" i="11"/>
  <c r="R235" i="11"/>
  <c r="X235" i="11" s="1"/>
  <c r="AG234" i="11"/>
  <c r="AK234" i="11" s="1"/>
  <c r="AF234" i="11"/>
  <c r="AD234" i="11"/>
  <c r="X234" i="11"/>
  <c r="R234" i="11"/>
  <c r="AF233" i="11"/>
  <c r="AE233" i="11"/>
  <c r="AD233" i="11"/>
  <c r="R233" i="11"/>
  <c r="X233" i="11" s="1"/>
  <c r="AF232" i="11"/>
  <c r="AD232" i="11"/>
  <c r="X232" i="11"/>
  <c r="AG232" i="11" s="1"/>
  <c r="AK232" i="11" s="1"/>
  <c r="R232" i="11"/>
  <c r="AF231" i="11"/>
  <c r="AD231" i="11"/>
  <c r="R231" i="11"/>
  <c r="X231" i="11" s="1"/>
  <c r="AF230" i="11"/>
  <c r="AD230" i="11"/>
  <c r="X230" i="11"/>
  <c r="R230" i="11"/>
  <c r="AJ229" i="11"/>
  <c r="R229" i="11"/>
  <c r="X229" i="11" s="1"/>
  <c r="AG229" i="11" s="1"/>
  <c r="AK229" i="11" s="1"/>
  <c r="AK228" i="11"/>
  <c r="AJ228" i="11"/>
  <c r="X228" i="11"/>
  <c r="AG228" i="11" s="1"/>
  <c r="R228" i="11"/>
  <c r="AJ227" i="11"/>
  <c r="R227" i="11"/>
  <c r="X227" i="11" s="1"/>
  <c r="AG226" i="11"/>
  <c r="AK226" i="11" s="1"/>
  <c r="AF226" i="11"/>
  <c r="AD226" i="11"/>
  <c r="X226" i="11"/>
  <c r="R226" i="11"/>
  <c r="AF225" i="11"/>
  <c r="AD225" i="11"/>
  <c r="R225" i="11"/>
  <c r="X225" i="11" s="1"/>
  <c r="AF224" i="11"/>
  <c r="AD224" i="11"/>
  <c r="X224" i="11"/>
  <c r="R224" i="11"/>
  <c r="AF223" i="11"/>
  <c r="AE223" i="11"/>
  <c r="AD223" i="11"/>
  <c r="R223" i="11"/>
  <c r="X223" i="11" s="1"/>
  <c r="AG222" i="11"/>
  <c r="AK222" i="11" s="1"/>
  <c r="AF222" i="11"/>
  <c r="AD222" i="11"/>
  <c r="X222" i="11"/>
  <c r="R222" i="11"/>
  <c r="AF221" i="11"/>
  <c r="AE221" i="11"/>
  <c r="AD221" i="11"/>
  <c r="R221" i="11"/>
  <c r="X221" i="11" s="1"/>
  <c r="AG220" i="11"/>
  <c r="AK220" i="11" s="1"/>
  <c r="AF220" i="11"/>
  <c r="AD220" i="11"/>
  <c r="X220" i="11"/>
  <c r="R220" i="11"/>
  <c r="AF219" i="11"/>
  <c r="AD219" i="11"/>
  <c r="R219" i="11"/>
  <c r="X219" i="11" s="1"/>
  <c r="AG219" i="11" s="1"/>
  <c r="AK219" i="11" s="1"/>
  <c r="AG218" i="11"/>
  <c r="AK218" i="11" s="1"/>
  <c r="AF218" i="11"/>
  <c r="AD218" i="11"/>
  <c r="X218" i="11"/>
  <c r="R218" i="11"/>
  <c r="AF217" i="11"/>
  <c r="AE217" i="11"/>
  <c r="AD217" i="11"/>
  <c r="R217" i="11"/>
  <c r="X217" i="11" s="1"/>
  <c r="AF216" i="11"/>
  <c r="AD216" i="11"/>
  <c r="Y216" i="11"/>
  <c r="Z216" i="11" s="1"/>
  <c r="AB216" i="11" s="1"/>
  <c r="AJ216" i="11" s="1"/>
  <c r="X216" i="11"/>
  <c r="AG216" i="11" s="1"/>
  <c r="AK216" i="11" s="1"/>
  <c r="R216" i="11"/>
  <c r="AF215" i="11"/>
  <c r="AD215" i="11"/>
  <c r="R215" i="11"/>
  <c r="X215" i="11" s="1"/>
  <c r="AF214" i="11"/>
  <c r="AD214" i="11"/>
  <c r="Y214" i="11"/>
  <c r="X214" i="11"/>
  <c r="R214" i="11"/>
  <c r="AF213" i="11"/>
  <c r="AD213" i="11"/>
  <c r="R213" i="11"/>
  <c r="X213" i="11" s="1"/>
  <c r="AF212" i="11"/>
  <c r="AD212" i="11"/>
  <c r="X212" i="11"/>
  <c r="R212" i="11"/>
  <c r="AF211" i="11"/>
  <c r="AD211" i="11"/>
  <c r="R211" i="11"/>
  <c r="X211" i="11" s="1"/>
  <c r="AG210" i="11"/>
  <c r="AK210" i="11" s="1"/>
  <c r="AF210" i="11"/>
  <c r="AD210" i="11"/>
  <c r="Y210" i="11"/>
  <c r="X210" i="11"/>
  <c r="Z210" i="11" s="1"/>
  <c r="AB210" i="11" s="1"/>
  <c r="AJ210" i="11" s="1"/>
  <c r="R210" i="11"/>
  <c r="AF209" i="11"/>
  <c r="AD209" i="11"/>
  <c r="R209" i="11"/>
  <c r="X209" i="11" s="1"/>
  <c r="AF208" i="11"/>
  <c r="AD208" i="11"/>
  <c r="X208" i="11"/>
  <c r="AG208" i="11" s="1"/>
  <c r="AK208" i="11" s="1"/>
  <c r="R208" i="11"/>
  <c r="AF207" i="11"/>
  <c r="AE207" i="11"/>
  <c r="AD207" i="11"/>
  <c r="R207" i="11"/>
  <c r="X207" i="11" s="1"/>
  <c r="AG206" i="11"/>
  <c r="AK206" i="11" s="1"/>
  <c r="AF206" i="11"/>
  <c r="AD206" i="11"/>
  <c r="X206" i="11"/>
  <c r="R206" i="11"/>
  <c r="AF205" i="11"/>
  <c r="AE205" i="11"/>
  <c r="AD205" i="11"/>
  <c r="R205" i="11"/>
  <c r="X205" i="11" s="1"/>
  <c r="AG204" i="11"/>
  <c r="AK204" i="11" s="1"/>
  <c r="AF204" i="11"/>
  <c r="AD204" i="11"/>
  <c r="X204" i="11"/>
  <c r="R204" i="11"/>
  <c r="AF203" i="11"/>
  <c r="AE203" i="11"/>
  <c r="AD203" i="11"/>
  <c r="R203" i="11"/>
  <c r="X203" i="11" s="1"/>
  <c r="AG202" i="11"/>
  <c r="AK202" i="11" s="1"/>
  <c r="AF202" i="11"/>
  <c r="AD202" i="11"/>
  <c r="X202" i="11"/>
  <c r="R202" i="11"/>
  <c r="AF201" i="11"/>
  <c r="AE201" i="11"/>
  <c r="AD201" i="11"/>
  <c r="AC201" i="11"/>
  <c r="R201" i="11"/>
  <c r="X201" i="11" s="1"/>
  <c r="AJ200" i="11"/>
  <c r="Y200" i="11"/>
  <c r="Z200" i="11" s="1"/>
  <c r="AB200" i="11" s="1"/>
  <c r="X200" i="11"/>
  <c r="R200" i="11"/>
  <c r="AJ199" i="11"/>
  <c r="AC199" i="11"/>
  <c r="R199" i="11"/>
  <c r="X199" i="11" s="1"/>
  <c r="AK198" i="11"/>
  <c r="AF198" i="11"/>
  <c r="AD198" i="11"/>
  <c r="X198" i="11"/>
  <c r="AG198" i="11" s="1"/>
  <c r="R198" i="11"/>
  <c r="AF197" i="11"/>
  <c r="AD197" i="11"/>
  <c r="R197" i="11"/>
  <c r="X197" i="11" s="1"/>
  <c r="AG197" i="11" s="1"/>
  <c r="AK197" i="11" s="1"/>
  <c r="AF196" i="11"/>
  <c r="AD196" i="11"/>
  <c r="X196" i="11"/>
  <c r="AG196" i="11" s="1"/>
  <c r="AK196" i="11" s="1"/>
  <c r="R196" i="11"/>
  <c r="AF195" i="11"/>
  <c r="AD195" i="11"/>
  <c r="R195" i="11"/>
  <c r="X195" i="11" s="1"/>
  <c r="AG195" i="11" s="1"/>
  <c r="AK195" i="11" s="1"/>
  <c r="AG194" i="11"/>
  <c r="AK194" i="11" s="1"/>
  <c r="AF194" i="11"/>
  <c r="AD194" i="11"/>
  <c r="X194" i="11"/>
  <c r="R194" i="11"/>
  <c r="AF193" i="11"/>
  <c r="AE193" i="11"/>
  <c r="AD193" i="11"/>
  <c r="R193" i="11"/>
  <c r="X193" i="11" s="1"/>
  <c r="AG193" i="11" s="1"/>
  <c r="AK193" i="11" s="1"/>
  <c r="AG192" i="11"/>
  <c r="AK192" i="11" s="1"/>
  <c r="AF192" i="11"/>
  <c r="AD192" i="11"/>
  <c r="X192" i="11"/>
  <c r="R192" i="11"/>
  <c r="AF191" i="11"/>
  <c r="AE191" i="11"/>
  <c r="AD191" i="11"/>
  <c r="R191" i="11"/>
  <c r="X191" i="11" s="1"/>
  <c r="AG190" i="11"/>
  <c r="AK190" i="11" s="1"/>
  <c r="AF190" i="11"/>
  <c r="AD190" i="11"/>
  <c r="X190" i="11"/>
  <c r="R190" i="11"/>
  <c r="AF189" i="11"/>
  <c r="AE189" i="11"/>
  <c r="AD189" i="11"/>
  <c r="R189" i="11"/>
  <c r="X189" i="11" s="1"/>
  <c r="AG189" i="11" s="1"/>
  <c r="AK189" i="11" s="1"/>
  <c r="AG188" i="11"/>
  <c r="AK188" i="11" s="1"/>
  <c r="AF188" i="11"/>
  <c r="AD188" i="11"/>
  <c r="X188" i="11"/>
  <c r="R188" i="11"/>
  <c r="AF187" i="11"/>
  <c r="AE187" i="11"/>
  <c r="AD187" i="11"/>
  <c r="R187" i="11"/>
  <c r="X187" i="11" s="1"/>
  <c r="AG187" i="11" s="1"/>
  <c r="AK187" i="11" s="1"/>
  <c r="AF186" i="11"/>
  <c r="AD186" i="11"/>
  <c r="Y186" i="11"/>
  <c r="Z186" i="11" s="1"/>
  <c r="AB186" i="11" s="1"/>
  <c r="AJ186" i="11" s="1"/>
  <c r="X186" i="11"/>
  <c r="AG186" i="11" s="1"/>
  <c r="AK186" i="11" s="1"/>
  <c r="R186" i="11"/>
  <c r="AF185" i="11"/>
  <c r="AD185" i="11"/>
  <c r="R185" i="11"/>
  <c r="X185" i="11" s="1"/>
  <c r="AG185" i="11" s="1"/>
  <c r="AK185" i="11" s="1"/>
  <c r="AK184" i="11"/>
  <c r="AF184" i="11"/>
  <c r="AD184" i="11"/>
  <c r="Z184" i="11"/>
  <c r="AB184" i="11" s="1"/>
  <c r="AJ184" i="11" s="1"/>
  <c r="Y184" i="11"/>
  <c r="X184" i="11"/>
  <c r="AG184" i="11" s="1"/>
  <c r="R184" i="11"/>
  <c r="AF183" i="11"/>
  <c r="AD183" i="11"/>
  <c r="R183" i="11"/>
  <c r="X183" i="11" s="1"/>
  <c r="AG183" i="11" s="1"/>
  <c r="AK183" i="11" s="1"/>
  <c r="AK182" i="11"/>
  <c r="AF182" i="11"/>
  <c r="AD182" i="11"/>
  <c r="X182" i="11"/>
  <c r="AG182" i="11" s="1"/>
  <c r="R182" i="11"/>
  <c r="AF181" i="11"/>
  <c r="AD181" i="11"/>
  <c r="R181" i="11"/>
  <c r="X181" i="11" s="1"/>
  <c r="AG181" i="11" s="1"/>
  <c r="AK181" i="11" s="1"/>
  <c r="AG180" i="11"/>
  <c r="AK180" i="11" s="1"/>
  <c r="AF180" i="11"/>
  <c r="AD180" i="11"/>
  <c r="X180" i="11"/>
  <c r="R180" i="11"/>
  <c r="AF179" i="11"/>
  <c r="AD179" i="11"/>
  <c r="R179" i="11"/>
  <c r="X179" i="11" s="1"/>
  <c r="AG179" i="11" s="1"/>
  <c r="AK179" i="11" s="1"/>
  <c r="AG178" i="11"/>
  <c r="AK178" i="11" s="1"/>
  <c r="AF178" i="11"/>
  <c r="AD178" i="11"/>
  <c r="X178" i="11"/>
  <c r="R178" i="11"/>
  <c r="AF177" i="11"/>
  <c r="AE177" i="11"/>
  <c r="AD177" i="11"/>
  <c r="R177" i="11"/>
  <c r="X177" i="11" s="1"/>
  <c r="AG177" i="11" s="1"/>
  <c r="AK177" i="11" s="1"/>
  <c r="AG176" i="11"/>
  <c r="AK176" i="11" s="1"/>
  <c r="AF176" i="11"/>
  <c r="AD176" i="11"/>
  <c r="X176" i="11"/>
  <c r="R176" i="11"/>
  <c r="AF175" i="11"/>
  <c r="AE175" i="11"/>
  <c r="AD175" i="11"/>
  <c r="R175" i="11"/>
  <c r="X175" i="11" s="1"/>
  <c r="AG175" i="11" s="1"/>
  <c r="AK175" i="11" s="1"/>
  <c r="AG174" i="11"/>
  <c r="AK174" i="11" s="1"/>
  <c r="AF174" i="11"/>
  <c r="AD174" i="11"/>
  <c r="X174" i="11"/>
  <c r="R174" i="11"/>
  <c r="AJ173" i="11"/>
  <c r="AE173" i="11"/>
  <c r="AF173" i="11" s="1"/>
  <c r="R173" i="11"/>
  <c r="X173" i="11" s="1"/>
  <c r="AG173" i="11" s="1"/>
  <c r="AK173" i="11" s="1"/>
  <c r="AJ172" i="11"/>
  <c r="AG172" i="11"/>
  <c r="AK172" i="11" s="1"/>
  <c r="X172" i="11"/>
  <c r="R172" i="11"/>
  <c r="AF171" i="11"/>
  <c r="AD171" i="11"/>
  <c r="R171" i="11"/>
  <c r="X171" i="11" s="1"/>
  <c r="AG171" i="11" s="1"/>
  <c r="AK171" i="11" s="1"/>
  <c r="AK170" i="11"/>
  <c r="AF170" i="11"/>
  <c r="AD170" i="11"/>
  <c r="X170" i="11"/>
  <c r="AG170" i="11" s="1"/>
  <c r="R170" i="11"/>
  <c r="AF169" i="11"/>
  <c r="AD169" i="11"/>
  <c r="R169" i="11"/>
  <c r="X169" i="11" s="1"/>
  <c r="AK168" i="11"/>
  <c r="AF168" i="11"/>
  <c r="AD168" i="11"/>
  <c r="X168" i="11"/>
  <c r="AG168" i="11" s="1"/>
  <c r="R168" i="11"/>
  <c r="AF167" i="11"/>
  <c r="AD167" i="11"/>
  <c r="R167" i="11"/>
  <c r="X167" i="11" s="1"/>
  <c r="AG167" i="11" s="1"/>
  <c r="AK167" i="11" s="1"/>
  <c r="AF166" i="11"/>
  <c r="AD166" i="11"/>
  <c r="X166" i="11"/>
  <c r="R166" i="11"/>
  <c r="AF165" i="11"/>
  <c r="AD165" i="11"/>
  <c r="R165" i="11"/>
  <c r="X165" i="11" s="1"/>
  <c r="AG165" i="11" s="1"/>
  <c r="AK165" i="11" s="1"/>
  <c r="AF164" i="11"/>
  <c r="AD164" i="11"/>
  <c r="X164" i="11"/>
  <c r="R164" i="11"/>
  <c r="AF163" i="11"/>
  <c r="AE163" i="11"/>
  <c r="AD163" i="11"/>
  <c r="R163" i="11"/>
  <c r="X163" i="11" s="1"/>
  <c r="AG162" i="11"/>
  <c r="AK162" i="11" s="1"/>
  <c r="AF162" i="11"/>
  <c r="AD162" i="11"/>
  <c r="X162" i="11"/>
  <c r="R162" i="11"/>
  <c r="AF161" i="11"/>
  <c r="AE161" i="11"/>
  <c r="AD161" i="11"/>
  <c r="R161" i="11"/>
  <c r="X161" i="11" s="1"/>
  <c r="AG160" i="11"/>
  <c r="AK160" i="11" s="1"/>
  <c r="AF160" i="11"/>
  <c r="AD160" i="11"/>
  <c r="X160" i="11"/>
  <c r="R160" i="11"/>
  <c r="AF159" i="11"/>
  <c r="AE159" i="11"/>
  <c r="AD159" i="11"/>
  <c r="R159" i="11"/>
  <c r="X159" i="11" s="1"/>
  <c r="AG158" i="11"/>
  <c r="AK158" i="11" s="1"/>
  <c r="AF158" i="11"/>
  <c r="AD158" i="11"/>
  <c r="X158" i="11"/>
  <c r="R158" i="11"/>
  <c r="AF157" i="11"/>
  <c r="AE157" i="11"/>
  <c r="AD157" i="11"/>
  <c r="AC157" i="11"/>
  <c r="R157" i="11"/>
  <c r="X157" i="11" s="1"/>
  <c r="AF156" i="11"/>
  <c r="AD156" i="11"/>
  <c r="AB156" i="11"/>
  <c r="AJ156" i="11" s="1"/>
  <c r="Y156" i="11"/>
  <c r="Z156" i="11" s="1"/>
  <c r="X156" i="11"/>
  <c r="AG156" i="11" s="1"/>
  <c r="AK156" i="11" s="1"/>
  <c r="R156" i="11"/>
  <c r="AF155" i="11"/>
  <c r="AD155" i="11"/>
  <c r="R155" i="11"/>
  <c r="X155" i="11" s="1"/>
  <c r="AF154" i="11"/>
  <c r="AD154" i="11"/>
  <c r="Y154" i="11"/>
  <c r="X154" i="11"/>
  <c r="R154" i="11"/>
  <c r="AF153" i="11"/>
  <c r="AD153" i="11"/>
  <c r="R153" i="11"/>
  <c r="X153" i="11" s="1"/>
  <c r="AG153" i="11" s="1"/>
  <c r="AK153" i="11" s="1"/>
  <c r="AK152" i="11"/>
  <c r="AF152" i="11"/>
  <c r="AD152" i="11"/>
  <c r="X152" i="11"/>
  <c r="AG152" i="11" s="1"/>
  <c r="R152" i="11"/>
  <c r="AF151" i="11"/>
  <c r="AD151" i="11"/>
  <c r="R151" i="11"/>
  <c r="X151" i="11" s="1"/>
  <c r="AF150" i="11"/>
  <c r="AD150" i="11"/>
  <c r="X150" i="11"/>
  <c r="R150" i="11"/>
  <c r="AF149" i="11"/>
  <c r="AD149" i="11"/>
  <c r="R149" i="11"/>
  <c r="X149" i="11" s="1"/>
  <c r="AF148" i="11"/>
  <c r="AD148" i="11"/>
  <c r="X148" i="11"/>
  <c r="R148" i="11"/>
  <c r="AF147" i="11"/>
  <c r="AE147" i="11"/>
  <c r="AD147" i="11"/>
  <c r="R147" i="11"/>
  <c r="X147" i="11" s="1"/>
  <c r="AG146" i="11"/>
  <c r="AK146" i="11" s="1"/>
  <c r="AF146" i="11"/>
  <c r="AD146" i="11"/>
  <c r="X146" i="11"/>
  <c r="R146" i="11"/>
  <c r="AF145" i="11"/>
  <c r="AE145" i="11"/>
  <c r="AD145" i="11"/>
  <c r="R145" i="11"/>
  <c r="X145" i="11" s="1"/>
  <c r="AG144" i="11"/>
  <c r="AK144" i="11" s="1"/>
  <c r="AF144" i="11"/>
  <c r="AD144" i="11"/>
  <c r="X144" i="11"/>
  <c r="R144" i="11"/>
  <c r="AF143" i="11"/>
  <c r="AE143" i="11"/>
  <c r="AD143" i="11"/>
  <c r="R143" i="11"/>
  <c r="X143" i="11" s="1"/>
  <c r="AJ142" i="11"/>
  <c r="AG142" i="11"/>
  <c r="AK142" i="11" s="1"/>
  <c r="Y142" i="11"/>
  <c r="Z142" i="11" s="1"/>
  <c r="AB142" i="11" s="1"/>
  <c r="X142" i="11"/>
  <c r="R142" i="11"/>
  <c r="AJ141" i="11"/>
  <c r="AE141" i="11"/>
  <c r="AF141" i="11" s="1"/>
  <c r="Y141" i="11"/>
  <c r="R141" i="11"/>
  <c r="X141" i="11" s="1"/>
  <c r="AG140" i="11"/>
  <c r="AK140" i="11" s="1"/>
  <c r="AF140" i="11"/>
  <c r="AD140" i="11"/>
  <c r="X140" i="11"/>
  <c r="R140" i="11"/>
  <c r="AF139" i="11"/>
  <c r="AE139" i="11"/>
  <c r="AD139" i="11"/>
  <c r="R139" i="11"/>
  <c r="X139" i="11" s="1"/>
  <c r="AG138" i="11"/>
  <c r="AK138" i="11" s="1"/>
  <c r="AF138" i="11"/>
  <c r="AD138" i="11"/>
  <c r="X138" i="11"/>
  <c r="R138" i="11"/>
  <c r="AF137" i="11"/>
  <c r="AE137" i="11"/>
  <c r="AD137" i="11"/>
  <c r="R137" i="11"/>
  <c r="X137" i="11" s="1"/>
  <c r="AG136" i="11"/>
  <c r="AK136" i="11" s="1"/>
  <c r="AF136" i="11"/>
  <c r="AD136" i="11"/>
  <c r="X136" i="11"/>
  <c r="R136" i="11"/>
  <c r="AF135" i="11"/>
  <c r="AE135" i="11"/>
  <c r="AD135" i="11"/>
  <c r="R135" i="11"/>
  <c r="X135" i="11" s="1"/>
  <c r="AF134" i="11"/>
  <c r="AD134" i="11"/>
  <c r="X134" i="11"/>
  <c r="R134" i="11"/>
  <c r="AF133" i="11"/>
  <c r="AD133" i="11"/>
  <c r="R133" i="11"/>
  <c r="X133" i="11" s="1"/>
  <c r="AJ132" i="11"/>
  <c r="AG132" i="11"/>
  <c r="AK132" i="11" s="1"/>
  <c r="AF132" i="11"/>
  <c r="AD132" i="11"/>
  <c r="Y132" i="11"/>
  <c r="X132" i="11"/>
  <c r="Z132" i="11" s="1"/>
  <c r="AB132" i="11" s="1"/>
  <c r="R132" i="11"/>
  <c r="AF131" i="11"/>
  <c r="AD131" i="11"/>
  <c r="R131" i="11"/>
  <c r="X131" i="11" s="1"/>
  <c r="AK130" i="11"/>
  <c r="AF130" i="11"/>
  <c r="AD130" i="11"/>
  <c r="Y130" i="11"/>
  <c r="Z130" i="11" s="1"/>
  <c r="AB130" i="11" s="1"/>
  <c r="AJ130" i="11" s="1"/>
  <c r="X130" i="11"/>
  <c r="AG130" i="11" s="1"/>
  <c r="R130" i="11"/>
  <c r="AF129" i="11"/>
  <c r="AD129" i="11"/>
  <c r="Y129" i="11"/>
  <c r="R129" i="11"/>
  <c r="X129" i="11" s="1"/>
  <c r="AK128" i="11"/>
  <c r="AF128" i="11"/>
  <c r="AD128" i="11"/>
  <c r="Z128" i="11"/>
  <c r="AB128" i="11" s="1"/>
  <c r="AJ128" i="11" s="1"/>
  <c r="Y128" i="11"/>
  <c r="X128" i="11"/>
  <c r="AG128" i="11" s="1"/>
  <c r="R128" i="11"/>
  <c r="AF127" i="11"/>
  <c r="AD127" i="11"/>
  <c r="Y127" i="11"/>
  <c r="R127" i="11"/>
  <c r="X127" i="11" s="1"/>
  <c r="AF126" i="11"/>
  <c r="AD126" i="11"/>
  <c r="X126" i="11"/>
  <c r="AG126" i="11" s="1"/>
  <c r="AK126" i="11" s="1"/>
  <c r="R126" i="11"/>
  <c r="AF125" i="11"/>
  <c r="AE125" i="11"/>
  <c r="AD125" i="11"/>
  <c r="Y125" i="11"/>
  <c r="R125" i="11"/>
  <c r="X125" i="11" s="1"/>
  <c r="AG124" i="11"/>
  <c r="AK124" i="11" s="1"/>
  <c r="AF124" i="11"/>
  <c r="AD124" i="11"/>
  <c r="X124" i="11"/>
  <c r="R124" i="11"/>
  <c r="AF123" i="11"/>
  <c r="AE123" i="11"/>
  <c r="AD123" i="11"/>
  <c r="R123" i="11"/>
  <c r="X123" i="11" s="1"/>
  <c r="AG122" i="11"/>
  <c r="AK122" i="11" s="1"/>
  <c r="AF122" i="11"/>
  <c r="AD122" i="11"/>
  <c r="X122" i="11"/>
  <c r="R122" i="11"/>
  <c r="AF121" i="11"/>
  <c r="AE121" i="11"/>
  <c r="AD121" i="11"/>
  <c r="R121" i="11"/>
  <c r="X121" i="11" s="1"/>
  <c r="AG121" i="11" s="1"/>
  <c r="AK121" i="11" s="1"/>
  <c r="AG120" i="11"/>
  <c r="AK120" i="11" s="1"/>
  <c r="AF120" i="11"/>
  <c r="AD120" i="11"/>
  <c r="X120" i="11"/>
  <c r="R120" i="11"/>
  <c r="AF119" i="11"/>
  <c r="AE119" i="11"/>
  <c r="AD119" i="11"/>
  <c r="R119" i="11"/>
  <c r="X119" i="11" s="1"/>
  <c r="AG118" i="11"/>
  <c r="AK118" i="11" s="1"/>
  <c r="AF118" i="11"/>
  <c r="AD118" i="11"/>
  <c r="X118" i="11"/>
  <c r="R118" i="11"/>
  <c r="AF117" i="11"/>
  <c r="AD117" i="11"/>
  <c r="R117" i="11"/>
  <c r="X117" i="11" s="1"/>
  <c r="AF116" i="11"/>
  <c r="AD116" i="11"/>
  <c r="Y116" i="11"/>
  <c r="X116" i="11"/>
  <c r="R116" i="11"/>
  <c r="AF115" i="11"/>
  <c r="AD115" i="11"/>
  <c r="R115" i="11"/>
  <c r="X115" i="11" s="1"/>
  <c r="AK114" i="11"/>
  <c r="AF114" i="11"/>
  <c r="AD114" i="11"/>
  <c r="X114" i="11"/>
  <c r="AG114" i="11" s="1"/>
  <c r="R114" i="11"/>
  <c r="AF113" i="11"/>
  <c r="AD113" i="11"/>
  <c r="AC113" i="11"/>
  <c r="Y113" i="11"/>
  <c r="R113" i="11"/>
  <c r="X113" i="11" s="1"/>
  <c r="AJ112" i="11"/>
  <c r="Y112" i="11"/>
  <c r="Z112" i="11" s="1"/>
  <c r="AB112" i="11" s="1"/>
  <c r="X112" i="11"/>
  <c r="AG112" i="11" s="1"/>
  <c r="AK112" i="11" s="1"/>
  <c r="R112" i="11"/>
  <c r="AJ111" i="11"/>
  <c r="AC111" i="11"/>
  <c r="AD111" i="11" s="1"/>
  <c r="R111" i="11"/>
  <c r="X111" i="11" s="1"/>
  <c r="AG111" i="11" s="1"/>
  <c r="AK111" i="11" s="1"/>
  <c r="AJ110" i="11"/>
  <c r="Y110" i="11"/>
  <c r="X110" i="11"/>
  <c r="R110" i="11"/>
  <c r="AF109" i="11"/>
  <c r="AD109" i="11"/>
  <c r="Y109" i="11"/>
  <c r="R109" i="11"/>
  <c r="X109" i="11" s="1"/>
  <c r="AF108" i="11"/>
  <c r="AD108" i="11"/>
  <c r="X108" i="11"/>
  <c r="R108" i="11"/>
  <c r="AF107" i="11"/>
  <c r="AD107" i="11"/>
  <c r="AC107" i="11"/>
  <c r="R107" i="11"/>
  <c r="X107" i="11" s="1"/>
  <c r="AF106" i="11"/>
  <c r="AD106" i="11"/>
  <c r="Z106" i="11"/>
  <c r="AB106" i="11" s="1"/>
  <c r="AJ106" i="11" s="1"/>
  <c r="Y106" i="11"/>
  <c r="X106" i="11"/>
  <c r="AG106" i="11" s="1"/>
  <c r="AK106" i="11" s="1"/>
  <c r="R106" i="11"/>
  <c r="AF105" i="11"/>
  <c r="AE105" i="11"/>
  <c r="AD105" i="11"/>
  <c r="Y105" i="11"/>
  <c r="R105" i="11"/>
  <c r="X105" i="11" s="1"/>
  <c r="AG104" i="11"/>
  <c r="AK104" i="11" s="1"/>
  <c r="AF104" i="11"/>
  <c r="AD104" i="11"/>
  <c r="X104" i="11"/>
  <c r="R104" i="11"/>
  <c r="AF103" i="11"/>
  <c r="AE103" i="11"/>
  <c r="AD103" i="11"/>
  <c r="R103" i="11"/>
  <c r="X103" i="11" s="1"/>
  <c r="AG102" i="11"/>
  <c r="AK102" i="11" s="1"/>
  <c r="AF102" i="11"/>
  <c r="AD102" i="11"/>
  <c r="X102" i="11"/>
  <c r="R102" i="11"/>
  <c r="AF101" i="11"/>
  <c r="AE101" i="11"/>
  <c r="AD101" i="11"/>
  <c r="R101" i="11"/>
  <c r="X101" i="11" s="1"/>
  <c r="AG100" i="11"/>
  <c r="AK100" i="11" s="1"/>
  <c r="AF100" i="11"/>
  <c r="AD100" i="11"/>
  <c r="X100" i="11"/>
  <c r="R100" i="11"/>
  <c r="AF99" i="11"/>
  <c r="AE99" i="11"/>
  <c r="AD99" i="11"/>
  <c r="R99" i="11"/>
  <c r="X99" i="11" s="1"/>
  <c r="AF98" i="11"/>
  <c r="AD98" i="11"/>
  <c r="X98" i="11"/>
  <c r="R98" i="11"/>
  <c r="AF97" i="11"/>
  <c r="AD97" i="11"/>
  <c r="R97" i="11"/>
  <c r="X97" i="11" s="1"/>
  <c r="AG96" i="11"/>
  <c r="AK96" i="11" s="1"/>
  <c r="AF96" i="11"/>
  <c r="AD96" i="11"/>
  <c r="Y96" i="11"/>
  <c r="X96" i="11"/>
  <c r="R96" i="11"/>
  <c r="AF95" i="11"/>
  <c r="AD95" i="11"/>
  <c r="Y95" i="11"/>
  <c r="R95" i="11"/>
  <c r="X95" i="11" s="1"/>
  <c r="AF94" i="11"/>
  <c r="AD94" i="11"/>
  <c r="X94" i="11"/>
  <c r="AG94" i="11" s="1"/>
  <c r="AK94" i="11" s="1"/>
  <c r="R94" i="11"/>
  <c r="AF93" i="11"/>
  <c r="AD93" i="11"/>
  <c r="AC93" i="11"/>
  <c r="R93" i="11"/>
  <c r="X93" i="11" s="1"/>
  <c r="AG93" i="11" s="1"/>
  <c r="AK93" i="11" s="1"/>
  <c r="AK92" i="11"/>
  <c r="AF92" i="11"/>
  <c r="AD92" i="11"/>
  <c r="X92" i="11"/>
  <c r="AG92" i="11" s="1"/>
  <c r="R92" i="11"/>
  <c r="AF91" i="11"/>
  <c r="AD91" i="11"/>
  <c r="R91" i="11"/>
  <c r="X91" i="11" s="1"/>
  <c r="AF90" i="11"/>
  <c r="AD90" i="11"/>
  <c r="X90" i="11"/>
  <c r="AG90" i="11" s="1"/>
  <c r="AK90" i="11" s="1"/>
  <c r="R90" i="11"/>
  <c r="AF89" i="11"/>
  <c r="AE89" i="11"/>
  <c r="AD89" i="11"/>
  <c r="R89" i="11"/>
  <c r="X89" i="11" s="1"/>
  <c r="AG88" i="11"/>
  <c r="AK88" i="11" s="1"/>
  <c r="AF88" i="11"/>
  <c r="AD88" i="11"/>
  <c r="X88" i="11"/>
  <c r="R88" i="11"/>
  <c r="AF87" i="11"/>
  <c r="AE87" i="11"/>
  <c r="AD87" i="11"/>
  <c r="R87" i="11"/>
  <c r="X87" i="11" s="1"/>
  <c r="AG86" i="11"/>
  <c r="AK86" i="11" s="1"/>
  <c r="AF86" i="11"/>
  <c r="AD86" i="11"/>
  <c r="X86" i="11"/>
  <c r="R86" i="11"/>
  <c r="AF85" i="11"/>
  <c r="AE85" i="11"/>
  <c r="AD85" i="11"/>
  <c r="R85" i="11"/>
  <c r="X85" i="11" s="1"/>
  <c r="AJ84" i="11"/>
  <c r="AG84" i="11"/>
  <c r="AK84" i="11" s="1"/>
  <c r="X84" i="11"/>
  <c r="R84" i="11"/>
  <c r="AJ83" i="11"/>
  <c r="AE83" i="11"/>
  <c r="AF83" i="11" s="1"/>
  <c r="R83" i="11"/>
  <c r="X83" i="11" s="1"/>
  <c r="AG82" i="11"/>
  <c r="AK82" i="11" s="1"/>
  <c r="AF82" i="11"/>
  <c r="AD82" i="11"/>
  <c r="X82" i="11"/>
  <c r="R82" i="11"/>
  <c r="AF81" i="11"/>
  <c r="AE81" i="11"/>
  <c r="AD81" i="11"/>
  <c r="R81" i="11"/>
  <c r="X81" i="11" s="1"/>
  <c r="AK80" i="11"/>
  <c r="AG80" i="11"/>
  <c r="AF80" i="11"/>
  <c r="AD80" i="11"/>
  <c r="X80" i="11"/>
  <c r="R80" i="11"/>
  <c r="AF79" i="11"/>
  <c r="AD79" i="11"/>
  <c r="R79" i="11"/>
  <c r="X79" i="11" s="1"/>
  <c r="AF78" i="11"/>
  <c r="AD78" i="11"/>
  <c r="Y78" i="11"/>
  <c r="X78" i="11"/>
  <c r="R78" i="11"/>
  <c r="AF77" i="11"/>
  <c r="AD77" i="11"/>
  <c r="Y77" i="11"/>
  <c r="R77" i="11"/>
  <c r="X77" i="11" s="1"/>
  <c r="AF76" i="11"/>
  <c r="AD76" i="11"/>
  <c r="Y76" i="11"/>
  <c r="X76" i="11"/>
  <c r="R76" i="11"/>
  <c r="AF75" i="11"/>
  <c r="AD75" i="11"/>
  <c r="AC75" i="11"/>
  <c r="Y75" i="11"/>
  <c r="R75" i="11"/>
  <c r="X75" i="11" s="1"/>
  <c r="AK74" i="11"/>
  <c r="AF74" i="11"/>
  <c r="AD74" i="11"/>
  <c r="Y74" i="11"/>
  <c r="Z74" i="11" s="1"/>
  <c r="AB74" i="11" s="1"/>
  <c r="AJ74" i="11" s="1"/>
  <c r="X74" i="11"/>
  <c r="AG74" i="11" s="1"/>
  <c r="R74" i="11"/>
  <c r="AF73" i="11"/>
  <c r="AD73" i="11"/>
  <c r="Y73" i="11"/>
  <c r="R73" i="11"/>
  <c r="X73" i="11" s="1"/>
  <c r="AF72" i="11"/>
  <c r="AD72" i="11"/>
  <c r="Y72" i="11"/>
  <c r="Z72" i="11" s="1"/>
  <c r="AB72" i="11" s="1"/>
  <c r="AJ72" i="11" s="1"/>
  <c r="X72" i="11"/>
  <c r="AG72" i="11" s="1"/>
  <c r="AK72" i="11" s="1"/>
  <c r="R72" i="11"/>
  <c r="AF71" i="11"/>
  <c r="AE71" i="11"/>
  <c r="AD71" i="11"/>
  <c r="Y71" i="11"/>
  <c r="R71" i="11"/>
  <c r="X71" i="11" s="1"/>
  <c r="AG70" i="11"/>
  <c r="AK70" i="11" s="1"/>
  <c r="AF70" i="11"/>
  <c r="AD70" i="11"/>
  <c r="X70" i="11"/>
  <c r="R70" i="11"/>
  <c r="AF69" i="11"/>
  <c r="AE69" i="11"/>
  <c r="AD69" i="11"/>
  <c r="R69" i="11"/>
  <c r="X69" i="11" s="1"/>
  <c r="AG68" i="11"/>
  <c r="AK68" i="11" s="1"/>
  <c r="AF68" i="11"/>
  <c r="AD68" i="11"/>
  <c r="X68" i="11"/>
  <c r="R68" i="11"/>
  <c r="AF67" i="11"/>
  <c r="AE67" i="11"/>
  <c r="AD67" i="11"/>
  <c r="R67" i="11"/>
  <c r="X67" i="11" s="1"/>
  <c r="AG66" i="11"/>
  <c r="AK66" i="11" s="1"/>
  <c r="AF66" i="11"/>
  <c r="AD66" i="11"/>
  <c r="X66" i="11"/>
  <c r="R66" i="11"/>
  <c r="AF65" i="11"/>
  <c r="AE65" i="11"/>
  <c r="AD65" i="11"/>
  <c r="R65" i="11"/>
  <c r="X65" i="11" s="1"/>
  <c r="AF64" i="11"/>
  <c r="AD64" i="11"/>
  <c r="X64" i="11"/>
  <c r="R64" i="11"/>
  <c r="AF63" i="11"/>
  <c r="AD63" i="11"/>
  <c r="R63" i="11"/>
  <c r="X63" i="11" s="1"/>
  <c r="AF62" i="11"/>
  <c r="AD62" i="11"/>
  <c r="X62" i="11"/>
  <c r="R62" i="11"/>
  <c r="AF61" i="11"/>
  <c r="AD61" i="11"/>
  <c r="R61" i="11"/>
  <c r="X61" i="11" s="1"/>
  <c r="AK60" i="11"/>
  <c r="AJ60" i="11"/>
  <c r="X60" i="11"/>
  <c r="AG60" i="11" s="1"/>
  <c r="R60" i="11"/>
  <c r="AJ59" i="11"/>
  <c r="R59" i="11"/>
  <c r="X59" i="11" s="1"/>
  <c r="AG59" i="11" s="1"/>
  <c r="AK59" i="11" s="1"/>
  <c r="AJ58" i="11"/>
  <c r="X58" i="11"/>
  <c r="R58" i="11"/>
  <c r="AF57" i="11"/>
  <c r="AD57" i="11"/>
  <c r="Y57" i="11"/>
  <c r="R57" i="11"/>
  <c r="X57" i="11" s="1"/>
  <c r="AF56" i="11"/>
  <c r="AD56" i="11"/>
  <c r="X56" i="11"/>
  <c r="R56" i="11"/>
  <c r="AF55" i="11"/>
  <c r="AD55" i="11"/>
  <c r="Y55" i="11"/>
  <c r="R55" i="11"/>
  <c r="X55" i="11" s="1"/>
  <c r="AF54" i="11"/>
  <c r="AD54" i="11"/>
  <c r="Y54" i="11"/>
  <c r="Z54" i="11" s="1"/>
  <c r="AB54" i="11" s="1"/>
  <c r="AJ54" i="11" s="1"/>
  <c r="X54" i="11"/>
  <c r="AG54" i="11" s="1"/>
  <c r="AK54" i="11" s="1"/>
  <c r="R54" i="11"/>
  <c r="AF53" i="11"/>
  <c r="AD53" i="11"/>
  <c r="Y53" i="11"/>
  <c r="R53" i="11"/>
  <c r="X53" i="11" s="1"/>
  <c r="AF52" i="11"/>
  <c r="AD52" i="11"/>
  <c r="Z52" i="11"/>
  <c r="AB52" i="11" s="1"/>
  <c r="AJ52" i="11" s="1"/>
  <c r="Y52" i="11"/>
  <c r="X52" i="11"/>
  <c r="AG52" i="11" s="1"/>
  <c r="AK52" i="11" s="1"/>
  <c r="R52" i="11"/>
  <c r="AF51" i="11"/>
  <c r="AE51" i="11"/>
  <c r="AD51" i="11"/>
  <c r="Y51" i="11"/>
  <c r="R51" i="11"/>
  <c r="X51" i="11" s="1"/>
  <c r="AG50" i="11"/>
  <c r="AK50" i="11" s="1"/>
  <c r="AF50" i="11"/>
  <c r="AD50" i="11"/>
  <c r="X50" i="11"/>
  <c r="R50" i="11"/>
  <c r="AF49" i="11"/>
  <c r="AE49" i="11"/>
  <c r="AD49" i="11"/>
  <c r="R49" i="11"/>
  <c r="X49" i="11" s="1"/>
  <c r="AG48" i="11"/>
  <c r="AK48" i="11" s="1"/>
  <c r="AF48" i="11"/>
  <c r="AD48" i="11"/>
  <c r="X48" i="11"/>
  <c r="R48" i="11"/>
  <c r="AF47" i="11"/>
  <c r="AE47" i="11"/>
  <c r="AD47" i="11"/>
  <c r="R47" i="11"/>
  <c r="X47" i="11" s="1"/>
  <c r="AG46" i="11"/>
  <c r="AK46" i="11" s="1"/>
  <c r="AF46" i="11"/>
  <c r="AD46" i="11"/>
  <c r="X46" i="11"/>
  <c r="R46" i="11"/>
  <c r="AF45" i="11"/>
  <c r="AE45" i="11"/>
  <c r="AD45" i="11"/>
  <c r="R45" i="11"/>
  <c r="X45" i="11" s="1"/>
  <c r="AG44" i="11"/>
  <c r="AK44" i="11" s="1"/>
  <c r="AF44" i="11"/>
  <c r="AD44" i="11"/>
  <c r="X44" i="11"/>
  <c r="R44" i="11"/>
  <c r="AF43" i="11"/>
  <c r="AD43" i="11"/>
  <c r="R43" i="11"/>
  <c r="X43" i="11" s="1"/>
  <c r="AG42" i="11"/>
  <c r="AK42" i="11" s="1"/>
  <c r="AF42" i="11"/>
  <c r="AD42" i="11"/>
  <c r="Y42" i="11"/>
  <c r="X42" i="11"/>
  <c r="R42" i="11"/>
  <c r="AF41" i="11"/>
  <c r="AD41" i="11"/>
  <c r="Y41" i="11"/>
  <c r="R41" i="11"/>
  <c r="X41" i="11" s="1"/>
  <c r="AF40" i="11"/>
  <c r="AD40" i="11"/>
  <c r="X40" i="11"/>
  <c r="AG40" i="11" s="1"/>
  <c r="AK40" i="11" s="1"/>
  <c r="R40" i="11"/>
  <c r="AF39" i="11"/>
  <c r="AD39" i="11"/>
  <c r="R39" i="11"/>
  <c r="X39" i="11" s="1"/>
  <c r="AK38" i="11"/>
  <c r="AF38" i="11"/>
  <c r="AD38" i="11"/>
  <c r="Y38" i="11"/>
  <c r="X38" i="11"/>
  <c r="AG38" i="11" s="1"/>
  <c r="R38" i="11"/>
  <c r="AF37" i="11"/>
  <c r="AD37" i="11"/>
  <c r="R37" i="11"/>
  <c r="X37" i="11" s="1"/>
  <c r="AF36" i="11"/>
  <c r="AD36" i="11"/>
  <c r="AB36" i="11"/>
  <c r="AJ36" i="11" s="1"/>
  <c r="Z36" i="11"/>
  <c r="Y36" i="11"/>
  <c r="X36" i="11"/>
  <c r="AG36" i="11" s="1"/>
  <c r="AK36" i="11" s="1"/>
  <c r="R36" i="11"/>
  <c r="AF35" i="11"/>
  <c r="AE35" i="11"/>
  <c r="AD35" i="11"/>
  <c r="AC35" i="11"/>
  <c r="Y35" i="11"/>
  <c r="R35" i="11"/>
  <c r="X35" i="11" s="1"/>
  <c r="AG34" i="11"/>
  <c r="AK34" i="11" s="1"/>
  <c r="AF34" i="11"/>
  <c r="AD34" i="11"/>
  <c r="X34" i="11"/>
  <c r="R34" i="11"/>
  <c r="AF33" i="11"/>
  <c r="AE33" i="11"/>
  <c r="AD33" i="11"/>
  <c r="R33" i="11"/>
  <c r="X33" i="11" s="1"/>
  <c r="AG32" i="11"/>
  <c r="AK32" i="11" s="1"/>
  <c r="AF32" i="11"/>
  <c r="AD32" i="11"/>
  <c r="X32" i="11"/>
  <c r="R32" i="11"/>
  <c r="AF31" i="11"/>
  <c r="AE31" i="11"/>
  <c r="AD31" i="11"/>
  <c r="R31" i="11"/>
  <c r="X31" i="11" s="1"/>
  <c r="AJ30" i="11"/>
  <c r="AG30" i="11"/>
  <c r="AK30" i="11" s="1"/>
  <c r="X30" i="11"/>
  <c r="R30" i="11"/>
  <c r="AJ29" i="11"/>
  <c r="AE29" i="11"/>
  <c r="AF29" i="11" s="1"/>
  <c r="R29" i="11"/>
  <c r="X29" i="11" s="1"/>
  <c r="AG28" i="11"/>
  <c r="AK28" i="11" s="1"/>
  <c r="AF28" i="11"/>
  <c r="AD28" i="11"/>
  <c r="X28" i="11"/>
  <c r="R28" i="11"/>
  <c r="AF27" i="11"/>
  <c r="AE27" i="11"/>
  <c r="AD27" i="11"/>
  <c r="R27" i="11"/>
  <c r="X27" i="11" s="1"/>
  <c r="AK26" i="11"/>
  <c r="AG26" i="11"/>
  <c r="AF26" i="11"/>
  <c r="AD26" i="11"/>
  <c r="X26" i="11"/>
  <c r="R26" i="11"/>
  <c r="AF25" i="11"/>
  <c r="AD25" i="11"/>
  <c r="R25" i="11"/>
  <c r="X25" i="11" s="1"/>
  <c r="AF24" i="11"/>
  <c r="AD24" i="11"/>
  <c r="Y24" i="11"/>
  <c r="Z24" i="11" s="1"/>
  <c r="AB24" i="11" s="1"/>
  <c r="AJ24" i="11" s="1"/>
  <c r="X24" i="11"/>
  <c r="AG24" i="11" s="1"/>
  <c r="AK24" i="11" s="1"/>
  <c r="R24" i="11"/>
  <c r="AF23" i="11"/>
  <c r="AD23" i="11"/>
  <c r="Y23" i="11"/>
  <c r="R23" i="11"/>
  <c r="X23" i="11" s="1"/>
  <c r="AF22" i="11"/>
  <c r="AD22" i="11"/>
  <c r="Y22" i="11"/>
  <c r="X22" i="11"/>
  <c r="R22" i="11"/>
  <c r="AF21" i="11"/>
  <c r="AD21" i="11"/>
  <c r="Y21" i="11"/>
  <c r="R21" i="11"/>
  <c r="X21" i="11" s="1"/>
  <c r="AF20" i="11"/>
  <c r="AD20" i="11"/>
  <c r="Y20" i="11"/>
  <c r="Z20" i="11" s="1"/>
  <c r="AB20" i="11" s="1"/>
  <c r="AJ20" i="11" s="1"/>
  <c r="R20" i="11"/>
  <c r="X20" i="11" s="1"/>
  <c r="AG20" i="11" s="1"/>
  <c r="AK20" i="11" s="1"/>
  <c r="AF19" i="11"/>
  <c r="AE19" i="11"/>
  <c r="AD19" i="11"/>
  <c r="R19" i="11"/>
  <c r="X19" i="11" s="1"/>
  <c r="AF18" i="11"/>
  <c r="AD18" i="11"/>
  <c r="R18" i="11"/>
  <c r="X18" i="11" s="1"/>
  <c r="AF17" i="11"/>
  <c r="AE17" i="11"/>
  <c r="AD17" i="11"/>
  <c r="R17" i="11"/>
  <c r="X17" i="11" s="1"/>
  <c r="AF16" i="11"/>
  <c r="AD16" i="11"/>
  <c r="X16" i="11"/>
  <c r="R16" i="11"/>
  <c r="AF15" i="11"/>
  <c r="AD15" i="11"/>
  <c r="Y15" i="11"/>
  <c r="R15" i="11"/>
  <c r="X15" i="11" s="1"/>
  <c r="AF14" i="11"/>
  <c r="AD14" i="11"/>
  <c r="Y14" i="11"/>
  <c r="X14" i="11"/>
  <c r="R14" i="11"/>
  <c r="AF13" i="11"/>
  <c r="AD13" i="11"/>
  <c r="Y13" i="11"/>
  <c r="R13" i="11"/>
  <c r="X13" i="11" s="1"/>
  <c r="AF12" i="11"/>
  <c r="AD12" i="11"/>
  <c r="R12" i="11"/>
  <c r="X12" i="11" s="1"/>
  <c r="AG12" i="11" s="1"/>
  <c r="AK12" i="11" s="1"/>
  <c r="AF11" i="11"/>
  <c r="AE11" i="11"/>
  <c r="AD11" i="11"/>
  <c r="R11" i="11"/>
  <c r="X11" i="11" s="1"/>
  <c r="AF10" i="11"/>
  <c r="AD10" i="11"/>
  <c r="R10" i="11"/>
  <c r="X10" i="11" s="1"/>
  <c r="AF9" i="11"/>
  <c r="AE9" i="11"/>
  <c r="AD9" i="11"/>
  <c r="R9" i="11"/>
  <c r="X9" i="11" s="1"/>
  <c r="AF8" i="11"/>
  <c r="AD8" i="11"/>
  <c r="X8" i="11"/>
  <c r="R8" i="11"/>
  <c r="AF7" i="11"/>
  <c r="AD7" i="11"/>
  <c r="Y7" i="11"/>
  <c r="R7" i="11"/>
  <c r="X7" i="11" s="1"/>
  <c r="AF6" i="11"/>
  <c r="AD6" i="11"/>
  <c r="X6" i="11"/>
  <c r="R6" i="11"/>
  <c r="AF5" i="11"/>
  <c r="AD5" i="11"/>
  <c r="R5" i="11"/>
  <c r="X5" i="11" s="1"/>
  <c r="AJ4" i="11"/>
  <c r="Y4" i="11"/>
  <c r="Z4" i="11" s="1"/>
  <c r="AB4" i="11" s="1"/>
  <c r="R4" i="11"/>
  <c r="X4" i="11" s="1"/>
  <c r="AG4" i="11" s="1"/>
  <c r="AK4" i="11" s="1"/>
  <c r="AJ3" i="11"/>
  <c r="AE3" i="11"/>
  <c r="AF3" i="11" s="1"/>
  <c r="R3" i="11"/>
  <c r="X3" i="11" s="1"/>
  <c r="AJ2" i="11"/>
  <c r="R2" i="11"/>
  <c r="X2" i="11" s="1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D21" i="5"/>
  <c r="C21" i="5"/>
  <c r="B21" i="5"/>
  <c r="Y56" i="11" s="1"/>
  <c r="D20" i="5"/>
  <c r="C20" i="5"/>
  <c r="B20" i="5"/>
  <c r="Y564" i="11" s="1"/>
  <c r="Z564" i="11" s="1"/>
  <c r="AB564" i="11" s="1"/>
  <c r="AJ564" i="11" s="1"/>
  <c r="K19" i="5"/>
  <c r="AE543" i="11" s="1"/>
  <c r="D19" i="5"/>
  <c r="C19" i="5"/>
  <c r="B19" i="5"/>
  <c r="Y180" i="11" s="1"/>
  <c r="Z180" i="11" s="1"/>
  <c r="AB180" i="11" s="1"/>
  <c r="AJ180" i="11" s="1"/>
  <c r="K18" i="5"/>
  <c r="AC303" i="11" s="1"/>
  <c r="AD303" i="11" s="1"/>
  <c r="D18" i="5"/>
  <c r="C18" i="5"/>
  <c r="B18" i="5"/>
  <c r="Y326" i="11" s="1"/>
  <c r="Z326" i="11" s="1"/>
  <c r="AB326" i="11" s="1"/>
  <c r="X568" i="3"/>
  <c r="W568" i="3"/>
  <c r="U568" i="3"/>
  <c r="S568" i="3"/>
  <c r="Q568" i="3"/>
  <c r="P568" i="3"/>
  <c r="X567" i="3"/>
  <c r="W567" i="3"/>
  <c r="U567" i="3"/>
  <c r="V567" i="3" s="1"/>
  <c r="S567" i="3"/>
  <c r="Q567" i="3"/>
  <c r="P567" i="3"/>
  <c r="X566" i="3"/>
  <c r="W566" i="3"/>
  <c r="U566" i="3"/>
  <c r="S566" i="3"/>
  <c r="Q566" i="3"/>
  <c r="P566" i="3"/>
  <c r="X565" i="3"/>
  <c r="W565" i="3"/>
  <c r="U565" i="3"/>
  <c r="V565" i="3" s="1"/>
  <c r="S565" i="3"/>
  <c r="Q565" i="3"/>
  <c r="P565" i="3"/>
  <c r="X564" i="3"/>
  <c r="W564" i="3"/>
  <c r="U564" i="3"/>
  <c r="S564" i="3"/>
  <c r="Q564" i="3"/>
  <c r="P564" i="3"/>
  <c r="V564" i="3" s="1"/>
  <c r="X563" i="3"/>
  <c r="W563" i="3"/>
  <c r="V563" i="3"/>
  <c r="U563" i="3"/>
  <c r="S563" i="3"/>
  <c r="Q563" i="3"/>
  <c r="P563" i="3"/>
  <c r="X562" i="3"/>
  <c r="W562" i="3"/>
  <c r="U562" i="3"/>
  <c r="S562" i="3"/>
  <c r="Q562" i="3"/>
  <c r="P562" i="3"/>
  <c r="Y561" i="3"/>
  <c r="AC561" i="3" s="1"/>
  <c r="X561" i="3"/>
  <c r="W561" i="3"/>
  <c r="U561" i="3"/>
  <c r="V561" i="3" s="1"/>
  <c r="S561" i="3"/>
  <c r="Q561" i="3"/>
  <c r="P561" i="3"/>
  <c r="X560" i="3"/>
  <c r="W560" i="3"/>
  <c r="U560" i="3"/>
  <c r="S560" i="3"/>
  <c r="Q560" i="3"/>
  <c r="P560" i="3"/>
  <c r="V560" i="3" s="1"/>
  <c r="X559" i="3"/>
  <c r="W559" i="3"/>
  <c r="V559" i="3"/>
  <c r="U559" i="3"/>
  <c r="S559" i="3"/>
  <c r="Q559" i="3"/>
  <c r="P559" i="3"/>
  <c r="X558" i="3"/>
  <c r="W558" i="3"/>
  <c r="U558" i="3"/>
  <c r="S558" i="3"/>
  <c r="Q558" i="3"/>
  <c r="P558" i="3"/>
  <c r="X557" i="3"/>
  <c r="W557" i="3"/>
  <c r="U557" i="3"/>
  <c r="V557" i="3" s="1"/>
  <c r="S557" i="3"/>
  <c r="Q557" i="3"/>
  <c r="P557" i="3"/>
  <c r="AC556" i="3"/>
  <c r="Z556" i="3"/>
  <c r="AD556" i="3" s="1"/>
  <c r="Y556" i="3"/>
  <c r="X556" i="3"/>
  <c r="W556" i="3"/>
  <c r="U556" i="3"/>
  <c r="S556" i="3"/>
  <c r="Q556" i="3"/>
  <c r="P556" i="3"/>
  <c r="V556" i="3" s="1"/>
  <c r="AE556" i="3" s="1"/>
  <c r="X555" i="3"/>
  <c r="W555" i="3"/>
  <c r="U555" i="3"/>
  <c r="S555" i="3"/>
  <c r="V555" i="3" s="1"/>
  <c r="Q555" i="3"/>
  <c r="P555" i="3"/>
  <c r="X554" i="3"/>
  <c r="W554" i="3"/>
  <c r="U554" i="3"/>
  <c r="S554" i="3"/>
  <c r="Q554" i="3"/>
  <c r="P554" i="3"/>
  <c r="AD553" i="3"/>
  <c r="Z553" i="3"/>
  <c r="Y553" i="3"/>
  <c r="AC553" i="3" s="1"/>
  <c r="X553" i="3"/>
  <c r="W553" i="3"/>
  <c r="V553" i="3"/>
  <c r="AE553" i="3" s="1"/>
  <c r="U553" i="3"/>
  <c r="S553" i="3"/>
  <c r="Q553" i="3"/>
  <c r="P553" i="3"/>
  <c r="X552" i="3"/>
  <c r="W552" i="3"/>
  <c r="U552" i="3"/>
  <c r="S552" i="3"/>
  <c r="Q552" i="3"/>
  <c r="P552" i="3"/>
  <c r="X551" i="3"/>
  <c r="W551" i="3"/>
  <c r="U551" i="3"/>
  <c r="V551" i="3" s="1"/>
  <c r="S551" i="3"/>
  <c r="Q551" i="3"/>
  <c r="P551" i="3"/>
  <c r="X550" i="3"/>
  <c r="W550" i="3"/>
  <c r="U550" i="3"/>
  <c r="S550" i="3"/>
  <c r="Q550" i="3"/>
  <c r="P550" i="3"/>
  <c r="AE549" i="3"/>
  <c r="AD549" i="3"/>
  <c r="Y549" i="3"/>
  <c r="AC549" i="3" s="1"/>
  <c r="X549" i="3"/>
  <c r="W549" i="3"/>
  <c r="V549" i="3"/>
  <c r="Z549" i="3" s="1"/>
  <c r="U549" i="3"/>
  <c r="S549" i="3"/>
  <c r="Q549" i="3"/>
  <c r="P549" i="3"/>
  <c r="X548" i="3"/>
  <c r="W548" i="3"/>
  <c r="U548" i="3"/>
  <c r="S548" i="3"/>
  <c r="Q548" i="3"/>
  <c r="P548" i="3"/>
  <c r="X547" i="3"/>
  <c r="W547" i="3"/>
  <c r="V547" i="3"/>
  <c r="U547" i="3"/>
  <c r="S547" i="3"/>
  <c r="Q547" i="3"/>
  <c r="P547" i="3"/>
  <c r="X546" i="3"/>
  <c r="W546" i="3"/>
  <c r="U546" i="3"/>
  <c r="S546" i="3"/>
  <c r="Q546" i="3"/>
  <c r="P546" i="3"/>
  <c r="AE545" i="3"/>
  <c r="AD545" i="3"/>
  <c r="Z545" i="3"/>
  <c r="Y545" i="3"/>
  <c r="AC545" i="3" s="1"/>
  <c r="X545" i="3"/>
  <c r="W545" i="3"/>
  <c r="U545" i="3"/>
  <c r="S545" i="3"/>
  <c r="V545" i="3" s="1"/>
  <c r="Q545" i="3"/>
  <c r="P545" i="3"/>
  <c r="X544" i="3"/>
  <c r="W544" i="3"/>
  <c r="U544" i="3"/>
  <c r="S544" i="3"/>
  <c r="Q544" i="3"/>
  <c r="P544" i="3"/>
  <c r="X543" i="3"/>
  <c r="W543" i="3"/>
  <c r="V543" i="3"/>
  <c r="U543" i="3"/>
  <c r="S543" i="3"/>
  <c r="Q543" i="3"/>
  <c r="P543" i="3"/>
  <c r="Z542" i="3"/>
  <c r="AD542" i="3" s="1"/>
  <c r="Y542" i="3"/>
  <c r="AC542" i="3" s="1"/>
  <c r="X542" i="3"/>
  <c r="W542" i="3"/>
  <c r="U542" i="3"/>
  <c r="S542" i="3"/>
  <c r="Q542" i="3"/>
  <c r="P542" i="3"/>
  <c r="V542" i="3" s="1"/>
  <c r="AE542" i="3" s="1"/>
  <c r="AE541" i="3"/>
  <c r="X541" i="3"/>
  <c r="W541" i="3"/>
  <c r="U541" i="3"/>
  <c r="S541" i="3"/>
  <c r="V541" i="3" s="1"/>
  <c r="Q541" i="3"/>
  <c r="P541" i="3"/>
  <c r="X540" i="3"/>
  <c r="W540" i="3"/>
  <c r="U540" i="3"/>
  <c r="S540" i="3"/>
  <c r="Q540" i="3"/>
  <c r="P540" i="3"/>
  <c r="X539" i="3"/>
  <c r="W539" i="3"/>
  <c r="V539" i="3"/>
  <c r="U539" i="3"/>
  <c r="S539" i="3"/>
  <c r="Q539" i="3"/>
  <c r="P539" i="3"/>
  <c r="Z538" i="3"/>
  <c r="AD538" i="3" s="1"/>
  <c r="Y538" i="3"/>
  <c r="AC538" i="3" s="1"/>
  <c r="X538" i="3"/>
  <c r="W538" i="3"/>
  <c r="U538" i="3"/>
  <c r="S538" i="3"/>
  <c r="Q538" i="3"/>
  <c r="P538" i="3"/>
  <c r="V538" i="3" s="1"/>
  <c r="AE538" i="3" s="1"/>
  <c r="AE537" i="3"/>
  <c r="X537" i="3"/>
  <c r="W537" i="3"/>
  <c r="U537" i="3"/>
  <c r="S537" i="3"/>
  <c r="V537" i="3" s="1"/>
  <c r="Q537" i="3"/>
  <c r="P537" i="3"/>
  <c r="AC536" i="3"/>
  <c r="Z536" i="3"/>
  <c r="AD536" i="3" s="1"/>
  <c r="Y536" i="3"/>
  <c r="X536" i="3"/>
  <c r="W536" i="3"/>
  <c r="U536" i="3"/>
  <c r="S536" i="3"/>
  <c r="Q536" i="3"/>
  <c r="P536" i="3"/>
  <c r="X535" i="3"/>
  <c r="W535" i="3"/>
  <c r="V535" i="3"/>
  <c r="U535" i="3"/>
  <c r="S535" i="3"/>
  <c r="Q535" i="3"/>
  <c r="P535" i="3"/>
  <c r="X534" i="3"/>
  <c r="W534" i="3"/>
  <c r="U534" i="3"/>
  <c r="S534" i="3"/>
  <c r="Q534" i="3"/>
  <c r="P534" i="3"/>
  <c r="V534" i="3" s="1"/>
  <c r="X533" i="3"/>
  <c r="W533" i="3"/>
  <c r="U533" i="3"/>
  <c r="S533" i="3"/>
  <c r="V533" i="3" s="1"/>
  <c r="Q533" i="3"/>
  <c r="P533" i="3"/>
  <c r="X532" i="3"/>
  <c r="W532" i="3"/>
  <c r="U532" i="3"/>
  <c r="S532" i="3"/>
  <c r="Q532" i="3"/>
  <c r="P532" i="3"/>
  <c r="X531" i="3"/>
  <c r="W531" i="3"/>
  <c r="V531" i="3"/>
  <c r="U531" i="3"/>
  <c r="S531" i="3"/>
  <c r="Q531" i="3"/>
  <c r="P531" i="3"/>
  <c r="X530" i="3"/>
  <c r="W530" i="3"/>
  <c r="U530" i="3"/>
  <c r="S530" i="3"/>
  <c r="Q530" i="3"/>
  <c r="P530" i="3"/>
  <c r="V530" i="3" s="1"/>
  <c r="X529" i="3"/>
  <c r="W529" i="3"/>
  <c r="U529" i="3"/>
  <c r="S529" i="3"/>
  <c r="V529" i="3" s="1"/>
  <c r="Q529" i="3"/>
  <c r="P529" i="3"/>
  <c r="X528" i="3"/>
  <c r="W528" i="3"/>
  <c r="U528" i="3"/>
  <c r="S528" i="3"/>
  <c r="Q528" i="3"/>
  <c r="P528" i="3"/>
  <c r="X527" i="3"/>
  <c r="W527" i="3"/>
  <c r="V527" i="3"/>
  <c r="U527" i="3"/>
  <c r="S527" i="3"/>
  <c r="Q527" i="3"/>
  <c r="P527" i="3"/>
  <c r="Z526" i="3"/>
  <c r="AD526" i="3" s="1"/>
  <c r="Y526" i="3"/>
  <c r="AC526" i="3" s="1"/>
  <c r="X526" i="3"/>
  <c r="W526" i="3"/>
  <c r="U526" i="3"/>
  <c r="S526" i="3"/>
  <c r="Q526" i="3"/>
  <c r="P526" i="3"/>
  <c r="V526" i="3" s="1"/>
  <c r="AE526" i="3" s="1"/>
  <c r="AE525" i="3"/>
  <c r="X525" i="3"/>
  <c r="W525" i="3"/>
  <c r="U525" i="3"/>
  <c r="S525" i="3"/>
  <c r="V525" i="3" s="1"/>
  <c r="Q525" i="3"/>
  <c r="P525" i="3"/>
  <c r="X524" i="3"/>
  <c r="W524" i="3"/>
  <c r="U524" i="3"/>
  <c r="S524" i="3"/>
  <c r="Q524" i="3"/>
  <c r="P524" i="3"/>
  <c r="X523" i="3"/>
  <c r="W523" i="3"/>
  <c r="V523" i="3"/>
  <c r="U523" i="3"/>
  <c r="S523" i="3"/>
  <c r="Q523" i="3"/>
  <c r="P523" i="3"/>
  <c r="AC522" i="3"/>
  <c r="Z522" i="3"/>
  <c r="AD522" i="3" s="1"/>
  <c r="Y522" i="3"/>
  <c r="X522" i="3"/>
  <c r="W522" i="3"/>
  <c r="U522" i="3"/>
  <c r="S522" i="3"/>
  <c r="Q522" i="3"/>
  <c r="P522" i="3"/>
  <c r="V522" i="3" s="1"/>
  <c r="AE522" i="3" s="1"/>
  <c r="X521" i="3"/>
  <c r="W521" i="3"/>
  <c r="U521" i="3"/>
  <c r="S521" i="3"/>
  <c r="V521" i="3" s="1"/>
  <c r="Q521" i="3"/>
  <c r="P521" i="3"/>
  <c r="X520" i="3"/>
  <c r="W520" i="3"/>
  <c r="U520" i="3"/>
  <c r="S520" i="3"/>
  <c r="Q520" i="3"/>
  <c r="P520" i="3"/>
  <c r="X519" i="3"/>
  <c r="W519" i="3"/>
  <c r="V519" i="3"/>
  <c r="U519" i="3"/>
  <c r="S519" i="3"/>
  <c r="Q519" i="3"/>
  <c r="P519" i="3"/>
  <c r="X518" i="3"/>
  <c r="W518" i="3"/>
  <c r="U518" i="3"/>
  <c r="S518" i="3"/>
  <c r="Q518" i="3"/>
  <c r="P518" i="3"/>
  <c r="V518" i="3" s="1"/>
  <c r="X517" i="3"/>
  <c r="W517" i="3"/>
  <c r="U517" i="3"/>
  <c r="S517" i="3"/>
  <c r="V517" i="3" s="1"/>
  <c r="Q517" i="3"/>
  <c r="P517" i="3"/>
  <c r="X516" i="3"/>
  <c r="W516" i="3"/>
  <c r="U516" i="3"/>
  <c r="S516" i="3"/>
  <c r="Q516" i="3"/>
  <c r="P516" i="3"/>
  <c r="X515" i="3"/>
  <c r="W515" i="3"/>
  <c r="V515" i="3"/>
  <c r="U515" i="3"/>
  <c r="S515" i="3"/>
  <c r="Q515" i="3"/>
  <c r="P515" i="3"/>
  <c r="X514" i="3"/>
  <c r="W514" i="3"/>
  <c r="U514" i="3"/>
  <c r="S514" i="3"/>
  <c r="Q514" i="3"/>
  <c r="P514" i="3"/>
  <c r="V514" i="3" s="1"/>
  <c r="X513" i="3"/>
  <c r="W513" i="3"/>
  <c r="U513" i="3"/>
  <c r="S513" i="3"/>
  <c r="V513" i="3" s="1"/>
  <c r="Q513" i="3"/>
  <c r="P513" i="3"/>
  <c r="X512" i="3"/>
  <c r="W512" i="3"/>
  <c r="U512" i="3"/>
  <c r="S512" i="3"/>
  <c r="Q512" i="3"/>
  <c r="P512" i="3"/>
  <c r="AD511" i="3"/>
  <c r="Z511" i="3"/>
  <c r="X511" i="3"/>
  <c r="W511" i="3"/>
  <c r="Y511" i="3" s="1"/>
  <c r="AC511" i="3" s="1"/>
  <c r="V511" i="3"/>
  <c r="AE511" i="3" s="1"/>
  <c r="U511" i="3"/>
  <c r="S511" i="3"/>
  <c r="Q511" i="3"/>
  <c r="P511" i="3"/>
  <c r="X510" i="3"/>
  <c r="W510" i="3"/>
  <c r="U510" i="3"/>
  <c r="S510" i="3"/>
  <c r="Q510" i="3"/>
  <c r="P510" i="3"/>
  <c r="X509" i="3"/>
  <c r="W509" i="3"/>
  <c r="U509" i="3"/>
  <c r="S509" i="3"/>
  <c r="Q509" i="3"/>
  <c r="P509" i="3"/>
  <c r="X508" i="3"/>
  <c r="W508" i="3"/>
  <c r="U508" i="3"/>
  <c r="S508" i="3"/>
  <c r="Q508" i="3"/>
  <c r="P508" i="3"/>
  <c r="AD507" i="3"/>
  <c r="Z507" i="3"/>
  <c r="Y507" i="3"/>
  <c r="AC507" i="3" s="1"/>
  <c r="X507" i="3"/>
  <c r="W507" i="3"/>
  <c r="U507" i="3"/>
  <c r="V507" i="3" s="1"/>
  <c r="AE507" i="3" s="1"/>
  <c r="S507" i="3"/>
  <c r="Q507" i="3"/>
  <c r="P507" i="3"/>
  <c r="AE506" i="3"/>
  <c r="X506" i="3"/>
  <c r="W506" i="3"/>
  <c r="U506" i="3"/>
  <c r="S506" i="3"/>
  <c r="Q506" i="3"/>
  <c r="P506" i="3"/>
  <c r="V506" i="3" s="1"/>
  <c r="X505" i="3"/>
  <c r="W505" i="3"/>
  <c r="V505" i="3"/>
  <c r="U505" i="3"/>
  <c r="S505" i="3"/>
  <c r="Q505" i="3"/>
  <c r="P505" i="3"/>
  <c r="X504" i="3"/>
  <c r="W504" i="3"/>
  <c r="U504" i="3"/>
  <c r="S504" i="3"/>
  <c r="Q504" i="3"/>
  <c r="P504" i="3"/>
  <c r="X503" i="3"/>
  <c r="W503" i="3"/>
  <c r="U503" i="3"/>
  <c r="V503" i="3" s="1"/>
  <c r="S503" i="3"/>
  <c r="Q503" i="3"/>
  <c r="P503" i="3"/>
  <c r="X502" i="3"/>
  <c r="W502" i="3"/>
  <c r="U502" i="3"/>
  <c r="S502" i="3"/>
  <c r="Q502" i="3"/>
  <c r="P502" i="3"/>
  <c r="V502" i="3" s="1"/>
  <c r="X501" i="3"/>
  <c r="W501" i="3"/>
  <c r="V501" i="3"/>
  <c r="U501" i="3"/>
  <c r="S501" i="3"/>
  <c r="Q501" i="3"/>
  <c r="P501" i="3"/>
  <c r="X500" i="3"/>
  <c r="W500" i="3"/>
  <c r="U500" i="3"/>
  <c r="S500" i="3"/>
  <c r="Q500" i="3"/>
  <c r="P500" i="3"/>
  <c r="X499" i="3"/>
  <c r="W499" i="3"/>
  <c r="U499" i="3"/>
  <c r="V499" i="3" s="1"/>
  <c r="S499" i="3"/>
  <c r="Q499" i="3"/>
  <c r="P499" i="3"/>
  <c r="X498" i="3"/>
  <c r="W498" i="3"/>
  <c r="U498" i="3"/>
  <c r="S498" i="3"/>
  <c r="Q498" i="3"/>
  <c r="P498" i="3"/>
  <c r="X497" i="3"/>
  <c r="W497" i="3"/>
  <c r="U497" i="3"/>
  <c r="S497" i="3"/>
  <c r="V497" i="3" s="1"/>
  <c r="Q497" i="3"/>
  <c r="P497" i="3"/>
  <c r="X496" i="3"/>
  <c r="W496" i="3"/>
  <c r="U496" i="3"/>
  <c r="S496" i="3"/>
  <c r="Q496" i="3"/>
  <c r="P496" i="3"/>
  <c r="X495" i="3"/>
  <c r="W495" i="3"/>
  <c r="U495" i="3"/>
  <c r="V495" i="3" s="1"/>
  <c r="S495" i="3"/>
  <c r="Q495" i="3"/>
  <c r="P495" i="3"/>
  <c r="X494" i="3"/>
  <c r="W494" i="3"/>
  <c r="U494" i="3"/>
  <c r="S494" i="3"/>
  <c r="Q494" i="3"/>
  <c r="P494" i="3"/>
  <c r="AD493" i="3"/>
  <c r="Z493" i="3"/>
  <c r="X493" i="3"/>
  <c r="W493" i="3"/>
  <c r="Y493" i="3" s="1"/>
  <c r="AC493" i="3" s="1"/>
  <c r="U493" i="3"/>
  <c r="V493" i="3" s="1"/>
  <c r="AE493" i="3" s="1"/>
  <c r="S493" i="3"/>
  <c r="Q493" i="3"/>
  <c r="P493" i="3"/>
  <c r="Y492" i="3"/>
  <c r="AC492" i="3" s="1"/>
  <c r="X492" i="3"/>
  <c r="Z492" i="3" s="1"/>
  <c r="AD492" i="3" s="1"/>
  <c r="W492" i="3"/>
  <c r="U492" i="3"/>
  <c r="S492" i="3"/>
  <c r="Q492" i="3"/>
  <c r="P492" i="3"/>
  <c r="V492" i="3" s="1"/>
  <c r="AE492" i="3" s="1"/>
  <c r="AE491" i="3"/>
  <c r="AD491" i="3"/>
  <c r="Y491" i="3"/>
  <c r="AC491" i="3" s="1"/>
  <c r="X491" i="3"/>
  <c r="W491" i="3"/>
  <c r="U491" i="3"/>
  <c r="S491" i="3"/>
  <c r="V491" i="3" s="1"/>
  <c r="Z491" i="3" s="1"/>
  <c r="Q491" i="3"/>
  <c r="P491" i="3"/>
  <c r="AC490" i="3"/>
  <c r="Z490" i="3"/>
  <c r="AD490" i="3" s="1"/>
  <c r="Y490" i="3"/>
  <c r="X490" i="3"/>
  <c r="W490" i="3"/>
  <c r="U490" i="3"/>
  <c r="S490" i="3"/>
  <c r="Q490" i="3"/>
  <c r="P490" i="3"/>
  <c r="X489" i="3"/>
  <c r="W489" i="3"/>
  <c r="V489" i="3"/>
  <c r="U489" i="3"/>
  <c r="S489" i="3"/>
  <c r="Q489" i="3"/>
  <c r="P489" i="3"/>
  <c r="Z488" i="3"/>
  <c r="AD488" i="3" s="1"/>
  <c r="Y488" i="3"/>
  <c r="AC488" i="3" s="1"/>
  <c r="X488" i="3"/>
  <c r="W488" i="3"/>
  <c r="U488" i="3"/>
  <c r="S488" i="3"/>
  <c r="Q488" i="3"/>
  <c r="P488" i="3"/>
  <c r="V488" i="3" s="1"/>
  <c r="AE488" i="3" s="1"/>
  <c r="AE487" i="3"/>
  <c r="AD487" i="3"/>
  <c r="Y487" i="3"/>
  <c r="AC487" i="3" s="1"/>
  <c r="X487" i="3"/>
  <c r="W487" i="3"/>
  <c r="U487" i="3"/>
  <c r="S487" i="3"/>
  <c r="V487" i="3" s="1"/>
  <c r="Z487" i="3" s="1"/>
  <c r="Q487" i="3"/>
  <c r="P487" i="3"/>
  <c r="X486" i="3"/>
  <c r="W486" i="3"/>
  <c r="U486" i="3"/>
  <c r="S486" i="3"/>
  <c r="Q486" i="3"/>
  <c r="P486" i="3"/>
  <c r="X485" i="3"/>
  <c r="W485" i="3"/>
  <c r="V485" i="3"/>
  <c r="U485" i="3"/>
  <c r="S485" i="3"/>
  <c r="Q485" i="3"/>
  <c r="P485" i="3"/>
  <c r="Z484" i="3"/>
  <c r="AD484" i="3" s="1"/>
  <c r="Y484" i="3"/>
  <c r="AC484" i="3" s="1"/>
  <c r="X484" i="3"/>
  <c r="W484" i="3"/>
  <c r="U484" i="3"/>
  <c r="S484" i="3"/>
  <c r="Q484" i="3"/>
  <c r="P484" i="3"/>
  <c r="V484" i="3" s="1"/>
  <c r="AE484" i="3" s="1"/>
  <c r="X483" i="3"/>
  <c r="W483" i="3"/>
  <c r="U483" i="3"/>
  <c r="S483" i="3"/>
  <c r="V483" i="3" s="1"/>
  <c r="Q483" i="3"/>
  <c r="P483" i="3"/>
  <c r="X482" i="3"/>
  <c r="W482" i="3"/>
  <c r="U482" i="3"/>
  <c r="S482" i="3"/>
  <c r="Q482" i="3"/>
  <c r="P482" i="3"/>
  <c r="X481" i="3"/>
  <c r="W481" i="3"/>
  <c r="U481" i="3"/>
  <c r="V481" i="3" s="1"/>
  <c r="S481" i="3"/>
  <c r="Q481" i="3"/>
  <c r="P481" i="3"/>
  <c r="Y480" i="3"/>
  <c r="AC480" i="3" s="1"/>
  <c r="X480" i="3"/>
  <c r="Z480" i="3" s="1"/>
  <c r="AD480" i="3" s="1"/>
  <c r="W480" i="3"/>
  <c r="U480" i="3"/>
  <c r="S480" i="3"/>
  <c r="Q480" i="3"/>
  <c r="P480" i="3"/>
  <c r="V480" i="3" s="1"/>
  <c r="AE480" i="3" s="1"/>
  <c r="AD479" i="3"/>
  <c r="Z479" i="3"/>
  <c r="Y479" i="3"/>
  <c r="AC479" i="3" s="1"/>
  <c r="X479" i="3"/>
  <c r="W479" i="3"/>
  <c r="U479" i="3"/>
  <c r="S479" i="3"/>
  <c r="V479" i="3" s="1"/>
  <c r="AE479" i="3" s="1"/>
  <c r="Q479" i="3"/>
  <c r="P479" i="3"/>
  <c r="X478" i="3"/>
  <c r="W478" i="3"/>
  <c r="U478" i="3"/>
  <c r="S478" i="3"/>
  <c r="Q478" i="3"/>
  <c r="P478" i="3"/>
  <c r="X477" i="3"/>
  <c r="W477" i="3"/>
  <c r="V477" i="3"/>
  <c r="U477" i="3"/>
  <c r="S477" i="3"/>
  <c r="Q477" i="3"/>
  <c r="P477" i="3"/>
  <c r="X476" i="3"/>
  <c r="W476" i="3"/>
  <c r="U476" i="3"/>
  <c r="S476" i="3"/>
  <c r="Q476" i="3"/>
  <c r="P476" i="3"/>
  <c r="V476" i="3" s="1"/>
  <c r="X475" i="3"/>
  <c r="W475" i="3"/>
  <c r="U475" i="3"/>
  <c r="S475" i="3"/>
  <c r="V475" i="3" s="1"/>
  <c r="Q475" i="3"/>
  <c r="P475" i="3"/>
  <c r="AC474" i="3"/>
  <c r="Y474" i="3"/>
  <c r="X474" i="3"/>
  <c r="Z474" i="3" s="1"/>
  <c r="AD474" i="3" s="1"/>
  <c r="W474" i="3"/>
  <c r="U474" i="3"/>
  <c r="S474" i="3"/>
  <c r="Q474" i="3"/>
  <c r="P474" i="3"/>
  <c r="AD473" i="3"/>
  <c r="Z473" i="3"/>
  <c r="X473" i="3"/>
  <c r="W473" i="3"/>
  <c r="Y473" i="3" s="1"/>
  <c r="AC473" i="3" s="1"/>
  <c r="V473" i="3"/>
  <c r="AE473" i="3" s="1"/>
  <c r="U473" i="3"/>
  <c r="S473" i="3"/>
  <c r="Q473" i="3"/>
  <c r="P473" i="3"/>
  <c r="AE472" i="3"/>
  <c r="Z472" i="3"/>
  <c r="AD472" i="3" s="1"/>
  <c r="X472" i="3"/>
  <c r="W472" i="3"/>
  <c r="U472" i="3"/>
  <c r="S472" i="3"/>
  <c r="Q472" i="3"/>
  <c r="P472" i="3"/>
  <c r="V472" i="3" s="1"/>
  <c r="Y472" i="3" s="1"/>
  <c r="AC472" i="3" s="1"/>
  <c r="X471" i="3"/>
  <c r="W471" i="3"/>
  <c r="U471" i="3"/>
  <c r="S471" i="3"/>
  <c r="V471" i="3" s="1"/>
  <c r="Q471" i="3"/>
  <c r="P471" i="3"/>
  <c r="X470" i="3"/>
  <c r="W470" i="3"/>
  <c r="U470" i="3"/>
  <c r="S470" i="3"/>
  <c r="Q470" i="3"/>
  <c r="P470" i="3"/>
  <c r="AD469" i="3"/>
  <c r="Y469" i="3"/>
  <c r="AC469" i="3" s="1"/>
  <c r="X469" i="3"/>
  <c r="W469" i="3"/>
  <c r="V469" i="3"/>
  <c r="Z469" i="3" s="1"/>
  <c r="U469" i="3"/>
  <c r="S469" i="3"/>
  <c r="Q469" i="3"/>
  <c r="P469" i="3"/>
  <c r="AC468" i="3"/>
  <c r="X468" i="3"/>
  <c r="W468" i="3"/>
  <c r="U468" i="3"/>
  <c r="S468" i="3"/>
  <c r="Q468" i="3"/>
  <c r="P468" i="3"/>
  <c r="V468" i="3" s="1"/>
  <c r="Y468" i="3" s="1"/>
  <c r="X467" i="3"/>
  <c r="W467" i="3"/>
  <c r="U467" i="3"/>
  <c r="S467" i="3"/>
  <c r="Q467" i="3"/>
  <c r="P467" i="3"/>
  <c r="X466" i="3"/>
  <c r="W466" i="3"/>
  <c r="U466" i="3"/>
  <c r="S466" i="3"/>
  <c r="Q466" i="3"/>
  <c r="P466" i="3"/>
  <c r="Y465" i="3"/>
  <c r="AC465" i="3" s="1"/>
  <c r="X465" i="3"/>
  <c r="W465" i="3"/>
  <c r="U465" i="3"/>
  <c r="S465" i="3"/>
  <c r="Q465" i="3"/>
  <c r="P465" i="3"/>
  <c r="V465" i="3" s="1"/>
  <c r="X464" i="3"/>
  <c r="W464" i="3"/>
  <c r="U464" i="3"/>
  <c r="S464" i="3"/>
  <c r="Q464" i="3"/>
  <c r="P464" i="3"/>
  <c r="X463" i="3"/>
  <c r="W463" i="3"/>
  <c r="U463" i="3"/>
  <c r="V463" i="3" s="1"/>
  <c r="S463" i="3"/>
  <c r="Q463" i="3"/>
  <c r="P463" i="3"/>
  <c r="X462" i="3"/>
  <c r="W462" i="3"/>
  <c r="U462" i="3"/>
  <c r="S462" i="3"/>
  <c r="Q462" i="3"/>
  <c r="P462" i="3"/>
  <c r="V462" i="3" s="1"/>
  <c r="Y462" i="3" s="1"/>
  <c r="AC462" i="3" s="1"/>
  <c r="X461" i="3"/>
  <c r="W461" i="3"/>
  <c r="U461" i="3"/>
  <c r="S461" i="3"/>
  <c r="Q461" i="3"/>
  <c r="P461" i="3"/>
  <c r="X460" i="3"/>
  <c r="W460" i="3"/>
  <c r="V460" i="3"/>
  <c r="U460" i="3"/>
  <c r="S460" i="3"/>
  <c r="Q460" i="3"/>
  <c r="P460" i="3"/>
  <c r="Y459" i="3"/>
  <c r="AC459" i="3" s="1"/>
  <c r="X459" i="3"/>
  <c r="W459" i="3"/>
  <c r="U459" i="3"/>
  <c r="S459" i="3"/>
  <c r="Q459" i="3"/>
  <c r="P459" i="3"/>
  <c r="V459" i="3" s="1"/>
  <c r="X458" i="3"/>
  <c r="W458" i="3"/>
  <c r="U458" i="3"/>
  <c r="V458" i="3" s="1"/>
  <c r="S458" i="3"/>
  <c r="Q458" i="3"/>
  <c r="P458" i="3"/>
  <c r="Z457" i="3"/>
  <c r="AD457" i="3" s="1"/>
  <c r="Y457" i="3"/>
  <c r="AC457" i="3" s="1"/>
  <c r="X457" i="3"/>
  <c r="W457" i="3"/>
  <c r="U457" i="3"/>
  <c r="S457" i="3"/>
  <c r="Q457" i="3"/>
  <c r="P457" i="3"/>
  <c r="V457" i="3" s="1"/>
  <c r="AE457" i="3" s="1"/>
  <c r="AC456" i="3"/>
  <c r="Z456" i="3"/>
  <c r="AD456" i="3" s="1"/>
  <c r="Y456" i="3"/>
  <c r="X456" i="3"/>
  <c r="W456" i="3"/>
  <c r="U456" i="3"/>
  <c r="S456" i="3"/>
  <c r="Q456" i="3"/>
  <c r="P456" i="3"/>
  <c r="V456" i="3" s="1"/>
  <c r="AE456" i="3" s="1"/>
  <c r="X455" i="3"/>
  <c r="W455" i="3"/>
  <c r="V455" i="3"/>
  <c r="U455" i="3"/>
  <c r="S455" i="3"/>
  <c r="Q455" i="3"/>
  <c r="P455" i="3"/>
  <c r="Z454" i="3"/>
  <c r="AD454" i="3" s="1"/>
  <c r="Y454" i="3"/>
  <c r="AC454" i="3" s="1"/>
  <c r="X454" i="3"/>
  <c r="W454" i="3"/>
  <c r="U454" i="3"/>
  <c r="S454" i="3"/>
  <c r="Q454" i="3"/>
  <c r="P454" i="3"/>
  <c r="V454" i="3" s="1"/>
  <c r="AE454" i="3" s="1"/>
  <c r="X453" i="3"/>
  <c r="W453" i="3"/>
  <c r="U453" i="3"/>
  <c r="S453" i="3"/>
  <c r="V453" i="3" s="1"/>
  <c r="Q453" i="3"/>
  <c r="P453" i="3"/>
  <c r="X452" i="3"/>
  <c r="W452" i="3"/>
  <c r="V452" i="3"/>
  <c r="U452" i="3"/>
  <c r="S452" i="3"/>
  <c r="Q452" i="3"/>
  <c r="P452" i="3"/>
  <c r="Z451" i="3"/>
  <c r="AD451" i="3" s="1"/>
  <c r="Y451" i="3"/>
  <c r="AC451" i="3" s="1"/>
  <c r="X451" i="3"/>
  <c r="W451" i="3"/>
  <c r="U451" i="3"/>
  <c r="S451" i="3"/>
  <c r="Q451" i="3"/>
  <c r="P451" i="3"/>
  <c r="V451" i="3" s="1"/>
  <c r="AE451" i="3" s="1"/>
  <c r="X450" i="3"/>
  <c r="W450" i="3"/>
  <c r="V450" i="3"/>
  <c r="U450" i="3"/>
  <c r="S450" i="3"/>
  <c r="Q450" i="3"/>
  <c r="P450" i="3"/>
  <c r="Z449" i="3"/>
  <c r="AD449" i="3" s="1"/>
  <c r="X449" i="3"/>
  <c r="W449" i="3"/>
  <c r="Y449" i="3" s="1"/>
  <c r="AC449" i="3" s="1"/>
  <c r="U449" i="3"/>
  <c r="S449" i="3"/>
  <c r="Q449" i="3"/>
  <c r="P449" i="3"/>
  <c r="V449" i="3" s="1"/>
  <c r="AE449" i="3" s="1"/>
  <c r="AE448" i="3"/>
  <c r="X448" i="3"/>
  <c r="W448" i="3"/>
  <c r="U448" i="3"/>
  <c r="S448" i="3"/>
  <c r="Q448" i="3"/>
  <c r="P448" i="3"/>
  <c r="V448" i="3" s="1"/>
  <c r="X447" i="3"/>
  <c r="W447" i="3"/>
  <c r="V447" i="3"/>
  <c r="U447" i="3"/>
  <c r="S447" i="3"/>
  <c r="Q447" i="3"/>
  <c r="P447" i="3"/>
  <c r="Z446" i="3"/>
  <c r="AD446" i="3" s="1"/>
  <c r="Y446" i="3"/>
  <c r="AC446" i="3" s="1"/>
  <c r="X446" i="3"/>
  <c r="W446" i="3"/>
  <c r="U446" i="3"/>
  <c r="S446" i="3"/>
  <c r="Q446" i="3"/>
  <c r="P446" i="3"/>
  <c r="V446" i="3" s="1"/>
  <c r="AE446" i="3" s="1"/>
  <c r="AE445" i="3"/>
  <c r="X445" i="3"/>
  <c r="W445" i="3"/>
  <c r="U445" i="3"/>
  <c r="S445" i="3"/>
  <c r="V445" i="3" s="1"/>
  <c r="Q445" i="3"/>
  <c r="P445" i="3"/>
  <c r="X444" i="3"/>
  <c r="W444" i="3"/>
  <c r="V444" i="3"/>
  <c r="U444" i="3"/>
  <c r="S444" i="3"/>
  <c r="Q444" i="3"/>
  <c r="P444" i="3"/>
  <c r="X443" i="3"/>
  <c r="W443" i="3"/>
  <c r="U443" i="3"/>
  <c r="S443" i="3"/>
  <c r="Q443" i="3"/>
  <c r="P443" i="3"/>
  <c r="Z442" i="3"/>
  <c r="AD442" i="3" s="1"/>
  <c r="X442" i="3"/>
  <c r="W442" i="3"/>
  <c r="Y442" i="3" s="1"/>
  <c r="AC442" i="3" s="1"/>
  <c r="U442" i="3"/>
  <c r="V442" i="3" s="1"/>
  <c r="AE442" i="3" s="1"/>
  <c r="S442" i="3"/>
  <c r="Q442" i="3"/>
  <c r="P442" i="3"/>
  <c r="X441" i="3"/>
  <c r="W441" i="3"/>
  <c r="U441" i="3"/>
  <c r="S441" i="3"/>
  <c r="Q441" i="3"/>
  <c r="P441" i="3"/>
  <c r="V441" i="3" s="1"/>
  <c r="X440" i="3"/>
  <c r="W440" i="3"/>
  <c r="U440" i="3"/>
  <c r="S440" i="3"/>
  <c r="Q440" i="3"/>
  <c r="P440" i="3"/>
  <c r="X439" i="3"/>
  <c r="W439" i="3"/>
  <c r="Y439" i="3" s="1"/>
  <c r="AC439" i="3" s="1"/>
  <c r="U439" i="3"/>
  <c r="S439" i="3"/>
  <c r="Q439" i="3"/>
  <c r="P439" i="3"/>
  <c r="V439" i="3" s="1"/>
  <c r="AE438" i="3"/>
  <c r="X438" i="3"/>
  <c r="W438" i="3"/>
  <c r="U438" i="3"/>
  <c r="S438" i="3"/>
  <c r="Q438" i="3"/>
  <c r="P438" i="3"/>
  <c r="V438" i="3" s="1"/>
  <c r="AD437" i="3"/>
  <c r="Z437" i="3"/>
  <c r="X437" i="3"/>
  <c r="W437" i="3"/>
  <c r="Y437" i="3" s="1"/>
  <c r="AC437" i="3" s="1"/>
  <c r="V437" i="3"/>
  <c r="AE437" i="3" s="1"/>
  <c r="U437" i="3"/>
  <c r="S437" i="3"/>
  <c r="Q437" i="3"/>
  <c r="P437" i="3"/>
  <c r="Z436" i="3"/>
  <c r="AD436" i="3" s="1"/>
  <c r="X436" i="3"/>
  <c r="W436" i="3"/>
  <c r="U436" i="3"/>
  <c r="S436" i="3"/>
  <c r="Q436" i="3"/>
  <c r="P436" i="3"/>
  <c r="V436" i="3" s="1"/>
  <c r="AE436" i="3" s="1"/>
  <c r="AE435" i="3"/>
  <c r="X435" i="3"/>
  <c r="W435" i="3"/>
  <c r="V435" i="3"/>
  <c r="U435" i="3"/>
  <c r="S435" i="3"/>
  <c r="Q435" i="3"/>
  <c r="P435" i="3"/>
  <c r="X434" i="3"/>
  <c r="Z434" i="3" s="1"/>
  <c r="AD434" i="3" s="1"/>
  <c r="W434" i="3"/>
  <c r="U434" i="3"/>
  <c r="S434" i="3"/>
  <c r="Q434" i="3"/>
  <c r="P434" i="3"/>
  <c r="V434" i="3" s="1"/>
  <c r="AE434" i="3" s="1"/>
  <c r="X433" i="3"/>
  <c r="W433" i="3"/>
  <c r="U433" i="3"/>
  <c r="S433" i="3"/>
  <c r="Q433" i="3"/>
  <c r="P433" i="3"/>
  <c r="X432" i="3"/>
  <c r="W432" i="3"/>
  <c r="U432" i="3"/>
  <c r="S432" i="3"/>
  <c r="Q432" i="3"/>
  <c r="P432" i="3"/>
  <c r="V432" i="3" s="1"/>
  <c r="Y432" i="3" s="1"/>
  <c r="AC432" i="3" s="1"/>
  <c r="X431" i="3"/>
  <c r="W431" i="3"/>
  <c r="U431" i="3"/>
  <c r="S431" i="3"/>
  <c r="Q431" i="3"/>
  <c r="P431" i="3"/>
  <c r="X430" i="3"/>
  <c r="W430" i="3"/>
  <c r="V430" i="3"/>
  <c r="U430" i="3"/>
  <c r="S430" i="3"/>
  <c r="Q430" i="3"/>
  <c r="P430" i="3"/>
  <c r="Z429" i="3"/>
  <c r="AD429" i="3" s="1"/>
  <c r="X429" i="3"/>
  <c r="W429" i="3"/>
  <c r="U429" i="3"/>
  <c r="S429" i="3"/>
  <c r="Q429" i="3"/>
  <c r="P429" i="3"/>
  <c r="V429" i="3" s="1"/>
  <c r="X428" i="3"/>
  <c r="W428" i="3"/>
  <c r="V428" i="3"/>
  <c r="U428" i="3"/>
  <c r="S428" i="3"/>
  <c r="Q428" i="3"/>
  <c r="P428" i="3"/>
  <c r="Z427" i="3"/>
  <c r="AD427" i="3" s="1"/>
  <c r="Y427" i="3"/>
  <c r="AC427" i="3" s="1"/>
  <c r="X427" i="3"/>
  <c r="W427" i="3"/>
  <c r="U427" i="3"/>
  <c r="S427" i="3"/>
  <c r="Q427" i="3"/>
  <c r="P427" i="3"/>
  <c r="V427" i="3" s="1"/>
  <c r="AE427" i="3" s="1"/>
  <c r="X426" i="3"/>
  <c r="W426" i="3"/>
  <c r="U426" i="3"/>
  <c r="V426" i="3" s="1"/>
  <c r="S426" i="3"/>
  <c r="Q426" i="3"/>
  <c r="P426" i="3"/>
  <c r="Y425" i="3"/>
  <c r="AC425" i="3" s="1"/>
  <c r="X425" i="3"/>
  <c r="W425" i="3"/>
  <c r="U425" i="3"/>
  <c r="S425" i="3"/>
  <c r="Q425" i="3"/>
  <c r="P425" i="3"/>
  <c r="V425" i="3" s="1"/>
  <c r="X424" i="3"/>
  <c r="W424" i="3"/>
  <c r="U424" i="3"/>
  <c r="S424" i="3"/>
  <c r="Q424" i="3"/>
  <c r="P424" i="3"/>
  <c r="X423" i="3"/>
  <c r="W423" i="3"/>
  <c r="U423" i="3"/>
  <c r="S423" i="3"/>
  <c r="Q423" i="3"/>
  <c r="P423" i="3"/>
  <c r="V423" i="3" s="1"/>
  <c r="Y423" i="3" s="1"/>
  <c r="AC423" i="3" s="1"/>
  <c r="X422" i="3"/>
  <c r="W422" i="3"/>
  <c r="U422" i="3"/>
  <c r="S422" i="3"/>
  <c r="Q422" i="3"/>
  <c r="P422" i="3"/>
  <c r="V422" i="3" s="1"/>
  <c r="X421" i="3"/>
  <c r="W421" i="3"/>
  <c r="V421" i="3"/>
  <c r="U421" i="3"/>
  <c r="S421" i="3"/>
  <c r="Q421" i="3"/>
  <c r="P421" i="3"/>
  <c r="X420" i="3"/>
  <c r="W420" i="3"/>
  <c r="U420" i="3"/>
  <c r="S420" i="3"/>
  <c r="Q420" i="3"/>
  <c r="P420" i="3"/>
  <c r="V420" i="3" s="1"/>
  <c r="AD419" i="3"/>
  <c r="Z419" i="3"/>
  <c r="X419" i="3"/>
  <c r="W419" i="3"/>
  <c r="Y419" i="3" s="1"/>
  <c r="AC419" i="3" s="1"/>
  <c r="U419" i="3"/>
  <c r="V419" i="3" s="1"/>
  <c r="AE419" i="3" s="1"/>
  <c r="S419" i="3"/>
  <c r="Q419" i="3"/>
  <c r="P419" i="3"/>
  <c r="X418" i="3"/>
  <c r="W418" i="3"/>
  <c r="U418" i="3"/>
  <c r="S418" i="3"/>
  <c r="Q418" i="3"/>
  <c r="P418" i="3"/>
  <c r="V418" i="3" s="1"/>
  <c r="AD417" i="3"/>
  <c r="Z417" i="3"/>
  <c r="X417" i="3"/>
  <c r="W417" i="3"/>
  <c r="Y417" i="3" s="1"/>
  <c r="AC417" i="3" s="1"/>
  <c r="U417" i="3"/>
  <c r="S417" i="3"/>
  <c r="V417" i="3" s="1"/>
  <c r="AE417" i="3" s="1"/>
  <c r="Q417" i="3"/>
  <c r="P417" i="3"/>
  <c r="Y416" i="3"/>
  <c r="AC416" i="3" s="1"/>
  <c r="X416" i="3"/>
  <c r="Z416" i="3" s="1"/>
  <c r="AD416" i="3" s="1"/>
  <c r="W416" i="3"/>
  <c r="U416" i="3"/>
  <c r="S416" i="3"/>
  <c r="Q416" i="3"/>
  <c r="P416" i="3"/>
  <c r="V416" i="3" s="1"/>
  <c r="AE416" i="3" s="1"/>
  <c r="X415" i="3"/>
  <c r="W415" i="3"/>
  <c r="U415" i="3"/>
  <c r="S415" i="3"/>
  <c r="Q415" i="3"/>
  <c r="V415" i="3" s="1"/>
  <c r="P415" i="3"/>
  <c r="X414" i="3"/>
  <c r="W414" i="3"/>
  <c r="V414" i="3"/>
  <c r="U414" i="3"/>
  <c r="S414" i="3"/>
  <c r="Q414" i="3"/>
  <c r="P414" i="3"/>
  <c r="X413" i="3"/>
  <c r="W413" i="3"/>
  <c r="U413" i="3"/>
  <c r="S413" i="3"/>
  <c r="Q413" i="3"/>
  <c r="P413" i="3"/>
  <c r="X412" i="3"/>
  <c r="W412" i="3"/>
  <c r="U412" i="3"/>
  <c r="V412" i="3" s="1"/>
  <c r="S412" i="3"/>
  <c r="Q412" i="3"/>
  <c r="P412" i="3"/>
  <c r="X411" i="3"/>
  <c r="W411" i="3"/>
  <c r="U411" i="3"/>
  <c r="S411" i="3"/>
  <c r="Q411" i="3"/>
  <c r="P411" i="3"/>
  <c r="X410" i="3"/>
  <c r="W410" i="3"/>
  <c r="V410" i="3"/>
  <c r="U410" i="3"/>
  <c r="S410" i="3"/>
  <c r="Q410" i="3"/>
  <c r="P410" i="3"/>
  <c r="Z409" i="3"/>
  <c r="AD409" i="3" s="1"/>
  <c r="Y409" i="3"/>
  <c r="AC409" i="3" s="1"/>
  <c r="X409" i="3"/>
  <c r="W409" i="3"/>
  <c r="U409" i="3"/>
  <c r="S409" i="3"/>
  <c r="Q409" i="3"/>
  <c r="P409" i="3"/>
  <c r="V409" i="3" s="1"/>
  <c r="AE409" i="3" s="1"/>
  <c r="X408" i="3"/>
  <c r="W408" i="3"/>
  <c r="U408" i="3"/>
  <c r="S408" i="3"/>
  <c r="Q408" i="3"/>
  <c r="V408" i="3" s="1"/>
  <c r="P408" i="3"/>
  <c r="X407" i="3"/>
  <c r="W407" i="3"/>
  <c r="U407" i="3"/>
  <c r="S407" i="3"/>
  <c r="Q407" i="3"/>
  <c r="P407" i="3"/>
  <c r="V407" i="3" s="1"/>
  <c r="X406" i="3"/>
  <c r="W406" i="3"/>
  <c r="U406" i="3"/>
  <c r="S406" i="3"/>
  <c r="Q406" i="3"/>
  <c r="P406" i="3"/>
  <c r="AD405" i="3"/>
  <c r="Z405" i="3"/>
  <c r="X405" i="3"/>
  <c r="W405" i="3"/>
  <c r="Y405" i="3" s="1"/>
  <c r="AC405" i="3" s="1"/>
  <c r="V405" i="3"/>
  <c r="AE405" i="3" s="1"/>
  <c r="U405" i="3"/>
  <c r="S405" i="3"/>
  <c r="Q405" i="3"/>
  <c r="P405" i="3"/>
  <c r="X404" i="3"/>
  <c r="W404" i="3"/>
  <c r="U404" i="3"/>
  <c r="S404" i="3"/>
  <c r="Q404" i="3"/>
  <c r="P404" i="3"/>
  <c r="X403" i="3"/>
  <c r="W403" i="3"/>
  <c r="V403" i="3"/>
  <c r="U403" i="3"/>
  <c r="S403" i="3"/>
  <c r="Q403" i="3"/>
  <c r="P403" i="3"/>
  <c r="Z402" i="3"/>
  <c r="AD402" i="3" s="1"/>
  <c r="Y402" i="3"/>
  <c r="AC402" i="3" s="1"/>
  <c r="X402" i="3"/>
  <c r="W402" i="3"/>
  <c r="U402" i="3"/>
  <c r="S402" i="3"/>
  <c r="Q402" i="3"/>
  <c r="P402" i="3"/>
  <c r="V402" i="3" s="1"/>
  <c r="AE402" i="3" s="1"/>
  <c r="X401" i="3"/>
  <c r="W401" i="3"/>
  <c r="U401" i="3"/>
  <c r="S401" i="3"/>
  <c r="V401" i="3" s="1"/>
  <c r="Q401" i="3"/>
  <c r="P401" i="3"/>
  <c r="X400" i="3"/>
  <c r="W400" i="3"/>
  <c r="Y400" i="3" s="1"/>
  <c r="AC400" i="3" s="1"/>
  <c r="U400" i="3"/>
  <c r="S400" i="3"/>
  <c r="Q400" i="3"/>
  <c r="P400" i="3"/>
  <c r="V400" i="3" s="1"/>
  <c r="X399" i="3"/>
  <c r="W399" i="3"/>
  <c r="U399" i="3"/>
  <c r="S399" i="3"/>
  <c r="Q399" i="3"/>
  <c r="P399" i="3"/>
  <c r="X398" i="3"/>
  <c r="W398" i="3"/>
  <c r="V398" i="3"/>
  <c r="U398" i="3"/>
  <c r="S398" i="3"/>
  <c r="Q398" i="3"/>
  <c r="P398" i="3"/>
  <c r="X397" i="3"/>
  <c r="W397" i="3"/>
  <c r="U397" i="3"/>
  <c r="S397" i="3"/>
  <c r="Q397" i="3"/>
  <c r="P397" i="3"/>
  <c r="X396" i="3"/>
  <c r="W396" i="3"/>
  <c r="U396" i="3"/>
  <c r="V396" i="3" s="1"/>
  <c r="S396" i="3"/>
  <c r="Q396" i="3"/>
  <c r="P396" i="3"/>
  <c r="AD395" i="3"/>
  <c r="Z395" i="3"/>
  <c r="Y395" i="3"/>
  <c r="AC395" i="3" s="1"/>
  <c r="X395" i="3"/>
  <c r="W395" i="3"/>
  <c r="U395" i="3"/>
  <c r="S395" i="3"/>
  <c r="Q395" i="3"/>
  <c r="P395" i="3"/>
  <c r="V395" i="3" s="1"/>
  <c r="AE395" i="3" s="1"/>
  <c r="X394" i="3"/>
  <c r="W394" i="3"/>
  <c r="U394" i="3"/>
  <c r="V394" i="3" s="1"/>
  <c r="S394" i="3"/>
  <c r="Q394" i="3"/>
  <c r="P394" i="3"/>
  <c r="X393" i="3"/>
  <c r="W393" i="3"/>
  <c r="U393" i="3"/>
  <c r="S393" i="3"/>
  <c r="Q393" i="3"/>
  <c r="P393" i="3"/>
  <c r="X392" i="3"/>
  <c r="W392" i="3"/>
  <c r="U392" i="3"/>
  <c r="S392" i="3"/>
  <c r="Q392" i="3"/>
  <c r="V392" i="3" s="1"/>
  <c r="P392" i="3"/>
  <c r="X391" i="3"/>
  <c r="W391" i="3"/>
  <c r="U391" i="3"/>
  <c r="S391" i="3"/>
  <c r="Q391" i="3"/>
  <c r="P391" i="3"/>
  <c r="V391" i="3" s="1"/>
  <c r="AC390" i="3"/>
  <c r="Z390" i="3"/>
  <c r="AD390" i="3" s="1"/>
  <c r="Y390" i="3"/>
  <c r="X390" i="3"/>
  <c r="W390" i="3"/>
  <c r="U390" i="3"/>
  <c r="S390" i="3"/>
  <c r="Q390" i="3"/>
  <c r="P390" i="3"/>
  <c r="AD389" i="3"/>
  <c r="Z389" i="3"/>
  <c r="Y389" i="3"/>
  <c r="AC389" i="3" s="1"/>
  <c r="X389" i="3"/>
  <c r="W389" i="3"/>
  <c r="V389" i="3"/>
  <c r="AE389" i="3" s="1"/>
  <c r="U389" i="3"/>
  <c r="S389" i="3"/>
  <c r="Q389" i="3"/>
  <c r="P389" i="3"/>
  <c r="Y388" i="3"/>
  <c r="AC388" i="3" s="1"/>
  <c r="X388" i="3"/>
  <c r="W388" i="3"/>
  <c r="U388" i="3"/>
  <c r="S388" i="3"/>
  <c r="Q388" i="3"/>
  <c r="P388" i="3"/>
  <c r="V388" i="3" s="1"/>
  <c r="X387" i="3"/>
  <c r="W387" i="3"/>
  <c r="U387" i="3"/>
  <c r="V387" i="3" s="1"/>
  <c r="S387" i="3"/>
  <c r="Q387" i="3"/>
  <c r="P387" i="3"/>
  <c r="Z386" i="3"/>
  <c r="AD386" i="3" s="1"/>
  <c r="Y386" i="3"/>
  <c r="AC386" i="3" s="1"/>
  <c r="X386" i="3"/>
  <c r="W386" i="3"/>
  <c r="U386" i="3"/>
  <c r="S386" i="3"/>
  <c r="Q386" i="3"/>
  <c r="P386" i="3"/>
  <c r="AD385" i="3"/>
  <c r="Z385" i="3"/>
  <c r="X385" i="3"/>
  <c r="W385" i="3"/>
  <c r="Y385" i="3" s="1"/>
  <c r="AC385" i="3" s="1"/>
  <c r="U385" i="3"/>
  <c r="V385" i="3" s="1"/>
  <c r="AE385" i="3" s="1"/>
  <c r="S385" i="3"/>
  <c r="Q385" i="3"/>
  <c r="P385" i="3"/>
  <c r="Y384" i="3"/>
  <c r="AC384" i="3" s="1"/>
  <c r="X384" i="3"/>
  <c r="Z384" i="3" s="1"/>
  <c r="AD384" i="3" s="1"/>
  <c r="W384" i="3"/>
  <c r="U384" i="3"/>
  <c r="S384" i="3"/>
  <c r="Q384" i="3"/>
  <c r="P384" i="3"/>
  <c r="V384" i="3" s="1"/>
  <c r="AE384" i="3" s="1"/>
  <c r="X383" i="3"/>
  <c r="W383" i="3"/>
  <c r="U383" i="3"/>
  <c r="S383" i="3"/>
  <c r="V383" i="3" s="1"/>
  <c r="Q383" i="3"/>
  <c r="P383" i="3"/>
  <c r="X382" i="3"/>
  <c r="W382" i="3"/>
  <c r="V382" i="3"/>
  <c r="U382" i="3"/>
  <c r="S382" i="3"/>
  <c r="Q382" i="3"/>
  <c r="P382" i="3"/>
  <c r="X381" i="3"/>
  <c r="W381" i="3"/>
  <c r="U381" i="3"/>
  <c r="S381" i="3"/>
  <c r="Q381" i="3"/>
  <c r="P381" i="3"/>
  <c r="X380" i="3"/>
  <c r="W380" i="3"/>
  <c r="V380" i="3"/>
  <c r="U380" i="3"/>
  <c r="S380" i="3"/>
  <c r="Q380" i="3"/>
  <c r="P380" i="3"/>
  <c r="AC379" i="3"/>
  <c r="X379" i="3"/>
  <c r="W379" i="3"/>
  <c r="U379" i="3"/>
  <c r="S379" i="3"/>
  <c r="Q379" i="3"/>
  <c r="P379" i="3"/>
  <c r="V379" i="3" s="1"/>
  <c r="Y379" i="3" s="1"/>
  <c r="X378" i="3"/>
  <c r="W378" i="3"/>
  <c r="U378" i="3"/>
  <c r="V378" i="3" s="1"/>
  <c r="S378" i="3"/>
  <c r="Q378" i="3"/>
  <c r="P378" i="3"/>
  <c r="X377" i="3"/>
  <c r="W377" i="3"/>
  <c r="U377" i="3"/>
  <c r="S377" i="3"/>
  <c r="Q377" i="3"/>
  <c r="P377" i="3"/>
  <c r="X376" i="3"/>
  <c r="W376" i="3"/>
  <c r="U376" i="3"/>
  <c r="S376" i="3"/>
  <c r="Q376" i="3"/>
  <c r="P376" i="3"/>
  <c r="X375" i="3"/>
  <c r="Z375" i="3" s="1"/>
  <c r="AD375" i="3" s="1"/>
  <c r="W375" i="3"/>
  <c r="U375" i="3"/>
  <c r="S375" i="3"/>
  <c r="Q375" i="3"/>
  <c r="P375" i="3"/>
  <c r="V375" i="3" s="1"/>
  <c r="X374" i="3"/>
  <c r="W374" i="3"/>
  <c r="V374" i="3"/>
  <c r="U374" i="3"/>
  <c r="S374" i="3"/>
  <c r="Q374" i="3"/>
  <c r="P374" i="3"/>
  <c r="Z373" i="3"/>
  <c r="AD373" i="3" s="1"/>
  <c r="X373" i="3"/>
  <c r="W373" i="3"/>
  <c r="Y373" i="3" s="1"/>
  <c r="AC373" i="3" s="1"/>
  <c r="U373" i="3"/>
  <c r="S373" i="3"/>
  <c r="Q373" i="3"/>
  <c r="P373" i="3"/>
  <c r="V373" i="3" s="1"/>
  <c r="AE373" i="3" s="1"/>
  <c r="AD372" i="3"/>
  <c r="AC372" i="3"/>
  <c r="Z372" i="3"/>
  <c r="Y372" i="3"/>
  <c r="X372" i="3"/>
  <c r="W372" i="3"/>
  <c r="U372" i="3"/>
  <c r="S372" i="3"/>
  <c r="Q372" i="3"/>
  <c r="V372" i="3" s="1"/>
  <c r="AE372" i="3" s="1"/>
  <c r="P372" i="3"/>
  <c r="Y371" i="3"/>
  <c r="AC371" i="3" s="1"/>
  <c r="X371" i="3"/>
  <c r="Z371" i="3" s="1"/>
  <c r="AD371" i="3" s="1"/>
  <c r="W371" i="3"/>
  <c r="U371" i="3"/>
  <c r="S371" i="3"/>
  <c r="Q371" i="3"/>
  <c r="P371" i="3"/>
  <c r="V371" i="3" s="1"/>
  <c r="AE371" i="3" s="1"/>
  <c r="AD370" i="3"/>
  <c r="AC370" i="3"/>
  <c r="Z370" i="3"/>
  <c r="Y370" i="3"/>
  <c r="X370" i="3"/>
  <c r="W370" i="3"/>
  <c r="U370" i="3"/>
  <c r="S370" i="3"/>
  <c r="Q370" i="3"/>
  <c r="V370" i="3" s="1"/>
  <c r="AE370" i="3" s="1"/>
  <c r="P370" i="3"/>
  <c r="Z369" i="3"/>
  <c r="AD369" i="3" s="1"/>
  <c r="X369" i="3"/>
  <c r="W369" i="3"/>
  <c r="Y369" i="3" s="1"/>
  <c r="AC369" i="3" s="1"/>
  <c r="U369" i="3"/>
  <c r="S369" i="3"/>
  <c r="Q369" i="3"/>
  <c r="P369" i="3"/>
  <c r="V369" i="3" s="1"/>
  <c r="AE369" i="3" s="1"/>
  <c r="X368" i="3"/>
  <c r="W368" i="3"/>
  <c r="U368" i="3"/>
  <c r="S368" i="3"/>
  <c r="Q368" i="3"/>
  <c r="V368" i="3" s="1"/>
  <c r="P368" i="3"/>
  <c r="Z367" i="3"/>
  <c r="AD367" i="3" s="1"/>
  <c r="Y367" i="3"/>
  <c r="AC367" i="3" s="1"/>
  <c r="X367" i="3"/>
  <c r="W367" i="3"/>
  <c r="U367" i="3"/>
  <c r="S367" i="3"/>
  <c r="Q367" i="3"/>
  <c r="P367" i="3"/>
  <c r="V367" i="3" s="1"/>
  <c r="AE367" i="3" s="1"/>
  <c r="X366" i="3"/>
  <c r="W366" i="3"/>
  <c r="U366" i="3"/>
  <c r="S366" i="3"/>
  <c r="Q366" i="3"/>
  <c r="V366" i="3" s="1"/>
  <c r="P366" i="3"/>
  <c r="Y365" i="3"/>
  <c r="AC365" i="3" s="1"/>
  <c r="X365" i="3"/>
  <c r="W365" i="3"/>
  <c r="U365" i="3"/>
  <c r="S365" i="3"/>
  <c r="Q365" i="3"/>
  <c r="P365" i="3"/>
  <c r="V365" i="3" s="1"/>
  <c r="X364" i="3"/>
  <c r="W364" i="3"/>
  <c r="U364" i="3"/>
  <c r="S364" i="3"/>
  <c r="Q364" i="3"/>
  <c r="V364" i="3" s="1"/>
  <c r="P364" i="3"/>
  <c r="X363" i="3"/>
  <c r="Z363" i="3" s="1"/>
  <c r="AD363" i="3" s="1"/>
  <c r="W363" i="3"/>
  <c r="Y363" i="3" s="1"/>
  <c r="AC363" i="3" s="1"/>
  <c r="U363" i="3"/>
  <c r="S363" i="3"/>
  <c r="Q363" i="3"/>
  <c r="P363" i="3"/>
  <c r="V363" i="3" s="1"/>
  <c r="AE363" i="3" s="1"/>
  <c r="AD362" i="3"/>
  <c r="AC362" i="3"/>
  <c r="Z362" i="3"/>
  <c r="Y362" i="3"/>
  <c r="X362" i="3"/>
  <c r="W362" i="3"/>
  <c r="U362" i="3"/>
  <c r="S362" i="3"/>
  <c r="Q362" i="3"/>
  <c r="V362" i="3" s="1"/>
  <c r="AE362" i="3" s="1"/>
  <c r="P362" i="3"/>
  <c r="Z361" i="3"/>
  <c r="AD361" i="3" s="1"/>
  <c r="X361" i="3"/>
  <c r="W361" i="3"/>
  <c r="Y361" i="3" s="1"/>
  <c r="AC361" i="3" s="1"/>
  <c r="U361" i="3"/>
  <c r="S361" i="3"/>
  <c r="Q361" i="3"/>
  <c r="P361" i="3"/>
  <c r="V361" i="3" s="1"/>
  <c r="AE361" i="3" s="1"/>
  <c r="X360" i="3"/>
  <c r="W360" i="3"/>
  <c r="U360" i="3"/>
  <c r="S360" i="3"/>
  <c r="Q360" i="3"/>
  <c r="V360" i="3" s="1"/>
  <c r="P360" i="3"/>
  <c r="X359" i="3"/>
  <c r="W359" i="3"/>
  <c r="U359" i="3"/>
  <c r="S359" i="3"/>
  <c r="Q359" i="3"/>
  <c r="P359" i="3"/>
  <c r="V359" i="3" s="1"/>
  <c r="Y359" i="3" s="1"/>
  <c r="AC359" i="3" s="1"/>
  <c r="X358" i="3"/>
  <c r="W358" i="3"/>
  <c r="U358" i="3"/>
  <c r="S358" i="3"/>
  <c r="Q358" i="3"/>
  <c r="V358" i="3" s="1"/>
  <c r="P358" i="3"/>
  <c r="Z357" i="3"/>
  <c r="AD357" i="3" s="1"/>
  <c r="X357" i="3"/>
  <c r="W357" i="3"/>
  <c r="Y357" i="3" s="1"/>
  <c r="AC357" i="3" s="1"/>
  <c r="U357" i="3"/>
  <c r="S357" i="3"/>
  <c r="Q357" i="3"/>
  <c r="P357" i="3"/>
  <c r="V357" i="3" s="1"/>
  <c r="AE357" i="3" s="1"/>
  <c r="X356" i="3"/>
  <c r="W356" i="3"/>
  <c r="U356" i="3"/>
  <c r="S356" i="3"/>
  <c r="Q356" i="3"/>
  <c r="V356" i="3" s="1"/>
  <c r="P356" i="3"/>
  <c r="Z355" i="3"/>
  <c r="AD355" i="3" s="1"/>
  <c r="X355" i="3"/>
  <c r="W355" i="3"/>
  <c r="Y355" i="3" s="1"/>
  <c r="AC355" i="3" s="1"/>
  <c r="U355" i="3"/>
  <c r="S355" i="3"/>
  <c r="Q355" i="3"/>
  <c r="P355" i="3"/>
  <c r="V355" i="3" s="1"/>
  <c r="AE355" i="3" s="1"/>
  <c r="X354" i="3"/>
  <c r="W354" i="3"/>
  <c r="V354" i="3"/>
  <c r="U354" i="3"/>
  <c r="S354" i="3"/>
  <c r="Q354" i="3"/>
  <c r="P354" i="3"/>
  <c r="Z353" i="3"/>
  <c r="AD353" i="3" s="1"/>
  <c r="Y353" i="3"/>
  <c r="AC353" i="3" s="1"/>
  <c r="X353" i="3"/>
  <c r="W353" i="3"/>
  <c r="U353" i="3"/>
  <c r="S353" i="3"/>
  <c r="Q353" i="3"/>
  <c r="P353" i="3"/>
  <c r="V353" i="3" s="1"/>
  <c r="AE353" i="3" s="1"/>
  <c r="X352" i="3"/>
  <c r="W352" i="3"/>
  <c r="U352" i="3"/>
  <c r="S352" i="3"/>
  <c r="Q352" i="3"/>
  <c r="P352" i="3"/>
  <c r="Y351" i="3"/>
  <c r="AC351" i="3" s="1"/>
  <c r="X351" i="3"/>
  <c r="W351" i="3"/>
  <c r="U351" i="3"/>
  <c r="S351" i="3"/>
  <c r="Q351" i="3"/>
  <c r="P351" i="3"/>
  <c r="V351" i="3" s="1"/>
  <c r="X350" i="3"/>
  <c r="W350" i="3"/>
  <c r="U350" i="3"/>
  <c r="S350" i="3"/>
  <c r="Q350" i="3"/>
  <c r="P350" i="3"/>
  <c r="X349" i="3"/>
  <c r="Z349" i="3" s="1"/>
  <c r="AD349" i="3" s="1"/>
  <c r="W349" i="3"/>
  <c r="U349" i="3"/>
  <c r="S349" i="3"/>
  <c r="Q349" i="3"/>
  <c r="P349" i="3"/>
  <c r="V349" i="3" s="1"/>
  <c r="AD348" i="3"/>
  <c r="AC348" i="3"/>
  <c r="Z348" i="3"/>
  <c r="Y348" i="3"/>
  <c r="X348" i="3"/>
  <c r="W348" i="3"/>
  <c r="U348" i="3"/>
  <c r="S348" i="3"/>
  <c r="Q348" i="3"/>
  <c r="V348" i="3" s="1"/>
  <c r="AE348" i="3" s="1"/>
  <c r="P348" i="3"/>
  <c r="Z347" i="3"/>
  <c r="AD347" i="3" s="1"/>
  <c r="Y347" i="3"/>
  <c r="AC347" i="3" s="1"/>
  <c r="X347" i="3"/>
  <c r="W347" i="3"/>
  <c r="U347" i="3"/>
  <c r="S347" i="3"/>
  <c r="Q347" i="3"/>
  <c r="P347" i="3"/>
  <c r="V347" i="3" s="1"/>
  <c r="AE347" i="3" s="1"/>
  <c r="X346" i="3"/>
  <c r="W346" i="3"/>
  <c r="U346" i="3"/>
  <c r="S346" i="3"/>
  <c r="Q346" i="3"/>
  <c r="V346" i="3" s="1"/>
  <c r="P346" i="3"/>
  <c r="Y345" i="3"/>
  <c r="AC345" i="3" s="1"/>
  <c r="X345" i="3"/>
  <c r="W345" i="3"/>
  <c r="U345" i="3"/>
  <c r="S345" i="3"/>
  <c r="Q345" i="3"/>
  <c r="P345" i="3"/>
  <c r="V345" i="3" s="1"/>
  <c r="X344" i="3"/>
  <c r="W344" i="3"/>
  <c r="U344" i="3"/>
  <c r="S344" i="3"/>
  <c r="Q344" i="3"/>
  <c r="P344" i="3"/>
  <c r="X343" i="3"/>
  <c r="Z343" i="3" s="1"/>
  <c r="AD343" i="3" s="1"/>
  <c r="W343" i="3"/>
  <c r="U343" i="3"/>
  <c r="S343" i="3"/>
  <c r="Q343" i="3"/>
  <c r="P343" i="3"/>
  <c r="V343" i="3" s="1"/>
  <c r="AD342" i="3"/>
  <c r="AC342" i="3"/>
  <c r="Z342" i="3"/>
  <c r="Y342" i="3"/>
  <c r="X342" i="3"/>
  <c r="W342" i="3"/>
  <c r="U342" i="3"/>
  <c r="S342" i="3"/>
  <c r="Q342" i="3"/>
  <c r="V342" i="3" s="1"/>
  <c r="AE342" i="3" s="1"/>
  <c r="P342" i="3"/>
  <c r="Z341" i="3"/>
  <c r="AD341" i="3" s="1"/>
  <c r="Y341" i="3"/>
  <c r="AC341" i="3" s="1"/>
  <c r="X341" i="3"/>
  <c r="W341" i="3"/>
  <c r="U341" i="3"/>
  <c r="S341" i="3"/>
  <c r="Q341" i="3"/>
  <c r="P341" i="3"/>
  <c r="V341" i="3" s="1"/>
  <c r="AE341" i="3" s="1"/>
  <c r="X340" i="3"/>
  <c r="W340" i="3"/>
  <c r="U340" i="3"/>
  <c r="S340" i="3"/>
  <c r="Q340" i="3"/>
  <c r="V340" i="3" s="1"/>
  <c r="P340" i="3"/>
  <c r="Y339" i="3"/>
  <c r="AC339" i="3" s="1"/>
  <c r="X339" i="3"/>
  <c r="W339" i="3"/>
  <c r="U339" i="3"/>
  <c r="S339" i="3"/>
  <c r="Q339" i="3"/>
  <c r="P339" i="3"/>
  <c r="V339" i="3" s="1"/>
  <c r="X338" i="3"/>
  <c r="W338" i="3"/>
  <c r="U338" i="3"/>
  <c r="S338" i="3"/>
  <c r="Q338" i="3"/>
  <c r="V338" i="3" s="1"/>
  <c r="P338" i="3"/>
  <c r="X337" i="3"/>
  <c r="Z337" i="3" s="1"/>
  <c r="AD337" i="3" s="1"/>
  <c r="W337" i="3"/>
  <c r="U337" i="3"/>
  <c r="S337" i="3"/>
  <c r="Q337" i="3"/>
  <c r="P337" i="3"/>
  <c r="V337" i="3" s="1"/>
  <c r="X336" i="3"/>
  <c r="W336" i="3"/>
  <c r="V336" i="3"/>
  <c r="U336" i="3"/>
  <c r="S336" i="3"/>
  <c r="Q336" i="3"/>
  <c r="P336" i="3"/>
  <c r="Z335" i="3"/>
  <c r="AD335" i="3" s="1"/>
  <c r="X335" i="3"/>
  <c r="W335" i="3"/>
  <c r="Y335" i="3" s="1"/>
  <c r="AC335" i="3" s="1"/>
  <c r="U335" i="3"/>
  <c r="S335" i="3"/>
  <c r="Q335" i="3"/>
  <c r="P335" i="3"/>
  <c r="V335" i="3" s="1"/>
  <c r="AE335" i="3" s="1"/>
  <c r="X334" i="3"/>
  <c r="W334" i="3"/>
  <c r="U334" i="3"/>
  <c r="V334" i="3" s="1"/>
  <c r="S334" i="3"/>
  <c r="Q334" i="3"/>
  <c r="P334" i="3"/>
  <c r="Z333" i="3"/>
  <c r="AD333" i="3" s="1"/>
  <c r="Y333" i="3"/>
  <c r="AC333" i="3" s="1"/>
  <c r="X333" i="3"/>
  <c r="W333" i="3"/>
  <c r="U333" i="3"/>
  <c r="S333" i="3"/>
  <c r="Q333" i="3"/>
  <c r="P333" i="3"/>
  <c r="V333" i="3" s="1"/>
  <c r="AE333" i="3" s="1"/>
  <c r="AD332" i="3"/>
  <c r="AC332" i="3"/>
  <c r="Z332" i="3"/>
  <c r="Y332" i="3"/>
  <c r="X332" i="3"/>
  <c r="W332" i="3"/>
  <c r="U332" i="3"/>
  <c r="S332" i="3"/>
  <c r="Q332" i="3"/>
  <c r="V332" i="3" s="1"/>
  <c r="AE332" i="3" s="1"/>
  <c r="P332" i="3"/>
  <c r="Z331" i="3"/>
  <c r="AD331" i="3" s="1"/>
  <c r="X331" i="3"/>
  <c r="W331" i="3"/>
  <c r="Y331" i="3" s="1"/>
  <c r="AC331" i="3" s="1"/>
  <c r="U331" i="3"/>
  <c r="S331" i="3"/>
  <c r="Q331" i="3"/>
  <c r="P331" i="3"/>
  <c r="V331" i="3" s="1"/>
  <c r="AE331" i="3" s="1"/>
  <c r="X330" i="3"/>
  <c r="W330" i="3"/>
  <c r="U330" i="3"/>
  <c r="S330" i="3"/>
  <c r="Q330" i="3"/>
  <c r="V330" i="3" s="1"/>
  <c r="P330" i="3"/>
  <c r="Z329" i="3"/>
  <c r="AD329" i="3" s="1"/>
  <c r="X329" i="3"/>
  <c r="W329" i="3"/>
  <c r="Y329" i="3" s="1"/>
  <c r="AC329" i="3" s="1"/>
  <c r="U329" i="3"/>
  <c r="S329" i="3"/>
  <c r="Q329" i="3"/>
  <c r="P329" i="3"/>
  <c r="V329" i="3" s="1"/>
  <c r="AE329" i="3" s="1"/>
  <c r="AD328" i="3"/>
  <c r="AC328" i="3"/>
  <c r="Z328" i="3"/>
  <c r="Y328" i="3"/>
  <c r="X328" i="3"/>
  <c r="W328" i="3"/>
  <c r="U328" i="3"/>
  <c r="S328" i="3"/>
  <c r="Q328" i="3"/>
  <c r="V328" i="3" s="1"/>
  <c r="AE328" i="3" s="1"/>
  <c r="P328" i="3"/>
  <c r="X327" i="3"/>
  <c r="W327" i="3"/>
  <c r="U327" i="3"/>
  <c r="S327" i="3"/>
  <c r="Q327" i="3"/>
  <c r="P327" i="3"/>
  <c r="V327" i="3" s="1"/>
  <c r="Y327" i="3" s="1"/>
  <c r="AC327" i="3" s="1"/>
  <c r="X326" i="3"/>
  <c r="W326" i="3"/>
  <c r="U326" i="3"/>
  <c r="S326" i="3"/>
  <c r="Q326" i="3"/>
  <c r="V326" i="3" s="1"/>
  <c r="P326" i="3"/>
  <c r="X325" i="3"/>
  <c r="Z325" i="3" s="1"/>
  <c r="AD325" i="3" s="1"/>
  <c r="W325" i="3"/>
  <c r="Y325" i="3" s="1"/>
  <c r="AC325" i="3" s="1"/>
  <c r="U325" i="3"/>
  <c r="S325" i="3"/>
  <c r="Q325" i="3"/>
  <c r="P325" i="3"/>
  <c r="V325" i="3" s="1"/>
  <c r="AE325" i="3" s="1"/>
  <c r="X324" i="3"/>
  <c r="W324" i="3"/>
  <c r="U324" i="3"/>
  <c r="S324" i="3"/>
  <c r="Q324" i="3"/>
  <c r="V324" i="3" s="1"/>
  <c r="AE324" i="3" s="1"/>
  <c r="P324" i="3"/>
  <c r="Z323" i="3"/>
  <c r="AD323" i="3" s="1"/>
  <c r="X323" i="3"/>
  <c r="W323" i="3"/>
  <c r="Y323" i="3" s="1"/>
  <c r="AC323" i="3" s="1"/>
  <c r="U323" i="3"/>
  <c r="S323" i="3"/>
  <c r="Q323" i="3"/>
  <c r="P323" i="3"/>
  <c r="V323" i="3" s="1"/>
  <c r="AE323" i="3" s="1"/>
  <c r="AD322" i="3"/>
  <c r="AC322" i="3"/>
  <c r="Z322" i="3"/>
  <c r="Y322" i="3"/>
  <c r="X322" i="3"/>
  <c r="W322" i="3"/>
  <c r="U322" i="3"/>
  <c r="S322" i="3"/>
  <c r="Q322" i="3"/>
  <c r="P322" i="3"/>
  <c r="Y321" i="3"/>
  <c r="AC321" i="3" s="1"/>
  <c r="X321" i="3"/>
  <c r="Z321" i="3" s="1"/>
  <c r="AD321" i="3" s="1"/>
  <c r="W321" i="3"/>
  <c r="U321" i="3"/>
  <c r="S321" i="3"/>
  <c r="Q321" i="3"/>
  <c r="P321" i="3"/>
  <c r="V321" i="3" s="1"/>
  <c r="AE321" i="3" s="1"/>
  <c r="AD320" i="3"/>
  <c r="AC320" i="3"/>
  <c r="Z320" i="3"/>
  <c r="Y320" i="3"/>
  <c r="X320" i="3"/>
  <c r="W320" i="3"/>
  <c r="V320" i="3"/>
  <c r="AE320" i="3" s="1"/>
  <c r="U320" i="3"/>
  <c r="S320" i="3"/>
  <c r="Q320" i="3"/>
  <c r="P320" i="3"/>
  <c r="Z319" i="3"/>
  <c r="AD319" i="3" s="1"/>
  <c r="X319" i="3"/>
  <c r="W319" i="3"/>
  <c r="Y319" i="3" s="1"/>
  <c r="AC319" i="3" s="1"/>
  <c r="U319" i="3"/>
  <c r="S319" i="3"/>
  <c r="Q319" i="3"/>
  <c r="P319" i="3"/>
  <c r="V319" i="3" s="1"/>
  <c r="AE319" i="3" s="1"/>
  <c r="X318" i="3"/>
  <c r="W318" i="3"/>
  <c r="U318" i="3"/>
  <c r="S318" i="3"/>
  <c r="Q318" i="3"/>
  <c r="V318" i="3" s="1"/>
  <c r="P318" i="3"/>
  <c r="Z317" i="3"/>
  <c r="AD317" i="3" s="1"/>
  <c r="X317" i="3"/>
  <c r="W317" i="3"/>
  <c r="Y317" i="3" s="1"/>
  <c r="AC317" i="3" s="1"/>
  <c r="U317" i="3"/>
  <c r="S317" i="3"/>
  <c r="Q317" i="3"/>
  <c r="P317" i="3"/>
  <c r="V317" i="3" s="1"/>
  <c r="AE317" i="3" s="1"/>
  <c r="X316" i="3"/>
  <c r="W316" i="3"/>
  <c r="U316" i="3"/>
  <c r="S316" i="3"/>
  <c r="Q316" i="3"/>
  <c r="P316" i="3"/>
  <c r="X315" i="3"/>
  <c r="W315" i="3"/>
  <c r="U315" i="3"/>
  <c r="S315" i="3"/>
  <c r="Q315" i="3"/>
  <c r="P315" i="3"/>
  <c r="V315" i="3" s="1"/>
  <c r="X314" i="3"/>
  <c r="W314" i="3"/>
  <c r="U314" i="3"/>
  <c r="S314" i="3"/>
  <c r="Q314" i="3"/>
  <c r="V314" i="3" s="1"/>
  <c r="P314" i="3"/>
  <c r="Z313" i="3"/>
  <c r="AD313" i="3" s="1"/>
  <c r="X313" i="3"/>
  <c r="W313" i="3"/>
  <c r="Y313" i="3" s="1"/>
  <c r="AC313" i="3" s="1"/>
  <c r="U313" i="3"/>
  <c r="S313" i="3"/>
  <c r="Q313" i="3"/>
  <c r="P313" i="3"/>
  <c r="V313" i="3" s="1"/>
  <c r="AE313" i="3" s="1"/>
  <c r="X312" i="3"/>
  <c r="W312" i="3"/>
  <c r="U312" i="3"/>
  <c r="S312" i="3"/>
  <c r="Q312" i="3"/>
  <c r="V312" i="3" s="1"/>
  <c r="P312" i="3"/>
  <c r="Z311" i="3"/>
  <c r="AD311" i="3" s="1"/>
  <c r="X311" i="3"/>
  <c r="W311" i="3"/>
  <c r="Y311" i="3" s="1"/>
  <c r="AC311" i="3" s="1"/>
  <c r="U311" i="3"/>
  <c r="S311" i="3"/>
  <c r="Q311" i="3"/>
  <c r="P311" i="3"/>
  <c r="V311" i="3" s="1"/>
  <c r="AE311" i="3" s="1"/>
  <c r="X310" i="3"/>
  <c r="W310" i="3"/>
  <c r="U310" i="3"/>
  <c r="S310" i="3"/>
  <c r="Q310" i="3"/>
  <c r="V310" i="3" s="1"/>
  <c r="P310" i="3"/>
  <c r="Z309" i="3"/>
  <c r="AD309" i="3" s="1"/>
  <c r="Y309" i="3"/>
  <c r="AC309" i="3" s="1"/>
  <c r="X309" i="3"/>
  <c r="W309" i="3"/>
  <c r="U309" i="3"/>
  <c r="S309" i="3"/>
  <c r="Q309" i="3"/>
  <c r="P309" i="3"/>
  <c r="V309" i="3" s="1"/>
  <c r="AE309" i="3" s="1"/>
  <c r="AD308" i="3"/>
  <c r="AC308" i="3"/>
  <c r="Z308" i="3"/>
  <c r="Y308" i="3"/>
  <c r="X308" i="3"/>
  <c r="W308" i="3"/>
  <c r="U308" i="3"/>
  <c r="S308" i="3"/>
  <c r="Q308" i="3"/>
  <c r="P308" i="3"/>
  <c r="Z307" i="3"/>
  <c r="AD307" i="3" s="1"/>
  <c r="X307" i="3"/>
  <c r="W307" i="3"/>
  <c r="Y307" i="3" s="1"/>
  <c r="AC307" i="3" s="1"/>
  <c r="U307" i="3"/>
  <c r="S307" i="3"/>
  <c r="Q307" i="3"/>
  <c r="P307" i="3"/>
  <c r="V307" i="3" s="1"/>
  <c r="AE307" i="3" s="1"/>
  <c r="AE306" i="3"/>
  <c r="AD306" i="3"/>
  <c r="AC306" i="3"/>
  <c r="Z306" i="3"/>
  <c r="Y306" i="3"/>
  <c r="X306" i="3"/>
  <c r="W306" i="3"/>
  <c r="U306" i="3"/>
  <c r="V306" i="3" s="1"/>
  <c r="S306" i="3"/>
  <c r="Q306" i="3"/>
  <c r="P306" i="3"/>
  <c r="Z305" i="3"/>
  <c r="AD305" i="3" s="1"/>
  <c r="Y305" i="3"/>
  <c r="AC305" i="3" s="1"/>
  <c r="X305" i="3"/>
  <c r="W305" i="3"/>
  <c r="U305" i="3"/>
  <c r="S305" i="3"/>
  <c r="Q305" i="3"/>
  <c r="P305" i="3"/>
  <c r="V305" i="3" s="1"/>
  <c r="AE305" i="3" s="1"/>
  <c r="AD304" i="3"/>
  <c r="AC304" i="3"/>
  <c r="Z304" i="3"/>
  <c r="Y304" i="3"/>
  <c r="X304" i="3"/>
  <c r="W304" i="3"/>
  <c r="U304" i="3"/>
  <c r="S304" i="3"/>
  <c r="Q304" i="3"/>
  <c r="V304" i="3" s="1"/>
  <c r="AE304" i="3" s="1"/>
  <c r="P304" i="3"/>
  <c r="Z303" i="3"/>
  <c r="AD303" i="3" s="1"/>
  <c r="X303" i="3"/>
  <c r="W303" i="3"/>
  <c r="Y303" i="3" s="1"/>
  <c r="AC303" i="3" s="1"/>
  <c r="U303" i="3"/>
  <c r="S303" i="3"/>
  <c r="Q303" i="3"/>
  <c r="P303" i="3"/>
  <c r="V303" i="3" s="1"/>
  <c r="AE303" i="3" s="1"/>
  <c r="AD302" i="3"/>
  <c r="AC302" i="3"/>
  <c r="Z302" i="3"/>
  <c r="Y302" i="3"/>
  <c r="X302" i="3"/>
  <c r="W302" i="3"/>
  <c r="U302" i="3"/>
  <c r="V302" i="3" s="1"/>
  <c r="AE302" i="3" s="1"/>
  <c r="S302" i="3"/>
  <c r="Q302" i="3"/>
  <c r="P302" i="3"/>
  <c r="Z301" i="3"/>
  <c r="AD301" i="3" s="1"/>
  <c r="X301" i="3"/>
  <c r="W301" i="3"/>
  <c r="Y301" i="3" s="1"/>
  <c r="AC301" i="3" s="1"/>
  <c r="U301" i="3"/>
  <c r="S301" i="3"/>
  <c r="Q301" i="3"/>
  <c r="P301" i="3"/>
  <c r="V301" i="3" s="1"/>
  <c r="AE301" i="3" s="1"/>
  <c r="AD300" i="3"/>
  <c r="AC300" i="3"/>
  <c r="Z300" i="3"/>
  <c r="Y300" i="3"/>
  <c r="X300" i="3"/>
  <c r="W300" i="3"/>
  <c r="U300" i="3"/>
  <c r="S300" i="3"/>
  <c r="Q300" i="3"/>
  <c r="P300" i="3"/>
  <c r="X299" i="3"/>
  <c r="Z299" i="3" s="1"/>
  <c r="AD299" i="3" s="1"/>
  <c r="W299" i="3"/>
  <c r="Y299" i="3" s="1"/>
  <c r="AC299" i="3" s="1"/>
  <c r="U299" i="3"/>
  <c r="S299" i="3"/>
  <c r="Q299" i="3"/>
  <c r="P299" i="3"/>
  <c r="V299" i="3" s="1"/>
  <c r="AE299" i="3" s="1"/>
  <c r="X298" i="3"/>
  <c r="W298" i="3"/>
  <c r="U298" i="3"/>
  <c r="S298" i="3"/>
  <c r="V298" i="3" s="1"/>
  <c r="Q298" i="3"/>
  <c r="P298" i="3"/>
  <c r="Z297" i="3"/>
  <c r="AD297" i="3" s="1"/>
  <c r="X297" i="3"/>
  <c r="W297" i="3"/>
  <c r="Y297" i="3" s="1"/>
  <c r="AC297" i="3" s="1"/>
  <c r="U297" i="3"/>
  <c r="S297" i="3"/>
  <c r="Q297" i="3"/>
  <c r="P297" i="3"/>
  <c r="V297" i="3" s="1"/>
  <c r="AE297" i="3" s="1"/>
  <c r="AD296" i="3"/>
  <c r="AC296" i="3"/>
  <c r="Z296" i="3"/>
  <c r="Y296" i="3"/>
  <c r="X296" i="3"/>
  <c r="W296" i="3"/>
  <c r="U296" i="3"/>
  <c r="S296" i="3"/>
  <c r="Q296" i="3"/>
  <c r="P296" i="3"/>
  <c r="Y295" i="3"/>
  <c r="AC295" i="3" s="1"/>
  <c r="X295" i="3"/>
  <c r="Z295" i="3" s="1"/>
  <c r="AD295" i="3" s="1"/>
  <c r="W295" i="3"/>
  <c r="U295" i="3"/>
  <c r="S295" i="3"/>
  <c r="Q295" i="3"/>
  <c r="P295" i="3"/>
  <c r="V295" i="3" s="1"/>
  <c r="AE295" i="3" s="1"/>
  <c r="AD294" i="3"/>
  <c r="AC294" i="3"/>
  <c r="Z294" i="3"/>
  <c r="Y294" i="3"/>
  <c r="X294" i="3"/>
  <c r="W294" i="3"/>
  <c r="U294" i="3"/>
  <c r="S294" i="3"/>
  <c r="Q294" i="3"/>
  <c r="V294" i="3" s="1"/>
  <c r="AE294" i="3" s="1"/>
  <c r="P294" i="3"/>
  <c r="Z293" i="3"/>
  <c r="AD293" i="3" s="1"/>
  <c r="X293" i="3"/>
  <c r="W293" i="3"/>
  <c r="Y293" i="3" s="1"/>
  <c r="AC293" i="3" s="1"/>
  <c r="U293" i="3"/>
  <c r="S293" i="3"/>
  <c r="Q293" i="3"/>
  <c r="P293" i="3"/>
  <c r="V293" i="3" s="1"/>
  <c r="AE293" i="3" s="1"/>
  <c r="X292" i="3"/>
  <c r="W292" i="3"/>
  <c r="U292" i="3"/>
  <c r="S292" i="3"/>
  <c r="Q292" i="3"/>
  <c r="V292" i="3" s="1"/>
  <c r="P292" i="3"/>
  <c r="Z291" i="3"/>
  <c r="AD291" i="3" s="1"/>
  <c r="Y291" i="3"/>
  <c r="AC291" i="3" s="1"/>
  <c r="X291" i="3"/>
  <c r="W291" i="3"/>
  <c r="U291" i="3"/>
  <c r="S291" i="3"/>
  <c r="Q291" i="3"/>
  <c r="P291" i="3"/>
  <c r="V291" i="3" s="1"/>
  <c r="AE291" i="3" s="1"/>
  <c r="X290" i="3"/>
  <c r="W290" i="3"/>
  <c r="U290" i="3"/>
  <c r="S290" i="3"/>
  <c r="Q290" i="3"/>
  <c r="P290" i="3"/>
  <c r="Y289" i="3"/>
  <c r="AC289" i="3" s="1"/>
  <c r="X289" i="3"/>
  <c r="Z289" i="3" s="1"/>
  <c r="AD289" i="3" s="1"/>
  <c r="W289" i="3"/>
  <c r="U289" i="3"/>
  <c r="S289" i="3"/>
  <c r="Q289" i="3"/>
  <c r="P289" i="3"/>
  <c r="V289" i="3" s="1"/>
  <c r="AE289" i="3" s="1"/>
  <c r="AD288" i="3"/>
  <c r="AC288" i="3"/>
  <c r="Z288" i="3"/>
  <c r="Y288" i="3"/>
  <c r="X288" i="3"/>
  <c r="W288" i="3"/>
  <c r="U288" i="3"/>
  <c r="S288" i="3"/>
  <c r="Q288" i="3"/>
  <c r="V288" i="3" s="1"/>
  <c r="AE288" i="3" s="1"/>
  <c r="P288" i="3"/>
  <c r="Z287" i="3"/>
  <c r="AD287" i="3" s="1"/>
  <c r="X287" i="3"/>
  <c r="W287" i="3"/>
  <c r="Y287" i="3" s="1"/>
  <c r="AC287" i="3" s="1"/>
  <c r="U287" i="3"/>
  <c r="S287" i="3"/>
  <c r="Q287" i="3"/>
  <c r="P287" i="3"/>
  <c r="V287" i="3" s="1"/>
  <c r="AE287" i="3" s="1"/>
  <c r="AD286" i="3"/>
  <c r="AC286" i="3"/>
  <c r="Z286" i="3"/>
  <c r="Y286" i="3"/>
  <c r="X286" i="3"/>
  <c r="W286" i="3"/>
  <c r="U286" i="3"/>
  <c r="S286" i="3"/>
  <c r="Q286" i="3"/>
  <c r="P286" i="3"/>
  <c r="X285" i="3"/>
  <c r="W285" i="3"/>
  <c r="U285" i="3"/>
  <c r="S285" i="3"/>
  <c r="Q285" i="3"/>
  <c r="P285" i="3"/>
  <c r="V285" i="3" s="1"/>
  <c r="AD284" i="3"/>
  <c r="AC284" i="3"/>
  <c r="Z284" i="3"/>
  <c r="Y284" i="3"/>
  <c r="X284" i="3"/>
  <c r="W284" i="3"/>
  <c r="U284" i="3"/>
  <c r="S284" i="3"/>
  <c r="V284" i="3" s="1"/>
  <c r="AE284" i="3" s="1"/>
  <c r="Q284" i="3"/>
  <c r="P284" i="3"/>
  <c r="Z283" i="3"/>
  <c r="AD283" i="3" s="1"/>
  <c r="X283" i="3"/>
  <c r="W283" i="3"/>
  <c r="Y283" i="3" s="1"/>
  <c r="AC283" i="3" s="1"/>
  <c r="U283" i="3"/>
  <c r="S283" i="3"/>
  <c r="Q283" i="3"/>
  <c r="P283" i="3"/>
  <c r="V283" i="3" s="1"/>
  <c r="AE283" i="3" s="1"/>
  <c r="AD282" i="3"/>
  <c r="AC282" i="3"/>
  <c r="Z282" i="3"/>
  <c r="Y282" i="3"/>
  <c r="X282" i="3"/>
  <c r="W282" i="3"/>
  <c r="U282" i="3"/>
  <c r="S282" i="3"/>
  <c r="Q282" i="3"/>
  <c r="P282" i="3"/>
  <c r="Y281" i="3"/>
  <c r="AC281" i="3" s="1"/>
  <c r="X281" i="3"/>
  <c r="Z281" i="3" s="1"/>
  <c r="AD281" i="3" s="1"/>
  <c r="W281" i="3"/>
  <c r="U281" i="3"/>
  <c r="S281" i="3"/>
  <c r="Q281" i="3"/>
  <c r="P281" i="3"/>
  <c r="V281" i="3" s="1"/>
  <c r="AE281" i="3" s="1"/>
  <c r="X280" i="3"/>
  <c r="W280" i="3"/>
  <c r="U280" i="3"/>
  <c r="S280" i="3"/>
  <c r="Q280" i="3"/>
  <c r="P280" i="3"/>
  <c r="X279" i="3"/>
  <c r="Z279" i="3" s="1"/>
  <c r="AD279" i="3" s="1"/>
  <c r="W279" i="3"/>
  <c r="Y279" i="3" s="1"/>
  <c r="AC279" i="3" s="1"/>
  <c r="U279" i="3"/>
  <c r="S279" i="3"/>
  <c r="Q279" i="3"/>
  <c r="P279" i="3"/>
  <c r="V279" i="3" s="1"/>
  <c r="AE279" i="3" s="1"/>
  <c r="AD278" i="3"/>
  <c r="AC278" i="3"/>
  <c r="Z278" i="3"/>
  <c r="Y278" i="3"/>
  <c r="X278" i="3"/>
  <c r="W278" i="3"/>
  <c r="U278" i="3"/>
  <c r="S278" i="3"/>
  <c r="Q278" i="3"/>
  <c r="V278" i="3" s="1"/>
  <c r="AE278" i="3" s="1"/>
  <c r="P278" i="3"/>
  <c r="Z277" i="3"/>
  <c r="AD277" i="3" s="1"/>
  <c r="Y277" i="3"/>
  <c r="AC277" i="3" s="1"/>
  <c r="X277" i="3"/>
  <c r="W277" i="3"/>
  <c r="U277" i="3"/>
  <c r="S277" i="3"/>
  <c r="Q277" i="3"/>
  <c r="P277" i="3"/>
  <c r="V277" i="3" s="1"/>
  <c r="AE277" i="3" s="1"/>
  <c r="AD276" i="3"/>
  <c r="AC276" i="3"/>
  <c r="Z276" i="3"/>
  <c r="Y276" i="3"/>
  <c r="X276" i="3"/>
  <c r="W276" i="3"/>
  <c r="U276" i="3"/>
  <c r="S276" i="3"/>
  <c r="Q276" i="3"/>
  <c r="P276" i="3"/>
  <c r="X275" i="3"/>
  <c r="W275" i="3"/>
  <c r="U275" i="3"/>
  <c r="S275" i="3"/>
  <c r="Q275" i="3"/>
  <c r="P275" i="3"/>
  <c r="V275" i="3" s="1"/>
  <c r="X274" i="3"/>
  <c r="W274" i="3"/>
  <c r="U274" i="3"/>
  <c r="S274" i="3"/>
  <c r="V274" i="3" s="1"/>
  <c r="Q274" i="3"/>
  <c r="P274" i="3"/>
  <c r="Z273" i="3"/>
  <c r="AD273" i="3" s="1"/>
  <c r="X273" i="3"/>
  <c r="W273" i="3"/>
  <c r="Y273" i="3" s="1"/>
  <c r="AC273" i="3" s="1"/>
  <c r="U273" i="3"/>
  <c r="S273" i="3"/>
  <c r="Q273" i="3"/>
  <c r="P273" i="3"/>
  <c r="V273" i="3" s="1"/>
  <c r="AE273" i="3" s="1"/>
  <c r="AE272" i="3"/>
  <c r="X272" i="3"/>
  <c r="W272" i="3"/>
  <c r="U272" i="3"/>
  <c r="S272" i="3"/>
  <c r="Q272" i="3"/>
  <c r="V272" i="3" s="1"/>
  <c r="P272" i="3"/>
  <c r="Z271" i="3"/>
  <c r="AD271" i="3" s="1"/>
  <c r="X271" i="3"/>
  <c r="W271" i="3"/>
  <c r="Y271" i="3" s="1"/>
  <c r="AC271" i="3" s="1"/>
  <c r="U271" i="3"/>
  <c r="S271" i="3"/>
  <c r="Q271" i="3"/>
  <c r="P271" i="3"/>
  <c r="V271" i="3" s="1"/>
  <c r="AE271" i="3" s="1"/>
  <c r="X270" i="3"/>
  <c r="W270" i="3"/>
  <c r="U270" i="3"/>
  <c r="S270" i="3"/>
  <c r="Q270" i="3"/>
  <c r="V270" i="3" s="1"/>
  <c r="P270" i="3"/>
  <c r="X269" i="3"/>
  <c r="W269" i="3"/>
  <c r="U269" i="3"/>
  <c r="S269" i="3"/>
  <c r="Q269" i="3"/>
  <c r="P269" i="3"/>
  <c r="V269" i="3" s="1"/>
  <c r="Y269" i="3" s="1"/>
  <c r="AC269" i="3" s="1"/>
  <c r="X268" i="3"/>
  <c r="W268" i="3"/>
  <c r="U268" i="3"/>
  <c r="S268" i="3"/>
  <c r="Q268" i="3"/>
  <c r="V268" i="3" s="1"/>
  <c r="P268" i="3"/>
  <c r="Z267" i="3"/>
  <c r="AD267" i="3" s="1"/>
  <c r="X267" i="3"/>
  <c r="W267" i="3"/>
  <c r="U267" i="3"/>
  <c r="S267" i="3"/>
  <c r="Q267" i="3"/>
  <c r="P267" i="3"/>
  <c r="V267" i="3" s="1"/>
  <c r="X266" i="3"/>
  <c r="W266" i="3"/>
  <c r="U266" i="3"/>
  <c r="S266" i="3"/>
  <c r="Q266" i="3"/>
  <c r="V266" i="3" s="1"/>
  <c r="P266" i="3"/>
  <c r="Z265" i="3"/>
  <c r="AD265" i="3" s="1"/>
  <c r="X265" i="3"/>
  <c r="W265" i="3"/>
  <c r="Y265" i="3" s="1"/>
  <c r="AC265" i="3" s="1"/>
  <c r="U265" i="3"/>
  <c r="S265" i="3"/>
  <c r="Q265" i="3"/>
  <c r="P265" i="3"/>
  <c r="V265" i="3" s="1"/>
  <c r="AE265" i="3" s="1"/>
  <c r="X264" i="3"/>
  <c r="W264" i="3"/>
  <c r="V264" i="3"/>
  <c r="U264" i="3"/>
  <c r="S264" i="3"/>
  <c r="Q264" i="3"/>
  <c r="P264" i="3"/>
  <c r="Z263" i="3"/>
  <c r="AD263" i="3" s="1"/>
  <c r="X263" i="3"/>
  <c r="W263" i="3"/>
  <c r="Y263" i="3" s="1"/>
  <c r="AC263" i="3" s="1"/>
  <c r="U263" i="3"/>
  <c r="S263" i="3"/>
  <c r="Q263" i="3"/>
  <c r="P263" i="3"/>
  <c r="V263" i="3" s="1"/>
  <c r="AE263" i="3" s="1"/>
  <c r="X262" i="3"/>
  <c r="W262" i="3"/>
  <c r="U262" i="3"/>
  <c r="S262" i="3"/>
  <c r="Q262" i="3"/>
  <c r="P262" i="3"/>
  <c r="Y261" i="3"/>
  <c r="AC261" i="3" s="1"/>
  <c r="X261" i="3"/>
  <c r="W261" i="3"/>
  <c r="U261" i="3"/>
  <c r="S261" i="3"/>
  <c r="Q261" i="3"/>
  <c r="P261" i="3"/>
  <c r="V261" i="3" s="1"/>
  <c r="X260" i="3"/>
  <c r="W260" i="3"/>
  <c r="U260" i="3"/>
  <c r="S260" i="3"/>
  <c r="Q260" i="3"/>
  <c r="P260" i="3"/>
  <c r="X259" i="3"/>
  <c r="Z259" i="3" s="1"/>
  <c r="AD259" i="3" s="1"/>
  <c r="W259" i="3"/>
  <c r="U259" i="3"/>
  <c r="S259" i="3"/>
  <c r="Q259" i="3"/>
  <c r="P259" i="3"/>
  <c r="V259" i="3" s="1"/>
  <c r="X258" i="3"/>
  <c r="W258" i="3"/>
  <c r="V258" i="3"/>
  <c r="U258" i="3"/>
  <c r="S258" i="3"/>
  <c r="Q258" i="3"/>
  <c r="P258" i="3"/>
  <c r="Z257" i="3"/>
  <c r="AD257" i="3" s="1"/>
  <c r="X257" i="3"/>
  <c r="W257" i="3"/>
  <c r="Y257" i="3" s="1"/>
  <c r="AC257" i="3" s="1"/>
  <c r="U257" i="3"/>
  <c r="S257" i="3"/>
  <c r="Q257" i="3"/>
  <c r="P257" i="3"/>
  <c r="V257" i="3" s="1"/>
  <c r="AE257" i="3" s="1"/>
  <c r="AD256" i="3"/>
  <c r="AC256" i="3"/>
  <c r="Z256" i="3"/>
  <c r="Y256" i="3"/>
  <c r="X256" i="3"/>
  <c r="W256" i="3"/>
  <c r="U256" i="3"/>
  <c r="S256" i="3"/>
  <c r="Q256" i="3"/>
  <c r="V256" i="3" s="1"/>
  <c r="AE256" i="3" s="1"/>
  <c r="P256" i="3"/>
  <c r="Y255" i="3"/>
  <c r="AC255" i="3" s="1"/>
  <c r="X255" i="3"/>
  <c r="W255" i="3"/>
  <c r="U255" i="3"/>
  <c r="S255" i="3"/>
  <c r="Q255" i="3"/>
  <c r="P255" i="3"/>
  <c r="V255" i="3" s="1"/>
  <c r="X254" i="3"/>
  <c r="W254" i="3"/>
  <c r="U254" i="3"/>
  <c r="S254" i="3"/>
  <c r="Q254" i="3"/>
  <c r="P254" i="3"/>
  <c r="X253" i="3"/>
  <c r="Z253" i="3" s="1"/>
  <c r="AD253" i="3" s="1"/>
  <c r="W253" i="3"/>
  <c r="U253" i="3"/>
  <c r="S253" i="3"/>
  <c r="Q253" i="3"/>
  <c r="P253" i="3"/>
  <c r="V253" i="3" s="1"/>
  <c r="AD252" i="3"/>
  <c r="AC252" i="3"/>
  <c r="Z252" i="3"/>
  <c r="Y252" i="3"/>
  <c r="X252" i="3"/>
  <c r="W252" i="3"/>
  <c r="U252" i="3"/>
  <c r="S252" i="3"/>
  <c r="Q252" i="3"/>
  <c r="V252" i="3" s="1"/>
  <c r="AE252" i="3" s="1"/>
  <c r="P252" i="3"/>
  <c r="Z251" i="3"/>
  <c r="AD251" i="3" s="1"/>
  <c r="Y251" i="3"/>
  <c r="AC251" i="3" s="1"/>
  <c r="X251" i="3"/>
  <c r="W251" i="3"/>
  <c r="U251" i="3"/>
  <c r="S251" i="3"/>
  <c r="Q251" i="3"/>
  <c r="P251" i="3"/>
  <c r="V251" i="3" s="1"/>
  <c r="AE251" i="3" s="1"/>
  <c r="X250" i="3"/>
  <c r="W250" i="3"/>
  <c r="U250" i="3"/>
  <c r="S250" i="3"/>
  <c r="Q250" i="3"/>
  <c r="V250" i="3" s="1"/>
  <c r="P250" i="3"/>
  <c r="Y249" i="3"/>
  <c r="AC249" i="3" s="1"/>
  <c r="X249" i="3"/>
  <c r="W249" i="3"/>
  <c r="U249" i="3"/>
  <c r="S249" i="3"/>
  <c r="Q249" i="3"/>
  <c r="P249" i="3"/>
  <c r="V249" i="3" s="1"/>
  <c r="X248" i="3"/>
  <c r="W248" i="3"/>
  <c r="U248" i="3"/>
  <c r="S248" i="3"/>
  <c r="Q248" i="3"/>
  <c r="V248" i="3" s="1"/>
  <c r="P248" i="3"/>
  <c r="X247" i="3"/>
  <c r="Z247" i="3" s="1"/>
  <c r="AD247" i="3" s="1"/>
  <c r="W247" i="3"/>
  <c r="U247" i="3"/>
  <c r="S247" i="3"/>
  <c r="Q247" i="3"/>
  <c r="P247" i="3"/>
  <c r="V247" i="3" s="1"/>
  <c r="X246" i="3"/>
  <c r="W246" i="3"/>
  <c r="V246" i="3"/>
  <c r="U246" i="3"/>
  <c r="S246" i="3"/>
  <c r="Q246" i="3"/>
  <c r="P246" i="3"/>
  <c r="Z245" i="3"/>
  <c r="AD245" i="3" s="1"/>
  <c r="X245" i="3"/>
  <c r="W245" i="3"/>
  <c r="Y245" i="3" s="1"/>
  <c r="AC245" i="3" s="1"/>
  <c r="U245" i="3"/>
  <c r="S245" i="3"/>
  <c r="Q245" i="3"/>
  <c r="P245" i="3"/>
  <c r="V245" i="3" s="1"/>
  <c r="AE245" i="3" s="1"/>
  <c r="X244" i="3"/>
  <c r="W244" i="3"/>
  <c r="U244" i="3"/>
  <c r="V244" i="3" s="1"/>
  <c r="S244" i="3"/>
  <c r="Q244" i="3"/>
  <c r="P244" i="3"/>
  <c r="Z243" i="3"/>
  <c r="AD243" i="3" s="1"/>
  <c r="Y243" i="3"/>
  <c r="AC243" i="3" s="1"/>
  <c r="X243" i="3"/>
  <c r="W243" i="3"/>
  <c r="U243" i="3"/>
  <c r="S243" i="3"/>
  <c r="Q243" i="3"/>
  <c r="P243" i="3"/>
  <c r="V243" i="3" s="1"/>
  <c r="AE243" i="3" s="1"/>
  <c r="X242" i="3"/>
  <c r="W242" i="3"/>
  <c r="U242" i="3"/>
  <c r="S242" i="3"/>
  <c r="Q242" i="3"/>
  <c r="P242" i="3"/>
  <c r="Y241" i="3"/>
  <c r="AC241" i="3" s="1"/>
  <c r="X241" i="3"/>
  <c r="Z241" i="3" s="1"/>
  <c r="AD241" i="3" s="1"/>
  <c r="W241" i="3"/>
  <c r="U241" i="3"/>
  <c r="S241" i="3"/>
  <c r="Q241" i="3"/>
  <c r="P241" i="3"/>
  <c r="V241" i="3" s="1"/>
  <c r="AE241" i="3" s="1"/>
  <c r="X240" i="3"/>
  <c r="W240" i="3"/>
  <c r="U240" i="3"/>
  <c r="S240" i="3"/>
  <c r="Q240" i="3"/>
  <c r="V240" i="3" s="1"/>
  <c r="P240" i="3"/>
  <c r="X239" i="3"/>
  <c r="W239" i="3"/>
  <c r="U239" i="3"/>
  <c r="S239" i="3"/>
  <c r="Q239" i="3"/>
  <c r="P239" i="3"/>
  <c r="V239" i="3" s="1"/>
  <c r="X238" i="3"/>
  <c r="W238" i="3"/>
  <c r="U238" i="3"/>
  <c r="S238" i="3"/>
  <c r="Q238" i="3"/>
  <c r="V238" i="3" s="1"/>
  <c r="P238" i="3"/>
  <c r="Z237" i="3"/>
  <c r="AD237" i="3" s="1"/>
  <c r="X237" i="3"/>
  <c r="W237" i="3"/>
  <c r="Y237" i="3" s="1"/>
  <c r="AC237" i="3" s="1"/>
  <c r="U237" i="3"/>
  <c r="S237" i="3"/>
  <c r="Q237" i="3"/>
  <c r="P237" i="3"/>
  <c r="V237" i="3" s="1"/>
  <c r="AE237" i="3" s="1"/>
  <c r="X236" i="3"/>
  <c r="W236" i="3"/>
  <c r="U236" i="3"/>
  <c r="V236" i="3" s="1"/>
  <c r="S236" i="3"/>
  <c r="Q236" i="3"/>
  <c r="P236" i="3"/>
  <c r="Z235" i="3"/>
  <c r="AD235" i="3" s="1"/>
  <c r="X235" i="3"/>
  <c r="W235" i="3"/>
  <c r="Y235" i="3" s="1"/>
  <c r="AC235" i="3" s="1"/>
  <c r="U235" i="3"/>
  <c r="S235" i="3"/>
  <c r="Q235" i="3"/>
  <c r="P235" i="3"/>
  <c r="V235" i="3" s="1"/>
  <c r="AE235" i="3" s="1"/>
  <c r="AD234" i="3"/>
  <c r="AC234" i="3"/>
  <c r="Z234" i="3"/>
  <c r="Y234" i="3"/>
  <c r="X234" i="3"/>
  <c r="W234" i="3"/>
  <c r="U234" i="3"/>
  <c r="S234" i="3"/>
  <c r="Q234" i="3"/>
  <c r="P234" i="3"/>
  <c r="X233" i="3"/>
  <c r="Z233" i="3" s="1"/>
  <c r="AD233" i="3" s="1"/>
  <c r="W233" i="3"/>
  <c r="Y233" i="3" s="1"/>
  <c r="AC233" i="3" s="1"/>
  <c r="U233" i="3"/>
  <c r="S233" i="3"/>
  <c r="Q233" i="3"/>
  <c r="P233" i="3"/>
  <c r="V233" i="3" s="1"/>
  <c r="AE233" i="3" s="1"/>
  <c r="X232" i="3"/>
  <c r="W232" i="3"/>
  <c r="U232" i="3"/>
  <c r="S232" i="3"/>
  <c r="V232" i="3" s="1"/>
  <c r="Q232" i="3"/>
  <c r="P232" i="3"/>
  <c r="Z231" i="3"/>
  <c r="AD231" i="3" s="1"/>
  <c r="X231" i="3"/>
  <c r="W231" i="3"/>
  <c r="Y231" i="3" s="1"/>
  <c r="AC231" i="3" s="1"/>
  <c r="U231" i="3"/>
  <c r="S231" i="3"/>
  <c r="Q231" i="3"/>
  <c r="P231" i="3"/>
  <c r="V231" i="3" s="1"/>
  <c r="AE231" i="3" s="1"/>
  <c r="X230" i="3"/>
  <c r="W230" i="3"/>
  <c r="U230" i="3"/>
  <c r="S230" i="3"/>
  <c r="Q230" i="3"/>
  <c r="P230" i="3"/>
  <c r="Z229" i="3"/>
  <c r="AD229" i="3" s="1"/>
  <c r="X229" i="3"/>
  <c r="W229" i="3"/>
  <c r="Y229" i="3" s="1"/>
  <c r="AC229" i="3" s="1"/>
  <c r="U229" i="3"/>
  <c r="S229" i="3"/>
  <c r="Q229" i="3"/>
  <c r="P229" i="3"/>
  <c r="V229" i="3" s="1"/>
  <c r="AE229" i="3" s="1"/>
  <c r="X228" i="3"/>
  <c r="W228" i="3"/>
  <c r="U228" i="3"/>
  <c r="S228" i="3"/>
  <c r="Q228" i="3"/>
  <c r="P228" i="3"/>
  <c r="X227" i="3"/>
  <c r="W227" i="3"/>
  <c r="U227" i="3"/>
  <c r="S227" i="3"/>
  <c r="Q227" i="3"/>
  <c r="P227" i="3"/>
  <c r="V227" i="3" s="1"/>
  <c r="X226" i="3"/>
  <c r="W226" i="3"/>
  <c r="U226" i="3"/>
  <c r="S226" i="3"/>
  <c r="Q226" i="3"/>
  <c r="V226" i="3" s="1"/>
  <c r="P226" i="3"/>
  <c r="X225" i="3"/>
  <c r="W225" i="3"/>
  <c r="U225" i="3"/>
  <c r="S225" i="3"/>
  <c r="Q225" i="3"/>
  <c r="P225" i="3"/>
  <c r="V225" i="3" s="1"/>
  <c r="Z225" i="3" s="1"/>
  <c r="AD225" i="3" s="1"/>
  <c r="AD224" i="3"/>
  <c r="AC224" i="3"/>
  <c r="Z224" i="3"/>
  <c r="Y224" i="3"/>
  <c r="X224" i="3"/>
  <c r="W224" i="3"/>
  <c r="V224" i="3"/>
  <c r="AE224" i="3" s="1"/>
  <c r="U224" i="3"/>
  <c r="S224" i="3"/>
  <c r="Q224" i="3"/>
  <c r="P224" i="3"/>
  <c r="Z223" i="3"/>
  <c r="AD223" i="3" s="1"/>
  <c r="X223" i="3"/>
  <c r="W223" i="3"/>
  <c r="Y223" i="3" s="1"/>
  <c r="AC223" i="3" s="1"/>
  <c r="U223" i="3"/>
  <c r="S223" i="3"/>
  <c r="Q223" i="3"/>
  <c r="P223" i="3"/>
  <c r="V223" i="3" s="1"/>
  <c r="AE223" i="3" s="1"/>
  <c r="AD222" i="3"/>
  <c r="AC222" i="3"/>
  <c r="Z222" i="3"/>
  <c r="Y222" i="3"/>
  <c r="X222" i="3"/>
  <c r="W222" i="3"/>
  <c r="U222" i="3"/>
  <c r="S222" i="3"/>
  <c r="Q222" i="3"/>
  <c r="V222" i="3" s="1"/>
  <c r="AE222" i="3" s="1"/>
  <c r="P222" i="3"/>
  <c r="X221" i="3"/>
  <c r="Z221" i="3" s="1"/>
  <c r="AD221" i="3" s="1"/>
  <c r="W221" i="3"/>
  <c r="U221" i="3"/>
  <c r="S221" i="3"/>
  <c r="Q221" i="3"/>
  <c r="P221" i="3"/>
  <c r="V221" i="3" s="1"/>
  <c r="X220" i="3"/>
  <c r="W220" i="3"/>
  <c r="V220" i="3"/>
  <c r="U220" i="3"/>
  <c r="S220" i="3"/>
  <c r="Q220" i="3"/>
  <c r="P220" i="3"/>
  <c r="Z219" i="3"/>
  <c r="AD219" i="3" s="1"/>
  <c r="X219" i="3"/>
  <c r="W219" i="3"/>
  <c r="Y219" i="3" s="1"/>
  <c r="AC219" i="3" s="1"/>
  <c r="U219" i="3"/>
  <c r="S219" i="3"/>
  <c r="Q219" i="3"/>
  <c r="P219" i="3"/>
  <c r="V219" i="3" s="1"/>
  <c r="AE219" i="3" s="1"/>
  <c r="X218" i="3"/>
  <c r="W218" i="3"/>
  <c r="U218" i="3"/>
  <c r="V218" i="3" s="1"/>
  <c r="S218" i="3"/>
  <c r="Q218" i="3"/>
  <c r="P218" i="3"/>
  <c r="Z217" i="3"/>
  <c r="AD217" i="3" s="1"/>
  <c r="Y217" i="3"/>
  <c r="AC217" i="3" s="1"/>
  <c r="X217" i="3"/>
  <c r="W217" i="3"/>
  <c r="U217" i="3"/>
  <c r="S217" i="3"/>
  <c r="Q217" i="3"/>
  <c r="P217" i="3"/>
  <c r="V217" i="3" s="1"/>
  <c r="AE217" i="3" s="1"/>
  <c r="X216" i="3"/>
  <c r="W216" i="3"/>
  <c r="U216" i="3"/>
  <c r="S216" i="3"/>
  <c r="Q216" i="3"/>
  <c r="P216" i="3"/>
  <c r="Y215" i="3"/>
  <c r="AC215" i="3" s="1"/>
  <c r="X215" i="3"/>
  <c r="W215" i="3"/>
  <c r="U215" i="3"/>
  <c r="S215" i="3"/>
  <c r="Q215" i="3"/>
  <c r="P215" i="3"/>
  <c r="V215" i="3" s="1"/>
  <c r="X214" i="3"/>
  <c r="W214" i="3"/>
  <c r="U214" i="3"/>
  <c r="S214" i="3"/>
  <c r="Q214" i="3"/>
  <c r="V214" i="3" s="1"/>
  <c r="P214" i="3"/>
  <c r="X213" i="3"/>
  <c r="W213" i="3"/>
  <c r="U213" i="3"/>
  <c r="S213" i="3"/>
  <c r="Q213" i="3"/>
  <c r="P213" i="3"/>
  <c r="V213" i="3" s="1"/>
  <c r="AD212" i="3"/>
  <c r="AC212" i="3"/>
  <c r="Z212" i="3"/>
  <c r="Y212" i="3"/>
  <c r="X212" i="3"/>
  <c r="W212" i="3"/>
  <c r="V212" i="3"/>
  <c r="AE212" i="3" s="1"/>
  <c r="U212" i="3"/>
  <c r="S212" i="3"/>
  <c r="Q212" i="3"/>
  <c r="P212" i="3"/>
  <c r="Z211" i="3"/>
  <c r="AD211" i="3" s="1"/>
  <c r="Y211" i="3"/>
  <c r="AC211" i="3" s="1"/>
  <c r="X211" i="3"/>
  <c r="W211" i="3"/>
  <c r="U211" i="3"/>
  <c r="S211" i="3"/>
  <c r="Q211" i="3"/>
  <c r="P211" i="3"/>
  <c r="V211" i="3" s="1"/>
  <c r="AE211" i="3" s="1"/>
  <c r="X210" i="3"/>
  <c r="W210" i="3"/>
  <c r="U210" i="3"/>
  <c r="S210" i="3"/>
  <c r="Q210" i="3"/>
  <c r="P210" i="3"/>
  <c r="Y209" i="3"/>
  <c r="AC209" i="3" s="1"/>
  <c r="X209" i="3"/>
  <c r="W209" i="3"/>
  <c r="U209" i="3"/>
  <c r="S209" i="3"/>
  <c r="Q209" i="3"/>
  <c r="P209" i="3"/>
  <c r="V209" i="3" s="1"/>
  <c r="X208" i="3"/>
  <c r="W208" i="3"/>
  <c r="U208" i="3"/>
  <c r="S208" i="3"/>
  <c r="Q208" i="3"/>
  <c r="P208" i="3"/>
  <c r="X207" i="3"/>
  <c r="Z207" i="3" s="1"/>
  <c r="AD207" i="3" s="1"/>
  <c r="W207" i="3"/>
  <c r="U207" i="3"/>
  <c r="S207" i="3"/>
  <c r="Q207" i="3"/>
  <c r="P207" i="3"/>
  <c r="V207" i="3" s="1"/>
  <c r="X206" i="3"/>
  <c r="W206" i="3"/>
  <c r="V206" i="3"/>
  <c r="U206" i="3"/>
  <c r="S206" i="3"/>
  <c r="Q206" i="3"/>
  <c r="P206" i="3"/>
  <c r="Z205" i="3"/>
  <c r="AD205" i="3" s="1"/>
  <c r="X205" i="3"/>
  <c r="W205" i="3"/>
  <c r="Y205" i="3" s="1"/>
  <c r="AC205" i="3" s="1"/>
  <c r="U205" i="3"/>
  <c r="S205" i="3"/>
  <c r="Q205" i="3"/>
  <c r="P205" i="3"/>
  <c r="V205" i="3" s="1"/>
  <c r="AE205" i="3" s="1"/>
  <c r="X204" i="3"/>
  <c r="W204" i="3"/>
  <c r="U204" i="3"/>
  <c r="S204" i="3"/>
  <c r="Q204" i="3"/>
  <c r="P204" i="3"/>
  <c r="Z203" i="3"/>
  <c r="AD203" i="3" s="1"/>
  <c r="X203" i="3"/>
  <c r="W203" i="3"/>
  <c r="Y203" i="3" s="1"/>
  <c r="AC203" i="3" s="1"/>
  <c r="U203" i="3"/>
  <c r="S203" i="3"/>
  <c r="Q203" i="3"/>
  <c r="P203" i="3"/>
  <c r="V203" i="3" s="1"/>
  <c r="AE203" i="3" s="1"/>
  <c r="AD202" i="3"/>
  <c r="AC202" i="3"/>
  <c r="Z202" i="3"/>
  <c r="X202" i="3"/>
  <c r="W202" i="3"/>
  <c r="Y202" i="3" s="1"/>
  <c r="V202" i="3"/>
  <c r="AE202" i="3" s="1"/>
  <c r="U202" i="3"/>
  <c r="S202" i="3"/>
  <c r="Q202" i="3"/>
  <c r="P202" i="3"/>
  <c r="Z201" i="3"/>
  <c r="AD201" i="3" s="1"/>
  <c r="Y201" i="3"/>
  <c r="AC201" i="3" s="1"/>
  <c r="X201" i="3"/>
  <c r="W201" i="3"/>
  <c r="U201" i="3"/>
  <c r="S201" i="3"/>
  <c r="Q201" i="3"/>
  <c r="P201" i="3"/>
  <c r="V201" i="3" s="1"/>
  <c r="AE201" i="3" s="1"/>
  <c r="X200" i="3"/>
  <c r="W200" i="3"/>
  <c r="U200" i="3"/>
  <c r="S200" i="3"/>
  <c r="Q200" i="3"/>
  <c r="P200" i="3"/>
  <c r="Y199" i="3"/>
  <c r="AC199" i="3" s="1"/>
  <c r="X199" i="3"/>
  <c r="W199" i="3"/>
  <c r="U199" i="3"/>
  <c r="S199" i="3"/>
  <c r="Q199" i="3"/>
  <c r="P199" i="3"/>
  <c r="V199" i="3" s="1"/>
  <c r="AD198" i="3"/>
  <c r="Z198" i="3"/>
  <c r="X198" i="3"/>
  <c r="W198" i="3"/>
  <c r="Y198" i="3" s="1"/>
  <c r="AC198" i="3" s="1"/>
  <c r="U198" i="3"/>
  <c r="V198" i="3" s="1"/>
  <c r="AE198" i="3" s="1"/>
  <c r="S198" i="3"/>
  <c r="Q198" i="3"/>
  <c r="P198" i="3"/>
  <c r="Z197" i="3"/>
  <c r="AD197" i="3" s="1"/>
  <c r="Y197" i="3"/>
  <c r="AC197" i="3" s="1"/>
  <c r="X197" i="3"/>
  <c r="W197" i="3"/>
  <c r="U197" i="3"/>
  <c r="S197" i="3"/>
  <c r="Q197" i="3"/>
  <c r="P197" i="3"/>
  <c r="V197" i="3" s="1"/>
  <c r="AE197" i="3" s="1"/>
  <c r="X196" i="3"/>
  <c r="W196" i="3"/>
  <c r="U196" i="3"/>
  <c r="S196" i="3"/>
  <c r="Q196" i="3"/>
  <c r="P196" i="3"/>
  <c r="Y195" i="3"/>
  <c r="AC195" i="3" s="1"/>
  <c r="X195" i="3"/>
  <c r="Z195" i="3" s="1"/>
  <c r="AD195" i="3" s="1"/>
  <c r="W195" i="3"/>
  <c r="U195" i="3"/>
  <c r="S195" i="3"/>
  <c r="Q195" i="3"/>
  <c r="P195" i="3"/>
  <c r="V195" i="3" s="1"/>
  <c r="AE195" i="3" s="1"/>
  <c r="X194" i="3"/>
  <c r="W194" i="3"/>
  <c r="U194" i="3"/>
  <c r="S194" i="3"/>
  <c r="Q194" i="3"/>
  <c r="V194" i="3" s="1"/>
  <c r="P194" i="3"/>
  <c r="X193" i="3"/>
  <c r="W193" i="3"/>
  <c r="U193" i="3"/>
  <c r="S193" i="3"/>
  <c r="Q193" i="3"/>
  <c r="P193" i="3"/>
  <c r="V193" i="3" s="1"/>
  <c r="X192" i="3"/>
  <c r="W192" i="3"/>
  <c r="U192" i="3"/>
  <c r="S192" i="3"/>
  <c r="Q192" i="3"/>
  <c r="V192" i="3" s="1"/>
  <c r="P192" i="3"/>
  <c r="Z191" i="3"/>
  <c r="AD191" i="3" s="1"/>
  <c r="X191" i="3"/>
  <c r="W191" i="3"/>
  <c r="Y191" i="3" s="1"/>
  <c r="AC191" i="3" s="1"/>
  <c r="U191" i="3"/>
  <c r="S191" i="3"/>
  <c r="Q191" i="3"/>
  <c r="P191" i="3"/>
  <c r="V191" i="3" s="1"/>
  <c r="AE191" i="3" s="1"/>
  <c r="X190" i="3"/>
  <c r="W190" i="3"/>
  <c r="U190" i="3"/>
  <c r="V190" i="3" s="1"/>
  <c r="S190" i="3"/>
  <c r="Q190" i="3"/>
  <c r="P190" i="3"/>
  <c r="Z189" i="3"/>
  <c r="AD189" i="3" s="1"/>
  <c r="X189" i="3"/>
  <c r="W189" i="3"/>
  <c r="Y189" i="3" s="1"/>
  <c r="AC189" i="3" s="1"/>
  <c r="U189" i="3"/>
  <c r="S189" i="3"/>
  <c r="Q189" i="3"/>
  <c r="P189" i="3"/>
  <c r="V189" i="3" s="1"/>
  <c r="AE189" i="3" s="1"/>
  <c r="AD188" i="3"/>
  <c r="AC188" i="3"/>
  <c r="Z188" i="3"/>
  <c r="X188" i="3"/>
  <c r="W188" i="3"/>
  <c r="Y188" i="3" s="1"/>
  <c r="V188" i="3"/>
  <c r="AE188" i="3" s="1"/>
  <c r="U188" i="3"/>
  <c r="S188" i="3"/>
  <c r="Q188" i="3"/>
  <c r="P188" i="3"/>
  <c r="Z187" i="3"/>
  <c r="AD187" i="3" s="1"/>
  <c r="X187" i="3"/>
  <c r="W187" i="3"/>
  <c r="Y187" i="3" s="1"/>
  <c r="AC187" i="3" s="1"/>
  <c r="U187" i="3"/>
  <c r="S187" i="3"/>
  <c r="Q187" i="3"/>
  <c r="P187" i="3"/>
  <c r="V187" i="3" s="1"/>
  <c r="AE187" i="3" s="1"/>
  <c r="AD186" i="3"/>
  <c r="Z186" i="3"/>
  <c r="X186" i="3"/>
  <c r="W186" i="3"/>
  <c r="Y186" i="3" s="1"/>
  <c r="AC186" i="3" s="1"/>
  <c r="V186" i="3"/>
  <c r="AE186" i="3" s="1"/>
  <c r="U186" i="3"/>
  <c r="S186" i="3"/>
  <c r="Q186" i="3"/>
  <c r="P186" i="3"/>
  <c r="Z185" i="3"/>
  <c r="AD185" i="3" s="1"/>
  <c r="X185" i="3"/>
  <c r="W185" i="3"/>
  <c r="Y185" i="3" s="1"/>
  <c r="AC185" i="3" s="1"/>
  <c r="U185" i="3"/>
  <c r="S185" i="3"/>
  <c r="Q185" i="3"/>
  <c r="P185" i="3"/>
  <c r="V185" i="3" s="1"/>
  <c r="AE185" i="3" s="1"/>
  <c r="AD184" i="3"/>
  <c r="Z184" i="3"/>
  <c r="X184" i="3"/>
  <c r="W184" i="3"/>
  <c r="Y184" i="3" s="1"/>
  <c r="AC184" i="3" s="1"/>
  <c r="U184" i="3"/>
  <c r="S184" i="3"/>
  <c r="V184" i="3" s="1"/>
  <c r="AE184" i="3" s="1"/>
  <c r="Q184" i="3"/>
  <c r="P184" i="3"/>
  <c r="Z183" i="3"/>
  <c r="AD183" i="3" s="1"/>
  <c r="X183" i="3"/>
  <c r="W183" i="3"/>
  <c r="Y183" i="3" s="1"/>
  <c r="AC183" i="3" s="1"/>
  <c r="U183" i="3"/>
  <c r="S183" i="3"/>
  <c r="Q183" i="3"/>
  <c r="P183" i="3"/>
  <c r="V183" i="3" s="1"/>
  <c r="AE183" i="3" s="1"/>
  <c r="X182" i="3"/>
  <c r="W182" i="3"/>
  <c r="U182" i="3"/>
  <c r="S182" i="3"/>
  <c r="Q182" i="3"/>
  <c r="V182" i="3" s="1"/>
  <c r="P182" i="3"/>
  <c r="Z181" i="3"/>
  <c r="AD181" i="3" s="1"/>
  <c r="Y181" i="3"/>
  <c r="AC181" i="3" s="1"/>
  <c r="X181" i="3"/>
  <c r="W181" i="3"/>
  <c r="U181" i="3"/>
  <c r="S181" i="3"/>
  <c r="Q181" i="3"/>
  <c r="P181" i="3"/>
  <c r="V181" i="3" s="1"/>
  <c r="AE181" i="3" s="1"/>
  <c r="AE180" i="3"/>
  <c r="X180" i="3"/>
  <c r="W180" i="3"/>
  <c r="U180" i="3"/>
  <c r="S180" i="3"/>
  <c r="Q180" i="3"/>
  <c r="V180" i="3" s="1"/>
  <c r="P180" i="3"/>
  <c r="Y179" i="3"/>
  <c r="AC179" i="3" s="1"/>
  <c r="X179" i="3"/>
  <c r="W179" i="3"/>
  <c r="U179" i="3"/>
  <c r="S179" i="3"/>
  <c r="Q179" i="3"/>
  <c r="P179" i="3"/>
  <c r="V179" i="3" s="1"/>
  <c r="AD178" i="3"/>
  <c r="Z178" i="3"/>
  <c r="X178" i="3"/>
  <c r="W178" i="3"/>
  <c r="Y178" i="3" s="1"/>
  <c r="AC178" i="3" s="1"/>
  <c r="U178" i="3"/>
  <c r="S178" i="3"/>
  <c r="Q178" i="3"/>
  <c r="V178" i="3" s="1"/>
  <c r="AE178" i="3" s="1"/>
  <c r="P178" i="3"/>
  <c r="Z177" i="3"/>
  <c r="AD177" i="3" s="1"/>
  <c r="Y177" i="3"/>
  <c r="AC177" i="3" s="1"/>
  <c r="X177" i="3"/>
  <c r="W177" i="3"/>
  <c r="U177" i="3"/>
  <c r="S177" i="3"/>
  <c r="Q177" i="3"/>
  <c r="P177" i="3"/>
  <c r="V177" i="3" s="1"/>
  <c r="AE177" i="3" s="1"/>
  <c r="X176" i="3"/>
  <c r="W176" i="3"/>
  <c r="U176" i="3"/>
  <c r="S176" i="3"/>
  <c r="Q176" i="3"/>
  <c r="V176" i="3" s="1"/>
  <c r="P176" i="3"/>
  <c r="Y175" i="3"/>
  <c r="AC175" i="3" s="1"/>
  <c r="X175" i="3"/>
  <c r="Z175" i="3" s="1"/>
  <c r="AD175" i="3" s="1"/>
  <c r="W175" i="3"/>
  <c r="U175" i="3"/>
  <c r="S175" i="3"/>
  <c r="Q175" i="3"/>
  <c r="P175" i="3"/>
  <c r="V175" i="3" s="1"/>
  <c r="AE175" i="3" s="1"/>
  <c r="AD174" i="3"/>
  <c r="AC174" i="3"/>
  <c r="Z174" i="3"/>
  <c r="X174" i="3"/>
  <c r="W174" i="3"/>
  <c r="Y174" i="3" s="1"/>
  <c r="U174" i="3"/>
  <c r="S174" i="3"/>
  <c r="Q174" i="3"/>
  <c r="V174" i="3" s="1"/>
  <c r="AE174" i="3" s="1"/>
  <c r="P174" i="3"/>
  <c r="Y173" i="3"/>
  <c r="AC173" i="3" s="1"/>
  <c r="X173" i="3"/>
  <c r="W173" i="3"/>
  <c r="U173" i="3"/>
  <c r="S173" i="3"/>
  <c r="Q173" i="3"/>
  <c r="P173" i="3"/>
  <c r="V173" i="3" s="1"/>
  <c r="AD172" i="3"/>
  <c r="Z172" i="3"/>
  <c r="X172" i="3"/>
  <c r="W172" i="3"/>
  <c r="Y172" i="3" s="1"/>
  <c r="AC172" i="3" s="1"/>
  <c r="V172" i="3"/>
  <c r="AE172" i="3" s="1"/>
  <c r="U172" i="3"/>
  <c r="S172" i="3"/>
  <c r="Q172" i="3"/>
  <c r="P172" i="3"/>
  <c r="Z171" i="3"/>
  <c r="AD171" i="3" s="1"/>
  <c r="Y171" i="3"/>
  <c r="AC171" i="3" s="1"/>
  <c r="X171" i="3"/>
  <c r="W171" i="3"/>
  <c r="U171" i="3"/>
  <c r="S171" i="3"/>
  <c r="Q171" i="3"/>
  <c r="P171" i="3"/>
  <c r="V171" i="3" s="1"/>
  <c r="AE171" i="3" s="1"/>
  <c r="X170" i="3"/>
  <c r="W170" i="3"/>
  <c r="U170" i="3"/>
  <c r="S170" i="3"/>
  <c r="Q170" i="3"/>
  <c r="P170" i="3"/>
  <c r="Y169" i="3"/>
  <c r="AC169" i="3" s="1"/>
  <c r="X169" i="3"/>
  <c r="W169" i="3"/>
  <c r="U169" i="3"/>
  <c r="S169" i="3"/>
  <c r="Q169" i="3"/>
  <c r="P169" i="3"/>
  <c r="V169" i="3" s="1"/>
  <c r="AD168" i="3"/>
  <c r="AC168" i="3"/>
  <c r="Z168" i="3"/>
  <c r="X168" i="3"/>
  <c r="W168" i="3"/>
  <c r="Y168" i="3" s="1"/>
  <c r="U168" i="3"/>
  <c r="S168" i="3"/>
  <c r="Q168" i="3"/>
  <c r="P168" i="3"/>
  <c r="Y167" i="3"/>
  <c r="AC167" i="3" s="1"/>
  <c r="X167" i="3"/>
  <c r="W167" i="3"/>
  <c r="U167" i="3"/>
  <c r="S167" i="3"/>
  <c r="Q167" i="3"/>
  <c r="P167" i="3"/>
  <c r="V167" i="3" s="1"/>
  <c r="AD166" i="3"/>
  <c r="Z166" i="3"/>
  <c r="X166" i="3"/>
  <c r="W166" i="3"/>
  <c r="Y166" i="3" s="1"/>
  <c r="AC166" i="3" s="1"/>
  <c r="U166" i="3"/>
  <c r="V166" i="3" s="1"/>
  <c r="AE166" i="3" s="1"/>
  <c r="S166" i="3"/>
  <c r="Q166" i="3"/>
  <c r="P166" i="3"/>
  <c r="Z165" i="3"/>
  <c r="AD165" i="3" s="1"/>
  <c r="Y165" i="3"/>
  <c r="AC165" i="3" s="1"/>
  <c r="X165" i="3"/>
  <c r="W165" i="3"/>
  <c r="U165" i="3"/>
  <c r="S165" i="3"/>
  <c r="Q165" i="3"/>
  <c r="P165" i="3"/>
  <c r="V165" i="3" s="1"/>
  <c r="AE165" i="3" s="1"/>
  <c r="X164" i="3"/>
  <c r="W164" i="3"/>
  <c r="U164" i="3"/>
  <c r="S164" i="3"/>
  <c r="Q164" i="3"/>
  <c r="P164" i="3"/>
  <c r="Y163" i="3"/>
  <c r="AC163" i="3" s="1"/>
  <c r="X163" i="3"/>
  <c r="W163" i="3"/>
  <c r="U163" i="3"/>
  <c r="S163" i="3"/>
  <c r="Q163" i="3"/>
  <c r="P163" i="3"/>
  <c r="V163" i="3" s="1"/>
  <c r="X162" i="3"/>
  <c r="W162" i="3"/>
  <c r="U162" i="3"/>
  <c r="S162" i="3"/>
  <c r="Q162" i="3"/>
  <c r="V162" i="3" s="1"/>
  <c r="P162" i="3"/>
  <c r="X161" i="3"/>
  <c r="W161" i="3"/>
  <c r="U161" i="3"/>
  <c r="S161" i="3"/>
  <c r="Q161" i="3"/>
  <c r="P161" i="3"/>
  <c r="V161" i="3" s="1"/>
  <c r="X160" i="3"/>
  <c r="W160" i="3"/>
  <c r="U160" i="3"/>
  <c r="S160" i="3"/>
  <c r="Q160" i="3"/>
  <c r="V160" i="3" s="1"/>
  <c r="P160" i="3"/>
  <c r="Z159" i="3"/>
  <c r="AD159" i="3" s="1"/>
  <c r="X159" i="3"/>
  <c r="W159" i="3"/>
  <c r="Y159" i="3" s="1"/>
  <c r="AC159" i="3" s="1"/>
  <c r="U159" i="3"/>
  <c r="S159" i="3"/>
  <c r="Q159" i="3"/>
  <c r="P159" i="3"/>
  <c r="V159" i="3" s="1"/>
  <c r="AE159" i="3" s="1"/>
  <c r="X158" i="3"/>
  <c r="W158" i="3"/>
  <c r="V158" i="3"/>
  <c r="U158" i="3"/>
  <c r="S158" i="3"/>
  <c r="Q158" i="3"/>
  <c r="P158" i="3"/>
  <c r="Z157" i="3"/>
  <c r="AD157" i="3" s="1"/>
  <c r="X157" i="3"/>
  <c r="W157" i="3"/>
  <c r="Y157" i="3" s="1"/>
  <c r="AC157" i="3" s="1"/>
  <c r="U157" i="3"/>
  <c r="S157" i="3"/>
  <c r="Q157" i="3"/>
  <c r="P157" i="3"/>
  <c r="V157" i="3" s="1"/>
  <c r="AE157" i="3" s="1"/>
  <c r="AD156" i="3"/>
  <c r="AC156" i="3"/>
  <c r="Z156" i="3"/>
  <c r="X156" i="3"/>
  <c r="W156" i="3"/>
  <c r="Y156" i="3" s="1"/>
  <c r="V156" i="3"/>
  <c r="AE156" i="3" s="1"/>
  <c r="U156" i="3"/>
  <c r="S156" i="3"/>
  <c r="Q156" i="3"/>
  <c r="P156" i="3"/>
  <c r="Z155" i="3"/>
  <c r="AD155" i="3" s="1"/>
  <c r="X155" i="3"/>
  <c r="W155" i="3"/>
  <c r="Y155" i="3" s="1"/>
  <c r="AC155" i="3" s="1"/>
  <c r="U155" i="3"/>
  <c r="S155" i="3"/>
  <c r="Q155" i="3"/>
  <c r="P155" i="3"/>
  <c r="V155" i="3" s="1"/>
  <c r="AE155" i="3" s="1"/>
  <c r="X154" i="3"/>
  <c r="W154" i="3"/>
  <c r="U154" i="3"/>
  <c r="S154" i="3"/>
  <c r="Q154" i="3"/>
  <c r="P154" i="3"/>
  <c r="Y153" i="3"/>
  <c r="AC153" i="3" s="1"/>
  <c r="X153" i="3"/>
  <c r="W153" i="3"/>
  <c r="U153" i="3"/>
  <c r="S153" i="3"/>
  <c r="Q153" i="3"/>
  <c r="P153" i="3"/>
  <c r="V153" i="3" s="1"/>
  <c r="X152" i="3"/>
  <c r="W152" i="3"/>
  <c r="U152" i="3"/>
  <c r="S152" i="3"/>
  <c r="V152" i="3" s="1"/>
  <c r="Q152" i="3"/>
  <c r="P152" i="3"/>
  <c r="X151" i="3"/>
  <c r="W151" i="3"/>
  <c r="U151" i="3"/>
  <c r="S151" i="3"/>
  <c r="Q151" i="3"/>
  <c r="P151" i="3"/>
  <c r="V151" i="3" s="1"/>
  <c r="X150" i="3"/>
  <c r="W150" i="3"/>
  <c r="U150" i="3"/>
  <c r="S150" i="3"/>
  <c r="V150" i="3" s="1"/>
  <c r="Q150" i="3"/>
  <c r="P150" i="3"/>
  <c r="X149" i="3"/>
  <c r="Z149" i="3" s="1"/>
  <c r="AD149" i="3" s="1"/>
  <c r="W149" i="3"/>
  <c r="U149" i="3"/>
  <c r="S149" i="3"/>
  <c r="Q149" i="3"/>
  <c r="P149" i="3"/>
  <c r="V149" i="3" s="1"/>
  <c r="AE149" i="3" s="1"/>
  <c r="AE148" i="3"/>
  <c r="X148" i="3"/>
  <c r="W148" i="3"/>
  <c r="U148" i="3"/>
  <c r="S148" i="3"/>
  <c r="Q148" i="3"/>
  <c r="V148" i="3" s="1"/>
  <c r="P148" i="3"/>
  <c r="Z147" i="3"/>
  <c r="AD147" i="3" s="1"/>
  <c r="Y147" i="3"/>
  <c r="AC147" i="3" s="1"/>
  <c r="X147" i="3"/>
  <c r="W147" i="3"/>
  <c r="U147" i="3"/>
  <c r="S147" i="3"/>
  <c r="Q147" i="3"/>
  <c r="P147" i="3"/>
  <c r="V147" i="3" s="1"/>
  <c r="AE147" i="3" s="1"/>
  <c r="X146" i="3"/>
  <c r="W146" i="3"/>
  <c r="U146" i="3"/>
  <c r="S146" i="3"/>
  <c r="Q146" i="3"/>
  <c r="V146" i="3" s="1"/>
  <c r="AE146" i="3" s="1"/>
  <c r="P146" i="3"/>
  <c r="X145" i="3"/>
  <c r="W145" i="3"/>
  <c r="U145" i="3"/>
  <c r="S145" i="3"/>
  <c r="Q145" i="3"/>
  <c r="P145" i="3"/>
  <c r="V145" i="3" s="1"/>
  <c r="Y145" i="3" s="1"/>
  <c r="AC145" i="3" s="1"/>
  <c r="X144" i="3"/>
  <c r="W144" i="3"/>
  <c r="U144" i="3"/>
  <c r="S144" i="3"/>
  <c r="Q144" i="3"/>
  <c r="P144" i="3"/>
  <c r="X143" i="3"/>
  <c r="W143" i="3"/>
  <c r="U143" i="3"/>
  <c r="S143" i="3"/>
  <c r="Q143" i="3"/>
  <c r="P143" i="3"/>
  <c r="V143" i="3" s="1"/>
  <c r="X142" i="3"/>
  <c r="W142" i="3"/>
  <c r="V142" i="3"/>
  <c r="U142" i="3"/>
  <c r="S142" i="3"/>
  <c r="Q142" i="3"/>
  <c r="P142" i="3"/>
  <c r="X141" i="3"/>
  <c r="Z141" i="3" s="1"/>
  <c r="AD141" i="3" s="1"/>
  <c r="W141" i="3"/>
  <c r="Y141" i="3" s="1"/>
  <c r="AC141" i="3" s="1"/>
  <c r="U141" i="3"/>
  <c r="S141" i="3"/>
  <c r="Q141" i="3"/>
  <c r="P141" i="3"/>
  <c r="V141" i="3" s="1"/>
  <c r="AE141" i="3" s="1"/>
  <c r="X140" i="3"/>
  <c r="W140" i="3"/>
  <c r="V140" i="3"/>
  <c r="U140" i="3"/>
  <c r="S140" i="3"/>
  <c r="Q140" i="3"/>
  <c r="P140" i="3"/>
  <c r="Z139" i="3"/>
  <c r="AD139" i="3" s="1"/>
  <c r="X139" i="3"/>
  <c r="W139" i="3"/>
  <c r="Y139" i="3" s="1"/>
  <c r="AC139" i="3" s="1"/>
  <c r="U139" i="3"/>
  <c r="S139" i="3"/>
  <c r="Q139" i="3"/>
  <c r="P139" i="3"/>
  <c r="V139" i="3" s="1"/>
  <c r="AE139" i="3" s="1"/>
  <c r="X138" i="3"/>
  <c r="W138" i="3"/>
  <c r="U138" i="3"/>
  <c r="S138" i="3"/>
  <c r="Q138" i="3"/>
  <c r="P138" i="3"/>
  <c r="Y137" i="3"/>
  <c r="AC137" i="3" s="1"/>
  <c r="X137" i="3"/>
  <c r="W137" i="3"/>
  <c r="U137" i="3"/>
  <c r="S137" i="3"/>
  <c r="Q137" i="3"/>
  <c r="P137" i="3"/>
  <c r="V137" i="3" s="1"/>
  <c r="AD136" i="3"/>
  <c r="Z136" i="3"/>
  <c r="X136" i="3"/>
  <c r="W136" i="3"/>
  <c r="Y136" i="3" s="1"/>
  <c r="AC136" i="3" s="1"/>
  <c r="V136" i="3"/>
  <c r="AE136" i="3" s="1"/>
  <c r="U136" i="3"/>
  <c r="S136" i="3"/>
  <c r="Q136" i="3"/>
  <c r="P136" i="3"/>
  <c r="Z135" i="3"/>
  <c r="AD135" i="3" s="1"/>
  <c r="X135" i="3"/>
  <c r="W135" i="3"/>
  <c r="Y135" i="3" s="1"/>
  <c r="AC135" i="3" s="1"/>
  <c r="U135" i="3"/>
  <c r="S135" i="3"/>
  <c r="Q135" i="3"/>
  <c r="P135" i="3"/>
  <c r="V135" i="3" s="1"/>
  <c r="AE135" i="3" s="1"/>
  <c r="X134" i="3"/>
  <c r="W134" i="3"/>
  <c r="U134" i="3"/>
  <c r="S134" i="3"/>
  <c r="Q134" i="3"/>
  <c r="P134" i="3"/>
  <c r="X133" i="3"/>
  <c r="W133" i="3"/>
  <c r="U133" i="3"/>
  <c r="S133" i="3"/>
  <c r="Q133" i="3"/>
  <c r="P133" i="3"/>
  <c r="V133" i="3" s="1"/>
  <c r="X132" i="3"/>
  <c r="W132" i="3"/>
  <c r="U132" i="3"/>
  <c r="S132" i="3"/>
  <c r="Q132" i="3"/>
  <c r="P132" i="3"/>
  <c r="X131" i="3"/>
  <c r="W131" i="3"/>
  <c r="U131" i="3"/>
  <c r="S131" i="3"/>
  <c r="Q131" i="3"/>
  <c r="P131" i="3"/>
  <c r="V131" i="3" s="1"/>
  <c r="AE130" i="3"/>
  <c r="X130" i="3"/>
  <c r="W130" i="3"/>
  <c r="U130" i="3"/>
  <c r="S130" i="3"/>
  <c r="V130" i="3" s="1"/>
  <c r="Q130" i="3"/>
  <c r="P130" i="3"/>
  <c r="Z129" i="3"/>
  <c r="AD129" i="3" s="1"/>
  <c r="X129" i="3"/>
  <c r="W129" i="3"/>
  <c r="Y129" i="3" s="1"/>
  <c r="AC129" i="3" s="1"/>
  <c r="U129" i="3"/>
  <c r="S129" i="3"/>
  <c r="Q129" i="3"/>
  <c r="P129" i="3"/>
  <c r="V129" i="3" s="1"/>
  <c r="AE129" i="3" s="1"/>
  <c r="AE128" i="3"/>
  <c r="X128" i="3"/>
  <c r="W128" i="3"/>
  <c r="U128" i="3"/>
  <c r="S128" i="3"/>
  <c r="Q128" i="3"/>
  <c r="V128" i="3" s="1"/>
  <c r="P128" i="3"/>
  <c r="Z127" i="3"/>
  <c r="AD127" i="3" s="1"/>
  <c r="X127" i="3"/>
  <c r="W127" i="3"/>
  <c r="Y127" i="3" s="1"/>
  <c r="AC127" i="3" s="1"/>
  <c r="U127" i="3"/>
  <c r="S127" i="3"/>
  <c r="Q127" i="3"/>
  <c r="P127" i="3"/>
  <c r="V127" i="3" s="1"/>
  <c r="AE127" i="3" s="1"/>
  <c r="X126" i="3"/>
  <c r="W126" i="3"/>
  <c r="U126" i="3"/>
  <c r="S126" i="3"/>
  <c r="Q126" i="3"/>
  <c r="V126" i="3" s="1"/>
  <c r="P126" i="3"/>
  <c r="X125" i="3"/>
  <c r="W125" i="3"/>
  <c r="U125" i="3"/>
  <c r="S125" i="3"/>
  <c r="Q125" i="3"/>
  <c r="P125" i="3"/>
  <c r="V125" i="3" s="1"/>
  <c r="Y125" i="3" s="1"/>
  <c r="AC125" i="3" s="1"/>
  <c r="X124" i="3"/>
  <c r="W124" i="3"/>
  <c r="U124" i="3"/>
  <c r="S124" i="3"/>
  <c r="Q124" i="3"/>
  <c r="V124" i="3" s="1"/>
  <c r="P124" i="3"/>
  <c r="Z123" i="3"/>
  <c r="AD123" i="3" s="1"/>
  <c r="X123" i="3"/>
  <c r="W123" i="3"/>
  <c r="U123" i="3"/>
  <c r="S123" i="3"/>
  <c r="Q123" i="3"/>
  <c r="P123" i="3"/>
  <c r="V123" i="3" s="1"/>
  <c r="X122" i="3"/>
  <c r="W122" i="3"/>
  <c r="U122" i="3"/>
  <c r="S122" i="3"/>
  <c r="Q122" i="3"/>
  <c r="V122" i="3" s="1"/>
  <c r="P122" i="3"/>
  <c r="Z121" i="3"/>
  <c r="AD121" i="3" s="1"/>
  <c r="X121" i="3"/>
  <c r="W121" i="3"/>
  <c r="Y121" i="3" s="1"/>
  <c r="AC121" i="3" s="1"/>
  <c r="U121" i="3"/>
  <c r="S121" i="3"/>
  <c r="Q121" i="3"/>
  <c r="P121" i="3"/>
  <c r="V121" i="3" s="1"/>
  <c r="AE121" i="3" s="1"/>
  <c r="AD120" i="3"/>
  <c r="Z120" i="3"/>
  <c r="X120" i="3"/>
  <c r="W120" i="3"/>
  <c r="Y120" i="3" s="1"/>
  <c r="AC120" i="3" s="1"/>
  <c r="U120" i="3"/>
  <c r="S120" i="3"/>
  <c r="V120" i="3" s="1"/>
  <c r="AE120" i="3" s="1"/>
  <c r="Q120" i="3"/>
  <c r="P120" i="3"/>
  <c r="X119" i="3"/>
  <c r="Z119" i="3" s="1"/>
  <c r="AD119" i="3" s="1"/>
  <c r="W119" i="3"/>
  <c r="U119" i="3"/>
  <c r="S119" i="3"/>
  <c r="Q119" i="3"/>
  <c r="P119" i="3"/>
  <c r="V119" i="3" s="1"/>
  <c r="AE119" i="3" s="1"/>
  <c r="X118" i="3"/>
  <c r="W118" i="3"/>
  <c r="U118" i="3"/>
  <c r="S118" i="3"/>
  <c r="Q118" i="3"/>
  <c r="V118" i="3" s="1"/>
  <c r="P118" i="3"/>
  <c r="Z117" i="3"/>
  <c r="AD117" i="3" s="1"/>
  <c r="Y117" i="3"/>
  <c r="AC117" i="3" s="1"/>
  <c r="X117" i="3"/>
  <c r="W117" i="3"/>
  <c r="U117" i="3"/>
  <c r="S117" i="3"/>
  <c r="Q117" i="3"/>
  <c r="P117" i="3"/>
  <c r="V117" i="3" s="1"/>
  <c r="AE117" i="3" s="1"/>
  <c r="X116" i="3"/>
  <c r="W116" i="3"/>
  <c r="U116" i="3"/>
  <c r="S116" i="3"/>
  <c r="Q116" i="3"/>
  <c r="V116" i="3" s="1"/>
  <c r="AE116" i="3" s="1"/>
  <c r="P116" i="3"/>
  <c r="X115" i="3"/>
  <c r="W115" i="3"/>
  <c r="U115" i="3"/>
  <c r="S115" i="3"/>
  <c r="Q115" i="3"/>
  <c r="P115" i="3"/>
  <c r="V115" i="3" s="1"/>
  <c r="Y115" i="3" s="1"/>
  <c r="AC115" i="3" s="1"/>
  <c r="X114" i="3"/>
  <c r="W114" i="3"/>
  <c r="U114" i="3"/>
  <c r="S114" i="3"/>
  <c r="Q114" i="3"/>
  <c r="P114" i="3"/>
  <c r="Y113" i="3"/>
  <c r="AC113" i="3" s="1"/>
  <c r="X113" i="3"/>
  <c r="Z113" i="3" s="1"/>
  <c r="AD113" i="3" s="1"/>
  <c r="W113" i="3"/>
  <c r="U113" i="3"/>
  <c r="S113" i="3"/>
  <c r="Q113" i="3"/>
  <c r="P113" i="3"/>
  <c r="V113" i="3" s="1"/>
  <c r="AE113" i="3" s="1"/>
  <c r="AD112" i="3"/>
  <c r="Z112" i="3"/>
  <c r="X112" i="3"/>
  <c r="W112" i="3"/>
  <c r="Y112" i="3" s="1"/>
  <c r="AC112" i="3" s="1"/>
  <c r="U112" i="3"/>
  <c r="S112" i="3"/>
  <c r="Q112" i="3"/>
  <c r="V112" i="3" s="1"/>
  <c r="AE112" i="3" s="1"/>
  <c r="P112" i="3"/>
  <c r="Y111" i="3"/>
  <c r="AC111" i="3" s="1"/>
  <c r="X111" i="3"/>
  <c r="W111" i="3"/>
  <c r="U111" i="3"/>
  <c r="S111" i="3"/>
  <c r="Q111" i="3"/>
  <c r="P111" i="3"/>
  <c r="V111" i="3" s="1"/>
  <c r="AD110" i="3"/>
  <c r="AC110" i="3"/>
  <c r="Z110" i="3"/>
  <c r="X110" i="3"/>
  <c r="W110" i="3"/>
  <c r="Y110" i="3" s="1"/>
  <c r="U110" i="3"/>
  <c r="S110" i="3"/>
  <c r="Q110" i="3"/>
  <c r="V110" i="3" s="1"/>
  <c r="AE110" i="3" s="1"/>
  <c r="P110" i="3"/>
  <c r="Y109" i="3"/>
  <c r="AC109" i="3" s="1"/>
  <c r="X109" i="3"/>
  <c r="W109" i="3"/>
  <c r="U109" i="3"/>
  <c r="S109" i="3"/>
  <c r="Q109" i="3"/>
  <c r="P109" i="3"/>
  <c r="V109" i="3" s="1"/>
  <c r="X108" i="3"/>
  <c r="W108" i="3"/>
  <c r="U108" i="3"/>
  <c r="S108" i="3"/>
  <c r="V108" i="3" s="1"/>
  <c r="Q108" i="3"/>
  <c r="P108" i="3"/>
  <c r="X107" i="3"/>
  <c r="W107" i="3"/>
  <c r="U107" i="3"/>
  <c r="S107" i="3"/>
  <c r="Q107" i="3"/>
  <c r="P107" i="3"/>
  <c r="V107" i="3" s="1"/>
  <c r="X106" i="3"/>
  <c r="W106" i="3"/>
  <c r="U106" i="3"/>
  <c r="S106" i="3"/>
  <c r="V106" i="3" s="1"/>
  <c r="Q106" i="3"/>
  <c r="P106" i="3"/>
  <c r="Z105" i="3"/>
  <c r="AD105" i="3" s="1"/>
  <c r="X105" i="3"/>
  <c r="W105" i="3"/>
  <c r="U105" i="3"/>
  <c r="S105" i="3"/>
  <c r="Q105" i="3"/>
  <c r="P105" i="3"/>
  <c r="V105" i="3" s="1"/>
  <c r="AE105" i="3" s="1"/>
  <c r="AE104" i="3"/>
  <c r="X104" i="3"/>
  <c r="W104" i="3"/>
  <c r="V104" i="3"/>
  <c r="U104" i="3"/>
  <c r="S104" i="3"/>
  <c r="Q104" i="3"/>
  <c r="P104" i="3"/>
  <c r="Z103" i="3"/>
  <c r="AD103" i="3" s="1"/>
  <c r="X103" i="3"/>
  <c r="W103" i="3"/>
  <c r="Y103" i="3" s="1"/>
  <c r="AC103" i="3" s="1"/>
  <c r="U103" i="3"/>
  <c r="S103" i="3"/>
  <c r="Q103" i="3"/>
  <c r="P103" i="3"/>
  <c r="V103" i="3" s="1"/>
  <c r="AE103" i="3" s="1"/>
  <c r="X102" i="3"/>
  <c r="W102" i="3"/>
  <c r="U102" i="3"/>
  <c r="S102" i="3"/>
  <c r="Q102" i="3"/>
  <c r="P102" i="3"/>
  <c r="X101" i="3"/>
  <c r="W101" i="3"/>
  <c r="U101" i="3"/>
  <c r="S101" i="3"/>
  <c r="Q101" i="3"/>
  <c r="P101" i="3"/>
  <c r="V101" i="3" s="1"/>
  <c r="X100" i="3"/>
  <c r="W100" i="3"/>
  <c r="U100" i="3"/>
  <c r="S100" i="3"/>
  <c r="V100" i="3" s="1"/>
  <c r="Q100" i="3"/>
  <c r="P100" i="3"/>
  <c r="X99" i="3"/>
  <c r="W99" i="3"/>
  <c r="U99" i="3"/>
  <c r="S99" i="3"/>
  <c r="Q99" i="3"/>
  <c r="P99" i="3"/>
  <c r="V99" i="3" s="1"/>
  <c r="X98" i="3"/>
  <c r="W98" i="3"/>
  <c r="V98" i="3"/>
  <c r="U98" i="3"/>
  <c r="S98" i="3"/>
  <c r="Q98" i="3"/>
  <c r="P98" i="3"/>
  <c r="X97" i="3"/>
  <c r="Z97" i="3" s="1"/>
  <c r="AD97" i="3" s="1"/>
  <c r="W97" i="3"/>
  <c r="U97" i="3"/>
  <c r="S97" i="3"/>
  <c r="Q97" i="3"/>
  <c r="P97" i="3"/>
  <c r="V97" i="3" s="1"/>
  <c r="AE97" i="3" s="1"/>
  <c r="X96" i="3"/>
  <c r="W96" i="3"/>
  <c r="V96" i="3"/>
  <c r="U96" i="3"/>
  <c r="S96" i="3"/>
  <c r="Q96" i="3"/>
  <c r="P96" i="3"/>
  <c r="Z95" i="3"/>
  <c r="AD95" i="3" s="1"/>
  <c r="Y95" i="3"/>
  <c r="AC95" i="3" s="1"/>
  <c r="X95" i="3"/>
  <c r="W95" i="3"/>
  <c r="U95" i="3"/>
  <c r="S95" i="3"/>
  <c r="Q95" i="3"/>
  <c r="P95" i="3"/>
  <c r="V95" i="3" s="1"/>
  <c r="AE95" i="3" s="1"/>
  <c r="AD94" i="3"/>
  <c r="Z94" i="3"/>
  <c r="X94" i="3"/>
  <c r="W94" i="3"/>
  <c r="Y94" i="3" s="1"/>
  <c r="AC94" i="3" s="1"/>
  <c r="U94" i="3"/>
  <c r="S94" i="3"/>
  <c r="Q94" i="3"/>
  <c r="V94" i="3" s="1"/>
  <c r="AE94" i="3" s="1"/>
  <c r="P94" i="3"/>
  <c r="Z93" i="3"/>
  <c r="AD93" i="3" s="1"/>
  <c r="X93" i="3"/>
  <c r="W93" i="3"/>
  <c r="Y93" i="3" s="1"/>
  <c r="AC93" i="3" s="1"/>
  <c r="U93" i="3"/>
  <c r="S93" i="3"/>
  <c r="Q93" i="3"/>
  <c r="P93" i="3"/>
  <c r="V93" i="3" s="1"/>
  <c r="AE93" i="3" s="1"/>
  <c r="AE92" i="3"/>
  <c r="X92" i="3"/>
  <c r="W92" i="3"/>
  <c r="U92" i="3"/>
  <c r="S92" i="3"/>
  <c r="Q92" i="3"/>
  <c r="V92" i="3" s="1"/>
  <c r="P92" i="3"/>
  <c r="Z91" i="3"/>
  <c r="AD91" i="3" s="1"/>
  <c r="Y91" i="3"/>
  <c r="AC91" i="3" s="1"/>
  <c r="X91" i="3"/>
  <c r="W91" i="3"/>
  <c r="U91" i="3"/>
  <c r="S91" i="3"/>
  <c r="Q91" i="3"/>
  <c r="P91" i="3"/>
  <c r="V91" i="3" s="1"/>
  <c r="AE91" i="3" s="1"/>
  <c r="X90" i="3"/>
  <c r="W90" i="3"/>
  <c r="U90" i="3"/>
  <c r="S90" i="3"/>
  <c r="Q90" i="3"/>
  <c r="V90" i="3" s="1"/>
  <c r="P90" i="3"/>
  <c r="Y89" i="3"/>
  <c r="AC89" i="3" s="1"/>
  <c r="X89" i="3"/>
  <c r="W89" i="3"/>
  <c r="U89" i="3"/>
  <c r="S89" i="3"/>
  <c r="Q89" i="3"/>
  <c r="P89" i="3"/>
  <c r="V89" i="3" s="1"/>
  <c r="X88" i="3"/>
  <c r="W88" i="3"/>
  <c r="U88" i="3"/>
  <c r="S88" i="3"/>
  <c r="Q88" i="3"/>
  <c r="P88" i="3"/>
  <c r="X87" i="3"/>
  <c r="Z87" i="3" s="1"/>
  <c r="AD87" i="3" s="1"/>
  <c r="W87" i="3"/>
  <c r="U87" i="3"/>
  <c r="S87" i="3"/>
  <c r="Q87" i="3"/>
  <c r="P87" i="3"/>
  <c r="V87" i="3" s="1"/>
  <c r="AE86" i="3"/>
  <c r="X86" i="3"/>
  <c r="W86" i="3"/>
  <c r="V86" i="3"/>
  <c r="U86" i="3"/>
  <c r="S86" i="3"/>
  <c r="Q86" i="3"/>
  <c r="P86" i="3"/>
  <c r="Z85" i="3"/>
  <c r="AD85" i="3" s="1"/>
  <c r="X85" i="3"/>
  <c r="W85" i="3"/>
  <c r="Y85" i="3" s="1"/>
  <c r="AC85" i="3" s="1"/>
  <c r="U85" i="3"/>
  <c r="S85" i="3"/>
  <c r="Q85" i="3"/>
  <c r="P85" i="3"/>
  <c r="V85" i="3" s="1"/>
  <c r="AE85" i="3" s="1"/>
  <c r="X84" i="3"/>
  <c r="W84" i="3"/>
  <c r="V84" i="3"/>
  <c r="U84" i="3"/>
  <c r="S84" i="3"/>
  <c r="Q84" i="3"/>
  <c r="P84" i="3"/>
  <c r="Z83" i="3"/>
  <c r="AD83" i="3" s="1"/>
  <c r="X83" i="3"/>
  <c r="W83" i="3"/>
  <c r="Y83" i="3" s="1"/>
  <c r="AC83" i="3" s="1"/>
  <c r="U83" i="3"/>
  <c r="S83" i="3"/>
  <c r="Q83" i="3"/>
  <c r="P83" i="3"/>
  <c r="V83" i="3" s="1"/>
  <c r="AE83" i="3" s="1"/>
  <c r="AD82" i="3"/>
  <c r="AC82" i="3"/>
  <c r="Z82" i="3"/>
  <c r="X82" i="3"/>
  <c r="W82" i="3"/>
  <c r="Y82" i="3" s="1"/>
  <c r="V82" i="3"/>
  <c r="AE82" i="3" s="1"/>
  <c r="U82" i="3"/>
  <c r="S82" i="3"/>
  <c r="Q82" i="3"/>
  <c r="P82" i="3"/>
  <c r="Z81" i="3"/>
  <c r="AD81" i="3" s="1"/>
  <c r="X81" i="3"/>
  <c r="W81" i="3"/>
  <c r="Y81" i="3" s="1"/>
  <c r="AC81" i="3" s="1"/>
  <c r="U81" i="3"/>
  <c r="S81" i="3"/>
  <c r="Q81" i="3"/>
  <c r="P81" i="3"/>
  <c r="V81" i="3" s="1"/>
  <c r="AE81" i="3" s="1"/>
  <c r="AE80" i="3"/>
  <c r="X80" i="3"/>
  <c r="W80" i="3"/>
  <c r="U80" i="3"/>
  <c r="S80" i="3"/>
  <c r="Q80" i="3"/>
  <c r="V80" i="3" s="1"/>
  <c r="P80" i="3"/>
  <c r="Y79" i="3"/>
  <c r="AC79" i="3" s="1"/>
  <c r="X79" i="3"/>
  <c r="W79" i="3"/>
  <c r="U79" i="3"/>
  <c r="S79" i="3"/>
  <c r="Q79" i="3"/>
  <c r="P79" i="3"/>
  <c r="V79" i="3" s="1"/>
  <c r="X78" i="3"/>
  <c r="W78" i="3"/>
  <c r="U78" i="3"/>
  <c r="S78" i="3"/>
  <c r="V78" i="3" s="1"/>
  <c r="Q78" i="3"/>
  <c r="P78" i="3"/>
  <c r="X77" i="3"/>
  <c r="W77" i="3"/>
  <c r="U77" i="3"/>
  <c r="S77" i="3"/>
  <c r="Q77" i="3"/>
  <c r="P77" i="3"/>
  <c r="V77" i="3" s="1"/>
  <c r="X76" i="3"/>
  <c r="W76" i="3"/>
  <c r="U76" i="3"/>
  <c r="S76" i="3"/>
  <c r="V76" i="3" s="1"/>
  <c r="Q76" i="3"/>
  <c r="P76" i="3"/>
  <c r="Z75" i="3"/>
  <c r="AD75" i="3" s="1"/>
  <c r="X75" i="3"/>
  <c r="W75" i="3"/>
  <c r="U75" i="3"/>
  <c r="S75" i="3"/>
  <c r="Q75" i="3"/>
  <c r="P75" i="3"/>
  <c r="V75" i="3" s="1"/>
  <c r="AE75" i="3" s="1"/>
  <c r="AE74" i="3"/>
  <c r="X74" i="3"/>
  <c r="W74" i="3"/>
  <c r="V74" i="3"/>
  <c r="U74" i="3"/>
  <c r="S74" i="3"/>
  <c r="Q74" i="3"/>
  <c r="P74" i="3"/>
  <c r="Z73" i="3"/>
  <c r="AD73" i="3" s="1"/>
  <c r="X73" i="3"/>
  <c r="W73" i="3"/>
  <c r="Y73" i="3" s="1"/>
  <c r="AC73" i="3" s="1"/>
  <c r="U73" i="3"/>
  <c r="S73" i="3"/>
  <c r="Q73" i="3"/>
  <c r="P73" i="3"/>
  <c r="V73" i="3" s="1"/>
  <c r="AE73" i="3" s="1"/>
  <c r="X72" i="3"/>
  <c r="W72" i="3"/>
  <c r="U72" i="3"/>
  <c r="S72" i="3"/>
  <c r="Q72" i="3"/>
  <c r="P72" i="3"/>
  <c r="X71" i="3"/>
  <c r="W71" i="3"/>
  <c r="U71" i="3"/>
  <c r="S71" i="3"/>
  <c r="Q71" i="3"/>
  <c r="P71" i="3"/>
  <c r="V71" i="3" s="1"/>
  <c r="X70" i="3"/>
  <c r="W70" i="3"/>
  <c r="U70" i="3"/>
  <c r="S70" i="3"/>
  <c r="V70" i="3" s="1"/>
  <c r="Q70" i="3"/>
  <c r="P70" i="3"/>
  <c r="X69" i="3"/>
  <c r="W69" i="3"/>
  <c r="U69" i="3"/>
  <c r="S69" i="3"/>
  <c r="Q69" i="3"/>
  <c r="P69" i="3"/>
  <c r="V69" i="3" s="1"/>
  <c r="X68" i="3"/>
  <c r="W68" i="3"/>
  <c r="V68" i="3"/>
  <c r="U68" i="3"/>
  <c r="S68" i="3"/>
  <c r="Q68" i="3"/>
  <c r="P68" i="3"/>
  <c r="X67" i="3"/>
  <c r="Z67" i="3" s="1"/>
  <c r="AD67" i="3" s="1"/>
  <c r="W67" i="3"/>
  <c r="U67" i="3"/>
  <c r="S67" i="3"/>
  <c r="Q67" i="3"/>
  <c r="P67" i="3"/>
  <c r="V67" i="3" s="1"/>
  <c r="AE67" i="3" s="1"/>
  <c r="AD66" i="3"/>
  <c r="AC66" i="3"/>
  <c r="Z66" i="3"/>
  <c r="X66" i="3"/>
  <c r="W66" i="3"/>
  <c r="Y66" i="3" s="1"/>
  <c r="U66" i="3"/>
  <c r="S66" i="3"/>
  <c r="Q66" i="3"/>
  <c r="V66" i="3" s="1"/>
  <c r="AE66" i="3" s="1"/>
  <c r="P66" i="3"/>
  <c r="Z65" i="3"/>
  <c r="AD65" i="3" s="1"/>
  <c r="X65" i="3"/>
  <c r="W65" i="3"/>
  <c r="U65" i="3"/>
  <c r="S65" i="3"/>
  <c r="Q65" i="3"/>
  <c r="P65" i="3"/>
  <c r="V65" i="3" s="1"/>
  <c r="X64" i="3"/>
  <c r="W64" i="3"/>
  <c r="U64" i="3"/>
  <c r="S64" i="3"/>
  <c r="Q64" i="3"/>
  <c r="V64" i="3" s="1"/>
  <c r="P64" i="3"/>
  <c r="Z63" i="3"/>
  <c r="AD63" i="3" s="1"/>
  <c r="X63" i="3"/>
  <c r="W63" i="3"/>
  <c r="Y63" i="3" s="1"/>
  <c r="AC63" i="3" s="1"/>
  <c r="U63" i="3"/>
  <c r="S63" i="3"/>
  <c r="Q63" i="3"/>
  <c r="P63" i="3"/>
  <c r="V63" i="3" s="1"/>
  <c r="AE63" i="3" s="1"/>
  <c r="X62" i="3"/>
  <c r="W62" i="3"/>
  <c r="V62" i="3"/>
  <c r="U62" i="3"/>
  <c r="S62" i="3"/>
  <c r="Q62" i="3"/>
  <c r="P62" i="3"/>
  <c r="Z61" i="3"/>
  <c r="AD61" i="3" s="1"/>
  <c r="Y61" i="3"/>
  <c r="AC61" i="3" s="1"/>
  <c r="X61" i="3"/>
  <c r="W61" i="3"/>
  <c r="U61" i="3"/>
  <c r="S61" i="3"/>
  <c r="Q61" i="3"/>
  <c r="P61" i="3"/>
  <c r="V61" i="3" s="1"/>
  <c r="AE61" i="3" s="1"/>
  <c r="AD60" i="3"/>
  <c r="AC60" i="3"/>
  <c r="Z60" i="3"/>
  <c r="X60" i="3"/>
  <c r="W60" i="3"/>
  <c r="Y60" i="3" s="1"/>
  <c r="U60" i="3"/>
  <c r="S60" i="3"/>
  <c r="Q60" i="3"/>
  <c r="V60" i="3" s="1"/>
  <c r="AE60" i="3" s="1"/>
  <c r="P60" i="3"/>
  <c r="Z59" i="3"/>
  <c r="AD59" i="3" s="1"/>
  <c r="Y59" i="3"/>
  <c r="AC59" i="3" s="1"/>
  <c r="X59" i="3"/>
  <c r="W59" i="3"/>
  <c r="U59" i="3"/>
  <c r="S59" i="3"/>
  <c r="Q59" i="3"/>
  <c r="P59" i="3"/>
  <c r="V59" i="3" s="1"/>
  <c r="AE59" i="3" s="1"/>
  <c r="X58" i="3"/>
  <c r="W58" i="3"/>
  <c r="U58" i="3"/>
  <c r="S58" i="3"/>
  <c r="Q58" i="3"/>
  <c r="V58" i="3" s="1"/>
  <c r="AE58" i="3" s="1"/>
  <c r="P58" i="3"/>
  <c r="X57" i="3"/>
  <c r="W57" i="3"/>
  <c r="U57" i="3"/>
  <c r="S57" i="3"/>
  <c r="Q57" i="3"/>
  <c r="P57" i="3"/>
  <c r="V57" i="3" s="1"/>
  <c r="Y57" i="3" s="1"/>
  <c r="AC57" i="3" s="1"/>
  <c r="X56" i="3"/>
  <c r="W56" i="3"/>
  <c r="U56" i="3"/>
  <c r="S56" i="3"/>
  <c r="Q56" i="3"/>
  <c r="P56" i="3"/>
  <c r="X55" i="3"/>
  <c r="W55" i="3"/>
  <c r="U55" i="3"/>
  <c r="S55" i="3"/>
  <c r="Q55" i="3"/>
  <c r="P55" i="3"/>
  <c r="V55" i="3" s="1"/>
  <c r="X54" i="3"/>
  <c r="W54" i="3"/>
  <c r="V54" i="3"/>
  <c r="U54" i="3"/>
  <c r="S54" i="3"/>
  <c r="Q54" i="3"/>
  <c r="P54" i="3"/>
  <c r="X53" i="3"/>
  <c r="Z53" i="3" s="1"/>
  <c r="AD53" i="3" s="1"/>
  <c r="W53" i="3"/>
  <c r="Y53" i="3" s="1"/>
  <c r="AC53" i="3" s="1"/>
  <c r="U53" i="3"/>
  <c r="S53" i="3"/>
  <c r="Q53" i="3"/>
  <c r="P53" i="3"/>
  <c r="V53" i="3" s="1"/>
  <c r="AE53" i="3" s="1"/>
  <c r="X52" i="3"/>
  <c r="W52" i="3"/>
  <c r="V52" i="3"/>
  <c r="U52" i="3"/>
  <c r="S52" i="3"/>
  <c r="Q52" i="3"/>
  <c r="P52" i="3"/>
  <c r="Z51" i="3"/>
  <c r="AD51" i="3" s="1"/>
  <c r="X51" i="3"/>
  <c r="W51" i="3"/>
  <c r="Y51" i="3" s="1"/>
  <c r="AC51" i="3" s="1"/>
  <c r="U51" i="3"/>
  <c r="S51" i="3"/>
  <c r="Q51" i="3"/>
  <c r="P51" i="3"/>
  <c r="V51" i="3" s="1"/>
  <c r="AE51" i="3" s="1"/>
  <c r="X50" i="3"/>
  <c r="W50" i="3"/>
  <c r="U50" i="3"/>
  <c r="S50" i="3"/>
  <c r="Q50" i="3"/>
  <c r="P50" i="3"/>
  <c r="Y49" i="3"/>
  <c r="AC49" i="3" s="1"/>
  <c r="X49" i="3"/>
  <c r="Z49" i="3" s="1"/>
  <c r="AD49" i="3" s="1"/>
  <c r="W49" i="3"/>
  <c r="U49" i="3"/>
  <c r="S49" i="3"/>
  <c r="Q49" i="3"/>
  <c r="P49" i="3"/>
  <c r="V49" i="3" s="1"/>
  <c r="AE49" i="3" s="1"/>
  <c r="X48" i="3"/>
  <c r="W48" i="3"/>
  <c r="U48" i="3"/>
  <c r="S48" i="3"/>
  <c r="V48" i="3" s="1"/>
  <c r="Q48" i="3"/>
  <c r="P48" i="3"/>
  <c r="X47" i="3"/>
  <c r="W47" i="3"/>
  <c r="U47" i="3"/>
  <c r="S47" i="3"/>
  <c r="Q47" i="3"/>
  <c r="P47" i="3"/>
  <c r="V47" i="3" s="1"/>
  <c r="X46" i="3"/>
  <c r="W46" i="3"/>
  <c r="U46" i="3"/>
  <c r="S46" i="3"/>
  <c r="V46" i="3" s="1"/>
  <c r="Q46" i="3"/>
  <c r="P46" i="3"/>
  <c r="X45" i="3"/>
  <c r="Z45" i="3" s="1"/>
  <c r="AD45" i="3" s="1"/>
  <c r="W45" i="3"/>
  <c r="U45" i="3"/>
  <c r="S45" i="3"/>
  <c r="Q45" i="3"/>
  <c r="P45" i="3"/>
  <c r="V45" i="3" s="1"/>
  <c r="AE45" i="3" s="1"/>
  <c r="X44" i="3"/>
  <c r="W44" i="3"/>
  <c r="U44" i="3"/>
  <c r="S44" i="3"/>
  <c r="Q44" i="3"/>
  <c r="V44" i="3" s="1"/>
  <c r="P44" i="3"/>
  <c r="Z43" i="3"/>
  <c r="AD43" i="3" s="1"/>
  <c r="Y43" i="3"/>
  <c r="AC43" i="3" s="1"/>
  <c r="X43" i="3"/>
  <c r="W43" i="3"/>
  <c r="U43" i="3"/>
  <c r="S43" i="3"/>
  <c r="Q43" i="3"/>
  <c r="P43" i="3"/>
  <c r="V43" i="3" s="1"/>
  <c r="AE43" i="3" s="1"/>
  <c r="X42" i="3"/>
  <c r="W42" i="3"/>
  <c r="U42" i="3"/>
  <c r="S42" i="3"/>
  <c r="Q42" i="3"/>
  <c r="V42" i="3" s="1"/>
  <c r="AE42" i="3" s="1"/>
  <c r="P42" i="3"/>
  <c r="Y41" i="3"/>
  <c r="AC41" i="3" s="1"/>
  <c r="X41" i="3"/>
  <c r="Z41" i="3" s="1"/>
  <c r="AD41" i="3" s="1"/>
  <c r="W41" i="3"/>
  <c r="U41" i="3"/>
  <c r="S41" i="3"/>
  <c r="Q41" i="3"/>
  <c r="P41" i="3"/>
  <c r="V41" i="3" s="1"/>
  <c r="AE41" i="3" s="1"/>
  <c r="X40" i="3"/>
  <c r="W40" i="3"/>
  <c r="U40" i="3"/>
  <c r="S40" i="3"/>
  <c r="Q40" i="3"/>
  <c r="P40" i="3"/>
  <c r="X39" i="3"/>
  <c r="W39" i="3"/>
  <c r="U39" i="3"/>
  <c r="S39" i="3"/>
  <c r="Q39" i="3"/>
  <c r="P39" i="3"/>
  <c r="V39" i="3" s="1"/>
  <c r="X38" i="3"/>
  <c r="W38" i="3"/>
  <c r="U38" i="3"/>
  <c r="S38" i="3"/>
  <c r="V38" i="3" s="1"/>
  <c r="Q38" i="3"/>
  <c r="P38" i="3"/>
  <c r="X37" i="3"/>
  <c r="Z37" i="3" s="1"/>
  <c r="AD37" i="3" s="1"/>
  <c r="W37" i="3"/>
  <c r="Y37" i="3" s="1"/>
  <c r="AC37" i="3" s="1"/>
  <c r="U37" i="3"/>
  <c r="S37" i="3"/>
  <c r="Q37" i="3"/>
  <c r="P37" i="3"/>
  <c r="V37" i="3" s="1"/>
  <c r="AE37" i="3" s="1"/>
  <c r="X36" i="3"/>
  <c r="W36" i="3"/>
  <c r="V36" i="3"/>
  <c r="U36" i="3"/>
  <c r="S36" i="3"/>
  <c r="Q36" i="3"/>
  <c r="P36" i="3"/>
  <c r="Z35" i="3"/>
  <c r="AD35" i="3" s="1"/>
  <c r="X35" i="3"/>
  <c r="W35" i="3"/>
  <c r="Y35" i="3" s="1"/>
  <c r="AC35" i="3" s="1"/>
  <c r="U35" i="3"/>
  <c r="S35" i="3"/>
  <c r="Q35" i="3"/>
  <c r="P35" i="3"/>
  <c r="V35" i="3" s="1"/>
  <c r="AE35" i="3" s="1"/>
  <c r="X34" i="3"/>
  <c r="W34" i="3"/>
  <c r="U34" i="3"/>
  <c r="S34" i="3"/>
  <c r="Q34" i="3"/>
  <c r="P34" i="3"/>
  <c r="Y33" i="3"/>
  <c r="AC33" i="3" s="1"/>
  <c r="X33" i="3"/>
  <c r="W33" i="3"/>
  <c r="U33" i="3"/>
  <c r="S33" i="3"/>
  <c r="Q33" i="3"/>
  <c r="P33" i="3"/>
  <c r="V33" i="3" s="1"/>
  <c r="X32" i="3"/>
  <c r="W32" i="3"/>
  <c r="U32" i="3"/>
  <c r="S32" i="3"/>
  <c r="V32" i="3" s="1"/>
  <c r="Q32" i="3"/>
  <c r="P32" i="3"/>
  <c r="X31" i="3"/>
  <c r="W31" i="3"/>
  <c r="U31" i="3"/>
  <c r="S31" i="3"/>
  <c r="Q31" i="3"/>
  <c r="P31" i="3"/>
  <c r="V31" i="3" s="1"/>
  <c r="X30" i="3"/>
  <c r="W30" i="3"/>
  <c r="U30" i="3"/>
  <c r="S30" i="3"/>
  <c r="V30" i="3" s="1"/>
  <c r="Q30" i="3"/>
  <c r="P30" i="3"/>
  <c r="X29" i="3"/>
  <c r="Z29" i="3" s="1"/>
  <c r="AD29" i="3" s="1"/>
  <c r="W29" i="3"/>
  <c r="Y29" i="3" s="1"/>
  <c r="AC29" i="3" s="1"/>
  <c r="U29" i="3"/>
  <c r="S29" i="3"/>
  <c r="Q29" i="3"/>
  <c r="P29" i="3"/>
  <c r="V29" i="3" s="1"/>
  <c r="AE29" i="3" s="1"/>
  <c r="AE28" i="3"/>
  <c r="X28" i="3"/>
  <c r="W28" i="3"/>
  <c r="U28" i="3"/>
  <c r="S28" i="3"/>
  <c r="Q28" i="3"/>
  <c r="V28" i="3" s="1"/>
  <c r="P28" i="3"/>
  <c r="Y27" i="3"/>
  <c r="AC27" i="3" s="1"/>
  <c r="X27" i="3"/>
  <c r="W27" i="3"/>
  <c r="U27" i="3"/>
  <c r="S27" i="3"/>
  <c r="Q27" i="3"/>
  <c r="P27" i="3"/>
  <c r="V27" i="3" s="1"/>
  <c r="X26" i="3"/>
  <c r="W26" i="3"/>
  <c r="U26" i="3"/>
  <c r="S26" i="3"/>
  <c r="Q26" i="3"/>
  <c r="V26" i="3" s="1"/>
  <c r="AE26" i="3" s="1"/>
  <c r="P26" i="3"/>
  <c r="X25" i="3"/>
  <c r="W25" i="3"/>
  <c r="U25" i="3"/>
  <c r="S25" i="3"/>
  <c r="Q25" i="3"/>
  <c r="P25" i="3"/>
  <c r="V25" i="3" s="1"/>
  <c r="Y25" i="3" s="1"/>
  <c r="AC25" i="3" s="1"/>
  <c r="AD24" i="3"/>
  <c r="Z24" i="3"/>
  <c r="X24" i="3"/>
  <c r="W24" i="3"/>
  <c r="Y24" i="3" s="1"/>
  <c r="AC24" i="3" s="1"/>
  <c r="U24" i="3"/>
  <c r="S24" i="3"/>
  <c r="Q24" i="3"/>
  <c r="V24" i="3" s="1"/>
  <c r="AE24" i="3" s="1"/>
  <c r="P24" i="3"/>
  <c r="Z23" i="3"/>
  <c r="AD23" i="3" s="1"/>
  <c r="Y23" i="3"/>
  <c r="AC23" i="3" s="1"/>
  <c r="X23" i="3"/>
  <c r="W23" i="3"/>
  <c r="U23" i="3"/>
  <c r="S23" i="3"/>
  <c r="Q23" i="3"/>
  <c r="P23" i="3"/>
  <c r="V23" i="3" s="1"/>
  <c r="AE23" i="3" s="1"/>
  <c r="X22" i="3"/>
  <c r="W22" i="3"/>
  <c r="U22" i="3"/>
  <c r="S22" i="3"/>
  <c r="Q22" i="3"/>
  <c r="V22" i="3" s="1"/>
  <c r="P22" i="3"/>
  <c r="Z21" i="3"/>
  <c r="AD21" i="3" s="1"/>
  <c r="X21" i="3"/>
  <c r="W21" i="3"/>
  <c r="U21" i="3"/>
  <c r="S21" i="3"/>
  <c r="Q21" i="3"/>
  <c r="P21" i="3"/>
  <c r="V21" i="3" s="1"/>
  <c r="AE21" i="3" s="1"/>
  <c r="X20" i="3"/>
  <c r="W20" i="3"/>
  <c r="U20" i="3"/>
  <c r="S20" i="3"/>
  <c r="Q20" i="3"/>
  <c r="P20" i="3"/>
  <c r="X19" i="3"/>
  <c r="W19" i="3"/>
  <c r="U19" i="3"/>
  <c r="S19" i="3"/>
  <c r="Q19" i="3"/>
  <c r="P19" i="3"/>
  <c r="V19" i="3" s="1"/>
  <c r="X18" i="3"/>
  <c r="W18" i="3"/>
  <c r="U18" i="3"/>
  <c r="S18" i="3"/>
  <c r="V18" i="3" s="1"/>
  <c r="Q18" i="3"/>
  <c r="P18" i="3"/>
  <c r="Z17" i="3"/>
  <c r="AD17" i="3" s="1"/>
  <c r="X17" i="3"/>
  <c r="W17" i="3"/>
  <c r="Y17" i="3" s="1"/>
  <c r="AC17" i="3" s="1"/>
  <c r="U17" i="3"/>
  <c r="S17" i="3"/>
  <c r="Q17" i="3"/>
  <c r="P17" i="3"/>
  <c r="V17" i="3" s="1"/>
  <c r="AE17" i="3" s="1"/>
  <c r="X16" i="3"/>
  <c r="W16" i="3"/>
  <c r="U16" i="3"/>
  <c r="V16" i="3" s="1"/>
  <c r="S16" i="3"/>
  <c r="Q16" i="3"/>
  <c r="P16" i="3"/>
  <c r="X15" i="3"/>
  <c r="Z15" i="3" s="1"/>
  <c r="AD15" i="3" s="1"/>
  <c r="W15" i="3"/>
  <c r="Y15" i="3" s="1"/>
  <c r="AC15" i="3" s="1"/>
  <c r="U15" i="3"/>
  <c r="S15" i="3"/>
  <c r="Q15" i="3"/>
  <c r="P15" i="3"/>
  <c r="V15" i="3" s="1"/>
  <c r="AE15" i="3" s="1"/>
  <c r="X14" i="3"/>
  <c r="W14" i="3"/>
  <c r="U14" i="3"/>
  <c r="S14" i="3"/>
  <c r="Q14" i="3"/>
  <c r="P14" i="3"/>
  <c r="Y13" i="3"/>
  <c r="AC13" i="3" s="1"/>
  <c r="X13" i="3"/>
  <c r="W13" i="3"/>
  <c r="U13" i="3"/>
  <c r="S13" i="3"/>
  <c r="Q13" i="3"/>
  <c r="P13" i="3"/>
  <c r="V13" i="3" s="1"/>
  <c r="AE13" i="3" s="1"/>
  <c r="X12" i="3"/>
  <c r="W12" i="3"/>
  <c r="U12" i="3"/>
  <c r="S12" i="3"/>
  <c r="Q12" i="3"/>
  <c r="P12" i="3"/>
  <c r="X11" i="3"/>
  <c r="Z11" i="3" s="1"/>
  <c r="AD11" i="3" s="1"/>
  <c r="W11" i="3"/>
  <c r="U11" i="3"/>
  <c r="S11" i="3"/>
  <c r="Q11" i="3"/>
  <c r="P11" i="3"/>
  <c r="V11" i="3" s="1"/>
  <c r="X10" i="3"/>
  <c r="W10" i="3"/>
  <c r="V10" i="3"/>
  <c r="U10" i="3"/>
  <c r="S10" i="3"/>
  <c r="Q10" i="3"/>
  <c r="P10" i="3"/>
  <c r="X9" i="3"/>
  <c r="Z9" i="3" s="1"/>
  <c r="AD9" i="3" s="1"/>
  <c r="W9" i="3"/>
  <c r="Y9" i="3" s="1"/>
  <c r="AC9" i="3" s="1"/>
  <c r="U9" i="3"/>
  <c r="S9" i="3"/>
  <c r="Q9" i="3"/>
  <c r="P9" i="3"/>
  <c r="V9" i="3" s="1"/>
  <c r="AE9" i="3" s="1"/>
  <c r="X8" i="3"/>
  <c r="W8" i="3"/>
  <c r="V8" i="3"/>
  <c r="U8" i="3"/>
  <c r="S8" i="3"/>
  <c r="Q8" i="3"/>
  <c r="P8" i="3"/>
  <c r="X7" i="3"/>
  <c r="Z7" i="3" s="1"/>
  <c r="AD7" i="3" s="1"/>
  <c r="W7" i="3"/>
  <c r="Y7" i="3" s="1"/>
  <c r="AC7" i="3" s="1"/>
  <c r="U7" i="3"/>
  <c r="S7" i="3"/>
  <c r="Q7" i="3"/>
  <c r="P7" i="3"/>
  <c r="V7" i="3" s="1"/>
  <c r="AE7" i="3" s="1"/>
  <c r="X6" i="3"/>
  <c r="W6" i="3"/>
  <c r="U6" i="3"/>
  <c r="S6" i="3"/>
  <c r="Q6" i="3"/>
  <c r="P6" i="3"/>
  <c r="Y5" i="3"/>
  <c r="AC5" i="3" s="1"/>
  <c r="X5" i="3"/>
  <c r="Z5" i="3" s="1"/>
  <c r="AD5" i="3" s="1"/>
  <c r="W5" i="3"/>
  <c r="U5" i="3"/>
  <c r="S5" i="3"/>
  <c r="Q5" i="3"/>
  <c r="P5" i="3"/>
  <c r="V5" i="3" s="1"/>
  <c r="AE5" i="3" s="1"/>
  <c r="AD4" i="3"/>
  <c r="AC4" i="3"/>
  <c r="Z4" i="3"/>
  <c r="X4" i="3"/>
  <c r="W4" i="3"/>
  <c r="Y4" i="3" s="1"/>
  <c r="U4" i="3"/>
  <c r="S4" i="3"/>
  <c r="Q4" i="3"/>
  <c r="V4" i="3" s="1"/>
  <c r="AE4" i="3" s="1"/>
  <c r="P4" i="3"/>
  <c r="X3" i="3"/>
  <c r="W3" i="3"/>
  <c r="U3" i="3"/>
  <c r="S3" i="3"/>
  <c r="Q3" i="3"/>
  <c r="P3" i="3"/>
  <c r="V3" i="3" s="1"/>
  <c r="Y3" i="3" s="1"/>
  <c r="AC3" i="3" s="1"/>
  <c r="X2" i="3"/>
  <c r="W2" i="3"/>
  <c r="U2" i="3"/>
  <c r="S2" i="3"/>
  <c r="V2" i="3" s="1"/>
  <c r="Q2" i="3"/>
  <c r="P2" i="3"/>
  <c r="D34" i="1"/>
  <c r="C34" i="1"/>
  <c r="B34" i="1"/>
  <c r="D33" i="1"/>
  <c r="C33" i="1"/>
  <c r="B33" i="1"/>
  <c r="D32" i="1"/>
  <c r="C32" i="1"/>
  <c r="B32" i="1"/>
  <c r="D31" i="1"/>
  <c r="C31" i="1"/>
  <c r="B31" i="1"/>
  <c r="E30" i="1"/>
  <c r="D30" i="1"/>
  <c r="F30" i="1" s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F25" i="1"/>
  <c r="E25" i="1"/>
  <c r="D25" i="1"/>
  <c r="C25" i="1"/>
  <c r="B25" i="1"/>
  <c r="D24" i="1"/>
  <c r="C24" i="1"/>
  <c r="B24" i="1"/>
  <c r="F23" i="1"/>
  <c r="E23" i="1"/>
  <c r="D23" i="1"/>
  <c r="C23" i="1"/>
  <c r="B23" i="1"/>
  <c r="D22" i="1"/>
  <c r="C22" i="1"/>
  <c r="B22" i="1"/>
  <c r="D21" i="1"/>
  <c r="C21" i="1"/>
  <c r="B21" i="1"/>
  <c r="D20" i="1"/>
  <c r="C20" i="1"/>
  <c r="B20" i="1"/>
  <c r="E19" i="1"/>
  <c r="D19" i="1"/>
  <c r="F19" i="1" s="1"/>
  <c r="C19" i="1"/>
  <c r="B19" i="1"/>
  <c r="D18" i="1"/>
  <c r="C18" i="1"/>
  <c r="B18" i="1"/>
  <c r="F17" i="1"/>
  <c r="E17" i="1"/>
  <c r="D17" i="1"/>
  <c r="C17" i="1"/>
  <c r="B17" i="1"/>
  <c r="D16" i="1"/>
  <c r="C16" i="1"/>
  <c r="B16" i="1"/>
  <c r="D15" i="1"/>
  <c r="C15" i="1"/>
  <c r="B15" i="1"/>
  <c r="Z232" i="3" l="1"/>
  <c r="AD232" i="3" s="1"/>
  <c r="Y232" i="3"/>
  <c r="AC232" i="3" s="1"/>
  <c r="AE232" i="3"/>
  <c r="Z298" i="3"/>
  <c r="AD298" i="3" s="1"/>
  <c r="Y298" i="3"/>
  <c r="AC298" i="3" s="1"/>
  <c r="AE298" i="3"/>
  <c r="Z38" i="3"/>
  <c r="AD38" i="3" s="1"/>
  <c r="Y38" i="3"/>
  <c r="AC38" i="3" s="1"/>
  <c r="AE38" i="3"/>
  <c r="Z48" i="3"/>
  <c r="AD48" i="3" s="1"/>
  <c r="Y48" i="3"/>
  <c r="AC48" i="3" s="1"/>
  <c r="AE48" i="3"/>
  <c r="Z220" i="3"/>
  <c r="AD220" i="3" s="1"/>
  <c r="Y220" i="3"/>
  <c r="AC220" i="3" s="1"/>
  <c r="AE220" i="3"/>
  <c r="AE31" i="3"/>
  <c r="Z31" i="3"/>
  <c r="AD31" i="3" s="1"/>
  <c r="Y31" i="3"/>
  <c r="AC31" i="3" s="1"/>
  <c r="Z32" i="3"/>
  <c r="AD32" i="3" s="1"/>
  <c r="Y32" i="3"/>
  <c r="AC32" i="3" s="1"/>
  <c r="AE32" i="3"/>
  <c r="Z44" i="3"/>
  <c r="AD44" i="3" s="1"/>
  <c r="Y44" i="3"/>
  <c r="AC44" i="3" s="1"/>
  <c r="Z64" i="3"/>
  <c r="AD64" i="3" s="1"/>
  <c r="Y64" i="3"/>
  <c r="AC64" i="3" s="1"/>
  <c r="AE64" i="3"/>
  <c r="Z68" i="3"/>
  <c r="AD68" i="3" s="1"/>
  <c r="Y68" i="3"/>
  <c r="AC68" i="3" s="1"/>
  <c r="AE68" i="3"/>
  <c r="AE77" i="3"/>
  <c r="Z77" i="3"/>
  <c r="AD77" i="3" s="1"/>
  <c r="Y77" i="3"/>
  <c r="AC77" i="3" s="1"/>
  <c r="Z78" i="3"/>
  <c r="AD78" i="3" s="1"/>
  <c r="Y78" i="3"/>
  <c r="AC78" i="3" s="1"/>
  <c r="AE78" i="3"/>
  <c r="Z84" i="3"/>
  <c r="AD84" i="3" s="1"/>
  <c r="Y84" i="3"/>
  <c r="AC84" i="3" s="1"/>
  <c r="AE84" i="3"/>
  <c r="Z142" i="3"/>
  <c r="AD142" i="3" s="1"/>
  <c r="Y142" i="3"/>
  <c r="AC142" i="3" s="1"/>
  <c r="AE142" i="3"/>
  <c r="AE151" i="3"/>
  <c r="Z151" i="3"/>
  <c r="AD151" i="3" s="1"/>
  <c r="Y151" i="3"/>
  <c r="AC151" i="3" s="1"/>
  <c r="Z152" i="3"/>
  <c r="AD152" i="3" s="1"/>
  <c r="Y152" i="3"/>
  <c r="AC152" i="3" s="1"/>
  <c r="AE152" i="3"/>
  <c r="Z160" i="3"/>
  <c r="AD160" i="3" s="1"/>
  <c r="Y160" i="3"/>
  <c r="AC160" i="3" s="1"/>
  <c r="AE160" i="3"/>
  <c r="Z194" i="3"/>
  <c r="AD194" i="3" s="1"/>
  <c r="Y194" i="3"/>
  <c r="AC194" i="3" s="1"/>
  <c r="AE194" i="3"/>
  <c r="AE213" i="3"/>
  <c r="Y213" i="3"/>
  <c r="AC213" i="3" s="1"/>
  <c r="Z213" i="3"/>
  <c r="AD213" i="3" s="1"/>
  <c r="Z246" i="3"/>
  <c r="AD246" i="3" s="1"/>
  <c r="Y246" i="3"/>
  <c r="AC246" i="3" s="1"/>
  <c r="AE246" i="3"/>
  <c r="Z330" i="3"/>
  <c r="AD330" i="3" s="1"/>
  <c r="Y330" i="3"/>
  <c r="AC330" i="3" s="1"/>
  <c r="AE330" i="3"/>
  <c r="Z336" i="3"/>
  <c r="AD336" i="3" s="1"/>
  <c r="Y336" i="3"/>
  <c r="AC336" i="3" s="1"/>
  <c r="AE336" i="3"/>
  <c r="Z354" i="3"/>
  <c r="AD354" i="3" s="1"/>
  <c r="Y354" i="3"/>
  <c r="AC354" i="3" s="1"/>
  <c r="AE354" i="3"/>
  <c r="Z368" i="3"/>
  <c r="AD368" i="3" s="1"/>
  <c r="Y368" i="3"/>
  <c r="AC368" i="3" s="1"/>
  <c r="AE368" i="3"/>
  <c r="AE398" i="3"/>
  <c r="Y398" i="3"/>
  <c r="AC398" i="3" s="1"/>
  <c r="Z398" i="3"/>
  <c r="AD398" i="3" s="1"/>
  <c r="AE418" i="3"/>
  <c r="Y418" i="3"/>
  <c r="AC418" i="3" s="1"/>
  <c r="Z471" i="3"/>
  <c r="AD471" i="3" s="1"/>
  <c r="Y471" i="3"/>
  <c r="AC471" i="3" s="1"/>
  <c r="AE471" i="3"/>
  <c r="Z499" i="3"/>
  <c r="AD499" i="3" s="1"/>
  <c r="AE499" i="3"/>
  <c r="Y499" i="3"/>
  <c r="AC499" i="3" s="1"/>
  <c r="Z555" i="3"/>
  <c r="AD555" i="3" s="1"/>
  <c r="AE555" i="3"/>
  <c r="Y555" i="3"/>
  <c r="AC555" i="3" s="1"/>
  <c r="Z18" i="3"/>
  <c r="AD18" i="3" s="1"/>
  <c r="Y18" i="3"/>
  <c r="AC18" i="3" s="1"/>
  <c r="Z182" i="3"/>
  <c r="AD182" i="3" s="1"/>
  <c r="Y182" i="3"/>
  <c r="AC182" i="3" s="1"/>
  <c r="AE182" i="3"/>
  <c r="Z190" i="3"/>
  <c r="AD190" i="3" s="1"/>
  <c r="Y190" i="3"/>
  <c r="AC190" i="3" s="1"/>
  <c r="AE190" i="3"/>
  <c r="AE193" i="3"/>
  <c r="Y193" i="3"/>
  <c r="AC193" i="3" s="1"/>
  <c r="Z193" i="3"/>
  <c r="AD193" i="3" s="1"/>
  <c r="V204" i="3"/>
  <c r="Z206" i="3"/>
  <c r="AD206" i="3" s="1"/>
  <c r="Y206" i="3"/>
  <c r="AC206" i="3" s="1"/>
  <c r="AE206" i="3"/>
  <c r="V230" i="3"/>
  <c r="Z238" i="3"/>
  <c r="AD238" i="3" s="1"/>
  <c r="Y238" i="3"/>
  <c r="AC238" i="3" s="1"/>
  <c r="AE238" i="3"/>
  <c r="Z292" i="3"/>
  <c r="AD292" i="3" s="1"/>
  <c r="Y292" i="3"/>
  <c r="AC292" i="3" s="1"/>
  <c r="Z314" i="3"/>
  <c r="AD314" i="3" s="1"/>
  <c r="Y314" i="3"/>
  <c r="AC314" i="3" s="1"/>
  <c r="AE314" i="3"/>
  <c r="Z387" i="3"/>
  <c r="AD387" i="3" s="1"/>
  <c r="Y387" i="3"/>
  <c r="AC387" i="3" s="1"/>
  <c r="AE387" i="3"/>
  <c r="Z502" i="3"/>
  <c r="AD502" i="3" s="1"/>
  <c r="Y502" i="3"/>
  <c r="AC502" i="3" s="1"/>
  <c r="AE502" i="3"/>
  <c r="Z98" i="3"/>
  <c r="AD98" i="3" s="1"/>
  <c r="Y98" i="3"/>
  <c r="AC98" i="3" s="1"/>
  <c r="AE98" i="3"/>
  <c r="AE107" i="3"/>
  <c r="Z107" i="3"/>
  <c r="AD107" i="3" s="1"/>
  <c r="Y107" i="3"/>
  <c r="AC107" i="3" s="1"/>
  <c r="Z108" i="3"/>
  <c r="AD108" i="3" s="1"/>
  <c r="Y108" i="3"/>
  <c r="AC108" i="3" s="1"/>
  <c r="AE108" i="3"/>
  <c r="Z140" i="3"/>
  <c r="AD140" i="3" s="1"/>
  <c r="Y140" i="3"/>
  <c r="AC140" i="3" s="1"/>
  <c r="AE140" i="3"/>
  <c r="Z272" i="3"/>
  <c r="AD272" i="3" s="1"/>
  <c r="Y272" i="3"/>
  <c r="AC272" i="3" s="1"/>
  <c r="Z312" i="3"/>
  <c r="AD312" i="3" s="1"/>
  <c r="Y312" i="3"/>
  <c r="AC312" i="3" s="1"/>
  <c r="AE312" i="3"/>
  <c r="Z318" i="3"/>
  <c r="AD318" i="3" s="1"/>
  <c r="Y318" i="3"/>
  <c r="AC318" i="3" s="1"/>
  <c r="AE318" i="3"/>
  <c r="Z356" i="3"/>
  <c r="AD356" i="3" s="1"/>
  <c r="Y356" i="3"/>
  <c r="AC356" i="3" s="1"/>
  <c r="AE356" i="3"/>
  <c r="Z383" i="3"/>
  <c r="AD383" i="3" s="1"/>
  <c r="Y383" i="3"/>
  <c r="AC383" i="3" s="1"/>
  <c r="AE383" i="3"/>
  <c r="AE396" i="3"/>
  <c r="Z396" i="3"/>
  <c r="AD396" i="3" s="1"/>
  <c r="Y396" i="3"/>
  <c r="AC396" i="3" s="1"/>
  <c r="Z497" i="3"/>
  <c r="AD497" i="3" s="1"/>
  <c r="AE497" i="3"/>
  <c r="Y497" i="3"/>
  <c r="AC497" i="3" s="1"/>
  <c r="Z16" i="3"/>
  <c r="AD16" i="3" s="1"/>
  <c r="Y16" i="3"/>
  <c r="AC16" i="3" s="1"/>
  <c r="Z30" i="3"/>
  <c r="AD30" i="3" s="1"/>
  <c r="Y30" i="3"/>
  <c r="AC30" i="3" s="1"/>
  <c r="AE30" i="3"/>
  <c r="Z36" i="3"/>
  <c r="AD36" i="3" s="1"/>
  <c r="Y36" i="3"/>
  <c r="AC36" i="3" s="1"/>
  <c r="AE36" i="3"/>
  <c r="Z76" i="3"/>
  <c r="AD76" i="3" s="1"/>
  <c r="Y76" i="3"/>
  <c r="AC76" i="3" s="1"/>
  <c r="AE76" i="3"/>
  <c r="Z150" i="3"/>
  <c r="AD150" i="3" s="1"/>
  <c r="Y150" i="3"/>
  <c r="AC150" i="3" s="1"/>
  <c r="AE150" i="3"/>
  <c r="Z162" i="3"/>
  <c r="AD162" i="3" s="1"/>
  <c r="Y162" i="3"/>
  <c r="AC162" i="3" s="1"/>
  <c r="AE162" i="3"/>
  <c r="Z192" i="3"/>
  <c r="AD192" i="3" s="1"/>
  <c r="Y192" i="3"/>
  <c r="AC192" i="3" s="1"/>
  <c r="AE192" i="3"/>
  <c r="Z218" i="3"/>
  <c r="AD218" i="3" s="1"/>
  <c r="Y218" i="3"/>
  <c r="AC218" i="3" s="1"/>
  <c r="AE218" i="3"/>
  <c r="Z324" i="3"/>
  <c r="AD324" i="3" s="1"/>
  <c r="Y324" i="3"/>
  <c r="AC324" i="3" s="1"/>
  <c r="Y429" i="3"/>
  <c r="AC429" i="3" s="1"/>
  <c r="AE429" i="3"/>
  <c r="AE455" i="3"/>
  <c r="Z455" i="3"/>
  <c r="AD455" i="3" s="1"/>
  <c r="Y455" i="3"/>
  <c r="AC455" i="3" s="1"/>
  <c r="Z485" i="3"/>
  <c r="AD485" i="3" s="1"/>
  <c r="AE485" i="3"/>
  <c r="Y485" i="3"/>
  <c r="AC485" i="3" s="1"/>
  <c r="AE47" i="3"/>
  <c r="Z47" i="3"/>
  <c r="AD47" i="3" s="1"/>
  <c r="Y47" i="3"/>
  <c r="AC47" i="3" s="1"/>
  <c r="Z118" i="3"/>
  <c r="AD118" i="3" s="1"/>
  <c r="Y118" i="3"/>
  <c r="AC118" i="3" s="1"/>
  <c r="Z274" i="3"/>
  <c r="AD274" i="3" s="1"/>
  <c r="Y274" i="3"/>
  <c r="AC274" i="3" s="1"/>
  <c r="Z22" i="3"/>
  <c r="AD22" i="3" s="1"/>
  <c r="Y22" i="3"/>
  <c r="AC22" i="3" s="1"/>
  <c r="AE22" i="3"/>
  <c r="Z54" i="3"/>
  <c r="AD54" i="3" s="1"/>
  <c r="Y54" i="3"/>
  <c r="AC54" i="3" s="1"/>
  <c r="AE54" i="3"/>
  <c r="AE18" i="3"/>
  <c r="AE44" i="3"/>
  <c r="Z62" i="3"/>
  <c r="AD62" i="3" s="1"/>
  <c r="Y62" i="3"/>
  <c r="AC62" i="3" s="1"/>
  <c r="AE62" i="3"/>
  <c r="Z92" i="3"/>
  <c r="AD92" i="3" s="1"/>
  <c r="Y92" i="3"/>
  <c r="AC92" i="3" s="1"/>
  <c r="AE161" i="3"/>
  <c r="Y161" i="3"/>
  <c r="AC161" i="3" s="1"/>
  <c r="Z161" i="3"/>
  <c r="AD161" i="3" s="1"/>
  <c r="Z240" i="3"/>
  <c r="AD240" i="3" s="1"/>
  <c r="Y240" i="3"/>
  <c r="AC240" i="3" s="1"/>
  <c r="AE240" i="3"/>
  <c r="Y422" i="3"/>
  <c r="AC422" i="3" s="1"/>
  <c r="AE422" i="3"/>
  <c r="Z422" i="3"/>
  <c r="AD422" i="3" s="1"/>
  <c r="Z551" i="3"/>
  <c r="AD551" i="3" s="1"/>
  <c r="AE551" i="3"/>
  <c r="Y551" i="3"/>
  <c r="AC551" i="3" s="1"/>
  <c r="Z559" i="3"/>
  <c r="AD559" i="3" s="1"/>
  <c r="AE559" i="3"/>
  <c r="Y559" i="3"/>
  <c r="AC559" i="3" s="1"/>
  <c r="Z244" i="3"/>
  <c r="AD244" i="3" s="1"/>
  <c r="Y244" i="3"/>
  <c r="AC244" i="3" s="1"/>
  <c r="AE244" i="3"/>
  <c r="Z266" i="3"/>
  <c r="AD266" i="3" s="1"/>
  <c r="Y266" i="3"/>
  <c r="AC266" i="3" s="1"/>
  <c r="AE266" i="3"/>
  <c r="V14" i="3"/>
  <c r="AE27" i="3"/>
  <c r="Z27" i="3"/>
  <c r="AD27" i="3" s="1"/>
  <c r="Z28" i="3"/>
  <c r="AD28" i="3" s="1"/>
  <c r="Y28" i="3"/>
  <c r="AC28" i="3" s="1"/>
  <c r="Z46" i="3"/>
  <c r="AD46" i="3" s="1"/>
  <c r="Y46" i="3"/>
  <c r="AC46" i="3" s="1"/>
  <c r="AE46" i="3"/>
  <c r="Z52" i="3"/>
  <c r="AD52" i="3" s="1"/>
  <c r="Y52" i="3"/>
  <c r="AC52" i="3" s="1"/>
  <c r="AE52" i="3"/>
  <c r="Z96" i="3"/>
  <c r="AD96" i="3" s="1"/>
  <c r="Y96" i="3"/>
  <c r="AC96" i="3" s="1"/>
  <c r="AE96" i="3"/>
  <c r="Z122" i="3"/>
  <c r="AD122" i="3" s="1"/>
  <c r="Y122" i="3"/>
  <c r="AC122" i="3" s="1"/>
  <c r="AE122" i="3"/>
  <c r="Z130" i="3"/>
  <c r="AD130" i="3" s="1"/>
  <c r="Y130" i="3"/>
  <c r="AC130" i="3" s="1"/>
  <c r="V134" i="3"/>
  <c r="Z148" i="3"/>
  <c r="AD148" i="3" s="1"/>
  <c r="Y148" i="3"/>
  <c r="AC148" i="3" s="1"/>
  <c r="Z236" i="3"/>
  <c r="AD236" i="3" s="1"/>
  <c r="Y236" i="3"/>
  <c r="AC236" i="3" s="1"/>
  <c r="AE236" i="3"/>
  <c r="AE239" i="3"/>
  <c r="Y239" i="3"/>
  <c r="AC239" i="3" s="1"/>
  <c r="Z239" i="3"/>
  <c r="AD239" i="3" s="1"/>
  <c r="AE274" i="3"/>
  <c r="AE292" i="3"/>
  <c r="Z310" i="3"/>
  <c r="AD310" i="3" s="1"/>
  <c r="Y310" i="3"/>
  <c r="AC310" i="3" s="1"/>
  <c r="AE310" i="3"/>
  <c r="Z418" i="3"/>
  <c r="AD418" i="3" s="1"/>
  <c r="AE441" i="3"/>
  <c r="Z441" i="3"/>
  <c r="AD441" i="3" s="1"/>
  <c r="Y441" i="3"/>
  <c r="AC441" i="3" s="1"/>
  <c r="Y448" i="3"/>
  <c r="AC448" i="3" s="1"/>
  <c r="Z448" i="3"/>
  <c r="AD448" i="3" s="1"/>
  <c r="Z8" i="3"/>
  <c r="AD8" i="3" s="1"/>
  <c r="Y8" i="3"/>
  <c r="AC8" i="3" s="1"/>
  <c r="AE8" i="3"/>
  <c r="Z334" i="3"/>
  <c r="AD334" i="3" s="1"/>
  <c r="Y334" i="3"/>
  <c r="AC334" i="3" s="1"/>
  <c r="AE334" i="3"/>
  <c r="Z378" i="3"/>
  <c r="AD378" i="3" s="1"/>
  <c r="Y378" i="3"/>
  <c r="AC378" i="3" s="1"/>
  <c r="AE378" i="3"/>
  <c r="Z401" i="3"/>
  <c r="AD401" i="3" s="1"/>
  <c r="Y401" i="3"/>
  <c r="AC401" i="3" s="1"/>
  <c r="AE401" i="3"/>
  <c r="AE462" i="3"/>
  <c r="Z462" i="3"/>
  <c r="AD462" i="3" s="1"/>
  <c r="Z489" i="3"/>
  <c r="AD489" i="3" s="1"/>
  <c r="AE489" i="3"/>
  <c r="Y489" i="3"/>
  <c r="AC489" i="3" s="1"/>
  <c r="Z2" i="3"/>
  <c r="AD2" i="3" s="1"/>
  <c r="Y2" i="3"/>
  <c r="AC2" i="3" s="1"/>
  <c r="AE2" i="3"/>
  <c r="Z10" i="3"/>
  <c r="AD10" i="3" s="1"/>
  <c r="Y10" i="3"/>
  <c r="AC10" i="3" s="1"/>
  <c r="AE10" i="3"/>
  <c r="AE16" i="3"/>
  <c r="Z106" i="3"/>
  <c r="AD106" i="3" s="1"/>
  <c r="Y106" i="3"/>
  <c r="AC106" i="3" s="1"/>
  <c r="AE106" i="3"/>
  <c r="AE118" i="3"/>
  <c r="Z128" i="3"/>
  <c r="AD128" i="3" s="1"/>
  <c r="Y128" i="3"/>
  <c r="AC128" i="3" s="1"/>
  <c r="AE133" i="3"/>
  <c r="Z133" i="3"/>
  <c r="AD133" i="3" s="1"/>
  <c r="Y133" i="3"/>
  <c r="AC133" i="3" s="1"/>
  <c r="Z214" i="3"/>
  <c r="AD214" i="3" s="1"/>
  <c r="Y214" i="3"/>
  <c r="AC214" i="3" s="1"/>
  <c r="AE214" i="3"/>
  <c r="AE225" i="3"/>
  <c r="Y225" i="3"/>
  <c r="AC225" i="3" s="1"/>
  <c r="Z226" i="3"/>
  <c r="AD226" i="3" s="1"/>
  <c r="Y226" i="3"/>
  <c r="AC226" i="3" s="1"/>
  <c r="AE226" i="3"/>
  <c r="Z258" i="3"/>
  <c r="AD258" i="3" s="1"/>
  <c r="Y258" i="3"/>
  <c r="AC258" i="3" s="1"/>
  <c r="AE258" i="3"/>
  <c r="Z264" i="3"/>
  <c r="AD264" i="3" s="1"/>
  <c r="Y264" i="3"/>
  <c r="AC264" i="3" s="1"/>
  <c r="AE264" i="3"/>
  <c r="AE327" i="3"/>
  <c r="Z327" i="3"/>
  <c r="AD327" i="3" s="1"/>
  <c r="Z475" i="3"/>
  <c r="AD475" i="3" s="1"/>
  <c r="Y475" i="3"/>
  <c r="AC475" i="3" s="1"/>
  <c r="AE475" i="3"/>
  <c r="AE514" i="3"/>
  <c r="Z514" i="3"/>
  <c r="AD514" i="3" s="1"/>
  <c r="AE530" i="3"/>
  <c r="Z530" i="3"/>
  <c r="AD530" i="3" s="1"/>
  <c r="Z547" i="3"/>
  <c r="AD547" i="3" s="1"/>
  <c r="AE547" i="3"/>
  <c r="Y547" i="3"/>
  <c r="AC547" i="3" s="1"/>
  <c r="Z567" i="3"/>
  <c r="AD567" i="3" s="1"/>
  <c r="AE567" i="3"/>
  <c r="Y567" i="3"/>
  <c r="AC567" i="3" s="1"/>
  <c r="AG545" i="11"/>
  <c r="AK545" i="11" s="1"/>
  <c r="AE19" i="3"/>
  <c r="Y19" i="3"/>
  <c r="AC19" i="3" s="1"/>
  <c r="V20" i="3"/>
  <c r="AE71" i="3"/>
  <c r="Z71" i="3"/>
  <c r="AD71" i="3" s="1"/>
  <c r="V72" i="3"/>
  <c r="Z86" i="3"/>
  <c r="AD86" i="3" s="1"/>
  <c r="Y86" i="3"/>
  <c r="AC86" i="3" s="1"/>
  <c r="AE101" i="3"/>
  <c r="Z101" i="3"/>
  <c r="AD101" i="3" s="1"/>
  <c r="V102" i="3"/>
  <c r="AE131" i="3"/>
  <c r="Y131" i="3"/>
  <c r="AC131" i="3" s="1"/>
  <c r="V132" i="3"/>
  <c r="AE227" i="3"/>
  <c r="Z227" i="3"/>
  <c r="AD227" i="3" s="1"/>
  <c r="V228" i="3"/>
  <c r="AE275" i="3"/>
  <c r="Y275" i="3"/>
  <c r="AC275" i="3" s="1"/>
  <c r="V276" i="3"/>
  <c r="AE276" i="3" s="1"/>
  <c r="AE285" i="3"/>
  <c r="Z285" i="3"/>
  <c r="AD285" i="3" s="1"/>
  <c r="V286" i="3"/>
  <c r="AE286" i="3" s="1"/>
  <c r="V308" i="3"/>
  <c r="AE308" i="3" s="1"/>
  <c r="AE315" i="3"/>
  <c r="Z315" i="3"/>
  <c r="AD315" i="3" s="1"/>
  <c r="V316" i="3"/>
  <c r="V322" i="3"/>
  <c r="AE322" i="3" s="1"/>
  <c r="Z374" i="3"/>
  <c r="AD374" i="3" s="1"/>
  <c r="Y374" i="3"/>
  <c r="AC374" i="3" s="1"/>
  <c r="AE391" i="3"/>
  <c r="Y391" i="3"/>
  <c r="AC391" i="3" s="1"/>
  <c r="Z392" i="3"/>
  <c r="AD392" i="3" s="1"/>
  <c r="Y392" i="3"/>
  <c r="AC392" i="3" s="1"/>
  <c r="AE407" i="3"/>
  <c r="Z407" i="3"/>
  <c r="AD407" i="3" s="1"/>
  <c r="Z408" i="3"/>
  <c r="AD408" i="3" s="1"/>
  <c r="Y408" i="3"/>
  <c r="AC408" i="3" s="1"/>
  <c r="AE412" i="3"/>
  <c r="Z412" i="3"/>
  <c r="AD412" i="3" s="1"/>
  <c r="Y412" i="3"/>
  <c r="AC412" i="3" s="1"/>
  <c r="AE420" i="3"/>
  <c r="Z420" i="3"/>
  <c r="AD420" i="3" s="1"/>
  <c r="V433" i="3"/>
  <c r="Z435" i="3"/>
  <c r="AD435" i="3" s="1"/>
  <c r="Y435" i="3"/>
  <c r="AC435" i="3" s="1"/>
  <c r="Z453" i="3"/>
  <c r="AD453" i="3" s="1"/>
  <c r="Y453" i="3"/>
  <c r="AC453" i="3" s="1"/>
  <c r="Z458" i="3"/>
  <c r="AD458" i="3" s="1"/>
  <c r="Y458" i="3"/>
  <c r="AC458" i="3" s="1"/>
  <c r="AE458" i="3"/>
  <c r="Z477" i="3"/>
  <c r="AD477" i="3" s="1"/>
  <c r="AE477" i="3"/>
  <c r="Y477" i="3"/>
  <c r="AC477" i="3" s="1"/>
  <c r="Z483" i="3"/>
  <c r="AD483" i="3" s="1"/>
  <c r="AE483" i="3"/>
  <c r="Y483" i="3"/>
  <c r="AC483" i="3" s="1"/>
  <c r="Z521" i="3"/>
  <c r="AD521" i="3" s="1"/>
  <c r="Y521" i="3"/>
  <c r="AC521" i="3" s="1"/>
  <c r="Z564" i="3"/>
  <c r="AD564" i="3" s="1"/>
  <c r="Y564" i="3"/>
  <c r="AC564" i="3" s="1"/>
  <c r="AG509" i="11"/>
  <c r="AK509" i="11" s="1"/>
  <c r="AE3" i="3"/>
  <c r="Z3" i="3"/>
  <c r="AD3" i="3" s="1"/>
  <c r="AE25" i="3"/>
  <c r="Z25" i="3"/>
  <c r="AD25" i="3" s="1"/>
  <c r="Z26" i="3"/>
  <c r="AD26" i="3" s="1"/>
  <c r="Y26" i="3"/>
  <c r="AC26" i="3" s="1"/>
  <c r="Z42" i="3"/>
  <c r="AD42" i="3" s="1"/>
  <c r="Y42" i="3"/>
  <c r="AC42" i="3" s="1"/>
  <c r="AE57" i="3"/>
  <c r="Z57" i="3"/>
  <c r="AD57" i="3" s="1"/>
  <c r="Z58" i="3"/>
  <c r="AD58" i="3" s="1"/>
  <c r="Y58" i="3"/>
  <c r="AC58" i="3" s="1"/>
  <c r="AE115" i="3"/>
  <c r="Z115" i="3"/>
  <c r="AD115" i="3" s="1"/>
  <c r="Z116" i="3"/>
  <c r="AD116" i="3" s="1"/>
  <c r="Y116" i="3"/>
  <c r="AC116" i="3" s="1"/>
  <c r="AE125" i="3"/>
  <c r="Z125" i="3"/>
  <c r="AD125" i="3" s="1"/>
  <c r="Z126" i="3"/>
  <c r="AD126" i="3" s="1"/>
  <c r="Y126" i="3"/>
  <c r="AC126" i="3" s="1"/>
  <c r="AE126" i="3"/>
  <c r="AE145" i="3"/>
  <c r="Z145" i="3"/>
  <c r="AD145" i="3" s="1"/>
  <c r="Z146" i="3"/>
  <c r="AD146" i="3" s="1"/>
  <c r="Y146" i="3"/>
  <c r="AC146" i="3" s="1"/>
  <c r="AE269" i="3"/>
  <c r="Z269" i="3"/>
  <c r="AD269" i="3" s="1"/>
  <c r="Z270" i="3"/>
  <c r="AD270" i="3" s="1"/>
  <c r="Y270" i="3"/>
  <c r="AC270" i="3" s="1"/>
  <c r="AE270" i="3"/>
  <c r="Z326" i="3"/>
  <c r="AD326" i="3" s="1"/>
  <c r="Y326" i="3"/>
  <c r="AC326" i="3" s="1"/>
  <c r="AE326" i="3"/>
  <c r="AE359" i="3"/>
  <c r="Z359" i="3"/>
  <c r="AD359" i="3" s="1"/>
  <c r="Z360" i="3"/>
  <c r="AD360" i="3" s="1"/>
  <c r="Y360" i="3"/>
  <c r="AC360" i="3" s="1"/>
  <c r="AE360" i="3"/>
  <c r="AE379" i="3"/>
  <c r="Z379" i="3"/>
  <c r="AD379" i="3" s="1"/>
  <c r="Z394" i="3"/>
  <c r="AD394" i="3" s="1"/>
  <c r="Y394" i="3"/>
  <c r="AC394" i="3" s="1"/>
  <c r="AE394" i="3"/>
  <c r="Z410" i="3"/>
  <c r="AD410" i="3" s="1"/>
  <c r="Y410" i="3"/>
  <c r="AC410" i="3" s="1"/>
  <c r="Z415" i="3"/>
  <c r="AD415" i="3" s="1"/>
  <c r="Y415" i="3"/>
  <c r="AC415" i="3" s="1"/>
  <c r="AE415" i="3"/>
  <c r="Z505" i="3"/>
  <c r="AD505" i="3" s="1"/>
  <c r="AE505" i="3"/>
  <c r="Y505" i="3"/>
  <c r="AC505" i="3" s="1"/>
  <c r="AE518" i="3"/>
  <c r="Z518" i="3"/>
  <c r="AD518" i="3" s="1"/>
  <c r="Y518" i="3"/>
  <c r="AC518" i="3" s="1"/>
  <c r="Z523" i="3"/>
  <c r="AD523" i="3" s="1"/>
  <c r="AE523" i="3"/>
  <c r="Y523" i="3"/>
  <c r="AC523" i="3" s="1"/>
  <c r="AE534" i="3"/>
  <c r="Z534" i="3"/>
  <c r="AD534" i="3" s="1"/>
  <c r="Y534" i="3"/>
  <c r="AC534" i="3" s="1"/>
  <c r="Z557" i="3"/>
  <c r="AD557" i="3" s="1"/>
  <c r="AE557" i="3"/>
  <c r="AG227" i="11"/>
  <c r="AK227" i="11" s="1"/>
  <c r="AE65" i="3"/>
  <c r="Y65" i="3"/>
  <c r="AC65" i="3" s="1"/>
  <c r="AE69" i="3"/>
  <c r="Z69" i="3"/>
  <c r="AD69" i="3" s="1"/>
  <c r="Y69" i="3"/>
  <c r="AC69" i="3" s="1"/>
  <c r="Z70" i="3"/>
  <c r="AD70" i="3" s="1"/>
  <c r="Y70" i="3"/>
  <c r="AC70" i="3" s="1"/>
  <c r="AE70" i="3"/>
  <c r="Z74" i="3"/>
  <c r="AD74" i="3" s="1"/>
  <c r="Y74" i="3"/>
  <c r="AC74" i="3" s="1"/>
  <c r="AE99" i="3"/>
  <c r="Z99" i="3"/>
  <c r="AD99" i="3" s="1"/>
  <c r="Y99" i="3"/>
  <c r="AC99" i="3" s="1"/>
  <c r="Z100" i="3"/>
  <c r="AD100" i="3" s="1"/>
  <c r="Y100" i="3"/>
  <c r="AC100" i="3" s="1"/>
  <c r="AE100" i="3"/>
  <c r="Z104" i="3"/>
  <c r="AD104" i="3" s="1"/>
  <c r="Y104" i="3"/>
  <c r="AC104" i="3" s="1"/>
  <c r="AE123" i="3"/>
  <c r="Y123" i="3"/>
  <c r="AC123" i="3" s="1"/>
  <c r="Z124" i="3"/>
  <c r="AD124" i="3" s="1"/>
  <c r="Y124" i="3"/>
  <c r="AC124" i="3" s="1"/>
  <c r="AE124" i="3"/>
  <c r="AE179" i="3"/>
  <c r="Z179" i="3"/>
  <c r="AD179" i="3" s="1"/>
  <c r="Z180" i="3"/>
  <c r="AD180" i="3" s="1"/>
  <c r="Y180" i="3"/>
  <c r="AC180" i="3" s="1"/>
  <c r="AE249" i="3"/>
  <c r="Z249" i="3"/>
  <c r="AD249" i="3" s="1"/>
  <c r="Z250" i="3"/>
  <c r="AD250" i="3" s="1"/>
  <c r="Y250" i="3"/>
  <c r="AC250" i="3" s="1"/>
  <c r="AE250" i="3"/>
  <c r="AE267" i="3"/>
  <c r="Y267" i="3"/>
  <c r="AC267" i="3" s="1"/>
  <c r="Z268" i="3"/>
  <c r="AD268" i="3" s="1"/>
  <c r="Y268" i="3"/>
  <c r="AC268" i="3" s="1"/>
  <c r="AE268" i="3"/>
  <c r="AE339" i="3"/>
  <c r="Z339" i="3"/>
  <c r="AD339" i="3" s="1"/>
  <c r="Z340" i="3"/>
  <c r="AD340" i="3" s="1"/>
  <c r="Y340" i="3"/>
  <c r="AC340" i="3" s="1"/>
  <c r="AE340" i="3"/>
  <c r="Z358" i="3"/>
  <c r="AD358" i="3" s="1"/>
  <c r="Y358" i="3"/>
  <c r="AC358" i="3" s="1"/>
  <c r="AE358" i="3"/>
  <c r="AE365" i="3"/>
  <c r="Z365" i="3"/>
  <c r="AD365" i="3" s="1"/>
  <c r="Z366" i="3"/>
  <c r="AD366" i="3" s="1"/>
  <c r="Y366" i="3"/>
  <c r="AC366" i="3" s="1"/>
  <c r="AE366" i="3"/>
  <c r="Z450" i="3"/>
  <c r="AD450" i="3" s="1"/>
  <c r="Y450" i="3"/>
  <c r="AC450" i="3" s="1"/>
  <c r="AE459" i="3"/>
  <c r="Z459" i="3"/>
  <c r="AD459" i="3" s="1"/>
  <c r="AE463" i="3"/>
  <c r="Z463" i="3"/>
  <c r="AD463" i="3" s="1"/>
  <c r="Y463" i="3"/>
  <c r="AC463" i="3" s="1"/>
  <c r="Z503" i="3"/>
  <c r="AD503" i="3" s="1"/>
  <c r="AE503" i="3"/>
  <c r="Z537" i="3"/>
  <c r="AD537" i="3" s="1"/>
  <c r="Y537" i="3"/>
  <c r="AC537" i="3" s="1"/>
  <c r="Z158" i="3"/>
  <c r="AD158" i="3" s="1"/>
  <c r="Y158" i="3"/>
  <c r="AC158" i="3" s="1"/>
  <c r="AE79" i="3"/>
  <c r="Z79" i="3"/>
  <c r="AD79" i="3" s="1"/>
  <c r="Z80" i="3"/>
  <c r="AD80" i="3" s="1"/>
  <c r="Y80" i="3"/>
  <c r="AC80" i="3" s="1"/>
  <c r="AE89" i="3"/>
  <c r="Z89" i="3"/>
  <c r="AD89" i="3" s="1"/>
  <c r="Z90" i="3"/>
  <c r="AD90" i="3" s="1"/>
  <c r="Y90" i="3"/>
  <c r="AC90" i="3" s="1"/>
  <c r="AE90" i="3"/>
  <c r="AE109" i="3"/>
  <c r="Z109" i="3"/>
  <c r="AD109" i="3" s="1"/>
  <c r="AE111" i="3"/>
  <c r="Z111" i="3"/>
  <c r="AD111" i="3" s="1"/>
  <c r="AE173" i="3"/>
  <c r="Z173" i="3"/>
  <c r="AD173" i="3" s="1"/>
  <c r="Z176" i="3"/>
  <c r="AD176" i="3" s="1"/>
  <c r="Y176" i="3"/>
  <c r="AC176" i="3" s="1"/>
  <c r="AE176" i="3"/>
  <c r="AE221" i="3"/>
  <c r="Y221" i="3"/>
  <c r="AC221" i="3" s="1"/>
  <c r="AE247" i="3"/>
  <c r="Y247" i="3"/>
  <c r="AC247" i="3" s="1"/>
  <c r="Z248" i="3"/>
  <c r="AD248" i="3" s="1"/>
  <c r="Y248" i="3"/>
  <c r="AC248" i="3" s="1"/>
  <c r="AE248" i="3"/>
  <c r="AE255" i="3"/>
  <c r="Z255" i="3"/>
  <c r="AD255" i="3" s="1"/>
  <c r="V282" i="3"/>
  <c r="AE282" i="3" s="1"/>
  <c r="V290" i="3"/>
  <c r="V296" i="3"/>
  <c r="AE296" i="3" s="1"/>
  <c r="AE337" i="3"/>
  <c r="Y337" i="3"/>
  <c r="AC337" i="3" s="1"/>
  <c r="Z338" i="3"/>
  <c r="AD338" i="3" s="1"/>
  <c r="Y338" i="3"/>
  <c r="AC338" i="3" s="1"/>
  <c r="AE338" i="3"/>
  <c r="AE345" i="3"/>
  <c r="Z345" i="3"/>
  <c r="AD345" i="3" s="1"/>
  <c r="Z346" i="3"/>
  <c r="AD346" i="3" s="1"/>
  <c r="Y346" i="3"/>
  <c r="AC346" i="3" s="1"/>
  <c r="AE346" i="3"/>
  <c r="Z364" i="3"/>
  <c r="AD364" i="3" s="1"/>
  <c r="Y364" i="3"/>
  <c r="AC364" i="3" s="1"/>
  <c r="AE364" i="3"/>
  <c r="AE374" i="3"/>
  <c r="AE388" i="3"/>
  <c r="Z388" i="3"/>
  <c r="AD388" i="3" s="1"/>
  <c r="AE421" i="3"/>
  <c r="Z421" i="3"/>
  <c r="AD421" i="3" s="1"/>
  <c r="Y421" i="3"/>
  <c r="AC421" i="3" s="1"/>
  <c r="AE425" i="3"/>
  <c r="Z425" i="3"/>
  <c r="AD425" i="3" s="1"/>
  <c r="Y438" i="3"/>
  <c r="AC438" i="3" s="1"/>
  <c r="Z438" i="3"/>
  <c r="AD438" i="3" s="1"/>
  <c r="AE453" i="3"/>
  <c r="Z481" i="3"/>
  <c r="AD481" i="3" s="1"/>
  <c r="AE481" i="3"/>
  <c r="Y481" i="3"/>
  <c r="AC481" i="3" s="1"/>
  <c r="AE521" i="3"/>
  <c r="Z560" i="3"/>
  <c r="AD560" i="3" s="1"/>
  <c r="Y560" i="3"/>
  <c r="AC560" i="3" s="1"/>
  <c r="AE560" i="3"/>
  <c r="AG6" i="11"/>
  <c r="AK6" i="11" s="1"/>
  <c r="AG14" i="11"/>
  <c r="AK14" i="11" s="1"/>
  <c r="Z14" i="11"/>
  <c r="AB14" i="11" s="1"/>
  <c r="AJ14" i="11" s="1"/>
  <c r="V6" i="3"/>
  <c r="Z13" i="3"/>
  <c r="AD13" i="3" s="1"/>
  <c r="AE39" i="3"/>
  <c r="Z39" i="3"/>
  <c r="AD39" i="3" s="1"/>
  <c r="Y39" i="3"/>
  <c r="AC39" i="3" s="1"/>
  <c r="V40" i="3"/>
  <c r="AE55" i="3"/>
  <c r="Z55" i="3"/>
  <c r="AD55" i="3" s="1"/>
  <c r="Y55" i="3"/>
  <c r="AC55" i="3" s="1"/>
  <c r="V56" i="3"/>
  <c r="AE87" i="3"/>
  <c r="Y87" i="3"/>
  <c r="AC87" i="3" s="1"/>
  <c r="V88" i="3"/>
  <c r="V114" i="3"/>
  <c r="AE143" i="3"/>
  <c r="Z143" i="3"/>
  <c r="AD143" i="3" s="1"/>
  <c r="Y143" i="3"/>
  <c r="AC143" i="3" s="1"/>
  <c r="V144" i="3"/>
  <c r="AE167" i="3"/>
  <c r="Z167" i="3"/>
  <c r="AD167" i="3" s="1"/>
  <c r="V168" i="3"/>
  <c r="AE168" i="3" s="1"/>
  <c r="AE169" i="3"/>
  <c r="Z169" i="3"/>
  <c r="AD169" i="3" s="1"/>
  <c r="V170" i="3"/>
  <c r="AE199" i="3"/>
  <c r="Z199" i="3"/>
  <c r="AD199" i="3" s="1"/>
  <c r="V200" i="3"/>
  <c r="AE209" i="3"/>
  <c r="Z209" i="3"/>
  <c r="AD209" i="3" s="1"/>
  <c r="V210" i="3"/>
  <c r="AE253" i="3"/>
  <c r="Y253" i="3"/>
  <c r="AC253" i="3" s="1"/>
  <c r="V254" i="3"/>
  <c r="AE261" i="3"/>
  <c r="Z261" i="3"/>
  <c r="AD261" i="3" s="1"/>
  <c r="V262" i="3"/>
  <c r="V280" i="3"/>
  <c r="AE343" i="3"/>
  <c r="Y343" i="3"/>
  <c r="AC343" i="3" s="1"/>
  <c r="V344" i="3"/>
  <c r="AE351" i="3"/>
  <c r="Z351" i="3"/>
  <c r="AD351" i="3" s="1"/>
  <c r="V352" i="3"/>
  <c r="AE375" i="3"/>
  <c r="Y375" i="3"/>
  <c r="AC375" i="3" s="1"/>
  <c r="V376" i="3"/>
  <c r="AE408" i="3"/>
  <c r="AE410" i="3"/>
  <c r="AE430" i="3"/>
  <c r="Y430" i="3"/>
  <c r="AC430" i="3" s="1"/>
  <c r="Z430" i="3"/>
  <c r="AD430" i="3" s="1"/>
  <c r="Z445" i="3"/>
  <c r="AD445" i="3" s="1"/>
  <c r="Y445" i="3"/>
  <c r="AC445" i="3" s="1"/>
  <c r="Z465" i="3"/>
  <c r="AD465" i="3" s="1"/>
  <c r="AE465" i="3"/>
  <c r="AE476" i="3"/>
  <c r="Z476" i="3"/>
  <c r="AD476" i="3" s="1"/>
  <c r="Y476" i="3"/>
  <c r="AC476" i="3" s="1"/>
  <c r="Z506" i="3"/>
  <c r="AD506" i="3" s="1"/>
  <c r="Y506" i="3"/>
  <c r="AC506" i="3" s="1"/>
  <c r="Y514" i="3"/>
  <c r="AC514" i="3" s="1"/>
  <c r="Z519" i="3"/>
  <c r="AD519" i="3" s="1"/>
  <c r="AE519" i="3"/>
  <c r="Y519" i="3"/>
  <c r="AC519" i="3" s="1"/>
  <c r="Y530" i="3"/>
  <c r="AC530" i="3" s="1"/>
  <c r="Z535" i="3"/>
  <c r="AD535" i="3" s="1"/>
  <c r="AE535" i="3"/>
  <c r="Y535" i="3"/>
  <c r="AC535" i="3" s="1"/>
  <c r="Y557" i="3"/>
  <c r="AC557" i="3" s="1"/>
  <c r="Z563" i="3"/>
  <c r="AD563" i="3" s="1"/>
  <c r="AE563" i="3"/>
  <c r="Y563" i="3"/>
  <c r="AC563" i="3" s="1"/>
  <c r="AG62" i="11"/>
  <c r="AK62" i="11" s="1"/>
  <c r="AE11" i="3"/>
  <c r="Y11" i="3"/>
  <c r="AC11" i="3" s="1"/>
  <c r="V12" i="3"/>
  <c r="Z19" i="3"/>
  <c r="AD19" i="3" s="1"/>
  <c r="Y21" i="3"/>
  <c r="AC21" i="3" s="1"/>
  <c r="AE33" i="3"/>
  <c r="Z33" i="3"/>
  <c r="AD33" i="3" s="1"/>
  <c r="V34" i="3"/>
  <c r="V50" i="3"/>
  <c r="Y71" i="3"/>
  <c r="AC71" i="3" s="1"/>
  <c r="Y101" i="3"/>
  <c r="AC101" i="3" s="1"/>
  <c r="Z131" i="3"/>
  <c r="AD131" i="3" s="1"/>
  <c r="AE137" i="3"/>
  <c r="Z137" i="3"/>
  <c r="AD137" i="3" s="1"/>
  <c r="V138" i="3"/>
  <c r="AE153" i="3"/>
  <c r="Z153" i="3"/>
  <c r="AD153" i="3" s="1"/>
  <c r="V154" i="3"/>
  <c r="AE158" i="3"/>
  <c r="AE163" i="3"/>
  <c r="Z163" i="3"/>
  <c r="AD163" i="3" s="1"/>
  <c r="V164" i="3"/>
  <c r="V196" i="3"/>
  <c r="AE207" i="3"/>
  <c r="Y207" i="3"/>
  <c r="AC207" i="3" s="1"/>
  <c r="V208" i="3"/>
  <c r="AE215" i="3"/>
  <c r="Z215" i="3"/>
  <c r="AD215" i="3" s="1"/>
  <c r="V216" i="3"/>
  <c r="Y227" i="3"/>
  <c r="AC227" i="3" s="1"/>
  <c r="V234" i="3"/>
  <c r="AE234" i="3" s="1"/>
  <c r="V242" i="3"/>
  <c r="AE259" i="3"/>
  <c r="Y259" i="3"/>
  <c r="AC259" i="3" s="1"/>
  <c r="V260" i="3"/>
  <c r="Z275" i="3"/>
  <c r="AD275" i="3" s="1"/>
  <c r="Y285" i="3"/>
  <c r="AC285" i="3" s="1"/>
  <c r="V300" i="3"/>
  <c r="AE300" i="3" s="1"/>
  <c r="Y315" i="3"/>
  <c r="AC315" i="3" s="1"/>
  <c r="AE349" i="3"/>
  <c r="Y349" i="3"/>
  <c r="AC349" i="3" s="1"/>
  <c r="V350" i="3"/>
  <c r="AE380" i="3"/>
  <c r="Z380" i="3"/>
  <c r="AD380" i="3" s="1"/>
  <c r="Y380" i="3"/>
  <c r="AC380" i="3" s="1"/>
  <c r="Z391" i="3"/>
  <c r="AD391" i="3" s="1"/>
  <c r="AE392" i="3"/>
  <c r="Z403" i="3"/>
  <c r="AD403" i="3" s="1"/>
  <c r="Y403" i="3"/>
  <c r="AC403" i="3" s="1"/>
  <c r="AE403" i="3"/>
  <c r="Y407" i="3"/>
  <c r="AC407" i="3" s="1"/>
  <c r="Y420" i="3"/>
  <c r="AC420" i="3" s="1"/>
  <c r="Z426" i="3"/>
  <c r="AD426" i="3" s="1"/>
  <c r="Y426" i="3"/>
  <c r="AC426" i="3" s="1"/>
  <c r="AE426" i="3"/>
  <c r="AE428" i="3"/>
  <c r="Z428" i="3"/>
  <c r="AD428" i="3" s="1"/>
  <c r="Y428" i="3"/>
  <c r="AC428" i="3" s="1"/>
  <c r="AE447" i="3"/>
  <c r="Z447" i="3"/>
  <c r="AD447" i="3" s="1"/>
  <c r="Y447" i="3"/>
  <c r="AC447" i="3" s="1"/>
  <c r="AE450" i="3"/>
  <c r="Z501" i="3"/>
  <c r="AD501" i="3" s="1"/>
  <c r="AE501" i="3"/>
  <c r="Y501" i="3"/>
  <c r="AC501" i="3" s="1"/>
  <c r="Y503" i="3"/>
  <c r="AC503" i="3" s="1"/>
  <c r="Z517" i="3"/>
  <c r="AD517" i="3" s="1"/>
  <c r="Y517" i="3"/>
  <c r="AC517" i="3" s="1"/>
  <c r="AE517" i="3"/>
  <c r="Z533" i="3"/>
  <c r="AD533" i="3" s="1"/>
  <c r="Y533" i="3"/>
  <c r="AC533" i="3" s="1"/>
  <c r="AE533" i="3"/>
  <c r="Z561" i="3"/>
  <c r="AD561" i="3" s="1"/>
  <c r="AE561" i="3"/>
  <c r="AE564" i="3"/>
  <c r="AG98" i="11"/>
  <c r="AK98" i="11" s="1"/>
  <c r="Y45" i="3"/>
  <c r="AC45" i="3" s="1"/>
  <c r="Y67" i="3"/>
  <c r="AC67" i="3" s="1"/>
  <c r="Y75" i="3"/>
  <c r="AC75" i="3" s="1"/>
  <c r="Y97" i="3"/>
  <c r="AC97" i="3" s="1"/>
  <c r="Y105" i="3"/>
  <c r="AC105" i="3" s="1"/>
  <c r="Y119" i="3"/>
  <c r="AC119" i="3" s="1"/>
  <c r="Y149" i="3"/>
  <c r="AC149" i="3" s="1"/>
  <c r="V377" i="3"/>
  <c r="AE382" i="3"/>
  <c r="Z382" i="3"/>
  <c r="AD382" i="3" s="1"/>
  <c r="V386" i="3"/>
  <c r="AE386" i="3" s="1"/>
  <c r="V393" i="3"/>
  <c r="Y434" i="3"/>
  <c r="AC434" i="3" s="1"/>
  <c r="Y436" i="3"/>
  <c r="AC436" i="3" s="1"/>
  <c r="V461" i="3"/>
  <c r="Z468" i="3"/>
  <c r="AD468" i="3" s="1"/>
  <c r="Z495" i="3"/>
  <c r="AD495" i="3" s="1"/>
  <c r="AE495" i="3"/>
  <c r="V509" i="3"/>
  <c r="Z513" i="3"/>
  <c r="AD513" i="3" s="1"/>
  <c r="Y513" i="3"/>
  <c r="AC513" i="3" s="1"/>
  <c r="Z529" i="3"/>
  <c r="AD529" i="3" s="1"/>
  <c r="Y529" i="3"/>
  <c r="AC529" i="3" s="1"/>
  <c r="Z543" i="3"/>
  <c r="AD543" i="3" s="1"/>
  <c r="AE543" i="3"/>
  <c r="Y543" i="3"/>
  <c r="AC543" i="3" s="1"/>
  <c r="AG25" i="11"/>
  <c r="AK25" i="11" s="1"/>
  <c r="AG134" i="11"/>
  <c r="AK134" i="11" s="1"/>
  <c r="AG164" i="11"/>
  <c r="AK164" i="11" s="1"/>
  <c r="AG154" i="11"/>
  <c r="AK154" i="11" s="1"/>
  <c r="Z154" i="11"/>
  <c r="AB154" i="11" s="1"/>
  <c r="AJ154" i="11" s="1"/>
  <c r="V381" i="3"/>
  <c r="V397" i="3"/>
  <c r="AE414" i="3"/>
  <c r="Z414" i="3"/>
  <c r="AD414" i="3" s="1"/>
  <c r="Y414" i="3"/>
  <c r="AC414" i="3" s="1"/>
  <c r="AE423" i="3"/>
  <c r="Z423" i="3"/>
  <c r="AD423" i="3" s="1"/>
  <c r="V424" i="3"/>
  <c r="V431" i="3"/>
  <c r="AE432" i="3"/>
  <c r="Z432" i="3"/>
  <c r="AD432" i="3" s="1"/>
  <c r="AE444" i="3"/>
  <c r="Y444" i="3"/>
  <c r="AC444" i="3" s="1"/>
  <c r="Z444" i="3"/>
  <c r="AD444" i="3" s="1"/>
  <c r="AE452" i="3"/>
  <c r="Y452" i="3"/>
  <c r="AC452" i="3" s="1"/>
  <c r="Z452" i="3"/>
  <c r="AD452" i="3" s="1"/>
  <c r="AE468" i="3"/>
  <c r="Z525" i="3"/>
  <c r="AD525" i="3" s="1"/>
  <c r="Y525" i="3"/>
  <c r="AC525" i="3" s="1"/>
  <c r="Z539" i="3"/>
  <c r="AD539" i="3" s="1"/>
  <c r="AE539" i="3"/>
  <c r="Y539" i="3"/>
  <c r="AC539" i="3" s="1"/>
  <c r="Z565" i="3"/>
  <c r="AD565" i="3" s="1"/>
  <c r="AE565" i="3"/>
  <c r="AG211" i="11"/>
  <c r="AK211" i="11" s="1"/>
  <c r="AG240" i="11"/>
  <c r="AK240" i="11" s="1"/>
  <c r="AG244" i="11"/>
  <c r="AK244" i="11" s="1"/>
  <c r="Y382" i="3"/>
  <c r="AC382" i="3" s="1"/>
  <c r="V399" i="3"/>
  <c r="AE400" i="3"/>
  <c r="Z400" i="3"/>
  <c r="AD400" i="3" s="1"/>
  <c r="V404" i="3"/>
  <c r="AE460" i="3"/>
  <c r="Y460" i="3"/>
  <c r="AC460" i="3" s="1"/>
  <c r="Z460" i="3"/>
  <c r="AD460" i="3" s="1"/>
  <c r="Y495" i="3"/>
  <c r="AC495" i="3" s="1"/>
  <c r="V498" i="3"/>
  <c r="Z515" i="3"/>
  <c r="AD515" i="3" s="1"/>
  <c r="AE515" i="3"/>
  <c r="Y515" i="3"/>
  <c r="AC515" i="3" s="1"/>
  <c r="Z531" i="3"/>
  <c r="AD531" i="3" s="1"/>
  <c r="AE531" i="3"/>
  <c r="Y531" i="3"/>
  <c r="AC531" i="3" s="1"/>
  <c r="AG22" i="11"/>
  <c r="AK22" i="11" s="1"/>
  <c r="Z22" i="11"/>
  <c r="AB22" i="11" s="1"/>
  <c r="AJ22" i="11" s="1"/>
  <c r="AG262" i="11"/>
  <c r="AK262" i="11" s="1"/>
  <c r="Z262" i="11"/>
  <c r="AB262" i="11" s="1"/>
  <c r="AJ262" i="11" s="1"/>
  <c r="V390" i="3"/>
  <c r="AE390" i="3" s="1"/>
  <c r="V406" i="3"/>
  <c r="V411" i="3"/>
  <c r="V413" i="3"/>
  <c r="AE439" i="3"/>
  <c r="Z439" i="3"/>
  <c r="AD439" i="3" s="1"/>
  <c r="V440" i="3"/>
  <c r="V443" i="3"/>
  <c r="V464" i="3"/>
  <c r="V467" i="3"/>
  <c r="V494" i="3"/>
  <c r="V510" i="3"/>
  <c r="AE513" i="3"/>
  <c r="Z527" i="3"/>
  <c r="AD527" i="3" s="1"/>
  <c r="AE527" i="3"/>
  <c r="Y527" i="3"/>
  <c r="AC527" i="3" s="1"/>
  <c r="AE529" i="3"/>
  <c r="Z541" i="3"/>
  <c r="AD541" i="3" s="1"/>
  <c r="Y541" i="3"/>
  <c r="AC541" i="3" s="1"/>
  <c r="Y565" i="3"/>
  <c r="AC565" i="3" s="1"/>
  <c r="V568" i="3"/>
  <c r="AG43" i="11"/>
  <c r="AK43" i="11" s="1"/>
  <c r="Z78" i="11"/>
  <c r="AB78" i="11" s="1"/>
  <c r="AJ78" i="11" s="1"/>
  <c r="AG78" i="11"/>
  <c r="AK78" i="11" s="1"/>
  <c r="Z127" i="11"/>
  <c r="AB127" i="11" s="1"/>
  <c r="AJ127" i="11" s="1"/>
  <c r="AG127" i="11"/>
  <c r="AK127" i="11" s="1"/>
  <c r="V546" i="3"/>
  <c r="V550" i="3"/>
  <c r="Y40" i="11"/>
  <c r="Z40" i="11" s="1"/>
  <c r="AB40" i="11" s="1"/>
  <c r="AJ40" i="11" s="1"/>
  <c r="AG56" i="11"/>
  <c r="AK56" i="11" s="1"/>
  <c r="Z56" i="11"/>
  <c r="AB56" i="11" s="1"/>
  <c r="AJ56" i="11" s="1"/>
  <c r="Y62" i="11"/>
  <c r="Z62" i="11" s="1"/>
  <c r="AB62" i="11" s="1"/>
  <c r="AJ62" i="11" s="1"/>
  <c r="Z73" i="11"/>
  <c r="AB73" i="11" s="1"/>
  <c r="AJ73" i="11" s="1"/>
  <c r="AG73" i="11"/>
  <c r="AK73" i="11" s="1"/>
  <c r="Y90" i="11"/>
  <c r="Z90" i="11" s="1"/>
  <c r="AB90" i="11" s="1"/>
  <c r="AJ90" i="11" s="1"/>
  <c r="AC123" i="11"/>
  <c r="AG151" i="11"/>
  <c r="AK151" i="11" s="1"/>
  <c r="AC159" i="11"/>
  <c r="Y166" i="11"/>
  <c r="AC171" i="11"/>
  <c r="Y232" i="11"/>
  <c r="Z232" i="11" s="1"/>
  <c r="AB232" i="11" s="1"/>
  <c r="AJ232" i="11" s="1"/>
  <c r="AE469" i="3"/>
  <c r="V496" i="3"/>
  <c r="V500" i="3"/>
  <c r="V504" i="3"/>
  <c r="V554" i="3"/>
  <c r="V558" i="3"/>
  <c r="V562" i="3"/>
  <c r="V566" i="3"/>
  <c r="Z10" i="11"/>
  <c r="AB10" i="11" s="1"/>
  <c r="AJ10" i="11" s="1"/>
  <c r="Z64" i="11"/>
  <c r="AB64" i="11" s="1"/>
  <c r="AJ64" i="11" s="1"/>
  <c r="AG64" i="11"/>
  <c r="AK64" i="11" s="1"/>
  <c r="AG79" i="11"/>
  <c r="AK79" i="11" s="1"/>
  <c r="Y89" i="11"/>
  <c r="AG108" i="11"/>
  <c r="AK108" i="11" s="1"/>
  <c r="Z108" i="11"/>
  <c r="AB108" i="11" s="1"/>
  <c r="AJ108" i="11" s="1"/>
  <c r="Z129" i="11"/>
  <c r="AB129" i="11" s="1"/>
  <c r="AJ129" i="11" s="1"/>
  <c r="AG129" i="11"/>
  <c r="AK129" i="11" s="1"/>
  <c r="AG519" i="11"/>
  <c r="AK519" i="11" s="1"/>
  <c r="V466" i="3"/>
  <c r="V470" i="3"/>
  <c r="V508" i="3"/>
  <c r="AC567" i="11"/>
  <c r="AC565" i="11"/>
  <c r="AD565" i="11" s="1"/>
  <c r="AC563" i="11"/>
  <c r="AC561" i="11"/>
  <c r="AD561" i="11" s="1"/>
  <c r="AC559" i="11"/>
  <c r="AC557" i="11"/>
  <c r="AC555" i="11"/>
  <c r="AD555" i="11" s="1"/>
  <c r="AC553" i="11"/>
  <c r="AC551" i="11"/>
  <c r="AC549" i="11"/>
  <c r="AC547" i="11"/>
  <c r="AC545" i="11"/>
  <c r="AC543" i="11"/>
  <c r="AC541" i="11"/>
  <c r="AC539" i="11"/>
  <c r="AC537" i="11"/>
  <c r="AC535" i="11"/>
  <c r="AC533" i="11"/>
  <c r="AC531" i="11"/>
  <c r="AD531" i="11" s="1"/>
  <c r="AC529" i="11"/>
  <c r="AC527" i="11"/>
  <c r="AC525" i="11"/>
  <c r="AC523" i="11"/>
  <c r="AC521" i="11"/>
  <c r="AC519" i="11"/>
  <c r="AC517" i="11"/>
  <c r="AC515" i="11"/>
  <c r="AC513" i="11"/>
  <c r="AC511" i="11"/>
  <c r="AC509" i="11"/>
  <c r="AC507" i="11"/>
  <c r="AC505" i="11"/>
  <c r="AC503" i="11"/>
  <c r="AC501" i="11"/>
  <c r="AC499" i="11"/>
  <c r="AC497" i="11"/>
  <c r="AC495" i="11"/>
  <c r="AC493" i="11"/>
  <c r="AC491" i="11"/>
  <c r="AC489" i="11"/>
  <c r="AC487" i="11"/>
  <c r="AC485" i="11"/>
  <c r="AC483" i="11"/>
  <c r="AC481" i="11"/>
  <c r="AC479" i="11"/>
  <c r="AC477" i="11"/>
  <c r="AC475" i="11"/>
  <c r="AC473" i="11"/>
  <c r="AC471" i="11"/>
  <c r="AC469" i="11"/>
  <c r="AD469" i="11" s="1"/>
  <c r="AC467" i="11"/>
  <c r="AC465" i="11"/>
  <c r="AC463" i="11"/>
  <c r="AC461" i="11"/>
  <c r="AC459" i="11"/>
  <c r="AC457" i="11"/>
  <c r="AC455" i="11"/>
  <c r="AC564" i="11"/>
  <c r="AC548" i="11"/>
  <c r="AC532" i="11"/>
  <c r="AD532" i="11" s="1"/>
  <c r="AC516" i="11"/>
  <c r="AC500" i="11"/>
  <c r="AC484" i="11"/>
  <c r="AC468" i="11"/>
  <c r="AC554" i="11"/>
  <c r="AC538" i="11"/>
  <c r="AC522" i="11"/>
  <c r="AC506" i="11"/>
  <c r="AC490" i="11"/>
  <c r="AC474" i="11"/>
  <c r="AC458" i="11"/>
  <c r="AC568" i="11"/>
  <c r="AD568" i="11" s="1"/>
  <c r="AC560" i="11"/>
  <c r="AC544" i="11"/>
  <c r="AC528" i="11"/>
  <c r="AC512" i="11"/>
  <c r="AC496" i="11"/>
  <c r="AD496" i="11" s="1"/>
  <c r="AC480" i="11"/>
  <c r="AC464" i="11"/>
  <c r="AC452" i="11"/>
  <c r="AC450" i="11"/>
  <c r="AC448" i="11"/>
  <c r="AC446" i="11"/>
  <c r="AC444" i="11"/>
  <c r="AD444" i="11" s="1"/>
  <c r="AC442" i="11"/>
  <c r="AC440" i="11"/>
  <c r="AC438" i="11"/>
  <c r="AC436" i="11"/>
  <c r="AC434" i="11"/>
  <c r="AC432" i="11"/>
  <c r="AC430" i="11"/>
  <c r="AC428" i="11"/>
  <c r="AC426" i="11"/>
  <c r="AC424" i="11"/>
  <c r="AC422" i="11"/>
  <c r="AC420" i="11"/>
  <c r="AC418" i="11"/>
  <c r="AC416" i="11"/>
  <c r="AC414" i="11"/>
  <c r="AC412" i="11"/>
  <c r="AC410" i="11"/>
  <c r="AC408" i="11"/>
  <c r="AC406" i="11"/>
  <c r="AC404" i="11"/>
  <c r="AC402" i="11"/>
  <c r="AC400" i="11"/>
  <c r="AC398" i="11"/>
  <c r="AC396" i="11"/>
  <c r="AC394" i="11"/>
  <c r="AC392" i="11"/>
  <c r="AC390" i="11"/>
  <c r="AC388" i="11"/>
  <c r="AC386" i="11"/>
  <c r="AD386" i="11" s="1"/>
  <c r="AC384" i="11"/>
  <c r="AC382" i="11"/>
  <c r="AC380" i="11"/>
  <c r="AC378" i="11"/>
  <c r="AC376" i="11"/>
  <c r="AC374" i="11"/>
  <c r="AC372" i="11"/>
  <c r="AC370" i="11"/>
  <c r="AC368" i="11"/>
  <c r="AC366" i="11"/>
  <c r="AC364" i="11"/>
  <c r="AC362" i="11"/>
  <c r="AC360" i="11"/>
  <c r="AC358" i="11"/>
  <c r="AC356" i="11"/>
  <c r="AD356" i="11" s="1"/>
  <c r="AC354" i="11"/>
  <c r="AD354" i="11" s="1"/>
  <c r="AC352" i="11"/>
  <c r="AC350" i="11"/>
  <c r="AC348" i="11"/>
  <c r="AC346" i="11"/>
  <c r="AC344" i="11"/>
  <c r="AC342" i="11"/>
  <c r="AC340" i="11"/>
  <c r="AC338" i="11"/>
  <c r="AC336" i="11"/>
  <c r="AC334" i="11"/>
  <c r="AC332" i="11"/>
  <c r="AC330" i="11"/>
  <c r="AC328" i="11"/>
  <c r="AC326" i="11"/>
  <c r="AC324" i="11"/>
  <c r="AC322" i="11"/>
  <c r="AC320" i="11"/>
  <c r="AC318" i="11"/>
  <c r="AC316" i="11"/>
  <c r="AC558" i="11"/>
  <c r="AC542" i="11"/>
  <c r="AC526" i="11"/>
  <c r="AC510" i="11"/>
  <c r="AC494" i="11"/>
  <c r="AC478" i="11"/>
  <c r="AC462" i="11"/>
  <c r="AC552" i="11"/>
  <c r="AC536" i="11"/>
  <c r="AC530" i="11"/>
  <c r="AD530" i="11" s="1"/>
  <c r="AC514" i="11"/>
  <c r="AC498" i="11"/>
  <c r="AD498" i="11" s="1"/>
  <c r="AC439" i="11"/>
  <c r="AC423" i="11"/>
  <c r="AC407" i="11"/>
  <c r="AC393" i="11"/>
  <c r="AC375" i="11"/>
  <c r="AC359" i="11"/>
  <c r="AC327" i="11"/>
  <c r="AC524" i="11"/>
  <c r="AC508" i="11"/>
  <c r="AC441" i="11"/>
  <c r="AC425" i="11"/>
  <c r="AC409" i="11"/>
  <c r="AC391" i="11"/>
  <c r="AC373" i="11"/>
  <c r="AC357" i="11"/>
  <c r="AC355" i="11"/>
  <c r="AD355" i="11" s="1"/>
  <c r="AC353" i="11"/>
  <c r="AD353" i="11" s="1"/>
  <c r="AC345" i="11"/>
  <c r="AC333" i="11"/>
  <c r="AC317" i="11"/>
  <c r="AC518" i="11"/>
  <c r="AC502" i="11"/>
  <c r="AC488" i="11"/>
  <c r="AC472" i="11"/>
  <c r="AC456" i="11"/>
  <c r="AC443" i="11"/>
  <c r="AC427" i="11"/>
  <c r="AC411" i="11"/>
  <c r="AC389" i="11"/>
  <c r="AC371" i="11"/>
  <c r="AC339" i="11"/>
  <c r="AC323" i="11"/>
  <c r="AC314" i="11"/>
  <c r="AC312" i="11"/>
  <c r="AC310" i="11"/>
  <c r="AC308" i="11"/>
  <c r="AC306" i="11"/>
  <c r="AC304" i="11"/>
  <c r="AC302" i="11"/>
  <c r="AD302" i="11" s="1"/>
  <c r="AC300" i="11"/>
  <c r="AC298" i="11"/>
  <c r="AC296" i="11"/>
  <c r="AC294" i="11"/>
  <c r="AC292" i="11"/>
  <c r="AC290" i="11"/>
  <c r="AC288" i="11"/>
  <c r="AC286" i="11"/>
  <c r="AC284" i="11"/>
  <c r="AC282" i="11"/>
  <c r="AC280" i="11"/>
  <c r="AC278" i="11"/>
  <c r="AC276" i="11"/>
  <c r="AD276" i="11" s="1"/>
  <c r="AC274" i="11"/>
  <c r="AD274" i="11" s="1"/>
  <c r="AC272" i="11"/>
  <c r="AC270" i="11"/>
  <c r="AC268" i="11"/>
  <c r="AC266" i="11"/>
  <c r="AC264" i="11"/>
  <c r="AC262" i="11"/>
  <c r="AC260" i="11"/>
  <c r="AC258" i="11"/>
  <c r="AC256" i="11"/>
  <c r="AC254" i="11"/>
  <c r="AC252" i="11"/>
  <c r="AD252" i="11" s="1"/>
  <c r="AC250" i="11"/>
  <c r="AC248" i="11"/>
  <c r="AC246" i="11"/>
  <c r="AC244" i="11"/>
  <c r="AC242" i="11"/>
  <c r="AC240" i="11"/>
  <c r="AC238" i="11"/>
  <c r="AC236" i="11"/>
  <c r="AC234" i="11"/>
  <c r="AC232" i="11"/>
  <c r="AC230" i="11"/>
  <c r="AC228" i="11"/>
  <c r="AD228" i="11" s="1"/>
  <c r="AC226" i="11"/>
  <c r="AC224" i="11"/>
  <c r="AC222" i="11"/>
  <c r="AC220" i="11"/>
  <c r="AC218" i="11"/>
  <c r="AC216" i="11"/>
  <c r="AC214" i="11"/>
  <c r="AC212" i="11"/>
  <c r="AC210" i="11"/>
  <c r="AC208" i="11"/>
  <c r="AC206" i="11"/>
  <c r="AC204" i="11"/>
  <c r="AC202" i="11"/>
  <c r="AC200" i="11"/>
  <c r="AC198" i="11"/>
  <c r="AC196" i="11"/>
  <c r="AC194" i="11"/>
  <c r="AC192" i="11"/>
  <c r="AC190" i="11"/>
  <c r="AC188" i="11"/>
  <c r="AC186" i="11"/>
  <c r="AC184" i="11"/>
  <c r="AC182" i="11"/>
  <c r="AC180" i="11"/>
  <c r="AC178" i="11"/>
  <c r="AC176" i="11"/>
  <c r="AC174" i="11"/>
  <c r="AC172" i="11"/>
  <c r="AD172" i="11" s="1"/>
  <c r="AC170" i="11"/>
  <c r="AC168" i="11"/>
  <c r="AC166" i="11"/>
  <c r="AC164" i="11"/>
  <c r="AC162" i="11"/>
  <c r="AC160" i="11"/>
  <c r="AC158" i="11"/>
  <c r="AC156" i="11"/>
  <c r="AC154" i="11"/>
  <c r="AC152" i="11"/>
  <c r="AC150" i="11"/>
  <c r="AC148" i="11"/>
  <c r="AC146" i="11"/>
  <c r="AC144" i="11"/>
  <c r="AC142" i="11"/>
  <c r="AD142" i="11" s="1"/>
  <c r="AC140" i="11"/>
  <c r="AC138" i="11"/>
  <c r="AC136" i="11"/>
  <c r="AC134" i="11"/>
  <c r="AC132" i="11"/>
  <c r="AC130" i="11"/>
  <c r="AC128" i="11"/>
  <c r="AC126" i="11"/>
  <c r="AC124" i="11"/>
  <c r="AC122" i="11"/>
  <c r="AC120" i="11"/>
  <c r="AC118" i="11"/>
  <c r="AC116" i="11"/>
  <c r="AC114" i="11"/>
  <c r="AC112" i="11"/>
  <c r="AD112" i="11" s="1"/>
  <c r="AC110" i="11"/>
  <c r="AC108" i="11"/>
  <c r="AC106" i="11"/>
  <c r="AC104" i="11"/>
  <c r="AC102" i="11"/>
  <c r="AC100" i="11"/>
  <c r="AC98" i="11"/>
  <c r="AC96" i="11"/>
  <c r="AC94" i="11"/>
  <c r="AC92" i="11"/>
  <c r="AC90" i="11"/>
  <c r="AC88" i="11"/>
  <c r="AC86" i="11"/>
  <c r="AC84" i="11"/>
  <c r="AD84" i="11" s="1"/>
  <c r="AC82" i="11"/>
  <c r="AC80" i="11"/>
  <c r="AC78" i="11"/>
  <c r="AC76" i="11"/>
  <c r="AC74" i="11"/>
  <c r="AC72" i="11"/>
  <c r="AC70" i="11"/>
  <c r="AC68" i="11"/>
  <c r="AC66" i="11"/>
  <c r="AC64" i="11"/>
  <c r="AC62" i="11"/>
  <c r="AC60" i="11"/>
  <c r="AD60" i="11" s="1"/>
  <c r="AC58" i="11"/>
  <c r="AD58" i="11" s="1"/>
  <c r="AC56" i="11"/>
  <c r="AC54" i="11"/>
  <c r="AC52" i="11"/>
  <c r="AC50" i="11"/>
  <c r="AC48" i="11"/>
  <c r="AC46" i="11"/>
  <c r="AC44" i="11"/>
  <c r="AC42" i="11"/>
  <c r="AC40" i="11"/>
  <c r="AC38" i="11"/>
  <c r="AC36" i="11"/>
  <c r="AC34" i="11"/>
  <c r="AC32" i="11"/>
  <c r="AC30" i="11"/>
  <c r="AD30" i="11" s="1"/>
  <c r="AC28" i="11"/>
  <c r="AC26" i="11"/>
  <c r="AC24" i="11"/>
  <c r="AC22" i="11"/>
  <c r="AC20" i="11"/>
  <c r="AC18" i="11"/>
  <c r="AC16" i="11"/>
  <c r="AC14" i="11"/>
  <c r="AC12" i="11"/>
  <c r="AC10" i="11"/>
  <c r="AC8" i="11"/>
  <c r="AC6" i="11"/>
  <c r="AC4" i="11"/>
  <c r="AD4" i="11" s="1"/>
  <c r="AC2" i="11"/>
  <c r="AC486" i="11"/>
  <c r="AC470" i="11"/>
  <c r="AC454" i="11"/>
  <c r="AC453" i="11"/>
  <c r="AC437" i="11"/>
  <c r="AC421" i="11"/>
  <c r="AC405" i="11"/>
  <c r="AC395" i="11"/>
  <c r="AC377" i="11"/>
  <c r="AC361" i="11"/>
  <c r="AC347" i="11"/>
  <c r="AC337" i="11"/>
  <c r="AC321" i="11"/>
  <c r="AC482" i="11"/>
  <c r="AC435" i="11"/>
  <c r="AC369" i="11"/>
  <c r="AC349" i="11"/>
  <c r="AC315" i="11"/>
  <c r="AC299" i="11"/>
  <c r="AC283" i="11"/>
  <c r="AC271" i="11"/>
  <c r="AC255" i="11"/>
  <c r="AC253" i="11"/>
  <c r="AD253" i="11" s="1"/>
  <c r="AC239" i="11"/>
  <c r="AC223" i="11"/>
  <c r="AC207" i="11"/>
  <c r="AC193" i="11"/>
  <c r="AC177" i="11"/>
  <c r="AC163" i="11"/>
  <c r="AC147" i="11"/>
  <c r="AC135" i="11"/>
  <c r="AC119" i="11"/>
  <c r="AC99" i="11"/>
  <c r="AC81" i="11"/>
  <c r="AC65" i="11"/>
  <c r="AC45" i="11"/>
  <c r="AC27" i="11"/>
  <c r="AC466" i="11"/>
  <c r="AC419" i="11"/>
  <c r="AC415" i="11"/>
  <c r="AD415" i="11" s="1"/>
  <c r="AC413" i="11"/>
  <c r="AD413" i="11" s="1"/>
  <c r="AC381" i="11"/>
  <c r="AC341" i="11"/>
  <c r="AC301" i="11"/>
  <c r="AD301" i="11" s="1"/>
  <c r="AC285" i="11"/>
  <c r="AC273" i="11"/>
  <c r="AC257" i="11"/>
  <c r="AC241" i="11"/>
  <c r="AC225" i="11"/>
  <c r="AC209" i="11"/>
  <c r="AC195" i="11"/>
  <c r="AC179" i="11"/>
  <c r="AC165" i="11"/>
  <c r="AC149" i="11"/>
  <c r="AC133" i="11"/>
  <c r="AC117" i="11"/>
  <c r="AC97" i="11"/>
  <c r="AC79" i="11"/>
  <c r="AC63" i="11"/>
  <c r="AC43" i="11"/>
  <c r="AC25" i="11"/>
  <c r="AC15" i="11"/>
  <c r="AC7" i="11"/>
  <c r="AC534" i="11"/>
  <c r="AC447" i="11"/>
  <c r="AC365" i="11"/>
  <c r="AC351" i="11"/>
  <c r="AC335" i="11"/>
  <c r="AC329" i="11"/>
  <c r="AC287" i="11"/>
  <c r="AC259" i="11"/>
  <c r="AC243" i="11"/>
  <c r="AC227" i="11"/>
  <c r="AD227" i="11" s="1"/>
  <c r="AC211" i="11"/>
  <c r="AC197" i="11"/>
  <c r="AC181" i="11"/>
  <c r="AC167" i="11"/>
  <c r="AC151" i="11"/>
  <c r="AC131" i="11"/>
  <c r="AC115" i="11"/>
  <c r="AC95" i="11"/>
  <c r="AC77" i="11"/>
  <c r="AC61" i="11"/>
  <c r="AC59" i="11"/>
  <c r="AD59" i="11" s="1"/>
  <c r="AC57" i="11"/>
  <c r="AC41" i="11"/>
  <c r="AC23" i="11"/>
  <c r="AC546" i="11"/>
  <c r="AC504" i="11"/>
  <c r="AC451" i="11"/>
  <c r="AC429" i="11"/>
  <c r="AC562" i="11"/>
  <c r="AC550" i="11"/>
  <c r="AC540" i="11"/>
  <c r="AC520" i="11"/>
  <c r="AC433" i="11"/>
  <c r="AC397" i="11"/>
  <c r="AC383" i="11"/>
  <c r="AC325" i="11"/>
  <c r="AC307" i="11"/>
  <c r="AC291" i="11"/>
  <c r="AC275" i="11"/>
  <c r="AD275" i="11" s="1"/>
  <c r="AC263" i="11"/>
  <c r="AC247" i="11"/>
  <c r="AC231" i="11"/>
  <c r="AC229" i="11"/>
  <c r="AD229" i="11" s="1"/>
  <c r="AC215" i="11"/>
  <c r="AC566" i="11"/>
  <c r="AC492" i="11"/>
  <c r="AC417" i="11"/>
  <c r="AC387" i="11"/>
  <c r="AD387" i="11" s="1"/>
  <c r="AC367" i="11"/>
  <c r="AC331" i="11"/>
  <c r="AC319" i="11"/>
  <c r="AC309" i="11"/>
  <c r="AC556" i="11"/>
  <c r="AD556" i="11" s="1"/>
  <c r="AC476" i="11"/>
  <c r="AC445" i="11"/>
  <c r="AD445" i="11" s="1"/>
  <c r="AC379" i="11"/>
  <c r="AC460" i="11"/>
  <c r="AC449" i="11"/>
  <c r="AC431" i="11"/>
  <c r="AC403" i="11"/>
  <c r="AC399" i="11"/>
  <c r="AC385" i="11"/>
  <c r="AC363" i="11"/>
  <c r="AC313" i="11"/>
  <c r="AC297" i="11"/>
  <c r="AC281" i="11"/>
  <c r="AC269" i="11"/>
  <c r="AC237" i="11"/>
  <c r="AC221" i="11"/>
  <c r="AC205" i="11"/>
  <c r="AC191" i="11"/>
  <c r="AC175" i="11"/>
  <c r="AC173" i="11"/>
  <c r="AD173" i="11" s="1"/>
  <c r="AC161" i="11"/>
  <c r="AC145" i="11"/>
  <c r="AC137" i="11"/>
  <c r="AC121" i="11"/>
  <c r="AC101" i="11"/>
  <c r="AC85" i="11"/>
  <c r="AC83" i="11"/>
  <c r="AD83" i="11" s="1"/>
  <c r="AC67" i="11"/>
  <c r="AC47" i="11"/>
  <c r="AC31" i="11"/>
  <c r="AC29" i="11"/>
  <c r="AD29" i="11" s="1"/>
  <c r="AC17" i="11"/>
  <c r="AC9" i="11"/>
  <c r="AC401" i="11"/>
  <c r="AC249" i="11"/>
  <c r="AC217" i="11"/>
  <c r="AC185" i="11"/>
  <c r="AC143" i="11"/>
  <c r="AC91" i="11"/>
  <c r="AC37" i="11"/>
  <c r="AC293" i="11"/>
  <c r="AC267" i="11"/>
  <c r="AC261" i="11"/>
  <c r="AC189" i="11"/>
  <c r="AC169" i="11"/>
  <c r="AC127" i="11"/>
  <c r="AC103" i="11"/>
  <c r="AC71" i="11"/>
  <c r="AC49" i="11"/>
  <c r="AC305" i="11"/>
  <c r="AC233" i="11"/>
  <c r="AC153" i="11"/>
  <c r="AC139" i="11"/>
  <c r="AC109" i="11"/>
  <c r="AC87" i="11"/>
  <c r="AC55" i="11"/>
  <c r="AC33" i="11"/>
  <c r="AC251" i="11"/>
  <c r="AD251" i="11" s="1"/>
  <c r="AC245" i="11"/>
  <c r="AC219" i="11"/>
  <c r="AC213" i="11"/>
  <c r="AC183" i="11"/>
  <c r="AC129" i="11"/>
  <c r="AC105" i="11"/>
  <c r="AC73" i="11"/>
  <c r="AC51" i="11"/>
  <c r="AC19" i="11"/>
  <c r="AC11" i="11"/>
  <c r="AC3" i="11"/>
  <c r="AD3" i="11" s="1"/>
  <c r="Y466" i="11"/>
  <c r="Y491" i="11"/>
  <c r="Y441" i="11"/>
  <c r="Y529" i="11"/>
  <c r="Y494" i="11"/>
  <c r="Y465" i="11"/>
  <c r="Y527" i="11"/>
  <c r="Z527" i="11" s="1"/>
  <c r="AB527" i="11" s="1"/>
  <c r="AJ527" i="11" s="1"/>
  <c r="Y492" i="11"/>
  <c r="Z492" i="11" s="1"/>
  <c r="AB492" i="11" s="1"/>
  <c r="AJ492" i="11" s="1"/>
  <c r="Y528" i="11"/>
  <c r="Z528" i="11" s="1"/>
  <c r="AB528" i="11" s="1"/>
  <c r="AJ528" i="11" s="1"/>
  <c r="Y493" i="11"/>
  <c r="Z493" i="11" s="1"/>
  <c r="AB493" i="11" s="1"/>
  <c r="AJ493" i="11" s="1"/>
  <c r="Y348" i="11"/>
  <c r="Y553" i="11"/>
  <c r="Z553" i="11" s="1"/>
  <c r="AB553" i="11" s="1"/>
  <c r="AJ553" i="11" s="1"/>
  <c r="Y347" i="11"/>
  <c r="Y318" i="11"/>
  <c r="Z318" i="11" s="1"/>
  <c r="AB318" i="11" s="1"/>
  <c r="AJ318" i="11" s="1"/>
  <c r="Y299" i="11"/>
  <c r="Z299" i="11" s="1"/>
  <c r="AB299" i="11" s="1"/>
  <c r="AJ299" i="11" s="1"/>
  <c r="Y273" i="11"/>
  <c r="Z273" i="11" s="1"/>
  <c r="AB273" i="11" s="1"/>
  <c r="AJ273" i="11" s="1"/>
  <c r="Y249" i="11"/>
  <c r="Z249" i="11" s="1"/>
  <c r="AB249" i="11" s="1"/>
  <c r="AJ249" i="11" s="1"/>
  <c r="Y225" i="11"/>
  <c r="Y223" i="11"/>
  <c r="Z223" i="11" s="1"/>
  <c r="AB223" i="11" s="1"/>
  <c r="AJ223" i="11" s="1"/>
  <c r="Y197" i="11"/>
  <c r="Z197" i="11" s="1"/>
  <c r="AB197" i="11" s="1"/>
  <c r="AJ197" i="11" s="1"/>
  <c r="Y195" i="11"/>
  <c r="Z195" i="11" s="1"/>
  <c r="AB195" i="11" s="1"/>
  <c r="AJ195" i="11" s="1"/>
  <c r="Y171" i="11"/>
  <c r="Z171" i="11" s="1"/>
  <c r="AB171" i="11" s="1"/>
  <c r="AJ171" i="11" s="1"/>
  <c r="Y169" i="11"/>
  <c r="Y167" i="11"/>
  <c r="Z167" i="11" s="1"/>
  <c r="AB167" i="11" s="1"/>
  <c r="AJ167" i="11" s="1"/>
  <c r="Y554" i="11"/>
  <c r="Y440" i="11"/>
  <c r="Y321" i="11"/>
  <c r="Z321" i="11" s="1"/>
  <c r="AB321" i="11" s="1"/>
  <c r="AJ321" i="11" s="1"/>
  <c r="Y467" i="11"/>
  <c r="Z467" i="11" s="1"/>
  <c r="AB467" i="11" s="1"/>
  <c r="AJ467" i="11" s="1"/>
  <c r="Y402" i="11"/>
  <c r="Z402" i="11" s="1"/>
  <c r="AB402" i="11" s="1"/>
  <c r="AJ402" i="11" s="1"/>
  <c r="Y380" i="11"/>
  <c r="Z380" i="11" s="1"/>
  <c r="AB380" i="11" s="1"/>
  <c r="AJ380" i="11" s="1"/>
  <c r="Y349" i="11"/>
  <c r="Y322" i="11"/>
  <c r="Z322" i="11" s="1"/>
  <c r="AB322" i="11" s="1"/>
  <c r="AJ322" i="11" s="1"/>
  <c r="Y412" i="11"/>
  <c r="Z412" i="11" s="1"/>
  <c r="AB412" i="11" s="1"/>
  <c r="AJ412" i="11" s="1"/>
  <c r="Y296" i="11"/>
  <c r="Z296" i="11" s="1"/>
  <c r="AB296" i="11" s="1"/>
  <c r="AJ296" i="11" s="1"/>
  <c r="Y138" i="11"/>
  <c r="Z138" i="11" s="1"/>
  <c r="AB138" i="11" s="1"/>
  <c r="AJ138" i="11" s="1"/>
  <c r="Y137" i="11"/>
  <c r="Y82" i="11"/>
  <c r="Z82" i="11" s="1"/>
  <c r="AB82" i="11" s="1"/>
  <c r="AJ82" i="11" s="1"/>
  <c r="Y81" i="11"/>
  <c r="Y28" i="11"/>
  <c r="Y27" i="11"/>
  <c r="Z27" i="11" s="1"/>
  <c r="AB27" i="11" s="1"/>
  <c r="AJ27" i="11" s="1"/>
  <c r="Y381" i="11"/>
  <c r="Y350" i="11"/>
  <c r="Z350" i="11" s="1"/>
  <c r="AB350" i="11" s="1"/>
  <c r="AJ350" i="11" s="1"/>
  <c r="Y300" i="11"/>
  <c r="Z300" i="11" s="1"/>
  <c r="AB300" i="11" s="1"/>
  <c r="AJ300" i="11" s="1"/>
  <c r="Y272" i="11"/>
  <c r="Y224" i="11"/>
  <c r="Y194" i="11"/>
  <c r="Z194" i="11" s="1"/>
  <c r="AB194" i="11" s="1"/>
  <c r="AJ194" i="11" s="1"/>
  <c r="Y80" i="11"/>
  <c r="Y26" i="11"/>
  <c r="Z26" i="11" s="1"/>
  <c r="AB26" i="11" s="1"/>
  <c r="AJ26" i="11" s="1"/>
  <c r="Y442" i="11"/>
  <c r="Z442" i="11" s="1"/>
  <c r="AB442" i="11" s="1"/>
  <c r="AJ442" i="11" s="1"/>
  <c r="Y323" i="11"/>
  <c r="Z323" i="11" s="1"/>
  <c r="AB323" i="11" s="1"/>
  <c r="AJ323" i="11" s="1"/>
  <c r="Y464" i="11"/>
  <c r="Y383" i="11"/>
  <c r="Z383" i="11" s="1"/>
  <c r="AB383" i="11" s="1"/>
  <c r="AJ383" i="11" s="1"/>
  <c r="Y250" i="11"/>
  <c r="Z250" i="11" s="1"/>
  <c r="AB250" i="11" s="1"/>
  <c r="AJ250" i="11" s="1"/>
  <c r="Y140" i="11"/>
  <c r="Z140" i="11" s="1"/>
  <c r="AB140" i="11" s="1"/>
  <c r="AJ140" i="11" s="1"/>
  <c r="Y139" i="11"/>
  <c r="Y168" i="11"/>
  <c r="Z168" i="11" s="1"/>
  <c r="AB168" i="11" s="1"/>
  <c r="AJ168" i="11" s="1"/>
  <c r="Y126" i="11"/>
  <c r="Z126" i="11" s="1"/>
  <c r="AB126" i="11" s="1"/>
  <c r="AJ126" i="11" s="1"/>
  <c r="Y107" i="11"/>
  <c r="Y226" i="11"/>
  <c r="Z226" i="11" s="1"/>
  <c r="AB226" i="11" s="1"/>
  <c r="AJ226" i="11" s="1"/>
  <c r="Y198" i="11"/>
  <c r="Z198" i="11" s="1"/>
  <c r="AB198" i="11" s="1"/>
  <c r="AJ198" i="11" s="1"/>
  <c r="Y108" i="11"/>
  <c r="Y170" i="11"/>
  <c r="Z170" i="11" s="1"/>
  <c r="AB170" i="11" s="1"/>
  <c r="AJ170" i="11" s="1"/>
  <c r="AC13" i="11"/>
  <c r="AC21" i="11"/>
  <c r="AG39" i="11"/>
  <c r="AK39" i="11" s="1"/>
  <c r="AC53" i="11"/>
  <c r="AG76" i="11"/>
  <c r="AK76" i="11" s="1"/>
  <c r="Z76" i="11"/>
  <c r="AB76" i="11" s="1"/>
  <c r="AJ76" i="11" s="1"/>
  <c r="AC89" i="11"/>
  <c r="Y92" i="11"/>
  <c r="AF110" i="11"/>
  <c r="AG110" i="11"/>
  <c r="AK110" i="11" s="1"/>
  <c r="AD110" i="11"/>
  <c r="Z110" i="11"/>
  <c r="AB110" i="11" s="1"/>
  <c r="AG117" i="11"/>
  <c r="AK117" i="11" s="1"/>
  <c r="AC141" i="11"/>
  <c r="AD141" i="11" s="1"/>
  <c r="AG155" i="11"/>
  <c r="AK155" i="11" s="1"/>
  <c r="Y196" i="11"/>
  <c r="Z196" i="11" s="1"/>
  <c r="AB196" i="11" s="1"/>
  <c r="AJ196" i="11" s="1"/>
  <c r="AC203" i="11"/>
  <c r="AG212" i="11"/>
  <c r="AK212" i="11" s="1"/>
  <c r="AG243" i="11"/>
  <c r="AK243" i="11" s="1"/>
  <c r="AC295" i="11"/>
  <c r="AC311" i="11"/>
  <c r="AG340" i="11"/>
  <c r="AK340" i="11" s="1"/>
  <c r="V474" i="3"/>
  <c r="AE474" i="3" s="1"/>
  <c r="V478" i="3"/>
  <c r="V512" i="3"/>
  <c r="V516" i="3"/>
  <c r="V520" i="3"/>
  <c r="V524" i="3"/>
  <c r="V528" i="3"/>
  <c r="V532" i="3"/>
  <c r="V536" i="3"/>
  <c r="AE536" i="3" s="1"/>
  <c r="V540" i="3"/>
  <c r="V544" i="3"/>
  <c r="Y562" i="11"/>
  <c r="Z562" i="11" s="1"/>
  <c r="AB562" i="11" s="1"/>
  <c r="AJ562" i="11" s="1"/>
  <c r="Y533" i="11"/>
  <c r="Y501" i="11"/>
  <c r="Y539" i="11"/>
  <c r="Z539" i="11" s="1"/>
  <c r="AB539" i="11" s="1"/>
  <c r="AJ539" i="11" s="1"/>
  <c r="Y536" i="11"/>
  <c r="Y507" i="11"/>
  <c r="Y504" i="11"/>
  <c r="Y475" i="11"/>
  <c r="Z475" i="11" s="1"/>
  <c r="AB475" i="11" s="1"/>
  <c r="AJ475" i="11" s="1"/>
  <c r="Y472" i="11"/>
  <c r="Y451" i="11"/>
  <c r="Y449" i="11"/>
  <c r="Z449" i="11" s="1"/>
  <c r="AB449" i="11" s="1"/>
  <c r="AJ449" i="11" s="1"/>
  <c r="Y447" i="11"/>
  <c r="Z447" i="11" s="1"/>
  <c r="AB447" i="11" s="1"/>
  <c r="AJ447" i="11" s="1"/>
  <c r="Y425" i="11"/>
  <c r="Z425" i="11" s="1"/>
  <c r="AB425" i="11" s="1"/>
  <c r="AJ425" i="11" s="1"/>
  <c r="Y423" i="11"/>
  <c r="Y421" i="11"/>
  <c r="Y419" i="11"/>
  <c r="Y417" i="11"/>
  <c r="Y542" i="11"/>
  <c r="Z542" i="11" s="1"/>
  <c r="AB542" i="11" s="1"/>
  <c r="AJ542" i="11" s="1"/>
  <c r="Y510" i="11"/>
  <c r="Z510" i="11" s="1"/>
  <c r="AB510" i="11" s="1"/>
  <c r="AJ510" i="11" s="1"/>
  <c r="Y478" i="11"/>
  <c r="Y540" i="11"/>
  <c r="Z540" i="11" s="1"/>
  <c r="AB540" i="11" s="1"/>
  <c r="AJ540" i="11" s="1"/>
  <c r="Y511" i="11"/>
  <c r="Z511" i="11" s="1"/>
  <c r="AB511" i="11" s="1"/>
  <c r="AJ511" i="11" s="1"/>
  <c r="Y508" i="11"/>
  <c r="Z508" i="11" s="1"/>
  <c r="AB508" i="11" s="1"/>
  <c r="AJ508" i="11" s="1"/>
  <c r="Y479" i="11"/>
  <c r="Z479" i="11" s="1"/>
  <c r="AB479" i="11" s="1"/>
  <c r="AJ479" i="11" s="1"/>
  <c r="Y476" i="11"/>
  <c r="Z476" i="11" s="1"/>
  <c r="AB476" i="11" s="1"/>
  <c r="AJ476" i="11" s="1"/>
  <c r="Y567" i="11"/>
  <c r="Z567" i="11" s="1"/>
  <c r="AB567" i="11" s="1"/>
  <c r="AJ567" i="11" s="1"/>
  <c r="Y534" i="11"/>
  <c r="Z534" i="11" s="1"/>
  <c r="AB534" i="11" s="1"/>
  <c r="AJ534" i="11" s="1"/>
  <c r="Y512" i="11"/>
  <c r="Z512" i="11" s="1"/>
  <c r="AB512" i="11" s="1"/>
  <c r="AJ512" i="11" s="1"/>
  <c r="Y477" i="11"/>
  <c r="Z477" i="11" s="1"/>
  <c r="AB477" i="11" s="1"/>
  <c r="AJ477" i="11" s="1"/>
  <c r="Y452" i="11"/>
  <c r="Z452" i="11" s="1"/>
  <c r="AB452" i="11" s="1"/>
  <c r="AJ452" i="11" s="1"/>
  <c r="Y420" i="11"/>
  <c r="Z420" i="11" s="1"/>
  <c r="AB420" i="11" s="1"/>
  <c r="AJ420" i="11" s="1"/>
  <c r="Y396" i="11"/>
  <c r="Z396" i="11" s="1"/>
  <c r="AB396" i="11" s="1"/>
  <c r="AJ396" i="11" s="1"/>
  <c r="Y395" i="11"/>
  <c r="Y362" i="11"/>
  <c r="Z362" i="11" s="1"/>
  <c r="AB362" i="11" s="1"/>
  <c r="AJ362" i="11" s="1"/>
  <c r="Y361" i="11"/>
  <c r="Y328" i="11"/>
  <c r="Z328" i="11" s="1"/>
  <c r="AB328" i="11" s="1"/>
  <c r="AJ328" i="11" s="1"/>
  <c r="Y537" i="11"/>
  <c r="Z537" i="11" s="1"/>
  <c r="AB537" i="11" s="1"/>
  <c r="AJ537" i="11" s="1"/>
  <c r="Y471" i="11"/>
  <c r="Z471" i="11" s="1"/>
  <c r="AB471" i="11" s="1"/>
  <c r="AJ471" i="11" s="1"/>
  <c r="Y422" i="11"/>
  <c r="Y394" i="11"/>
  <c r="Z394" i="11" s="1"/>
  <c r="AB394" i="11" s="1"/>
  <c r="AJ394" i="11" s="1"/>
  <c r="Y393" i="11"/>
  <c r="Y360" i="11"/>
  <c r="Y359" i="11"/>
  <c r="Y334" i="11"/>
  <c r="Y331" i="11"/>
  <c r="Y309" i="11"/>
  <c r="Z309" i="11" s="1"/>
  <c r="AB309" i="11" s="1"/>
  <c r="AJ309" i="11" s="1"/>
  <c r="Y307" i="11"/>
  <c r="Z307" i="11" s="1"/>
  <c r="AB307" i="11" s="1"/>
  <c r="AJ307" i="11" s="1"/>
  <c r="Y305" i="11"/>
  <c r="Z305" i="11" s="1"/>
  <c r="AB305" i="11" s="1"/>
  <c r="AJ305" i="11" s="1"/>
  <c r="Y285" i="11"/>
  <c r="Z285" i="11" s="1"/>
  <c r="AB285" i="11" s="1"/>
  <c r="AJ285" i="11" s="1"/>
  <c r="Y283" i="11"/>
  <c r="Z283" i="11" s="1"/>
  <c r="AB283" i="11" s="1"/>
  <c r="AJ283" i="11" s="1"/>
  <c r="Y281" i="11"/>
  <c r="Z281" i="11" s="1"/>
  <c r="AB281" i="11" s="1"/>
  <c r="AJ281" i="11" s="1"/>
  <c r="Y279" i="11"/>
  <c r="Z279" i="11" s="1"/>
  <c r="AB279" i="11" s="1"/>
  <c r="AJ279" i="11" s="1"/>
  <c r="Y259" i="11"/>
  <c r="Y257" i="11"/>
  <c r="Y255" i="11"/>
  <c r="Y235" i="11"/>
  <c r="Y233" i="11"/>
  <c r="Y231" i="11"/>
  <c r="Y221" i="11"/>
  <c r="Z221" i="11" s="1"/>
  <c r="AB221" i="11" s="1"/>
  <c r="AJ221" i="11" s="1"/>
  <c r="Y207" i="11"/>
  <c r="Y205" i="11"/>
  <c r="Y203" i="11"/>
  <c r="Z203" i="11" s="1"/>
  <c r="AB203" i="11" s="1"/>
  <c r="AJ203" i="11" s="1"/>
  <c r="Y201" i="11"/>
  <c r="Y183" i="11"/>
  <c r="Z183" i="11" s="1"/>
  <c r="AB183" i="11" s="1"/>
  <c r="AJ183" i="11" s="1"/>
  <c r="Y181" i="11"/>
  <c r="Z181" i="11" s="1"/>
  <c r="AB181" i="11" s="1"/>
  <c r="AJ181" i="11" s="1"/>
  <c r="Y179" i="11"/>
  <c r="Z179" i="11" s="1"/>
  <c r="AB179" i="11" s="1"/>
  <c r="AJ179" i="11" s="1"/>
  <c r="Y177" i="11"/>
  <c r="Z177" i="11" s="1"/>
  <c r="AB177" i="11" s="1"/>
  <c r="AJ177" i="11" s="1"/>
  <c r="Y175" i="11"/>
  <c r="Z175" i="11" s="1"/>
  <c r="AB175" i="11" s="1"/>
  <c r="AJ175" i="11" s="1"/>
  <c r="Y153" i="11"/>
  <c r="Z153" i="11" s="1"/>
  <c r="AB153" i="11" s="1"/>
  <c r="AJ153" i="11" s="1"/>
  <c r="Y151" i="11"/>
  <c r="Z151" i="11" s="1"/>
  <c r="AB151" i="11" s="1"/>
  <c r="AJ151" i="11" s="1"/>
  <c r="Y149" i="11"/>
  <c r="Y147" i="11"/>
  <c r="Y145" i="11"/>
  <c r="Y143" i="11"/>
  <c r="Y538" i="11"/>
  <c r="Z538" i="11" s="1"/>
  <c r="AB538" i="11" s="1"/>
  <c r="AJ538" i="11" s="1"/>
  <c r="Y500" i="11"/>
  <c r="Z500" i="11" s="1"/>
  <c r="AB500" i="11" s="1"/>
  <c r="AJ500" i="11" s="1"/>
  <c r="Y499" i="11"/>
  <c r="Y470" i="11"/>
  <c r="Z470" i="11" s="1"/>
  <c r="AB470" i="11" s="1"/>
  <c r="AJ470" i="11" s="1"/>
  <c r="Y424" i="11"/>
  <c r="Y392" i="11"/>
  <c r="Y391" i="11"/>
  <c r="Z391" i="11" s="1"/>
  <c r="AB391" i="11" s="1"/>
  <c r="AJ391" i="11" s="1"/>
  <c r="Y358" i="11"/>
  <c r="Y357" i="11"/>
  <c r="Y535" i="11"/>
  <c r="Z535" i="11" s="1"/>
  <c r="AB535" i="11" s="1"/>
  <c r="AJ535" i="11" s="1"/>
  <c r="Y506" i="11"/>
  <c r="Z506" i="11" s="1"/>
  <c r="AB506" i="11" s="1"/>
  <c r="AJ506" i="11" s="1"/>
  <c r="Y450" i="11"/>
  <c r="Z450" i="11" s="1"/>
  <c r="AB450" i="11" s="1"/>
  <c r="AJ450" i="11" s="1"/>
  <c r="Y418" i="11"/>
  <c r="Z418" i="11" s="1"/>
  <c r="AB418" i="11" s="1"/>
  <c r="AJ418" i="11" s="1"/>
  <c r="Y397" i="11"/>
  <c r="Z397" i="11" s="1"/>
  <c r="AB397" i="11" s="1"/>
  <c r="AJ397" i="11" s="1"/>
  <c r="Y364" i="11"/>
  <c r="Z364" i="11" s="1"/>
  <c r="AB364" i="11" s="1"/>
  <c r="AJ364" i="11" s="1"/>
  <c r="Y363" i="11"/>
  <c r="Z363" i="11" s="1"/>
  <c r="AB363" i="11" s="1"/>
  <c r="AJ363" i="11" s="1"/>
  <c r="Y335" i="11"/>
  <c r="Z335" i="11" s="1"/>
  <c r="AB335" i="11" s="1"/>
  <c r="AJ335" i="11" s="1"/>
  <c r="Y333" i="11"/>
  <c r="Z333" i="11" s="1"/>
  <c r="AB333" i="11" s="1"/>
  <c r="AJ333" i="11" s="1"/>
  <c r="Y280" i="11"/>
  <c r="Z280" i="11" s="1"/>
  <c r="AB280" i="11" s="1"/>
  <c r="AJ280" i="11" s="1"/>
  <c r="Y236" i="11"/>
  <c r="Z236" i="11" s="1"/>
  <c r="AB236" i="11" s="1"/>
  <c r="AJ236" i="11" s="1"/>
  <c r="Y204" i="11"/>
  <c r="Z204" i="11" s="1"/>
  <c r="AB204" i="11" s="1"/>
  <c r="AJ204" i="11" s="1"/>
  <c r="Y174" i="11"/>
  <c r="Z174" i="11" s="1"/>
  <c r="AB174" i="11" s="1"/>
  <c r="AJ174" i="11" s="1"/>
  <c r="Y144" i="11"/>
  <c r="Z144" i="11" s="1"/>
  <c r="AB144" i="11" s="1"/>
  <c r="AJ144" i="11" s="1"/>
  <c r="Y121" i="11"/>
  <c r="Z121" i="11" s="1"/>
  <c r="AB121" i="11" s="1"/>
  <c r="AJ121" i="11" s="1"/>
  <c r="Y86" i="11"/>
  <c r="Z86" i="11" s="1"/>
  <c r="AB86" i="11" s="1"/>
  <c r="AJ86" i="11" s="1"/>
  <c r="Y85" i="11"/>
  <c r="Z85" i="11" s="1"/>
  <c r="AB85" i="11" s="1"/>
  <c r="AJ85" i="11" s="1"/>
  <c r="Y67" i="11"/>
  <c r="Y32" i="11"/>
  <c r="Z32" i="11" s="1"/>
  <c r="AB32" i="11" s="1"/>
  <c r="AJ32" i="11" s="1"/>
  <c r="Y31" i="11"/>
  <c r="Y10" i="11"/>
  <c r="Y557" i="11"/>
  <c r="Z557" i="11" s="1"/>
  <c r="AB557" i="11" s="1"/>
  <c r="AJ557" i="11" s="1"/>
  <c r="Y446" i="11"/>
  <c r="Z446" i="11" s="1"/>
  <c r="AB446" i="11" s="1"/>
  <c r="AJ446" i="11" s="1"/>
  <c r="Y388" i="11"/>
  <c r="Z388" i="11" s="1"/>
  <c r="AB388" i="11" s="1"/>
  <c r="AJ388" i="11" s="1"/>
  <c r="Y282" i="11"/>
  <c r="Z282" i="11" s="1"/>
  <c r="AB282" i="11" s="1"/>
  <c r="AJ282" i="11" s="1"/>
  <c r="Y270" i="11"/>
  <c r="Z270" i="11" s="1"/>
  <c r="AB270" i="11" s="1"/>
  <c r="AJ270" i="11" s="1"/>
  <c r="Y254" i="11"/>
  <c r="Z254" i="11" s="1"/>
  <c r="AB254" i="11" s="1"/>
  <c r="AJ254" i="11" s="1"/>
  <c r="Y206" i="11"/>
  <c r="Y176" i="11"/>
  <c r="Z176" i="11" s="1"/>
  <c r="AB176" i="11" s="1"/>
  <c r="AJ176" i="11" s="1"/>
  <c r="Y146" i="11"/>
  <c r="Y120" i="11"/>
  <c r="Z120" i="11" s="1"/>
  <c r="AB120" i="11" s="1"/>
  <c r="AJ120" i="11" s="1"/>
  <c r="Y119" i="11"/>
  <c r="Z119" i="11" s="1"/>
  <c r="AB119" i="11" s="1"/>
  <c r="AJ119" i="11" s="1"/>
  <c r="Y66" i="11"/>
  <c r="Z66" i="11" s="1"/>
  <c r="AB66" i="11" s="1"/>
  <c r="AJ66" i="11" s="1"/>
  <c r="Y65" i="11"/>
  <c r="Y9" i="11"/>
  <c r="Y389" i="11"/>
  <c r="Y284" i="11"/>
  <c r="Z284" i="11" s="1"/>
  <c r="AB284" i="11" s="1"/>
  <c r="AJ284" i="11" s="1"/>
  <c r="Y256" i="11"/>
  <c r="Y208" i="11"/>
  <c r="Z208" i="11" s="1"/>
  <c r="AB208" i="11" s="1"/>
  <c r="AJ208" i="11" s="1"/>
  <c r="Y178" i="11"/>
  <c r="Z178" i="11" s="1"/>
  <c r="AB178" i="11" s="1"/>
  <c r="AJ178" i="11" s="1"/>
  <c r="Y148" i="11"/>
  <c r="Y118" i="11"/>
  <c r="Y117" i="11"/>
  <c r="Z117" i="11" s="1"/>
  <c r="AB117" i="11" s="1"/>
  <c r="AJ117" i="11" s="1"/>
  <c r="Y64" i="11"/>
  <c r="Y63" i="11"/>
  <c r="Y505" i="11"/>
  <c r="Z505" i="11" s="1"/>
  <c r="AB505" i="11" s="1"/>
  <c r="AJ505" i="11" s="1"/>
  <c r="Y480" i="11"/>
  <c r="Z480" i="11" s="1"/>
  <c r="AB480" i="11" s="1"/>
  <c r="AJ480" i="11" s="1"/>
  <c r="Y473" i="11"/>
  <c r="Z473" i="11" s="1"/>
  <c r="AB473" i="11" s="1"/>
  <c r="AJ473" i="11" s="1"/>
  <c r="Y390" i="11"/>
  <c r="Y366" i="11"/>
  <c r="Z366" i="11" s="1"/>
  <c r="AB366" i="11" s="1"/>
  <c r="AJ366" i="11" s="1"/>
  <c r="Y330" i="11"/>
  <c r="Z330" i="11" s="1"/>
  <c r="AB330" i="11" s="1"/>
  <c r="AJ330" i="11" s="1"/>
  <c r="Y304" i="11"/>
  <c r="Z304" i="11" s="1"/>
  <c r="AB304" i="11" s="1"/>
  <c r="AJ304" i="11" s="1"/>
  <c r="Y260" i="11"/>
  <c r="Z260" i="11" s="1"/>
  <c r="AB260" i="11" s="1"/>
  <c r="AJ260" i="11" s="1"/>
  <c r="Y448" i="11"/>
  <c r="Z448" i="11" s="1"/>
  <c r="AB448" i="11" s="1"/>
  <c r="AJ448" i="11" s="1"/>
  <c r="Y426" i="11"/>
  <c r="Y329" i="11"/>
  <c r="Z329" i="11" s="1"/>
  <c r="AB329" i="11" s="1"/>
  <c r="AJ329" i="11" s="1"/>
  <c r="Y306" i="11"/>
  <c r="Z306" i="11" s="1"/>
  <c r="AB306" i="11" s="1"/>
  <c r="AJ306" i="11" s="1"/>
  <c r="Y541" i="11"/>
  <c r="Z541" i="11" s="1"/>
  <c r="AB541" i="11" s="1"/>
  <c r="AJ541" i="11" s="1"/>
  <c r="Y509" i="11"/>
  <c r="Z509" i="11" s="1"/>
  <c r="AB509" i="11" s="1"/>
  <c r="AJ509" i="11" s="1"/>
  <c r="Y503" i="11"/>
  <c r="Y502" i="11"/>
  <c r="Z502" i="11" s="1"/>
  <c r="AB502" i="11" s="1"/>
  <c r="AJ502" i="11" s="1"/>
  <c r="Y474" i="11"/>
  <c r="Z474" i="11" s="1"/>
  <c r="AB474" i="11" s="1"/>
  <c r="AJ474" i="11" s="1"/>
  <c r="Y332" i="11"/>
  <c r="Z332" i="11" s="1"/>
  <c r="AB332" i="11" s="1"/>
  <c r="AJ332" i="11" s="1"/>
  <c r="Y278" i="11"/>
  <c r="Z278" i="11" s="1"/>
  <c r="AB278" i="11" s="1"/>
  <c r="AJ278" i="11" s="1"/>
  <c r="Y234" i="11"/>
  <c r="Z234" i="11" s="1"/>
  <c r="AB234" i="11" s="1"/>
  <c r="AJ234" i="11" s="1"/>
  <c r="Y202" i="11"/>
  <c r="Z202" i="11" s="1"/>
  <c r="AB202" i="11" s="1"/>
  <c r="AJ202" i="11" s="1"/>
  <c r="Y88" i="11"/>
  <c r="Z88" i="11" s="1"/>
  <c r="AB88" i="11" s="1"/>
  <c r="AJ88" i="11" s="1"/>
  <c r="Y34" i="11"/>
  <c r="Z34" i="11" s="1"/>
  <c r="AB34" i="11" s="1"/>
  <c r="AJ34" i="11" s="1"/>
  <c r="Y33" i="11"/>
  <c r="Y11" i="11"/>
  <c r="Y365" i="11"/>
  <c r="Z365" i="11" s="1"/>
  <c r="AB365" i="11" s="1"/>
  <c r="AJ365" i="11" s="1"/>
  <c r="Y131" i="11"/>
  <c r="Y114" i="11"/>
  <c r="Z114" i="11" s="1"/>
  <c r="AB114" i="11" s="1"/>
  <c r="AJ114" i="11" s="1"/>
  <c r="Y258" i="11"/>
  <c r="Z258" i="11" s="1"/>
  <c r="AB258" i="11" s="1"/>
  <c r="AJ258" i="11" s="1"/>
  <c r="Y230" i="11"/>
  <c r="Z230" i="11" s="1"/>
  <c r="AB230" i="11" s="1"/>
  <c r="AJ230" i="11" s="1"/>
  <c r="Y152" i="11"/>
  <c r="Y115" i="11"/>
  <c r="Y91" i="11"/>
  <c r="Z91" i="11" s="1"/>
  <c r="AB91" i="11" s="1"/>
  <c r="AJ91" i="11" s="1"/>
  <c r="Y37" i="11"/>
  <c r="Y5" i="11"/>
  <c r="Y6" i="11"/>
  <c r="Z6" i="11" s="1"/>
  <c r="AB6" i="11" s="1"/>
  <c r="AJ6" i="11" s="1"/>
  <c r="Y308" i="11"/>
  <c r="Z308" i="11" s="1"/>
  <c r="AB308" i="11" s="1"/>
  <c r="AJ308" i="11" s="1"/>
  <c r="Y150" i="11"/>
  <c r="Y93" i="11"/>
  <c r="Z93" i="11" s="1"/>
  <c r="AB93" i="11" s="1"/>
  <c r="AJ93" i="11" s="1"/>
  <c r="Y61" i="11"/>
  <c r="Y39" i="11"/>
  <c r="Z39" i="11" s="1"/>
  <c r="AB39" i="11" s="1"/>
  <c r="AJ39" i="11" s="1"/>
  <c r="AC5" i="11"/>
  <c r="Y12" i="11"/>
  <c r="Z12" i="11" s="1"/>
  <c r="AB12" i="11" s="1"/>
  <c r="AJ12" i="11" s="1"/>
  <c r="AC39" i="11"/>
  <c r="Z61" i="11"/>
  <c r="AB61" i="11" s="1"/>
  <c r="AJ61" i="11" s="1"/>
  <c r="AG61" i="11"/>
  <c r="AK61" i="11" s="1"/>
  <c r="AG97" i="11"/>
  <c r="AK97" i="11" s="1"/>
  <c r="AC155" i="11"/>
  <c r="Y182" i="11"/>
  <c r="Z182" i="11" s="1"/>
  <c r="AB182" i="11" s="1"/>
  <c r="AJ182" i="11" s="1"/>
  <c r="AG263" i="11"/>
  <c r="AK263" i="11" s="1"/>
  <c r="AG328" i="11"/>
  <c r="AK328" i="11" s="1"/>
  <c r="AG330" i="11"/>
  <c r="AK330" i="11" s="1"/>
  <c r="V482" i="3"/>
  <c r="V486" i="3"/>
  <c r="V490" i="3"/>
  <c r="AE490" i="3" s="1"/>
  <c r="V548" i="3"/>
  <c r="V552" i="3"/>
  <c r="AG8" i="11"/>
  <c r="AK8" i="11" s="1"/>
  <c r="AG10" i="11"/>
  <c r="AK10" i="11" s="1"/>
  <c r="AG16" i="11"/>
  <c r="AK16" i="11" s="1"/>
  <c r="AG18" i="11"/>
  <c r="AK18" i="11" s="1"/>
  <c r="Z28" i="11"/>
  <c r="AB28" i="11" s="1"/>
  <c r="AJ28" i="11" s="1"/>
  <c r="Z57" i="11"/>
  <c r="AB57" i="11" s="1"/>
  <c r="AJ57" i="11" s="1"/>
  <c r="AG57" i="11"/>
  <c r="AK57" i="11" s="1"/>
  <c r="AC69" i="11"/>
  <c r="Y94" i="11"/>
  <c r="Z94" i="11" s="1"/>
  <c r="AB94" i="11" s="1"/>
  <c r="AJ94" i="11" s="1"/>
  <c r="Z113" i="11"/>
  <c r="AB113" i="11" s="1"/>
  <c r="AJ113" i="11" s="1"/>
  <c r="AG113" i="11"/>
  <c r="AK113" i="11" s="1"/>
  <c r="AC125" i="11"/>
  <c r="Z148" i="11"/>
  <c r="AB148" i="11" s="1"/>
  <c r="AJ148" i="11" s="1"/>
  <c r="AG148" i="11"/>
  <c r="AK148" i="11" s="1"/>
  <c r="Z150" i="11"/>
  <c r="AB150" i="11" s="1"/>
  <c r="AJ150" i="11" s="1"/>
  <c r="AG150" i="11"/>
  <c r="AK150" i="11" s="1"/>
  <c r="AC187" i="11"/>
  <c r="Z233" i="11"/>
  <c r="AB233" i="11" s="1"/>
  <c r="AJ233" i="11" s="1"/>
  <c r="AG233" i="11"/>
  <c r="AK233" i="11" s="1"/>
  <c r="Z256" i="11"/>
  <c r="AB256" i="11" s="1"/>
  <c r="AJ256" i="11" s="1"/>
  <c r="AG256" i="11"/>
  <c r="AK256" i="11" s="1"/>
  <c r="AG265" i="11"/>
  <c r="AK265" i="11" s="1"/>
  <c r="AC289" i="11"/>
  <c r="Y317" i="11"/>
  <c r="Z317" i="11" s="1"/>
  <c r="AB317" i="11" s="1"/>
  <c r="AJ317" i="11" s="1"/>
  <c r="Z336" i="11"/>
  <c r="AB336" i="11" s="1"/>
  <c r="AJ336" i="11" s="1"/>
  <c r="AG374" i="11"/>
  <c r="AK374" i="11" s="1"/>
  <c r="Z7" i="11"/>
  <c r="AB7" i="11" s="1"/>
  <c r="AJ7" i="11" s="1"/>
  <c r="AG7" i="11"/>
  <c r="AK7" i="11" s="1"/>
  <c r="Z15" i="11"/>
  <c r="AB15" i="11" s="1"/>
  <c r="AJ15" i="11" s="1"/>
  <c r="AG15" i="11"/>
  <c r="AK15" i="11" s="1"/>
  <c r="Z23" i="11"/>
  <c r="AB23" i="11" s="1"/>
  <c r="AJ23" i="11" s="1"/>
  <c r="AG23" i="11"/>
  <c r="AK23" i="11" s="1"/>
  <c r="Z55" i="11"/>
  <c r="AB55" i="11" s="1"/>
  <c r="AJ55" i="11" s="1"/>
  <c r="AG55" i="11"/>
  <c r="AK55" i="11" s="1"/>
  <c r="Y59" i="11"/>
  <c r="Z59" i="11" s="1"/>
  <c r="AB59" i="11" s="1"/>
  <c r="Z77" i="11"/>
  <c r="AB77" i="11" s="1"/>
  <c r="AJ77" i="11" s="1"/>
  <c r="AG77" i="11"/>
  <c r="AK77" i="11" s="1"/>
  <c r="Z109" i="11"/>
  <c r="AB109" i="11" s="1"/>
  <c r="AJ109" i="11" s="1"/>
  <c r="AG109" i="11"/>
  <c r="AK109" i="11" s="1"/>
  <c r="Z116" i="11"/>
  <c r="AB116" i="11" s="1"/>
  <c r="AJ116" i="11" s="1"/>
  <c r="Z133" i="11"/>
  <c r="AB133" i="11" s="1"/>
  <c r="AJ133" i="11" s="1"/>
  <c r="AG133" i="11"/>
  <c r="AK133" i="11" s="1"/>
  <c r="AG157" i="11"/>
  <c r="AK157" i="11" s="1"/>
  <c r="Z166" i="11"/>
  <c r="AB166" i="11" s="1"/>
  <c r="AJ166" i="11" s="1"/>
  <c r="AG199" i="11"/>
  <c r="AK199" i="11" s="1"/>
  <c r="AD199" i="11"/>
  <c r="Z201" i="11"/>
  <c r="AB201" i="11" s="1"/>
  <c r="AJ201" i="11" s="1"/>
  <c r="AG201" i="11"/>
  <c r="AK201" i="11" s="1"/>
  <c r="Z224" i="11"/>
  <c r="AB224" i="11" s="1"/>
  <c r="AJ224" i="11" s="1"/>
  <c r="Z231" i="11"/>
  <c r="AB231" i="11" s="1"/>
  <c r="AJ231" i="11" s="1"/>
  <c r="AG231" i="11"/>
  <c r="AK231" i="11" s="1"/>
  <c r="Z259" i="11"/>
  <c r="AB259" i="11" s="1"/>
  <c r="AJ259" i="11" s="1"/>
  <c r="AG259" i="11"/>
  <c r="AK259" i="11" s="1"/>
  <c r="Y565" i="11"/>
  <c r="Z565" i="11" s="1"/>
  <c r="AB565" i="11" s="1"/>
  <c r="Y530" i="11"/>
  <c r="Y498" i="11"/>
  <c r="Y469" i="11"/>
  <c r="Y555" i="11"/>
  <c r="Z555" i="11" s="1"/>
  <c r="AB555" i="11" s="1"/>
  <c r="Y445" i="11"/>
  <c r="Z445" i="11" s="1"/>
  <c r="AB445" i="11" s="1"/>
  <c r="Y443" i="11"/>
  <c r="Z443" i="11" s="1"/>
  <c r="AB443" i="11" s="1"/>
  <c r="Y415" i="11"/>
  <c r="Z415" i="11" s="1"/>
  <c r="AB415" i="11" s="1"/>
  <c r="Y413" i="11"/>
  <c r="Z413" i="11" s="1"/>
  <c r="AB413" i="11" s="1"/>
  <c r="Y561" i="11"/>
  <c r="Z561" i="11" s="1"/>
  <c r="AB561" i="11" s="1"/>
  <c r="Y497" i="11"/>
  <c r="Y556" i="11"/>
  <c r="Z556" i="11" s="1"/>
  <c r="AB556" i="11" s="1"/>
  <c r="Y495" i="11"/>
  <c r="Z495" i="11" s="1"/>
  <c r="AB495" i="11" s="1"/>
  <c r="Y568" i="11"/>
  <c r="Z568" i="11" s="1"/>
  <c r="AB568" i="11" s="1"/>
  <c r="Y303" i="11"/>
  <c r="Z303" i="11" s="1"/>
  <c r="AB303" i="11" s="1"/>
  <c r="Y301" i="11"/>
  <c r="Z301" i="11" s="1"/>
  <c r="AB301" i="11" s="1"/>
  <c r="Y277" i="11"/>
  <c r="Z277" i="11" s="1"/>
  <c r="AB277" i="11" s="1"/>
  <c r="Y275" i="11"/>
  <c r="Z275" i="11" s="1"/>
  <c r="AB275" i="11" s="1"/>
  <c r="Y253" i="11"/>
  <c r="Z253" i="11" s="1"/>
  <c r="AB253" i="11" s="1"/>
  <c r="Y251" i="11"/>
  <c r="Z251" i="11" s="1"/>
  <c r="AB251" i="11" s="1"/>
  <c r="Y229" i="11"/>
  <c r="Z229" i="11" s="1"/>
  <c r="AB229" i="11" s="1"/>
  <c r="Y227" i="11"/>
  <c r="Z227" i="11" s="1"/>
  <c r="AB227" i="11" s="1"/>
  <c r="Y199" i="11"/>
  <c r="Z199" i="11" s="1"/>
  <c r="AB199" i="11" s="1"/>
  <c r="Y173" i="11"/>
  <c r="Z173" i="11" s="1"/>
  <c r="AB173" i="11" s="1"/>
  <c r="Y531" i="11"/>
  <c r="Z531" i="11" s="1"/>
  <c r="AB531" i="11" s="1"/>
  <c r="Y356" i="11"/>
  <c r="Z356" i="11" s="1"/>
  <c r="AB356" i="11" s="1"/>
  <c r="Y355" i="11"/>
  <c r="Z355" i="11" s="1"/>
  <c r="AB355" i="11" s="1"/>
  <c r="Y354" i="11"/>
  <c r="Z354" i="11" s="1"/>
  <c r="AB354" i="11" s="1"/>
  <c r="Y468" i="11"/>
  <c r="Y385" i="11"/>
  <c r="Y327" i="11"/>
  <c r="Z327" i="11" s="1"/>
  <c r="AB327" i="11" s="1"/>
  <c r="Y84" i="11"/>
  <c r="Z84" i="11" s="1"/>
  <c r="AB84" i="11" s="1"/>
  <c r="Y83" i="11"/>
  <c r="Z83" i="11" s="1"/>
  <c r="AB83" i="11" s="1"/>
  <c r="Y30" i="11"/>
  <c r="Z30" i="11" s="1"/>
  <c r="AB30" i="11" s="1"/>
  <c r="Y29" i="11"/>
  <c r="Y2" i="11"/>
  <c r="Z2" i="11" s="1"/>
  <c r="AB2" i="11" s="1"/>
  <c r="Y353" i="11"/>
  <c r="Y444" i="11"/>
  <c r="Z444" i="11" s="1"/>
  <c r="AB444" i="11" s="1"/>
  <c r="Y302" i="11"/>
  <c r="Z302" i="11" s="1"/>
  <c r="AB302" i="11" s="1"/>
  <c r="Y496" i="11"/>
  <c r="Z496" i="11" s="1"/>
  <c r="AB496" i="11" s="1"/>
  <c r="Y351" i="11"/>
  <c r="Z351" i="11" s="1"/>
  <c r="AB351" i="11" s="1"/>
  <c r="Y532" i="11"/>
  <c r="Y414" i="11"/>
  <c r="Y387" i="11"/>
  <c r="Z387" i="11" s="1"/>
  <c r="AB387" i="11" s="1"/>
  <c r="Y352" i="11"/>
  <c r="Z352" i="11" s="1"/>
  <c r="AB352" i="11" s="1"/>
  <c r="Y252" i="11"/>
  <c r="Z252" i="11" s="1"/>
  <c r="AB252" i="11" s="1"/>
  <c r="Y3" i="11"/>
  <c r="AD2" i="11"/>
  <c r="Z5" i="11"/>
  <c r="AB5" i="11" s="1"/>
  <c r="AJ5" i="11" s="1"/>
  <c r="AG5" i="11"/>
  <c r="AK5" i="11" s="1"/>
  <c r="Z13" i="11"/>
  <c r="AB13" i="11" s="1"/>
  <c r="AJ13" i="11" s="1"/>
  <c r="AG13" i="11"/>
  <c r="AK13" i="11" s="1"/>
  <c r="Z21" i="11"/>
  <c r="AB21" i="11" s="1"/>
  <c r="AJ21" i="11" s="1"/>
  <c r="AG21" i="11"/>
  <c r="AK21" i="11" s="1"/>
  <c r="Z37" i="11"/>
  <c r="AB37" i="11" s="1"/>
  <c r="AJ37" i="11" s="1"/>
  <c r="AG37" i="11"/>
  <c r="AK37" i="11" s="1"/>
  <c r="Z38" i="11"/>
  <c r="AB38" i="11" s="1"/>
  <c r="AJ38" i="11" s="1"/>
  <c r="Z42" i="11"/>
  <c r="AB42" i="11" s="1"/>
  <c r="AJ42" i="11" s="1"/>
  <c r="Z46" i="11"/>
  <c r="AB46" i="11" s="1"/>
  <c r="AJ46" i="11" s="1"/>
  <c r="Z80" i="11"/>
  <c r="AB80" i="11" s="1"/>
  <c r="AJ80" i="11" s="1"/>
  <c r="AG91" i="11"/>
  <c r="AK91" i="11" s="1"/>
  <c r="Z92" i="11"/>
  <c r="AB92" i="11" s="1"/>
  <c r="AJ92" i="11" s="1"/>
  <c r="Z96" i="11"/>
  <c r="AB96" i="11" s="1"/>
  <c r="AJ96" i="11" s="1"/>
  <c r="Z115" i="11"/>
  <c r="AB115" i="11" s="1"/>
  <c r="AJ115" i="11" s="1"/>
  <c r="AG115" i="11"/>
  <c r="AK115" i="11" s="1"/>
  <c r="Z169" i="11"/>
  <c r="AB169" i="11" s="1"/>
  <c r="AJ169" i="11" s="1"/>
  <c r="AG169" i="11"/>
  <c r="AK169" i="11" s="1"/>
  <c r="AG215" i="11"/>
  <c r="AK215" i="11" s="1"/>
  <c r="AG230" i="11"/>
  <c r="AK230" i="11" s="1"/>
  <c r="AG247" i="11"/>
  <c r="AK247" i="11" s="1"/>
  <c r="Z53" i="11"/>
  <c r="AB53" i="11" s="1"/>
  <c r="AJ53" i="11" s="1"/>
  <c r="AG53" i="11"/>
  <c r="AK53" i="11" s="1"/>
  <c r="AF58" i="11"/>
  <c r="AG58" i="11"/>
  <c r="AK58" i="11" s="1"/>
  <c r="Z75" i="11"/>
  <c r="AB75" i="11" s="1"/>
  <c r="AJ75" i="11" s="1"/>
  <c r="AG75" i="11"/>
  <c r="AK75" i="11" s="1"/>
  <c r="Z107" i="11"/>
  <c r="AB107" i="11" s="1"/>
  <c r="AJ107" i="11" s="1"/>
  <c r="AG107" i="11"/>
  <c r="AK107" i="11" s="1"/>
  <c r="Z131" i="11"/>
  <c r="AB131" i="11" s="1"/>
  <c r="AJ131" i="11" s="1"/>
  <c r="AG131" i="11"/>
  <c r="AK131" i="11" s="1"/>
  <c r="Z146" i="11"/>
  <c r="AB146" i="11" s="1"/>
  <c r="AJ146" i="11" s="1"/>
  <c r="Z217" i="11"/>
  <c r="AB217" i="11" s="1"/>
  <c r="AJ217" i="11" s="1"/>
  <c r="AG217" i="11"/>
  <c r="AK217" i="11" s="1"/>
  <c r="AG224" i="11"/>
  <c r="AK224" i="11" s="1"/>
  <c r="Y228" i="11"/>
  <c r="Z228" i="11" s="1"/>
  <c r="AB228" i="11" s="1"/>
  <c r="AG249" i="11"/>
  <c r="AK249" i="11" s="1"/>
  <c r="Z272" i="11"/>
  <c r="AB272" i="11" s="1"/>
  <c r="AJ272" i="11" s="1"/>
  <c r="Z346" i="11"/>
  <c r="AB346" i="11" s="1"/>
  <c r="AJ346" i="11" s="1"/>
  <c r="AG346" i="11"/>
  <c r="AK346" i="11" s="1"/>
  <c r="Y386" i="11"/>
  <c r="AG2" i="11"/>
  <c r="AK2" i="11" s="1"/>
  <c r="Z41" i="11"/>
  <c r="AB41" i="11" s="1"/>
  <c r="AJ41" i="11" s="1"/>
  <c r="AG41" i="11"/>
  <c r="AK41" i="11" s="1"/>
  <c r="Y58" i="11"/>
  <c r="Z58" i="11" s="1"/>
  <c r="AB58" i="11" s="1"/>
  <c r="Y60" i="11"/>
  <c r="Z60" i="11" s="1"/>
  <c r="AB60" i="11" s="1"/>
  <c r="Z63" i="11"/>
  <c r="AB63" i="11" s="1"/>
  <c r="AJ63" i="11" s="1"/>
  <c r="AG63" i="11"/>
  <c r="AK63" i="11" s="1"/>
  <c r="Z95" i="11"/>
  <c r="AB95" i="11" s="1"/>
  <c r="AJ95" i="11" s="1"/>
  <c r="AG95" i="11"/>
  <c r="AK95" i="11" s="1"/>
  <c r="Y111" i="11"/>
  <c r="Z111" i="11" s="1"/>
  <c r="AB111" i="11" s="1"/>
  <c r="AG116" i="11"/>
  <c r="AK116" i="11" s="1"/>
  <c r="Z118" i="11"/>
  <c r="AB118" i="11" s="1"/>
  <c r="AJ118" i="11" s="1"/>
  <c r="Z152" i="11"/>
  <c r="AB152" i="11" s="1"/>
  <c r="AJ152" i="11" s="1"/>
  <c r="Z162" i="11"/>
  <c r="AB162" i="11" s="1"/>
  <c r="AJ162" i="11" s="1"/>
  <c r="AG166" i="11"/>
  <c r="AK166" i="11" s="1"/>
  <c r="Y172" i="11"/>
  <c r="Z172" i="11" s="1"/>
  <c r="AB172" i="11" s="1"/>
  <c r="AD200" i="11"/>
  <c r="AG200" i="11"/>
  <c r="AK200" i="11" s="1"/>
  <c r="Z206" i="11"/>
  <c r="AB206" i="11" s="1"/>
  <c r="AJ206" i="11" s="1"/>
  <c r="AG214" i="11"/>
  <c r="AK214" i="11" s="1"/>
  <c r="Z214" i="11"/>
  <c r="AB214" i="11" s="1"/>
  <c r="AJ214" i="11" s="1"/>
  <c r="Z238" i="11"/>
  <c r="AB238" i="11" s="1"/>
  <c r="AJ238" i="11" s="1"/>
  <c r="AG246" i="11"/>
  <c r="AK246" i="11" s="1"/>
  <c r="Z246" i="11"/>
  <c r="AB246" i="11" s="1"/>
  <c r="AJ246" i="11" s="1"/>
  <c r="Z389" i="11"/>
  <c r="AB389" i="11" s="1"/>
  <c r="AJ389" i="11" s="1"/>
  <c r="AG389" i="11"/>
  <c r="AK389" i="11" s="1"/>
  <c r="AE7" i="11"/>
  <c r="AE15" i="11"/>
  <c r="Y19" i="11"/>
  <c r="AE25" i="11"/>
  <c r="Z35" i="11"/>
  <c r="AB35" i="11" s="1"/>
  <c r="AJ35" i="11" s="1"/>
  <c r="AG35" i="11"/>
  <c r="AK35" i="11" s="1"/>
  <c r="AE43" i="11"/>
  <c r="Y49" i="11"/>
  <c r="Y50" i="11"/>
  <c r="Z50" i="11" s="1"/>
  <c r="AB50" i="11" s="1"/>
  <c r="AJ50" i="11" s="1"/>
  <c r="Z51" i="11"/>
  <c r="AB51" i="11" s="1"/>
  <c r="AJ51" i="11" s="1"/>
  <c r="AG51" i="11"/>
  <c r="AK51" i="11" s="1"/>
  <c r="AE63" i="11"/>
  <c r="Y69" i="11"/>
  <c r="Y70" i="11"/>
  <c r="Z70" i="11" s="1"/>
  <c r="AB70" i="11" s="1"/>
  <c r="AJ70" i="11" s="1"/>
  <c r="Z71" i="11"/>
  <c r="AB71" i="11" s="1"/>
  <c r="AJ71" i="11" s="1"/>
  <c r="AG71" i="11"/>
  <c r="AK71" i="11" s="1"/>
  <c r="AE79" i="11"/>
  <c r="Y87" i="11"/>
  <c r="Z89" i="11"/>
  <c r="AB89" i="11" s="1"/>
  <c r="AJ89" i="11" s="1"/>
  <c r="AG89" i="11"/>
  <c r="AK89" i="11" s="1"/>
  <c r="AE97" i="11"/>
  <c r="Y103" i="11"/>
  <c r="Y104" i="11"/>
  <c r="Z104" i="11" s="1"/>
  <c r="AB104" i="11" s="1"/>
  <c r="AJ104" i="11" s="1"/>
  <c r="Z105" i="11"/>
  <c r="AB105" i="11" s="1"/>
  <c r="AJ105" i="11" s="1"/>
  <c r="AG105" i="11"/>
  <c r="AK105" i="11" s="1"/>
  <c r="AE117" i="11"/>
  <c r="Y123" i="11"/>
  <c r="Z123" i="11" s="1"/>
  <c r="AB123" i="11" s="1"/>
  <c r="AJ123" i="11" s="1"/>
  <c r="Y124" i="11"/>
  <c r="Z124" i="11" s="1"/>
  <c r="AB124" i="11" s="1"/>
  <c r="AJ124" i="11" s="1"/>
  <c r="Z125" i="11"/>
  <c r="AB125" i="11" s="1"/>
  <c r="AJ125" i="11" s="1"/>
  <c r="AG125" i="11"/>
  <c r="AK125" i="11" s="1"/>
  <c r="AE133" i="11"/>
  <c r="Z141" i="11"/>
  <c r="AB141" i="11" s="1"/>
  <c r="AG141" i="11"/>
  <c r="AK141" i="11" s="1"/>
  <c r="AF142" i="11"/>
  <c r="Z143" i="11"/>
  <c r="AB143" i="11" s="1"/>
  <c r="AJ143" i="11" s="1"/>
  <c r="AG143" i="11"/>
  <c r="AK143" i="11" s="1"/>
  <c r="AE149" i="11"/>
  <c r="Y158" i="11"/>
  <c r="Z158" i="11" s="1"/>
  <c r="AB158" i="11" s="1"/>
  <c r="AJ158" i="11" s="1"/>
  <c r="AG159" i="11"/>
  <c r="AK159" i="11" s="1"/>
  <c r="AE165" i="11"/>
  <c r="AE179" i="11"/>
  <c r="Y188" i="11"/>
  <c r="Z188" i="11" s="1"/>
  <c r="AB188" i="11" s="1"/>
  <c r="AJ188" i="11" s="1"/>
  <c r="AE195" i="11"/>
  <c r="AG203" i="11"/>
  <c r="AK203" i="11" s="1"/>
  <c r="AE209" i="11"/>
  <c r="Y218" i="11"/>
  <c r="Z218" i="11" s="1"/>
  <c r="AB218" i="11" s="1"/>
  <c r="AJ218" i="11" s="1"/>
  <c r="AE225" i="11"/>
  <c r="Z235" i="11"/>
  <c r="AB235" i="11" s="1"/>
  <c r="AJ235" i="11" s="1"/>
  <c r="AG235" i="11"/>
  <c r="AK235" i="11" s="1"/>
  <c r="AE241" i="11"/>
  <c r="AG251" i="11"/>
  <c r="AK251" i="11" s="1"/>
  <c r="AE257" i="11"/>
  <c r="Y266" i="11"/>
  <c r="Z266" i="11" s="1"/>
  <c r="AB266" i="11" s="1"/>
  <c r="AJ266" i="11" s="1"/>
  <c r="Z267" i="11"/>
  <c r="AB267" i="11" s="1"/>
  <c r="AJ267" i="11" s="1"/>
  <c r="AG267" i="11"/>
  <c r="AK267" i="11" s="1"/>
  <c r="AE273" i="11"/>
  <c r="AE285" i="11"/>
  <c r="Y294" i="11"/>
  <c r="Z294" i="11" s="1"/>
  <c r="AB294" i="11" s="1"/>
  <c r="AJ294" i="11" s="1"/>
  <c r="AE301" i="11"/>
  <c r="AF301" i="11" s="1"/>
  <c r="Y310" i="11"/>
  <c r="Z310" i="11" s="1"/>
  <c r="AB310" i="11" s="1"/>
  <c r="AJ310" i="11" s="1"/>
  <c r="Y320" i="11"/>
  <c r="Z320" i="11" s="1"/>
  <c r="AB320" i="11" s="1"/>
  <c r="AJ320" i="11" s="1"/>
  <c r="AE322" i="11"/>
  <c r="AD326" i="11"/>
  <c r="AG326" i="11"/>
  <c r="AK326" i="11" s="1"/>
  <c r="AE327" i="11"/>
  <c r="AF327" i="11" s="1"/>
  <c r="AE340" i="11"/>
  <c r="AE341" i="11"/>
  <c r="Y345" i="11"/>
  <c r="Z348" i="11"/>
  <c r="AB348" i="11" s="1"/>
  <c r="AJ348" i="11" s="1"/>
  <c r="AF352" i="11"/>
  <c r="AD352" i="11"/>
  <c r="AG352" i="11"/>
  <c r="AK352" i="11" s="1"/>
  <c r="AG367" i="11"/>
  <c r="AK367" i="11" s="1"/>
  <c r="AE381" i="11"/>
  <c r="Y384" i="11"/>
  <c r="Z384" i="11" s="1"/>
  <c r="AB384" i="11" s="1"/>
  <c r="AJ384" i="11" s="1"/>
  <c r="AE415" i="11"/>
  <c r="AF415" i="11" s="1"/>
  <c r="AE419" i="11"/>
  <c r="AG427" i="11"/>
  <c r="AK427" i="11" s="1"/>
  <c r="Z440" i="11"/>
  <c r="AB440" i="11" s="1"/>
  <c r="AJ440" i="11" s="1"/>
  <c r="AE453" i="11"/>
  <c r="Z465" i="11"/>
  <c r="AB465" i="11" s="1"/>
  <c r="AJ465" i="11" s="1"/>
  <c r="AG465" i="11"/>
  <c r="AK465" i="11" s="1"/>
  <c r="AE466" i="11"/>
  <c r="AE469" i="11"/>
  <c r="AF469" i="11" s="1"/>
  <c r="AG515" i="11"/>
  <c r="AK515" i="11" s="1"/>
  <c r="Y525" i="11"/>
  <c r="AE536" i="11"/>
  <c r="AG538" i="11"/>
  <c r="AK538" i="11" s="1"/>
  <c r="AE542" i="11"/>
  <c r="Y544" i="11"/>
  <c r="AE559" i="11"/>
  <c r="Y563" i="11"/>
  <c r="Z563" i="11" s="1"/>
  <c r="AB563" i="11" s="1"/>
  <c r="AJ563" i="11" s="1"/>
  <c r="AE564" i="11"/>
  <c r="I40" i="14"/>
  <c r="Q40" i="14" s="1"/>
  <c r="R40" i="14" s="1"/>
  <c r="I556" i="15"/>
  <c r="I219" i="15"/>
  <c r="I211" i="15"/>
  <c r="I203" i="15"/>
  <c r="I222" i="15"/>
  <c r="I214" i="15"/>
  <c r="I206" i="15"/>
  <c r="I225" i="15"/>
  <c r="I217" i="15"/>
  <c r="I209" i="15"/>
  <c r="I224" i="15"/>
  <c r="I216" i="15"/>
  <c r="I208" i="15"/>
  <c r="I200" i="15"/>
  <c r="I218" i="15"/>
  <c r="I202" i="15"/>
  <c r="I221" i="15"/>
  <c r="I205" i="15"/>
  <c r="I220" i="15"/>
  <c r="I204" i="15"/>
  <c r="I223" i="15"/>
  <c r="I207" i="15"/>
  <c r="I226" i="15"/>
  <c r="I210" i="15"/>
  <c r="I213" i="15"/>
  <c r="I215" i="15"/>
  <c r="I199" i="15"/>
  <c r="I212" i="15"/>
  <c r="R6" i="14"/>
  <c r="AG343" i="11"/>
  <c r="AK343" i="11" s="1"/>
  <c r="Y344" i="11"/>
  <c r="Z344" i="11" s="1"/>
  <c r="AB344" i="11" s="1"/>
  <c r="AJ344" i="11" s="1"/>
  <c r="AE349" i="11"/>
  <c r="Y367" i="11"/>
  <c r="Z367" i="11" s="1"/>
  <c r="AB367" i="11" s="1"/>
  <c r="AJ367" i="11" s="1"/>
  <c r="Y372" i="11"/>
  <c r="Z372" i="11" s="1"/>
  <c r="AB372" i="11" s="1"/>
  <c r="AJ372" i="11" s="1"/>
  <c r="AG391" i="11"/>
  <c r="AK391" i="11" s="1"/>
  <c r="AE395" i="11"/>
  <c r="AD414" i="11"/>
  <c r="AF414" i="11"/>
  <c r="AG414" i="11"/>
  <c r="AK414" i="11" s="1"/>
  <c r="Z417" i="11"/>
  <c r="AB417" i="11" s="1"/>
  <c r="AJ417" i="11" s="1"/>
  <c r="AG417" i="11"/>
  <c r="AK417" i="11" s="1"/>
  <c r="Z426" i="11"/>
  <c r="AB426" i="11" s="1"/>
  <c r="AJ426" i="11" s="1"/>
  <c r="Y430" i="11"/>
  <c r="Z430" i="11" s="1"/>
  <c r="AB430" i="11" s="1"/>
  <c r="AJ430" i="11" s="1"/>
  <c r="AE435" i="11"/>
  <c r="AG443" i="11"/>
  <c r="AK443" i="11" s="1"/>
  <c r="AD443" i="11"/>
  <c r="Z481" i="11"/>
  <c r="AB481" i="11" s="1"/>
  <c r="AJ481" i="11" s="1"/>
  <c r="AG481" i="11"/>
  <c r="AK481" i="11" s="1"/>
  <c r="AE482" i="11"/>
  <c r="Y490" i="11"/>
  <c r="Z490" i="11" s="1"/>
  <c r="AB490" i="11" s="1"/>
  <c r="AJ490" i="11" s="1"/>
  <c r="AE497" i="11"/>
  <c r="AF497" i="11" s="1"/>
  <c r="AG499" i="11"/>
  <c r="AK499" i="11" s="1"/>
  <c r="Z499" i="11"/>
  <c r="AB499" i="11" s="1"/>
  <c r="AJ499" i="11" s="1"/>
  <c r="AG532" i="11"/>
  <c r="AK532" i="11" s="1"/>
  <c r="Z532" i="11"/>
  <c r="AB532" i="11" s="1"/>
  <c r="AE533" i="11"/>
  <c r="Y547" i="11"/>
  <c r="Z547" i="11" s="1"/>
  <c r="AB547" i="11" s="1"/>
  <c r="AJ547" i="11" s="1"/>
  <c r="AE548" i="11"/>
  <c r="AE297" i="11"/>
  <c r="AE313" i="11"/>
  <c r="AG337" i="11"/>
  <c r="AK337" i="11" s="1"/>
  <c r="Y343" i="11"/>
  <c r="Z343" i="11" s="1"/>
  <c r="AB343" i="11" s="1"/>
  <c r="AJ343" i="11" s="1"/>
  <c r="AG351" i="11"/>
  <c r="AK351" i="11" s="1"/>
  <c r="AF351" i="11"/>
  <c r="AD351" i="11"/>
  <c r="AE363" i="11"/>
  <c r="AG371" i="11"/>
  <c r="AK371" i="11" s="1"/>
  <c r="Z390" i="11"/>
  <c r="AB390" i="11" s="1"/>
  <c r="AJ390" i="11" s="1"/>
  <c r="AE399" i="11"/>
  <c r="AE403" i="11"/>
  <c r="AE421" i="11"/>
  <c r="Z433" i="11"/>
  <c r="AB433" i="11" s="1"/>
  <c r="AJ433" i="11" s="1"/>
  <c r="AG433" i="11"/>
  <c r="AK433" i="11" s="1"/>
  <c r="AE449" i="11"/>
  <c r="Y457" i="11"/>
  <c r="Z457" i="11" s="1"/>
  <c r="AB457" i="11" s="1"/>
  <c r="AJ457" i="11" s="1"/>
  <c r="AE465" i="11"/>
  <c r="AE468" i="11"/>
  <c r="AF468" i="11" s="1"/>
  <c r="AE485" i="11"/>
  <c r="Y521" i="11"/>
  <c r="Z521" i="11" s="1"/>
  <c r="AB521" i="11" s="1"/>
  <c r="AJ521" i="11" s="1"/>
  <c r="Y212" i="11"/>
  <c r="Z212" i="11" s="1"/>
  <c r="AB212" i="11" s="1"/>
  <c r="AJ212" i="11" s="1"/>
  <c r="AG213" i="11"/>
  <c r="AK213" i="11" s="1"/>
  <c r="AE219" i="11"/>
  <c r="AE235" i="11"/>
  <c r="Y244" i="11"/>
  <c r="Z244" i="11" s="1"/>
  <c r="AB244" i="11" s="1"/>
  <c r="AJ244" i="11" s="1"/>
  <c r="AG245" i="11"/>
  <c r="AK245" i="11" s="1"/>
  <c r="AE251" i="11"/>
  <c r="AF251" i="11" s="1"/>
  <c r="AG261" i="11"/>
  <c r="AK261" i="11" s="1"/>
  <c r="AE267" i="11"/>
  <c r="AE277" i="11"/>
  <c r="AF277" i="11" s="1"/>
  <c r="AE279" i="11"/>
  <c r="Y288" i="11"/>
  <c r="Z288" i="11" s="1"/>
  <c r="AB288" i="11" s="1"/>
  <c r="AJ288" i="11" s="1"/>
  <c r="AE295" i="11"/>
  <c r="AE311" i="11"/>
  <c r="Y336" i="11"/>
  <c r="AE338" i="11"/>
  <c r="Z358" i="11"/>
  <c r="AB358" i="11" s="1"/>
  <c r="AJ358" i="11" s="1"/>
  <c r="AE359" i="11"/>
  <c r="Y371" i="11"/>
  <c r="Z371" i="11" s="1"/>
  <c r="AB371" i="11" s="1"/>
  <c r="AJ371" i="11" s="1"/>
  <c r="AE379" i="11"/>
  <c r="AF386" i="11"/>
  <c r="AG386" i="11"/>
  <c r="AK386" i="11" s="1"/>
  <c r="AG401" i="11"/>
  <c r="AK401" i="11" s="1"/>
  <c r="Z410" i="11"/>
  <c r="AB410" i="11" s="1"/>
  <c r="AJ410" i="11" s="1"/>
  <c r="Z414" i="11"/>
  <c r="AB414" i="11" s="1"/>
  <c r="AG429" i="11"/>
  <c r="AK429" i="11" s="1"/>
  <c r="AE437" i="11"/>
  <c r="AG459" i="11"/>
  <c r="AK459" i="11" s="1"/>
  <c r="Z464" i="11"/>
  <c r="AB464" i="11" s="1"/>
  <c r="AJ464" i="11" s="1"/>
  <c r="AE481" i="11"/>
  <c r="AE530" i="11"/>
  <c r="AE532" i="11"/>
  <c r="AF532" i="11" s="1"/>
  <c r="AE417" i="11"/>
  <c r="AE423" i="11"/>
  <c r="AG447" i="11"/>
  <c r="AK447" i="11" s="1"/>
  <c r="AG475" i="11"/>
  <c r="AK475" i="11" s="1"/>
  <c r="AE484" i="11"/>
  <c r="Y489" i="11"/>
  <c r="Z489" i="11" s="1"/>
  <c r="AB489" i="11" s="1"/>
  <c r="AJ489" i="11" s="1"/>
  <c r="AE527" i="11"/>
  <c r="Z529" i="11"/>
  <c r="AB529" i="11" s="1"/>
  <c r="AJ529" i="11" s="1"/>
  <c r="AG535" i="11"/>
  <c r="AK535" i="11" s="1"/>
  <c r="AE558" i="11"/>
  <c r="Y8" i="11"/>
  <c r="Z8" i="11" s="1"/>
  <c r="AB8" i="11" s="1"/>
  <c r="AJ8" i="11" s="1"/>
  <c r="Z9" i="11"/>
  <c r="AB9" i="11" s="1"/>
  <c r="AJ9" i="11" s="1"/>
  <c r="AG9" i="11"/>
  <c r="AK9" i="11" s="1"/>
  <c r="Y16" i="11"/>
  <c r="Z16" i="11" s="1"/>
  <c r="AB16" i="11" s="1"/>
  <c r="AJ16" i="11" s="1"/>
  <c r="Z17" i="11"/>
  <c r="AB17" i="11" s="1"/>
  <c r="AJ17" i="11" s="1"/>
  <c r="AG17" i="11"/>
  <c r="AK17" i="11" s="1"/>
  <c r="Y25" i="11"/>
  <c r="Z25" i="11" s="1"/>
  <c r="AB25" i="11" s="1"/>
  <c r="AJ25" i="11" s="1"/>
  <c r="AG27" i="11"/>
  <c r="AK27" i="11" s="1"/>
  <c r="AE37" i="11"/>
  <c r="Y43" i="11"/>
  <c r="Z43" i="11" s="1"/>
  <c r="AB43" i="11" s="1"/>
  <c r="AJ43" i="11" s="1"/>
  <c r="Y44" i="11"/>
  <c r="Z44" i="11" s="1"/>
  <c r="AB44" i="11" s="1"/>
  <c r="AJ44" i="11" s="1"/>
  <c r="Z45" i="11"/>
  <c r="AB45" i="11" s="1"/>
  <c r="AJ45" i="11" s="1"/>
  <c r="AG45" i="11"/>
  <c r="AK45" i="11" s="1"/>
  <c r="AE53" i="11"/>
  <c r="Z65" i="11"/>
  <c r="AB65" i="11" s="1"/>
  <c r="AJ65" i="11" s="1"/>
  <c r="AG65" i="11"/>
  <c r="AK65" i="11" s="1"/>
  <c r="AE73" i="11"/>
  <c r="Y79" i="11"/>
  <c r="Z79" i="11" s="1"/>
  <c r="AB79" i="11" s="1"/>
  <c r="AJ79" i="11" s="1"/>
  <c r="Z81" i="11"/>
  <c r="AB81" i="11" s="1"/>
  <c r="AJ81" i="11" s="1"/>
  <c r="AG81" i="11"/>
  <c r="AK81" i="11" s="1"/>
  <c r="AE91" i="11"/>
  <c r="Y97" i="11"/>
  <c r="Z97" i="11" s="1"/>
  <c r="AB97" i="11" s="1"/>
  <c r="AJ97" i="11" s="1"/>
  <c r="Y98" i="11"/>
  <c r="Z98" i="11" s="1"/>
  <c r="AB98" i="11" s="1"/>
  <c r="AJ98" i="11" s="1"/>
  <c r="AG99" i="11"/>
  <c r="AK99" i="11" s="1"/>
  <c r="AE107" i="11"/>
  <c r="AG119" i="11"/>
  <c r="AK119" i="11" s="1"/>
  <c r="AE127" i="11"/>
  <c r="Y133" i="11"/>
  <c r="Y134" i="11"/>
  <c r="Z134" i="11" s="1"/>
  <c r="AB134" i="11" s="1"/>
  <c r="AJ134" i="11" s="1"/>
  <c r="AG135" i="11"/>
  <c r="AK135" i="11" s="1"/>
  <c r="Z149" i="11"/>
  <c r="AB149" i="11" s="1"/>
  <c r="AJ149" i="11" s="1"/>
  <c r="AG149" i="11"/>
  <c r="AK149" i="11" s="1"/>
  <c r="AE155" i="11"/>
  <c r="Y164" i="11"/>
  <c r="Z164" i="11" s="1"/>
  <c r="AB164" i="11" s="1"/>
  <c r="AJ164" i="11" s="1"/>
  <c r="AE171" i="11"/>
  <c r="AE185" i="11"/>
  <c r="AG209" i="11"/>
  <c r="AK209" i="11" s="1"/>
  <c r="AE215" i="11"/>
  <c r="Z225" i="11"/>
  <c r="AB225" i="11" s="1"/>
  <c r="AJ225" i="11" s="1"/>
  <c r="AG225" i="11"/>
  <c r="AK225" i="11" s="1"/>
  <c r="AE229" i="11"/>
  <c r="AF229" i="11" s="1"/>
  <c r="AE231" i="11"/>
  <c r="Y240" i="11"/>
  <c r="Z240" i="11" s="1"/>
  <c r="AB240" i="11" s="1"/>
  <c r="AJ240" i="11" s="1"/>
  <c r="AG241" i="11"/>
  <c r="AK241" i="11" s="1"/>
  <c r="AE247" i="11"/>
  <c r="Z257" i="11"/>
  <c r="AB257" i="11" s="1"/>
  <c r="AJ257" i="11" s="1"/>
  <c r="AG257" i="11"/>
  <c r="AK257" i="11" s="1"/>
  <c r="AE263" i="11"/>
  <c r="AG273" i="11"/>
  <c r="AK273" i="11" s="1"/>
  <c r="AE275" i="11"/>
  <c r="AF275" i="11" s="1"/>
  <c r="AE291" i="11"/>
  <c r="AE307" i="11"/>
  <c r="Y316" i="11"/>
  <c r="Z316" i="11" s="1"/>
  <c r="AB316" i="11" s="1"/>
  <c r="AJ316" i="11" s="1"/>
  <c r="AE324" i="11"/>
  <c r="AE325" i="11"/>
  <c r="Z334" i="11"/>
  <c r="AB334" i="11" s="1"/>
  <c r="AJ334" i="11" s="1"/>
  <c r="AE347" i="11"/>
  <c r="Z353" i="11"/>
  <c r="AB353" i="11" s="1"/>
  <c r="AG353" i="11"/>
  <c r="AK353" i="11" s="1"/>
  <c r="Z369" i="11"/>
  <c r="AB369" i="11" s="1"/>
  <c r="AJ369" i="11" s="1"/>
  <c r="AG369" i="11"/>
  <c r="AK369" i="11" s="1"/>
  <c r="Z370" i="11"/>
  <c r="AB370" i="11" s="1"/>
  <c r="AJ370" i="11" s="1"/>
  <c r="Z386" i="11"/>
  <c r="AB386" i="11" s="1"/>
  <c r="AE397" i="11"/>
  <c r="AG413" i="11"/>
  <c r="AK413" i="11" s="1"/>
  <c r="Z422" i="11"/>
  <c r="AB422" i="11" s="1"/>
  <c r="AJ422" i="11" s="1"/>
  <c r="AG426" i="11"/>
  <c r="AK426" i="11" s="1"/>
  <c r="Y428" i="11"/>
  <c r="Z428" i="11" s="1"/>
  <c r="AB428" i="11" s="1"/>
  <c r="AJ428" i="11" s="1"/>
  <c r="Y432" i="11"/>
  <c r="Z432" i="11" s="1"/>
  <c r="AB432" i="11" s="1"/>
  <c r="AJ432" i="11" s="1"/>
  <c r="AE433" i="11"/>
  <c r="AE439" i="11"/>
  <c r="AE459" i="11"/>
  <c r="Z491" i="11"/>
  <c r="AB491" i="11" s="1"/>
  <c r="AJ491" i="11" s="1"/>
  <c r="AG491" i="11"/>
  <c r="AK491" i="11" s="1"/>
  <c r="AE511" i="11"/>
  <c r="AE514" i="11"/>
  <c r="AG516" i="11"/>
  <c r="AK516" i="11" s="1"/>
  <c r="Z516" i="11"/>
  <c r="AB516" i="11" s="1"/>
  <c r="AJ516" i="11" s="1"/>
  <c r="AE520" i="11"/>
  <c r="AG526" i="11"/>
  <c r="AK526" i="11" s="1"/>
  <c r="AE568" i="11"/>
  <c r="AF568" i="11" s="1"/>
  <c r="AE560" i="11"/>
  <c r="AE557" i="11"/>
  <c r="AE544" i="11"/>
  <c r="AE541" i="11"/>
  <c r="AE528" i="11"/>
  <c r="AE525" i="11"/>
  <c r="AE512" i="11"/>
  <c r="AE509" i="11"/>
  <c r="AE496" i="11"/>
  <c r="AF496" i="11" s="1"/>
  <c r="AE493" i="11"/>
  <c r="AE480" i="11"/>
  <c r="AE477" i="11"/>
  <c r="AE464" i="11"/>
  <c r="AE461" i="11"/>
  <c r="AE452" i="11"/>
  <c r="AE450" i="11"/>
  <c r="AE448" i="11"/>
  <c r="AE446" i="11"/>
  <c r="AE444" i="11"/>
  <c r="AF444" i="11" s="1"/>
  <c r="AE442" i="11"/>
  <c r="AE440" i="11"/>
  <c r="AE438" i="11"/>
  <c r="AE436" i="11"/>
  <c r="AE434" i="11"/>
  <c r="AE432" i="11"/>
  <c r="AE430" i="11"/>
  <c r="AE428" i="11"/>
  <c r="AE426" i="11"/>
  <c r="AE424" i="11"/>
  <c r="AE422" i="11"/>
  <c r="AE420" i="11"/>
  <c r="AE418" i="11"/>
  <c r="AE416" i="11"/>
  <c r="AE414" i="11"/>
  <c r="AE412" i="11"/>
  <c r="AE410" i="11"/>
  <c r="AE408" i="11"/>
  <c r="AE406" i="11"/>
  <c r="AE404" i="11"/>
  <c r="AE402" i="11"/>
  <c r="AE400" i="11"/>
  <c r="AE398" i="11"/>
  <c r="AE396" i="11"/>
  <c r="AE394" i="11"/>
  <c r="AE392" i="11"/>
  <c r="AE390" i="11"/>
  <c r="AE388" i="11"/>
  <c r="AE386" i="11"/>
  <c r="AE384" i="11"/>
  <c r="AE382" i="11"/>
  <c r="AE380" i="11"/>
  <c r="AE378" i="11"/>
  <c r="AE376" i="11"/>
  <c r="AE374" i="11"/>
  <c r="AE372" i="11"/>
  <c r="AE370" i="11"/>
  <c r="AE368" i="11"/>
  <c r="AE366" i="11"/>
  <c r="AE364" i="11"/>
  <c r="AE362" i="11"/>
  <c r="AE360" i="11"/>
  <c r="AE358" i="11"/>
  <c r="AE356" i="11"/>
  <c r="AF356" i="11" s="1"/>
  <c r="AE354" i="11"/>
  <c r="AF354" i="11" s="1"/>
  <c r="AE352" i="11"/>
  <c r="AE350" i="11"/>
  <c r="AE348" i="11"/>
  <c r="AE346" i="11"/>
  <c r="AE344" i="11"/>
  <c r="AE342" i="11"/>
  <c r="AE567" i="11"/>
  <c r="AE563" i="11"/>
  <c r="AE550" i="11"/>
  <c r="AE547" i="11"/>
  <c r="AE534" i="11"/>
  <c r="AE531" i="11"/>
  <c r="AF531" i="11" s="1"/>
  <c r="AE518" i="11"/>
  <c r="AE515" i="11"/>
  <c r="AE502" i="11"/>
  <c r="AE499" i="11"/>
  <c r="AE486" i="11"/>
  <c r="AE483" i="11"/>
  <c r="AE470" i="11"/>
  <c r="AE467" i="11"/>
  <c r="AE454" i="11"/>
  <c r="AE556" i="11"/>
  <c r="AF556" i="11" s="1"/>
  <c r="AE553" i="11"/>
  <c r="AE540" i="11"/>
  <c r="AE537" i="11"/>
  <c r="AE524" i="11"/>
  <c r="AE521" i="11"/>
  <c r="AE508" i="11"/>
  <c r="AE505" i="11"/>
  <c r="AE492" i="11"/>
  <c r="AE489" i="11"/>
  <c r="AE476" i="11"/>
  <c r="AE473" i="11"/>
  <c r="AE460" i="11"/>
  <c r="AE457" i="11"/>
  <c r="AE554" i="11"/>
  <c r="AE551" i="11"/>
  <c r="AE538" i="11"/>
  <c r="AE535" i="11"/>
  <c r="AE522" i="11"/>
  <c r="AE519" i="11"/>
  <c r="AE506" i="11"/>
  <c r="AE503" i="11"/>
  <c r="AE490" i="11"/>
  <c r="AE487" i="11"/>
  <c r="AE474" i="11"/>
  <c r="AE471" i="11"/>
  <c r="AE458" i="11"/>
  <c r="AE455" i="11"/>
  <c r="AE517" i="11"/>
  <c r="AE516" i="11"/>
  <c r="AE501" i="11"/>
  <c r="AE500" i="11"/>
  <c r="AE495" i="11"/>
  <c r="AE488" i="11"/>
  <c r="AE479" i="11"/>
  <c r="AE472" i="11"/>
  <c r="AE463" i="11"/>
  <c r="AE456" i="11"/>
  <c r="AE443" i="11"/>
  <c r="AF443" i="11" s="1"/>
  <c r="AE427" i="11"/>
  <c r="AE411" i="11"/>
  <c r="AE389" i="11"/>
  <c r="AE371" i="11"/>
  <c r="AE339" i="11"/>
  <c r="AE336" i="11"/>
  <c r="AE323" i="11"/>
  <c r="AE320" i="11"/>
  <c r="AE314" i="11"/>
  <c r="AE312" i="11"/>
  <c r="AE310" i="11"/>
  <c r="AE308" i="11"/>
  <c r="AE306" i="11"/>
  <c r="AE304" i="11"/>
  <c r="AE302" i="11"/>
  <c r="AF302" i="11" s="1"/>
  <c r="AE300" i="11"/>
  <c r="AE298" i="11"/>
  <c r="AE296" i="11"/>
  <c r="AE294" i="11"/>
  <c r="AE292" i="11"/>
  <c r="AE290" i="11"/>
  <c r="AE288" i="11"/>
  <c r="AE286" i="11"/>
  <c r="AE284" i="11"/>
  <c r="AE282" i="11"/>
  <c r="AE280" i="11"/>
  <c r="AE278" i="11"/>
  <c r="AE276" i="11"/>
  <c r="AF276" i="11" s="1"/>
  <c r="AE274" i="11"/>
  <c r="AF274" i="11" s="1"/>
  <c r="AE272" i="11"/>
  <c r="AE270" i="11"/>
  <c r="AE268" i="11"/>
  <c r="AE266" i="11"/>
  <c r="AE264" i="11"/>
  <c r="AE262" i="11"/>
  <c r="AE260" i="11"/>
  <c r="AE258" i="11"/>
  <c r="AE256" i="11"/>
  <c r="AE254" i="11"/>
  <c r="AE252" i="11"/>
  <c r="AF252" i="11" s="1"/>
  <c r="AE250" i="11"/>
  <c r="AE248" i="11"/>
  <c r="AE246" i="11"/>
  <c r="AE244" i="11"/>
  <c r="AE242" i="11"/>
  <c r="AE240" i="11"/>
  <c r="AE238" i="11"/>
  <c r="AE236" i="11"/>
  <c r="AE234" i="11"/>
  <c r="AE232" i="11"/>
  <c r="AE230" i="11"/>
  <c r="AE228" i="11"/>
  <c r="AF228" i="11" s="1"/>
  <c r="AE226" i="11"/>
  <c r="AE224" i="11"/>
  <c r="AE222" i="11"/>
  <c r="AE220" i="11"/>
  <c r="AE218" i="11"/>
  <c r="AE216" i="11"/>
  <c r="AE214" i="11"/>
  <c r="AE212" i="11"/>
  <c r="AE210" i="11"/>
  <c r="AE208" i="11"/>
  <c r="AE206" i="11"/>
  <c r="AE204" i="11"/>
  <c r="AE202" i="11"/>
  <c r="AE200" i="11"/>
  <c r="AF200" i="11" s="1"/>
  <c r="AE198" i="11"/>
  <c r="AE196" i="11"/>
  <c r="AE194" i="11"/>
  <c r="AE192" i="11"/>
  <c r="AE190" i="11"/>
  <c r="AE188" i="11"/>
  <c r="AE186" i="11"/>
  <c r="AE184" i="11"/>
  <c r="AE182" i="11"/>
  <c r="AE180" i="11"/>
  <c r="AE178" i="11"/>
  <c r="AE176" i="11"/>
  <c r="AE174" i="11"/>
  <c r="AE172" i="11"/>
  <c r="AF172" i="11" s="1"/>
  <c r="AE170" i="11"/>
  <c r="AE168" i="11"/>
  <c r="AE166" i="11"/>
  <c r="AE164" i="11"/>
  <c r="AE162" i="11"/>
  <c r="AE160" i="11"/>
  <c r="AE158" i="11"/>
  <c r="AE156" i="11"/>
  <c r="AE154" i="11"/>
  <c r="AE152" i="11"/>
  <c r="AE150" i="11"/>
  <c r="AE148" i="11"/>
  <c r="AE146" i="11"/>
  <c r="AE144" i="11"/>
  <c r="AE142" i="11"/>
  <c r="AE140" i="11"/>
  <c r="AE138" i="11"/>
  <c r="AE136" i="11"/>
  <c r="AE134" i="11"/>
  <c r="AE132" i="11"/>
  <c r="AE130" i="11"/>
  <c r="AE128" i="11"/>
  <c r="AE126" i="11"/>
  <c r="AE124" i="11"/>
  <c r="AE122" i="11"/>
  <c r="AE120" i="11"/>
  <c r="AE118" i="11"/>
  <c r="AE116" i="11"/>
  <c r="AE114" i="11"/>
  <c r="AE112" i="11"/>
  <c r="AF112" i="11" s="1"/>
  <c r="AE110" i="11"/>
  <c r="AE108" i="11"/>
  <c r="AE106" i="11"/>
  <c r="AE104" i="11"/>
  <c r="AE102" i="11"/>
  <c r="AE100" i="11"/>
  <c r="AE98" i="11"/>
  <c r="AE96" i="11"/>
  <c r="AE94" i="11"/>
  <c r="AE92" i="11"/>
  <c r="AE90" i="11"/>
  <c r="AE88" i="11"/>
  <c r="AE86" i="11"/>
  <c r="AE84" i="11"/>
  <c r="AE82" i="11"/>
  <c r="AE80" i="11"/>
  <c r="AE78" i="11"/>
  <c r="AE76" i="11"/>
  <c r="AE74" i="11"/>
  <c r="AE72" i="11"/>
  <c r="AE70" i="11"/>
  <c r="AE68" i="11"/>
  <c r="AE66" i="11"/>
  <c r="AE64" i="11"/>
  <c r="AE62" i="11"/>
  <c r="AE60" i="11"/>
  <c r="AF60" i="11" s="1"/>
  <c r="AE58" i="11"/>
  <c r="AE56" i="11"/>
  <c r="AE54" i="11"/>
  <c r="AE52" i="11"/>
  <c r="AE50" i="11"/>
  <c r="AE48" i="11"/>
  <c r="AE46" i="11"/>
  <c r="AE44" i="11"/>
  <c r="AE42" i="11"/>
  <c r="AE40" i="11"/>
  <c r="AE38" i="11"/>
  <c r="AE36" i="11"/>
  <c r="AE34" i="11"/>
  <c r="AE32" i="11"/>
  <c r="AE30" i="11"/>
  <c r="AE28" i="11"/>
  <c r="AE26" i="11"/>
  <c r="AE24" i="11"/>
  <c r="AE22" i="11"/>
  <c r="AE20" i="11"/>
  <c r="AE18" i="11"/>
  <c r="AE16" i="11"/>
  <c r="AE14" i="11"/>
  <c r="AE12" i="11"/>
  <c r="AE10" i="11"/>
  <c r="AE8" i="11"/>
  <c r="AE6" i="11"/>
  <c r="AE4" i="11"/>
  <c r="AF4" i="11" s="1"/>
  <c r="AE2" i="11"/>
  <c r="AF2" i="11" s="1"/>
  <c r="AE562" i="11"/>
  <c r="AE561" i="11"/>
  <c r="AF561" i="11" s="1"/>
  <c r="AE546" i="11"/>
  <c r="AE545" i="11"/>
  <c r="AE429" i="11"/>
  <c r="AE413" i="11"/>
  <c r="AF413" i="11" s="1"/>
  <c r="AE387" i="11"/>
  <c r="AF387" i="11" s="1"/>
  <c r="AE385" i="11"/>
  <c r="AF385" i="11" s="1"/>
  <c r="AE369" i="11"/>
  <c r="AE351" i="11"/>
  <c r="AE343" i="11"/>
  <c r="AE329" i="11"/>
  <c r="AE326" i="11"/>
  <c r="AF326" i="11" s="1"/>
  <c r="AE555" i="11"/>
  <c r="AF555" i="11" s="1"/>
  <c r="AE539" i="11"/>
  <c r="AE526" i="11"/>
  <c r="AE510" i="11"/>
  <c r="AE447" i="11"/>
  <c r="AE445" i="11"/>
  <c r="AF445" i="11" s="1"/>
  <c r="AE431" i="11"/>
  <c r="AE383" i="11"/>
  <c r="AE367" i="11"/>
  <c r="AE335" i="11"/>
  <c r="AE332" i="11"/>
  <c r="AE319" i="11"/>
  <c r="AE316" i="11"/>
  <c r="AE566" i="11"/>
  <c r="AE523" i="11"/>
  <c r="AE507" i="11"/>
  <c r="AE494" i="11"/>
  <c r="AE478" i="11"/>
  <c r="AE462" i="11"/>
  <c r="AE441" i="11"/>
  <c r="AE425" i="11"/>
  <c r="AE409" i="11"/>
  <c r="AE391" i="11"/>
  <c r="AE373" i="11"/>
  <c r="AE357" i="11"/>
  <c r="AE355" i="11"/>
  <c r="AF355" i="11" s="1"/>
  <c r="AE353" i="11"/>
  <c r="AE345" i="11"/>
  <c r="AE333" i="11"/>
  <c r="AE330" i="11"/>
  <c r="AE317" i="11"/>
  <c r="AE5" i="11"/>
  <c r="AE13" i="11"/>
  <c r="Y17" i="11"/>
  <c r="AE21" i="11"/>
  <c r="Z29" i="11"/>
  <c r="AB29" i="11" s="1"/>
  <c r="AG29" i="11"/>
  <c r="AK29" i="11" s="1"/>
  <c r="AF30" i="11"/>
  <c r="Z31" i="11"/>
  <c r="AB31" i="11" s="1"/>
  <c r="AJ31" i="11" s="1"/>
  <c r="AG31" i="11"/>
  <c r="AK31" i="11" s="1"/>
  <c r="AE39" i="11"/>
  <c r="Y45" i="11"/>
  <c r="Y46" i="11"/>
  <c r="Z47" i="11"/>
  <c r="AB47" i="11" s="1"/>
  <c r="AJ47" i="11" s="1"/>
  <c r="AG47" i="11"/>
  <c r="AK47" i="11" s="1"/>
  <c r="AE55" i="11"/>
  <c r="Z67" i="11"/>
  <c r="AB67" i="11" s="1"/>
  <c r="AJ67" i="11" s="1"/>
  <c r="AG67" i="11"/>
  <c r="AK67" i="11" s="1"/>
  <c r="AE75" i="11"/>
  <c r="AG83" i="11"/>
  <c r="AK83" i="11" s="1"/>
  <c r="AF84" i="11"/>
  <c r="AG85" i="11"/>
  <c r="AK85" i="11" s="1"/>
  <c r="AE93" i="11"/>
  <c r="Y99" i="11"/>
  <c r="Z99" i="11" s="1"/>
  <c r="AB99" i="11" s="1"/>
  <c r="AJ99" i="11" s="1"/>
  <c r="Y100" i="11"/>
  <c r="Z100" i="11" s="1"/>
  <c r="AB100" i="11" s="1"/>
  <c r="AJ100" i="11" s="1"/>
  <c r="AG101" i="11"/>
  <c r="AK101" i="11" s="1"/>
  <c r="AE109" i="11"/>
  <c r="AE111" i="11"/>
  <c r="AF111" i="11" s="1"/>
  <c r="AE113" i="11"/>
  <c r="AE129" i="11"/>
  <c r="Y135" i="11"/>
  <c r="Z135" i="11" s="1"/>
  <c r="AB135" i="11" s="1"/>
  <c r="AJ135" i="11" s="1"/>
  <c r="Y136" i="11"/>
  <c r="Z136" i="11" s="1"/>
  <c r="AB136" i="11" s="1"/>
  <c r="AJ136" i="11" s="1"/>
  <c r="Z137" i="11"/>
  <c r="AB137" i="11" s="1"/>
  <c r="AJ137" i="11" s="1"/>
  <c r="AG137" i="11"/>
  <c r="AK137" i="11" s="1"/>
  <c r="Z147" i="11"/>
  <c r="AB147" i="11" s="1"/>
  <c r="AJ147" i="11" s="1"/>
  <c r="AG147" i="11"/>
  <c r="AK147" i="11" s="1"/>
  <c r="AE153" i="11"/>
  <c r="Y162" i="11"/>
  <c r="Z163" i="11"/>
  <c r="AB163" i="11" s="1"/>
  <c r="AJ163" i="11" s="1"/>
  <c r="AG163" i="11"/>
  <c r="AK163" i="11" s="1"/>
  <c r="AE169" i="11"/>
  <c r="AE183" i="11"/>
  <c r="Y192" i="11"/>
  <c r="Z192" i="11" s="1"/>
  <c r="AB192" i="11" s="1"/>
  <c r="AJ192" i="11" s="1"/>
  <c r="AE199" i="11"/>
  <c r="AF199" i="11" s="1"/>
  <c r="Z207" i="11"/>
  <c r="AB207" i="11" s="1"/>
  <c r="AJ207" i="11" s="1"/>
  <c r="AG207" i="11"/>
  <c r="AK207" i="11" s="1"/>
  <c r="AE213" i="11"/>
  <c r="Y222" i="11"/>
  <c r="Z222" i="11" s="1"/>
  <c r="AB222" i="11" s="1"/>
  <c r="AJ222" i="11" s="1"/>
  <c r="AG223" i="11"/>
  <c r="AK223" i="11" s="1"/>
  <c r="Y238" i="11"/>
  <c r="AG239" i="11"/>
  <c r="AK239" i="11" s="1"/>
  <c r="AE245" i="11"/>
  <c r="Z255" i="11"/>
  <c r="AB255" i="11" s="1"/>
  <c r="AJ255" i="11" s="1"/>
  <c r="AG255" i="11"/>
  <c r="AK255" i="11" s="1"/>
  <c r="AE261" i="11"/>
  <c r="AG271" i="11"/>
  <c r="AK271" i="11" s="1"/>
  <c r="AE289" i="11"/>
  <c r="Y298" i="11"/>
  <c r="Z298" i="11" s="1"/>
  <c r="AB298" i="11" s="1"/>
  <c r="AJ298" i="11" s="1"/>
  <c r="AE303" i="11"/>
  <c r="AF303" i="11" s="1"/>
  <c r="AE305" i="11"/>
  <c r="Y314" i="11"/>
  <c r="Z314" i="11" s="1"/>
  <c r="AB314" i="11" s="1"/>
  <c r="AJ314" i="11" s="1"/>
  <c r="AG327" i="11"/>
  <c r="AK327" i="11" s="1"/>
  <c r="AD327" i="11"/>
  <c r="Y339" i="11"/>
  <c r="Z357" i="11"/>
  <c r="AB357" i="11" s="1"/>
  <c r="AJ357" i="11" s="1"/>
  <c r="AG357" i="11"/>
  <c r="AK357" i="11" s="1"/>
  <c r="AG358" i="11"/>
  <c r="AK358" i="11" s="1"/>
  <c r="AE361" i="11"/>
  <c r="Y369" i="11"/>
  <c r="Z385" i="11"/>
  <c r="AB385" i="11" s="1"/>
  <c r="AG385" i="11"/>
  <c r="AK385" i="11" s="1"/>
  <c r="AD385" i="11"/>
  <c r="AG390" i="11"/>
  <c r="AK390" i="11" s="1"/>
  <c r="Z392" i="11"/>
  <c r="AB392" i="11" s="1"/>
  <c r="AJ392" i="11" s="1"/>
  <c r="AE393" i="11"/>
  <c r="Y400" i="11"/>
  <c r="Z400" i="11" s="1"/>
  <c r="AB400" i="11" s="1"/>
  <c r="AJ400" i="11" s="1"/>
  <c r="AE401" i="11"/>
  <c r="AE407" i="11"/>
  <c r="Z438" i="11"/>
  <c r="AB438" i="11" s="1"/>
  <c r="AJ438" i="11" s="1"/>
  <c r="AE451" i="11"/>
  <c r="Z455" i="11"/>
  <c r="AB455" i="11" s="1"/>
  <c r="AJ455" i="11" s="1"/>
  <c r="AE475" i="11"/>
  <c r="AE498" i="11"/>
  <c r="AG500" i="11"/>
  <c r="AK500" i="11" s="1"/>
  <c r="AE504" i="11"/>
  <c r="AG510" i="11"/>
  <c r="AK510" i="11" s="1"/>
  <c r="AE529" i="11"/>
  <c r="AG548" i="11"/>
  <c r="AK548" i="11" s="1"/>
  <c r="AE552" i="11"/>
  <c r="AG554" i="11"/>
  <c r="AK554" i="11" s="1"/>
  <c r="Z554" i="11"/>
  <c r="AB554" i="11" s="1"/>
  <c r="AJ554" i="11" s="1"/>
  <c r="AE565" i="11"/>
  <c r="AF565" i="11" s="1"/>
  <c r="I195" i="15"/>
  <c r="I187" i="15"/>
  <c r="I179" i="15"/>
  <c r="I198" i="15"/>
  <c r="I190" i="15"/>
  <c r="I182" i="15"/>
  <c r="I174" i="15"/>
  <c r="I193" i="15"/>
  <c r="I185" i="15"/>
  <c r="I177" i="15"/>
  <c r="I192" i="15"/>
  <c r="I184" i="15"/>
  <c r="I176" i="15"/>
  <c r="I186" i="15"/>
  <c r="I189" i="15"/>
  <c r="I173" i="15"/>
  <c r="I188" i="15"/>
  <c r="I172" i="15"/>
  <c r="I191" i="15"/>
  <c r="I175" i="15"/>
  <c r="I105" i="15"/>
  <c r="I194" i="15"/>
  <c r="I178" i="15"/>
  <c r="I197" i="15"/>
  <c r="I181" i="15"/>
  <c r="I183" i="15"/>
  <c r="I196" i="15"/>
  <c r="I180" i="15"/>
  <c r="R2" i="14"/>
  <c r="Y549" i="11"/>
  <c r="Y546" i="11"/>
  <c r="Y517" i="11"/>
  <c r="Y514" i="11"/>
  <c r="Y485" i="11"/>
  <c r="Y482" i="11"/>
  <c r="Y552" i="11"/>
  <c r="Y523" i="11"/>
  <c r="Y520" i="11"/>
  <c r="Y488" i="11"/>
  <c r="Z488" i="11" s="1"/>
  <c r="AB488" i="11" s="1"/>
  <c r="AJ488" i="11" s="1"/>
  <c r="Y459" i="11"/>
  <c r="Z459" i="11" s="1"/>
  <c r="AB459" i="11" s="1"/>
  <c r="AJ459" i="11" s="1"/>
  <c r="Y456" i="11"/>
  <c r="Y453" i="11"/>
  <c r="Z453" i="11" s="1"/>
  <c r="AB453" i="11" s="1"/>
  <c r="AJ453" i="11" s="1"/>
  <c r="Y439" i="11"/>
  <c r="Y437" i="11"/>
  <c r="Z437" i="11" s="1"/>
  <c r="AB437" i="11" s="1"/>
  <c r="AJ437" i="11" s="1"/>
  <c r="Y435" i="11"/>
  <c r="Z435" i="11" s="1"/>
  <c r="AB435" i="11" s="1"/>
  <c r="AJ435" i="11" s="1"/>
  <c r="Y433" i="11"/>
  <c r="Y431" i="11"/>
  <c r="Z431" i="11" s="1"/>
  <c r="AB431" i="11" s="1"/>
  <c r="AJ431" i="11" s="1"/>
  <c r="Y429" i="11"/>
  <c r="Z429" i="11" s="1"/>
  <c r="AB429" i="11" s="1"/>
  <c r="AJ429" i="11" s="1"/>
  <c r="Y427" i="11"/>
  <c r="Z427" i="11" s="1"/>
  <c r="AB427" i="11" s="1"/>
  <c r="AJ427" i="11" s="1"/>
  <c r="Y411" i="11"/>
  <c r="Z411" i="11" s="1"/>
  <c r="AB411" i="11" s="1"/>
  <c r="AJ411" i="11" s="1"/>
  <c r="Y409" i="11"/>
  <c r="Z409" i="11" s="1"/>
  <c r="AB409" i="11" s="1"/>
  <c r="AJ409" i="11" s="1"/>
  <c r="Y407" i="11"/>
  <c r="Y405" i="11"/>
  <c r="Y403" i="11"/>
  <c r="Y401" i="11"/>
  <c r="Z401" i="11" s="1"/>
  <c r="AB401" i="11" s="1"/>
  <c r="AJ401" i="11" s="1"/>
  <c r="Y558" i="11"/>
  <c r="Z558" i="11" s="1"/>
  <c r="AB558" i="11" s="1"/>
  <c r="AJ558" i="11" s="1"/>
  <c r="Y545" i="11"/>
  <c r="Z545" i="11" s="1"/>
  <c r="AB545" i="11" s="1"/>
  <c r="AJ545" i="11" s="1"/>
  <c r="Y526" i="11"/>
  <c r="Z526" i="11" s="1"/>
  <c r="AB526" i="11" s="1"/>
  <c r="AJ526" i="11" s="1"/>
  <c r="Y513" i="11"/>
  <c r="Z513" i="11" s="1"/>
  <c r="AB513" i="11" s="1"/>
  <c r="AJ513" i="11" s="1"/>
  <c r="Y481" i="11"/>
  <c r="Y462" i="11"/>
  <c r="Z462" i="11" s="1"/>
  <c r="AB462" i="11" s="1"/>
  <c r="AJ462" i="11" s="1"/>
  <c r="Y566" i="11"/>
  <c r="Z566" i="11" s="1"/>
  <c r="AB566" i="11" s="1"/>
  <c r="AJ566" i="11" s="1"/>
  <c r="Y559" i="11"/>
  <c r="Z559" i="11" s="1"/>
  <c r="AB559" i="11" s="1"/>
  <c r="AJ559" i="11" s="1"/>
  <c r="Y543" i="11"/>
  <c r="Y524" i="11"/>
  <c r="Z524" i="11" s="1"/>
  <c r="AB524" i="11" s="1"/>
  <c r="AJ524" i="11" s="1"/>
  <c r="Y463" i="11"/>
  <c r="Z463" i="11" s="1"/>
  <c r="AB463" i="11" s="1"/>
  <c r="AJ463" i="11" s="1"/>
  <c r="Y460" i="11"/>
  <c r="Z460" i="11" s="1"/>
  <c r="AB460" i="11" s="1"/>
  <c r="AJ460" i="11" s="1"/>
  <c r="Y550" i="11"/>
  <c r="Z550" i="11" s="1"/>
  <c r="AB550" i="11" s="1"/>
  <c r="AJ550" i="11" s="1"/>
  <c r="Y461" i="11"/>
  <c r="Z461" i="11" s="1"/>
  <c r="AB461" i="11" s="1"/>
  <c r="AJ461" i="11" s="1"/>
  <c r="Y436" i="11"/>
  <c r="Z436" i="11" s="1"/>
  <c r="AB436" i="11" s="1"/>
  <c r="AJ436" i="11" s="1"/>
  <c r="Y404" i="11"/>
  <c r="Z404" i="11" s="1"/>
  <c r="AB404" i="11" s="1"/>
  <c r="AJ404" i="11" s="1"/>
  <c r="Y378" i="11"/>
  <c r="Z378" i="11" s="1"/>
  <c r="AB378" i="11" s="1"/>
  <c r="AJ378" i="11" s="1"/>
  <c r="Y377" i="11"/>
  <c r="Z377" i="11" s="1"/>
  <c r="AB377" i="11" s="1"/>
  <c r="AJ377" i="11" s="1"/>
  <c r="Y341" i="11"/>
  <c r="Z341" i="11" s="1"/>
  <c r="AB341" i="11" s="1"/>
  <c r="AJ341" i="11" s="1"/>
  <c r="Y325" i="11"/>
  <c r="Z325" i="11" s="1"/>
  <c r="AB325" i="11" s="1"/>
  <c r="AJ325" i="11" s="1"/>
  <c r="Y487" i="11"/>
  <c r="Z487" i="11" s="1"/>
  <c r="AB487" i="11" s="1"/>
  <c r="AJ487" i="11" s="1"/>
  <c r="Y455" i="11"/>
  <c r="Y438" i="11"/>
  <c r="Y406" i="11"/>
  <c r="Z406" i="11" s="1"/>
  <c r="AB406" i="11" s="1"/>
  <c r="AJ406" i="11" s="1"/>
  <c r="Y376" i="11"/>
  <c r="Z376" i="11" s="1"/>
  <c r="AB376" i="11" s="1"/>
  <c r="AJ376" i="11" s="1"/>
  <c r="Y375" i="11"/>
  <c r="Y315" i="11"/>
  <c r="Z315" i="11" s="1"/>
  <c r="AB315" i="11" s="1"/>
  <c r="AJ315" i="11" s="1"/>
  <c r="Y313" i="11"/>
  <c r="Z313" i="11" s="1"/>
  <c r="AB313" i="11" s="1"/>
  <c r="AJ313" i="11" s="1"/>
  <c r="Y311" i="11"/>
  <c r="Z311" i="11" s="1"/>
  <c r="AB311" i="11" s="1"/>
  <c r="AJ311" i="11" s="1"/>
  <c r="Y297" i="11"/>
  <c r="Z297" i="11" s="1"/>
  <c r="AB297" i="11" s="1"/>
  <c r="AJ297" i="11" s="1"/>
  <c r="Y295" i="11"/>
  <c r="Z295" i="11" s="1"/>
  <c r="AB295" i="11" s="1"/>
  <c r="AJ295" i="11" s="1"/>
  <c r="Y293" i="11"/>
  <c r="Z293" i="11" s="1"/>
  <c r="AB293" i="11" s="1"/>
  <c r="AJ293" i="11" s="1"/>
  <c r="Y291" i="11"/>
  <c r="Z291" i="11" s="1"/>
  <c r="AB291" i="11" s="1"/>
  <c r="AJ291" i="11" s="1"/>
  <c r="Y289" i="11"/>
  <c r="Z289" i="11" s="1"/>
  <c r="AB289" i="11" s="1"/>
  <c r="AJ289" i="11" s="1"/>
  <c r="Y287" i="11"/>
  <c r="Z287" i="11" s="1"/>
  <c r="AB287" i="11" s="1"/>
  <c r="AJ287" i="11" s="1"/>
  <c r="Y271" i="11"/>
  <c r="Z271" i="11" s="1"/>
  <c r="AB271" i="11" s="1"/>
  <c r="AJ271" i="11" s="1"/>
  <c r="Y269" i="11"/>
  <c r="Y267" i="11"/>
  <c r="Y265" i="11"/>
  <c r="Z265" i="11" s="1"/>
  <c r="AB265" i="11" s="1"/>
  <c r="AJ265" i="11" s="1"/>
  <c r="Y263" i="11"/>
  <c r="Z263" i="11" s="1"/>
  <c r="AB263" i="11" s="1"/>
  <c r="AJ263" i="11" s="1"/>
  <c r="Y261" i="11"/>
  <c r="Z261" i="11" s="1"/>
  <c r="AB261" i="11" s="1"/>
  <c r="AJ261" i="11" s="1"/>
  <c r="Y247" i="11"/>
  <c r="Z247" i="11" s="1"/>
  <c r="AB247" i="11" s="1"/>
  <c r="AJ247" i="11" s="1"/>
  <c r="Y245" i="11"/>
  <c r="Z245" i="11" s="1"/>
  <c r="AB245" i="11" s="1"/>
  <c r="AJ245" i="11" s="1"/>
  <c r="Y243" i="11"/>
  <c r="Z243" i="11" s="1"/>
  <c r="AB243" i="11" s="1"/>
  <c r="AJ243" i="11" s="1"/>
  <c r="Y241" i="11"/>
  <c r="Z241" i="11" s="1"/>
  <c r="AB241" i="11" s="1"/>
  <c r="AJ241" i="11" s="1"/>
  <c r="Y239" i="11"/>
  <c r="Z239" i="11" s="1"/>
  <c r="AB239" i="11" s="1"/>
  <c r="AJ239" i="11" s="1"/>
  <c r="Y237" i="11"/>
  <c r="Z237" i="11" s="1"/>
  <c r="AB237" i="11" s="1"/>
  <c r="AJ237" i="11" s="1"/>
  <c r="Y219" i="11"/>
  <c r="Z219" i="11" s="1"/>
  <c r="AB219" i="11" s="1"/>
  <c r="AJ219" i="11" s="1"/>
  <c r="Y217" i="11"/>
  <c r="Y215" i="11"/>
  <c r="Z215" i="11" s="1"/>
  <c r="AB215" i="11" s="1"/>
  <c r="AJ215" i="11" s="1"/>
  <c r="Y213" i="11"/>
  <c r="Z213" i="11" s="1"/>
  <c r="AB213" i="11" s="1"/>
  <c r="AJ213" i="11" s="1"/>
  <c r="Y211" i="11"/>
  <c r="Z211" i="11" s="1"/>
  <c r="AB211" i="11" s="1"/>
  <c r="AJ211" i="11" s="1"/>
  <c r="Y209" i="11"/>
  <c r="Z209" i="11" s="1"/>
  <c r="AB209" i="11" s="1"/>
  <c r="AJ209" i="11" s="1"/>
  <c r="Y193" i="11"/>
  <c r="Z193" i="11" s="1"/>
  <c r="AB193" i="11" s="1"/>
  <c r="AJ193" i="11" s="1"/>
  <c r="Y191" i="11"/>
  <c r="Y189" i="11"/>
  <c r="Z189" i="11" s="1"/>
  <c r="AB189" i="11" s="1"/>
  <c r="AJ189" i="11" s="1"/>
  <c r="Y187" i="11"/>
  <c r="Z187" i="11" s="1"/>
  <c r="AB187" i="11" s="1"/>
  <c r="AJ187" i="11" s="1"/>
  <c r="Y185" i="11"/>
  <c r="Z185" i="11" s="1"/>
  <c r="AB185" i="11" s="1"/>
  <c r="AJ185" i="11" s="1"/>
  <c r="Y165" i="11"/>
  <c r="Z165" i="11" s="1"/>
  <c r="AB165" i="11" s="1"/>
  <c r="AJ165" i="11" s="1"/>
  <c r="Y163" i="11"/>
  <c r="Y161" i="11"/>
  <c r="Y159" i="11"/>
  <c r="Z159" i="11" s="1"/>
  <c r="AB159" i="11" s="1"/>
  <c r="AJ159" i="11" s="1"/>
  <c r="Y157" i="11"/>
  <c r="Z157" i="11" s="1"/>
  <c r="AB157" i="11" s="1"/>
  <c r="AJ157" i="11" s="1"/>
  <c r="Y155" i="11"/>
  <c r="Z155" i="11" s="1"/>
  <c r="AB155" i="11" s="1"/>
  <c r="AJ155" i="11" s="1"/>
  <c r="Y560" i="11"/>
  <c r="Z560" i="11" s="1"/>
  <c r="AB560" i="11" s="1"/>
  <c r="AJ560" i="11" s="1"/>
  <c r="Y516" i="11"/>
  <c r="Y515" i="11"/>
  <c r="Z515" i="11" s="1"/>
  <c r="AB515" i="11" s="1"/>
  <c r="AJ515" i="11" s="1"/>
  <c r="Y486" i="11"/>
  <c r="Z486" i="11" s="1"/>
  <c r="AB486" i="11" s="1"/>
  <c r="AJ486" i="11" s="1"/>
  <c r="Y454" i="11"/>
  <c r="Z454" i="11" s="1"/>
  <c r="AB454" i="11" s="1"/>
  <c r="AJ454" i="11" s="1"/>
  <c r="Y408" i="11"/>
  <c r="Z408" i="11" s="1"/>
  <c r="AB408" i="11" s="1"/>
  <c r="AJ408" i="11" s="1"/>
  <c r="Y374" i="11"/>
  <c r="Z374" i="11" s="1"/>
  <c r="AB374" i="11" s="1"/>
  <c r="AJ374" i="11" s="1"/>
  <c r="Y373" i="11"/>
  <c r="Z373" i="11" s="1"/>
  <c r="AB373" i="11" s="1"/>
  <c r="AJ373" i="11" s="1"/>
  <c r="Y346" i="11"/>
  <c r="Y340" i="11"/>
  <c r="Z340" i="11" s="1"/>
  <c r="AB340" i="11" s="1"/>
  <c r="AJ340" i="11" s="1"/>
  <c r="Y337" i="11"/>
  <c r="Z337" i="11" s="1"/>
  <c r="AB337" i="11" s="1"/>
  <c r="AJ337" i="11" s="1"/>
  <c r="Y324" i="11"/>
  <c r="Z324" i="11" s="1"/>
  <c r="AB324" i="11" s="1"/>
  <c r="AJ324" i="11" s="1"/>
  <c r="Y551" i="11"/>
  <c r="Y522" i="11"/>
  <c r="Z522" i="11" s="1"/>
  <c r="AB522" i="11" s="1"/>
  <c r="AJ522" i="11" s="1"/>
  <c r="Y484" i="11"/>
  <c r="Y483" i="11"/>
  <c r="Z483" i="11" s="1"/>
  <c r="AB483" i="11" s="1"/>
  <c r="AJ483" i="11" s="1"/>
  <c r="Y434" i="11"/>
  <c r="Z434" i="11" s="1"/>
  <c r="AB434" i="11" s="1"/>
  <c r="AJ434" i="11" s="1"/>
  <c r="Y398" i="11"/>
  <c r="Z398" i="11" s="1"/>
  <c r="AB398" i="11" s="1"/>
  <c r="AJ398" i="11" s="1"/>
  <c r="Y379" i="11"/>
  <c r="Z379" i="11" s="1"/>
  <c r="AB379" i="11" s="1"/>
  <c r="AJ379" i="11" s="1"/>
  <c r="Y338" i="11"/>
  <c r="Z338" i="11" s="1"/>
  <c r="AB338" i="11" s="1"/>
  <c r="AJ338" i="11" s="1"/>
  <c r="Y319" i="11"/>
  <c r="Z319" i="11" s="1"/>
  <c r="AB319" i="11" s="1"/>
  <c r="AJ319" i="11" s="1"/>
  <c r="Z3" i="11"/>
  <c r="AB3" i="11" s="1"/>
  <c r="AG3" i="11"/>
  <c r="AK3" i="11" s="1"/>
  <c r="Z11" i="11"/>
  <c r="AB11" i="11" s="1"/>
  <c r="AJ11" i="11" s="1"/>
  <c r="AG11" i="11"/>
  <c r="AK11" i="11" s="1"/>
  <c r="Y18" i="11"/>
  <c r="Z18" i="11" s="1"/>
  <c r="AB18" i="11" s="1"/>
  <c r="AJ18" i="11" s="1"/>
  <c r="Z19" i="11"/>
  <c r="AB19" i="11" s="1"/>
  <c r="AJ19" i="11" s="1"/>
  <c r="AG19" i="11"/>
  <c r="AK19" i="11" s="1"/>
  <c r="AE23" i="11"/>
  <c r="Z33" i="11"/>
  <c r="AB33" i="11" s="1"/>
  <c r="AJ33" i="11" s="1"/>
  <c r="AG33" i="11"/>
  <c r="AK33" i="11" s="1"/>
  <c r="AE41" i="11"/>
  <c r="Y47" i="11"/>
  <c r="Y48" i="11"/>
  <c r="Z48" i="11" s="1"/>
  <c r="AB48" i="11" s="1"/>
  <c r="AJ48" i="11" s="1"/>
  <c r="Z49" i="11"/>
  <c r="AB49" i="11" s="1"/>
  <c r="AJ49" i="11" s="1"/>
  <c r="AG49" i="11"/>
  <c r="AK49" i="11" s="1"/>
  <c r="AE57" i="11"/>
  <c r="AE59" i="11"/>
  <c r="AF59" i="11" s="1"/>
  <c r="AE61" i="11"/>
  <c r="Y68" i="11"/>
  <c r="Z68" i="11" s="1"/>
  <c r="AB68" i="11" s="1"/>
  <c r="AJ68" i="11" s="1"/>
  <c r="Z69" i="11"/>
  <c r="AB69" i="11" s="1"/>
  <c r="AJ69" i="11" s="1"/>
  <c r="AG69" i="11"/>
  <c r="AK69" i="11" s="1"/>
  <c r="AE77" i="11"/>
  <c r="Z87" i="11"/>
  <c r="AB87" i="11" s="1"/>
  <c r="AJ87" i="11" s="1"/>
  <c r="AG87" i="11"/>
  <c r="AK87" i="11" s="1"/>
  <c r="AE95" i="11"/>
  <c r="Y101" i="11"/>
  <c r="Z101" i="11" s="1"/>
  <c r="AB101" i="11" s="1"/>
  <c r="AJ101" i="11" s="1"/>
  <c r="Y102" i="11"/>
  <c r="Z102" i="11" s="1"/>
  <c r="AB102" i="11" s="1"/>
  <c r="AJ102" i="11" s="1"/>
  <c r="Z103" i="11"/>
  <c r="AB103" i="11" s="1"/>
  <c r="AJ103" i="11" s="1"/>
  <c r="AG103" i="11"/>
  <c r="AK103" i="11" s="1"/>
  <c r="AE115" i="11"/>
  <c r="Y122" i="11"/>
  <c r="Z122" i="11" s="1"/>
  <c r="AB122" i="11" s="1"/>
  <c r="AJ122" i="11" s="1"/>
  <c r="AG123" i="11"/>
  <c r="AK123" i="11" s="1"/>
  <c r="AE131" i="11"/>
  <c r="Z139" i="11"/>
  <c r="AB139" i="11" s="1"/>
  <c r="AJ139" i="11" s="1"/>
  <c r="AG139" i="11"/>
  <c r="AK139" i="11" s="1"/>
  <c r="Z145" i="11"/>
  <c r="AB145" i="11" s="1"/>
  <c r="AJ145" i="11" s="1"/>
  <c r="AG145" i="11"/>
  <c r="AK145" i="11" s="1"/>
  <c r="AE151" i="11"/>
  <c r="Y160" i="11"/>
  <c r="Z160" i="11" s="1"/>
  <c r="AB160" i="11" s="1"/>
  <c r="AJ160" i="11" s="1"/>
  <c r="Z161" i="11"/>
  <c r="AB161" i="11" s="1"/>
  <c r="AJ161" i="11" s="1"/>
  <c r="AG161" i="11"/>
  <c r="AK161" i="11" s="1"/>
  <c r="AE167" i="11"/>
  <c r="AE181" i="11"/>
  <c r="Y190" i="11"/>
  <c r="Z190" i="11" s="1"/>
  <c r="AB190" i="11" s="1"/>
  <c r="AJ190" i="11" s="1"/>
  <c r="Z191" i="11"/>
  <c r="AB191" i="11" s="1"/>
  <c r="AJ191" i="11" s="1"/>
  <c r="AG191" i="11"/>
  <c r="AK191" i="11" s="1"/>
  <c r="AE197" i="11"/>
  <c r="Z205" i="11"/>
  <c r="AB205" i="11" s="1"/>
  <c r="AJ205" i="11" s="1"/>
  <c r="AG205" i="11"/>
  <c r="AK205" i="11" s="1"/>
  <c r="AE211" i="11"/>
  <c r="Y220" i="11"/>
  <c r="Z220" i="11" s="1"/>
  <c r="AB220" i="11" s="1"/>
  <c r="AJ220" i="11" s="1"/>
  <c r="AG221" i="11"/>
  <c r="AK221" i="11" s="1"/>
  <c r="AE227" i="11"/>
  <c r="AF227" i="11" s="1"/>
  <c r="AG237" i="11"/>
  <c r="AK237" i="11" s="1"/>
  <c r="AE243" i="11"/>
  <c r="AE259" i="11"/>
  <c r="Y268" i="11"/>
  <c r="Z268" i="11" s="1"/>
  <c r="AB268" i="11" s="1"/>
  <c r="AJ268" i="11" s="1"/>
  <c r="Z269" i="11"/>
  <c r="AB269" i="11" s="1"/>
  <c r="AJ269" i="11" s="1"/>
  <c r="AG269" i="11"/>
  <c r="AK269" i="11" s="1"/>
  <c r="AE287" i="11"/>
  <c r="Y312" i="11"/>
  <c r="Z312" i="11" s="1"/>
  <c r="AB312" i="11" s="1"/>
  <c r="AJ312" i="11" s="1"/>
  <c r="AE328" i="11"/>
  <c r="AE334" i="11"/>
  <c r="Z339" i="11"/>
  <c r="AB339" i="11" s="1"/>
  <c r="AJ339" i="11" s="1"/>
  <c r="Z345" i="11"/>
  <c r="AB345" i="11" s="1"/>
  <c r="AJ345" i="11" s="1"/>
  <c r="AG345" i="11"/>
  <c r="AK345" i="11" s="1"/>
  <c r="AF353" i="11"/>
  <c r="Z360" i="11"/>
  <c r="AB360" i="11" s="1"/>
  <c r="AJ360" i="11" s="1"/>
  <c r="AE365" i="11"/>
  <c r="Y368" i="11"/>
  <c r="Z368" i="11" s="1"/>
  <c r="AB368" i="11" s="1"/>
  <c r="AJ368" i="11" s="1"/>
  <c r="AG373" i="11"/>
  <c r="AK373" i="11" s="1"/>
  <c r="AE377" i="11"/>
  <c r="Y399" i="11"/>
  <c r="AG410" i="11"/>
  <c r="AK410" i="11" s="1"/>
  <c r="Z424" i="11"/>
  <c r="AB424" i="11" s="1"/>
  <c r="AJ424" i="11" s="1"/>
  <c r="AG431" i="11"/>
  <c r="AK431" i="11" s="1"/>
  <c r="AG449" i="11"/>
  <c r="AK449" i="11" s="1"/>
  <c r="Y458" i="11"/>
  <c r="Z458" i="11" s="1"/>
  <c r="AB458" i="11" s="1"/>
  <c r="AJ458" i="11" s="1"/>
  <c r="AG461" i="11"/>
  <c r="AK461" i="11" s="1"/>
  <c r="AE491" i="11"/>
  <c r="AG495" i="11"/>
  <c r="AK495" i="11" s="1"/>
  <c r="AF495" i="11"/>
  <c r="AD495" i="11"/>
  <c r="Z503" i="11"/>
  <c r="AB503" i="11" s="1"/>
  <c r="AJ503" i="11" s="1"/>
  <c r="AG503" i="11"/>
  <c r="AK503" i="11" s="1"/>
  <c r="AE513" i="11"/>
  <c r="Y518" i="11"/>
  <c r="Z518" i="11" s="1"/>
  <c r="AB518" i="11" s="1"/>
  <c r="AJ518" i="11" s="1"/>
  <c r="Y519" i="11"/>
  <c r="Z519" i="11" s="1"/>
  <c r="AB519" i="11" s="1"/>
  <c r="AJ519" i="11" s="1"/>
  <c r="Z525" i="11"/>
  <c r="AB525" i="11" s="1"/>
  <c r="AJ525" i="11" s="1"/>
  <c r="AG525" i="11"/>
  <c r="AK525" i="11" s="1"/>
  <c r="AG544" i="11"/>
  <c r="AK544" i="11" s="1"/>
  <c r="Z544" i="11"/>
  <c r="AB544" i="11" s="1"/>
  <c r="AJ544" i="11" s="1"/>
  <c r="Y548" i="11"/>
  <c r="Z548" i="11" s="1"/>
  <c r="AB548" i="11" s="1"/>
  <c r="AJ548" i="11" s="1"/>
  <c r="AE549" i="11"/>
  <c r="Z551" i="11"/>
  <c r="AB551" i="11" s="1"/>
  <c r="AJ551" i="11" s="1"/>
  <c r="H362" i="14"/>
  <c r="P362" i="14" s="1"/>
  <c r="S362" i="14" s="1"/>
  <c r="H142" i="14"/>
  <c r="P142" i="14" s="1"/>
  <c r="S142" i="14" s="1"/>
  <c r="H219" i="14"/>
  <c r="P219" i="14" s="1"/>
  <c r="S219" i="14" s="1"/>
  <c r="H73" i="14"/>
  <c r="P73" i="14" s="1"/>
  <c r="S73" i="14" s="1"/>
  <c r="H182" i="14"/>
  <c r="P182" i="14" s="1"/>
  <c r="S182" i="14" s="1"/>
  <c r="H85" i="14"/>
  <c r="P85" i="14" s="1"/>
  <c r="S85" i="14" s="1"/>
  <c r="H497" i="14"/>
  <c r="P497" i="14" s="1"/>
  <c r="S497" i="14" s="1"/>
  <c r="H407" i="14"/>
  <c r="P407" i="14" s="1"/>
  <c r="S407" i="14" s="1"/>
  <c r="I458" i="14"/>
  <c r="Q458" i="14" s="1"/>
  <c r="R458" i="14" s="1"/>
  <c r="H184" i="14"/>
  <c r="P184" i="14" s="1"/>
  <c r="S184" i="14" s="1"/>
  <c r="H126" i="14"/>
  <c r="P126" i="14" s="1"/>
  <c r="S126" i="14" s="1"/>
  <c r="I47" i="14"/>
  <c r="Q47" i="14" s="1"/>
  <c r="R47" i="14" s="1"/>
  <c r="I176" i="14"/>
  <c r="Q176" i="14" s="1"/>
  <c r="R176" i="14" s="1"/>
  <c r="H77" i="14"/>
  <c r="P77" i="14" s="1"/>
  <c r="S77" i="14" s="1"/>
  <c r="H46" i="14"/>
  <c r="P46" i="14" s="1"/>
  <c r="S46" i="14" s="1"/>
  <c r="I206" i="14"/>
  <c r="Q206" i="14" s="1"/>
  <c r="R206" i="14" s="1"/>
  <c r="I142" i="14"/>
  <c r="Q142" i="14" s="1"/>
  <c r="R142" i="14" s="1"/>
  <c r="I7" i="14"/>
  <c r="Q7" i="14" s="1"/>
  <c r="H328" i="14"/>
  <c r="P328" i="14" s="1"/>
  <c r="S328" i="14" s="1"/>
  <c r="I24" i="14"/>
  <c r="Q24" i="14" s="1"/>
  <c r="R24" i="14" s="1"/>
  <c r="H6" i="14"/>
  <c r="I81" i="14"/>
  <c r="Q81" i="14" s="1"/>
  <c r="R81" i="14" s="1"/>
  <c r="H47" i="14"/>
  <c r="P47" i="14" s="1"/>
  <c r="S47" i="14" s="1"/>
  <c r="I235" i="14"/>
  <c r="Q235" i="14" s="1"/>
  <c r="R235" i="14" s="1"/>
  <c r="H88" i="14"/>
  <c r="P88" i="14" s="1"/>
  <c r="S88" i="14" s="1"/>
  <c r="H552" i="14"/>
  <c r="P552" i="14" s="1"/>
  <c r="S552" i="14" s="1"/>
  <c r="H394" i="14"/>
  <c r="P394" i="14" s="1"/>
  <c r="S394" i="14" s="1"/>
  <c r="I160" i="14"/>
  <c r="Q160" i="14" s="1"/>
  <c r="R160" i="14" s="1"/>
  <c r="H257" i="14"/>
  <c r="P257" i="14" s="1"/>
  <c r="S257" i="14" s="1"/>
  <c r="H458" i="14"/>
  <c r="P458" i="14" s="1"/>
  <c r="S458" i="14" s="1"/>
  <c r="I219" i="14"/>
  <c r="Q219" i="14" s="1"/>
  <c r="R219" i="14" s="1"/>
  <c r="H81" i="14"/>
  <c r="P81" i="14" s="1"/>
  <c r="S81" i="14" s="1"/>
  <c r="H54" i="14"/>
  <c r="P54" i="14" s="1"/>
  <c r="S54" i="14" s="1"/>
  <c r="I224" i="14"/>
  <c r="Q224" i="14" s="1"/>
  <c r="R224" i="14" s="1"/>
  <c r="I557" i="15"/>
  <c r="I564" i="15"/>
  <c r="I295" i="15"/>
  <c r="I287" i="15"/>
  <c r="I298" i="15"/>
  <c r="I293" i="15"/>
  <c r="I291" i="15"/>
  <c r="I277" i="15"/>
  <c r="I289" i="15"/>
  <c r="I280" i="15"/>
  <c r="I285" i="15"/>
  <c r="I275" i="15"/>
  <c r="I284" i="15"/>
  <c r="I282" i="15"/>
  <c r="I274" i="15"/>
  <c r="I300" i="15"/>
  <c r="I283" i="15"/>
  <c r="I290" i="15"/>
  <c r="I299" i="15"/>
  <c r="I294" i="15"/>
  <c r="I276" i="15"/>
  <c r="I296" i="15"/>
  <c r="I297" i="15"/>
  <c r="I281" i="15"/>
  <c r="I288" i="15"/>
  <c r="I286" i="15"/>
  <c r="I279" i="15"/>
  <c r="I278" i="15"/>
  <c r="I292" i="15"/>
  <c r="R9" i="14"/>
  <c r="I379" i="15"/>
  <c r="I371" i="15"/>
  <c r="I363" i="15"/>
  <c r="I382" i="15"/>
  <c r="I374" i="15"/>
  <c r="I377" i="15"/>
  <c r="I369" i="15"/>
  <c r="I381" i="15"/>
  <c r="I365" i="15"/>
  <c r="I351" i="15"/>
  <c r="I361" i="15"/>
  <c r="I354" i="15"/>
  <c r="I376" i="15"/>
  <c r="I359" i="15"/>
  <c r="I383" i="15"/>
  <c r="I373" i="15"/>
  <c r="I357" i="15"/>
  <c r="I360" i="15"/>
  <c r="I372" i="15"/>
  <c r="I368" i="15"/>
  <c r="I378" i="15"/>
  <c r="I366" i="15"/>
  <c r="I352" i="15"/>
  <c r="I362" i="15"/>
  <c r="I375" i="15"/>
  <c r="I356" i="15"/>
  <c r="I384" i="15"/>
  <c r="I367" i="15"/>
  <c r="I355" i="15"/>
  <c r="I380" i="15"/>
  <c r="I370" i="15"/>
  <c r="I358" i="15"/>
  <c r="I364" i="15"/>
  <c r="I353" i="15"/>
  <c r="R18" i="14"/>
  <c r="Z381" i="11"/>
  <c r="AB381" i="11" s="1"/>
  <c r="AJ381" i="11" s="1"/>
  <c r="AG381" i="11"/>
  <c r="AK381" i="11" s="1"/>
  <c r="Z399" i="11"/>
  <c r="AB399" i="11" s="1"/>
  <c r="AJ399" i="11" s="1"/>
  <c r="AG399" i="11"/>
  <c r="AK399" i="11" s="1"/>
  <c r="Z403" i="11"/>
  <c r="AB403" i="11" s="1"/>
  <c r="AJ403" i="11" s="1"/>
  <c r="AG403" i="11"/>
  <c r="AK403" i="11" s="1"/>
  <c r="Z419" i="11"/>
  <c r="AB419" i="11" s="1"/>
  <c r="AJ419" i="11" s="1"/>
  <c r="AG419" i="11"/>
  <c r="AK419" i="11" s="1"/>
  <c r="AG435" i="11"/>
  <c r="AK435" i="11" s="1"/>
  <c r="Z451" i="11"/>
  <c r="AB451" i="11" s="1"/>
  <c r="AJ451" i="11" s="1"/>
  <c r="AG451" i="11"/>
  <c r="AK451" i="11" s="1"/>
  <c r="Z497" i="11"/>
  <c r="AB497" i="11" s="1"/>
  <c r="AD497" i="11"/>
  <c r="T9" i="14"/>
  <c r="P9" i="14"/>
  <c r="I735" i="14"/>
  <c r="Q735" i="14" s="1"/>
  <c r="R735" i="14" s="1"/>
  <c r="H734" i="14"/>
  <c r="P734" i="14" s="1"/>
  <c r="S734" i="14" s="1"/>
  <c r="I623" i="14"/>
  <c r="Q623" i="14" s="1"/>
  <c r="R623" i="14" s="1"/>
  <c r="H622" i="14"/>
  <c r="P622" i="14" s="1"/>
  <c r="S622" i="14" s="1"/>
  <c r="I744" i="14"/>
  <c r="Q744" i="14" s="1"/>
  <c r="R744" i="14" s="1"/>
  <c r="I704" i="14"/>
  <c r="Q704" i="14" s="1"/>
  <c r="R704" i="14" s="1"/>
  <c r="I601" i="14"/>
  <c r="Q601" i="14" s="1"/>
  <c r="R601" i="14" s="1"/>
  <c r="H600" i="14"/>
  <c r="P600" i="14" s="1"/>
  <c r="S600" i="14" s="1"/>
  <c r="H684" i="14"/>
  <c r="P684" i="14" s="1"/>
  <c r="S684" i="14" s="1"/>
  <c r="H668" i="14"/>
  <c r="P668" i="14" s="1"/>
  <c r="S668" i="14" s="1"/>
  <c r="I555" i="14"/>
  <c r="Q555" i="14" s="1"/>
  <c r="R555" i="14" s="1"/>
  <c r="H554" i="14"/>
  <c r="P554" i="14" s="1"/>
  <c r="S554" i="14" s="1"/>
  <c r="H563" i="14"/>
  <c r="P563" i="14" s="1"/>
  <c r="S563" i="14" s="1"/>
  <c r="H523" i="14"/>
  <c r="P523" i="14" s="1"/>
  <c r="S523" i="14" s="1"/>
  <c r="H483" i="14"/>
  <c r="P483" i="14" s="1"/>
  <c r="S483" i="14" s="1"/>
  <c r="H745" i="14"/>
  <c r="P745" i="14" s="1"/>
  <c r="S745" i="14" s="1"/>
  <c r="H705" i="14"/>
  <c r="P705" i="14" s="1"/>
  <c r="S705" i="14" s="1"/>
  <c r="I562" i="14"/>
  <c r="Q562" i="14" s="1"/>
  <c r="R562" i="14" s="1"/>
  <c r="I685" i="14"/>
  <c r="Q685" i="14" s="1"/>
  <c r="R685" i="14" s="1"/>
  <c r="I669" i="14"/>
  <c r="Q669" i="14" s="1"/>
  <c r="R669" i="14" s="1"/>
  <c r="I602" i="14"/>
  <c r="Q602" i="14" s="1"/>
  <c r="R602" i="14" s="1"/>
  <c r="I513" i="14"/>
  <c r="Q513" i="14" s="1"/>
  <c r="R513" i="14" s="1"/>
  <c r="I389" i="14"/>
  <c r="Q389" i="14" s="1"/>
  <c r="R389" i="14" s="1"/>
  <c r="H388" i="14"/>
  <c r="P388" i="14" s="1"/>
  <c r="S388" i="14" s="1"/>
  <c r="H643" i="14"/>
  <c r="P643" i="14" s="1"/>
  <c r="S643" i="14" s="1"/>
  <c r="I431" i="14"/>
  <c r="Q431" i="14" s="1"/>
  <c r="R431" i="14" s="1"/>
  <c r="H430" i="14"/>
  <c r="P430" i="14" s="1"/>
  <c r="S430" i="14" s="1"/>
  <c r="I642" i="14"/>
  <c r="Q642" i="14" s="1"/>
  <c r="R642" i="14" s="1"/>
  <c r="H443" i="14"/>
  <c r="P443" i="14" s="1"/>
  <c r="S443" i="14" s="1"/>
  <c r="H403" i="14"/>
  <c r="P403" i="14" s="1"/>
  <c r="S403" i="14" s="1"/>
  <c r="I522" i="14"/>
  <c r="Q522" i="14" s="1"/>
  <c r="R522" i="14" s="1"/>
  <c r="H364" i="14"/>
  <c r="P364" i="14" s="1"/>
  <c r="S364" i="14" s="1"/>
  <c r="I365" i="14"/>
  <c r="Q365" i="14" s="1"/>
  <c r="R365" i="14" s="1"/>
  <c r="I342" i="14"/>
  <c r="Q342" i="14" s="1"/>
  <c r="R342" i="14" s="1"/>
  <c r="I262" i="14"/>
  <c r="Q262" i="14" s="1"/>
  <c r="R262" i="14" s="1"/>
  <c r="I311" i="14"/>
  <c r="Q311" i="14" s="1"/>
  <c r="R311" i="14" s="1"/>
  <c r="H310" i="14"/>
  <c r="P310" i="14" s="1"/>
  <c r="S310" i="14" s="1"/>
  <c r="I287" i="14"/>
  <c r="Q287" i="14" s="1"/>
  <c r="R287" i="14" s="1"/>
  <c r="H286" i="14"/>
  <c r="P286" i="14" s="1"/>
  <c r="S286" i="14" s="1"/>
  <c r="I481" i="14"/>
  <c r="Q481" i="14" s="1"/>
  <c r="R481" i="14" s="1"/>
  <c r="H343" i="14"/>
  <c r="P343" i="14" s="1"/>
  <c r="S343" i="14" s="1"/>
  <c r="H263" i="14"/>
  <c r="P263" i="14" s="1"/>
  <c r="S263" i="14" s="1"/>
  <c r="H480" i="14"/>
  <c r="P480" i="14" s="1"/>
  <c r="S480" i="14" s="1"/>
  <c r="I402" i="14"/>
  <c r="Q402" i="14" s="1"/>
  <c r="R402" i="14" s="1"/>
  <c r="H203" i="14"/>
  <c r="P203" i="14" s="1"/>
  <c r="S203" i="14" s="1"/>
  <c r="H163" i="14"/>
  <c r="P163" i="14" s="1"/>
  <c r="S163" i="14" s="1"/>
  <c r="H512" i="14"/>
  <c r="P512" i="14" s="1"/>
  <c r="S512" i="14" s="1"/>
  <c r="I233" i="14"/>
  <c r="Q233" i="14" s="1"/>
  <c r="R233" i="14" s="1"/>
  <c r="I197" i="14"/>
  <c r="Q197" i="14" s="1"/>
  <c r="R197" i="14" s="1"/>
  <c r="H196" i="14"/>
  <c r="P196" i="14" s="1"/>
  <c r="S196" i="14" s="1"/>
  <c r="H603" i="14"/>
  <c r="P603" i="14" s="1"/>
  <c r="S603" i="14" s="1"/>
  <c r="I322" i="14"/>
  <c r="Q322" i="14" s="1"/>
  <c r="R322" i="14" s="1"/>
  <c r="I242" i="14"/>
  <c r="Q242" i="14" s="1"/>
  <c r="R242" i="14" s="1"/>
  <c r="I202" i="14"/>
  <c r="Q202" i="14" s="1"/>
  <c r="R202" i="14" s="1"/>
  <c r="I162" i="14"/>
  <c r="Q162" i="14" s="1"/>
  <c r="R162" i="14" s="1"/>
  <c r="H145" i="14"/>
  <c r="P145" i="14" s="1"/>
  <c r="S145" i="14" s="1"/>
  <c r="I442" i="14"/>
  <c r="Q442" i="14" s="1"/>
  <c r="R442" i="14" s="1"/>
  <c r="H105" i="14"/>
  <c r="P105" i="14" s="1"/>
  <c r="S105" i="14" s="1"/>
  <c r="I137" i="14"/>
  <c r="Q137" i="14" s="1"/>
  <c r="R137" i="14" s="1"/>
  <c r="H323" i="14"/>
  <c r="P323" i="14" s="1"/>
  <c r="S323" i="14" s="1"/>
  <c r="H243" i="14"/>
  <c r="P243" i="14" s="1"/>
  <c r="S243" i="14" s="1"/>
  <c r="H96" i="14"/>
  <c r="P96" i="14" s="1"/>
  <c r="S96" i="14" s="1"/>
  <c r="I62" i="14"/>
  <c r="Q62" i="14" s="1"/>
  <c r="R62" i="14" s="1"/>
  <c r="I482" i="14"/>
  <c r="Q482" i="14" s="1"/>
  <c r="R482" i="14" s="1"/>
  <c r="I51" i="14"/>
  <c r="Q51" i="14" s="1"/>
  <c r="R51" i="14" s="1"/>
  <c r="H50" i="14"/>
  <c r="P50" i="14" s="1"/>
  <c r="S50" i="14" s="1"/>
  <c r="I104" i="14"/>
  <c r="Q104" i="14" s="1"/>
  <c r="R104" i="14" s="1"/>
  <c r="H232" i="14"/>
  <c r="P232" i="14" s="1"/>
  <c r="S232" i="14" s="1"/>
  <c r="H136" i="14"/>
  <c r="P136" i="14" s="1"/>
  <c r="S136" i="14" s="1"/>
  <c r="H14" i="14"/>
  <c r="H63" i="14"/>
  <c r="P63" i="14" s="1"/>
  <c r="S63" i="14" s="1"/>
  <c r="I648" i="14"/>
  <c r="Q648" i="14" s="1"/>
  <c r="R648" i="14" s="1"/>
  <c r="H607" i="14"/>
  <c r="P607" i="14" s="1"/>
  <c r="S607" i="14" s="1"/>
  <c r="I593" i="14"/>
  <c r="Q593" i="14" s="1"/>
  <c r="R593" i="14" s="1"/>
  <c r="H592" i="14"/>
  <c r="P592" i="14" s="1"/>
  <c r="S592" i="14" s="1"/>
  <c r="I606" i="14"/>
  <c r="Q606" i="14" s="1"/>
  <c r="R606" i="14" s="1"/>
  <c r="H700" i="14"/>
  <c r="P700" i="14" s="1"/>
  <c r="S700" i="14" s="1"/>
  <c r="H676" i="14"/>
  <c r="P676" i="14" s="1"/>
  <c r="S676" i="14" s="1"/>
  <c r="I523" i="14"/>
  <c r="Q523" i="14" s="1"/>
  <c r="R523" i="14" s="1"/>
  <c r="H522" i="14"/>
  <c r="P522" i="14" s="1"/>
  <c r="S522" i="14" s="1"/>
  <c r="I499" i="14"/>
  <c r="Q499" i="14" s="1"/>
  <c r="R499" i="14" s="1"/>
  <c r="H498" i="14"/>
  <c r="P498" i="14" s="1"/>
  <c r="S498" i="14" s="1"/>
  <c r="H649" i="14"/>
  <c r="P649" i="14" s="1"/>
  <c r="S649" i="14" s="1"/>
  <c r="H722" i="14"/>
  <c r="P722" i="14" s="1"/>
  <c r="S722" i="14" s="1"/>
  <c r="H626" i="14"/>
  <c r="P626" i="14" s="1"/>
  <c r="S626" i="14" s="1"/>
  <c r="I746" i="14"/>
  <c r="Q746" i="14" s="1"/>
  <c r="R746" i="14" s="1"/>
  <c r="I701" i="14"/>
  <c r="Q701" i="14" s="1"/>
  <c r="R701" i="14" s="1"/>
  <c r="I723" i="14"/>
  <c r="Q723" i="14" s="1"/>
  <c r="R723" i="14" s="1"/>
  <c r="I627" i="14"/>
  <c r="Q627" i="14" s="1"/>
  <c r="R627" i="14" s="1"/>
  <c r="H567" i="14"/>
  <c r="P567" i="14" s="1"/>
  <c r="S567" i="14" s="1"/>
  <c r="H551" i="14"/>
  <c r="P551" i="14" s="1"/>
  <c r="S551" i="14" s="1"/>
  <c r="H707" i="14"/>
  <c r="P707" i="14" s="1"/>
  <c r="S707" i="14" s="1"/>
  <c r="H511" i="14"/>
  <c r="P511" i="14" s="1"/>
  <c r="S511" i="14" s="1"/>
  <c r="I706" i="14"/>
  <c r="Q706" i="14" s="1"/>
  <c r="R706" i="14" s="1"/>
  <c r="I677" i="14"/>
  <c r="Q677" i="14" s="1"/>
  <c r="R677" i="14" s="1"/>
  <c r="H747" i="14"/>
  <c r="P747" i="14" s="1"/>
  <c r="S747" i="14" s="1"/>
  <c r="I435" i="14"/>
  <c r="Q435" i="14" s="1"/>
  <c r="R435" i="14" s="1"/>
  <c r="I387" i="14"/>
  <c r="Q387" i="14" s="1"/>
  <c r="R387" i="14" s="1"/>
  <c r="I355" i="14"/>
  <c r="Q355" i="14" s="1"/>
  <c r="R355" i="14" s="1"/>
  <c r="I325" i="14"/>
  <c r="Q325" i="14" s="1"/>
  <c r="R325" i="14" s="1"/>
  <c r="H324" i="14"/>
  <c r="P324" i="14" s="1"/>
  <c r="S324" i="14" s="1"/>
  <c r="I510" i="14"/>
  <c r="Q510" i="14" s="1"/>
  <c r="R510" i="14" s="1"/>
  <c r="I477" i="14"/>
  <c r="Q477" i="14" s="1"/>
  <c r="R477" i="14" s="1"/>
  <c r="H449" i="14"/>
  <c r="P449" i="14" s="1"/>
  <c r="S449" i="14" s="1"/>
  <c r="H409" i="14"/>
  <c r="P409" i="14" s="1"/>
  <c r="S409" i="14" s="1"/>
  <c r="I310" i="14"/>
  <c r="Q310" i="14" s="1"/>
  <c r="R310" i="14" s="1"/>
  <c r="H269" i="14"/>
  <c r="P269" i="14" s="1"/>
  <c r="S269" i="14" s="1"/>
  <c r="I370" i="14"/>
  <c r="Q370" i="14" s="1"/>
  <c r="R370" i="14" s="1"/>
  <c r="I239" i="14"/>
  <c r="Q239" i="14" s="1"/>
  <c r="R239" i="14" s="1"/>
  <c r="H238" i="14"/>
  <c r="P238" i="14" s="1"/>
  <c r="S238" i="14" s="1"/>
  <c r="I448" i="14"/>
  <c r="Q448" i="14" s="1"/>
  <c r="R448" i="14" s="1"/>
  <c r="I408" i="14"/>
  <c r="Q408" i="14" s="1"/>
  <c r="R408" i="14" s="1"/>
  <c r="H311" i="14"/>
  <c r="P311" i="14" s="1"/>
  <c r="S311" i="14" s="1"/>
  <c r="I248" i="14"/>
  <c r="Q248" i="14" s="1"/>
  <c r="R248" i="14" s="1"/>
  <c r="H476" i="14"/>
  <c r="P476" i="14" s="1"/>
  <c r="S476" i="14" s="1"/>
  <c r="H298" i="14"/>
  <c r="P298" i="14" s="1"/>
  <c r="S298" i="14" s="1"/>
  <c r="I83" i="14"/>
  <c r="Q83" i="14" s="1"/>
  <c r="R83" i="14" s="1"/>
  <c r="H82" i="14"/>
  <c r="P82" i="14" s="1"/>
  <c r="S82" i="14" s="1"/>
  <c r="H147" i="14"/>
  <c r="P147" i="14" s="1"/>
  <c r="S147" i="14" s="1"/>
  <c r="H107" i="14"/>
  <c r="P107" i="14" s="1"/>
  <c r="S107" i="14" s="1"/>
  <c r="I566" i="14"/>
  <c r="Q566" i="14" s="1"/>
  <c r="R566" i="14" s="1"/>
  <c r="H434" i="14"/>
  <c r="P434" i="14" s="1"/>
  <c r="S434" i="14" s="1"/>
  <c r="H386" i="14"/>
  <c r="P386" i="14" s="1"/>
  <c r="S386" i="14" s="1"/>
  <c r="I268" i="14"/>
  <c r="Q268" i="14" s="1"/>
  <c r="R268" i="14" s="1"/>
  <c r="H209" i="14"/>
  <c r="P209" i="14" s="1"/>
  <c r="S209" i="14" s="1"/>
  <c r="H169" i="14"/>
  <c r="P169" i="14" s="1"/>
  <c r="S169" i="14" s="1"/>
  <c r="I146" i="14"/>
  <c r="Q146" i="14" s="1"/>
  <c r="R146" i="14" s="1"/>
  <c r="I550" i="14"/>
  <c r="Q550" i="14" s="1"/>
  <c r="R550" i="14" s="1"/>
  <c r="I201" i="14"/>
  <c r="Q201" i="14" s="1"/>
  <c r="R201" i="14" s="1"/>
  <c r="I129" i="14"/>
  <c r="Q129" i="14" s="1"/>
  <c r="R129" i="14" s="1"/>
  <c r="I106" i="14"/>
  <c r="Q106" i="14" s="1"/>
  <c r="R106" i="14" s="1"/>
  <c r="H67" i="14"/>
  <c r="P67" i="14" s="1"/>
  <c r="S67" i="14" s="1"/>
  <c r="I21" i="14"/>
  <c r="Q21" i="14" s="1"/>
  <c r="H20" i="14"/>
  <c r="H249" i="14"/>
  <c r="P249" i="14" s="1"/>
  <c r="S249" i="14" s="1"/>
  <c r="H371" i="14"/>
  <c r="P371" i="14" s="1"/>
  <c r="S371" i="14" s="1"/>
  <c r="H354" i="14"/>
  <c r="P354" i="14" s="1"/>
  <c r="S354" i="14" s="1"/>
  <c r="I66" i="14"/>
  <c r="Q66" i="14" s="1"/>
  <c r="R66" i="14" s="1"/>
  <c r="I59" i="14"/>
  <c r="Q59" i="14" s="1"/>
  <c r="R59" i="14" s="1"/>
  <c r="H58" i="14"/>
  <c r="P58" i="14" s="1"/>
  <c r="S58" i="14" s="1"/>
  <c r="I168" i="14"/>
  <c r="Q168" i="14" s="1"/>
  <c r="R168" i="14" s="1"/>
  <c r="H200" i="14"/>
  <c r="P200" i="14" s="1"/>
  <c r="S200" i="14" s="1"/>
  <c r="I299" i="14"/>
  <c r="Q299" i="14" s="1"/>
  <c r="R299" i="14" s="1"/>
  <c r="I759" i="14"/>
  <c r="Q759" i="14" s="1"/>
  <c r="R759" i="14" s="1"/>
  <c r="H758" i="14"/>
  <c r="P758" i="14" s="1"/>
  <c r="S758" i="14" s="1"/>
  <c r="I647" i="14"/>
  <c r="Q647" i="14" s="1"/>
  <c r="R647" i="14" s="1"/>
  <c r="H646" i="14"/>
  <c r="P646" i="14" s="1"/>
  <c r="S646" i="14" s="1"/>
  <c r="I607" i="14"/>
  <c r="Q607" i="14" s="1"/>
  <c r="R607" i="14" s="1"/>
  <c r="H606" i="14"/>
  <c r="P606" i="14" s="1"/>
  <c r="S606" i="14" s="1"/>
  <c r="H671" i="14"/>
  <c r="P671" i="14" s="1"/>
  <c r="S671" i="14" s="1"/>
  <c r="H631" i="14"/>
  <c r="P631" i="14" s="1"/>
  <c r="S631" i="14" s="1"/>
  <c r="H591" i="14"/>
  <c r="P591" i="14" s="1"/>
  <c r="S591" i="14" s="1"/>
  <c r="I713" i="14"/>
  <c r="Q713" i="14" s="1"/>
  <c r="R713" i="14" s="1"/>
  <c r="H712" i="14"/>
  <c r="P712" i="14" s="1"/>
  <c r="S712" i="14" s="1"/>
  <c r="I670" i="14"/>
  <c r="Q670" i="14" s="1"/>
  <c r="R670" i="14" s="1"/>
  <c r="I630" i="14"/>
  <c r="Q630" i="14" s="1"/>
  <c r="R630" i="14" s="1"/>
  <c r="I590" i="14"/>
  <c r="Q590" i="14" s="1"/>
  <c r="R590" i="14" s="1"/>
  <c r="I571" i="14"/>
  <c r="Q571" i="14" s="1"/>
  <c r="R571" i="14" s="1"/>
  <c r="H570" i="14"/>
  <c r="P570" i="14" s="1"/>
  <c r="S570" i="14" s="1"/>
  <c r="H531" i="14"/>
  <c r="P531" i="14" s="1"/>
  <c r="S531" i="14" s="1"/>
  <c r="H491" i="14"/>
  <c r="P491" i="14" s="1"/>
  <c r="S491" i="14" s="1"/>
  <c r="I549" i="14"/>
  <c r="Q549" i="14" s="1"/>
  <c r="R549" i="14" s="1"/>
  <c r="H548" i="14"/>
  <c r="P548" i="14" s="1"/>
  <c r="S548" i="14" s="1"/>
  <c r="I730" i="14"/>
  <c r="Q730" i="14" s="1"/>
  <c r="R730" i="14" s="1"/>
  <c r="I445" i="14"/>
  <c r="Q445" i="14" s="1"/>
  <c r="R445" i="14" s="1"/>
  <c r="H444" i="14"/>
  <c r="P444" i="14" s="1"/>
  <c r="S444" i="14" s="1"/>
  <c r="H502" i="14"/>
  <c r="P502" i="14" s="1"/>
  <c r="S502" i="14" s="1"/>
  <c r="I470" i="14"/>
  <c r="Q470" i="14" s="1"/>
  <c r="R470" i="14" s="1"/>
  <c r="I430" i="14"/>
  <c r="Q430" i="14" s="1"/>
  <c r="R430" i="14" s="1"/>
  <c r="I390" i="14"/>
  <c r="Q390" i="14" s="1"/>
  <c r="R390" i="14" s="1"/>
  <c r="I350" i="14"/>
  <c r="Q350" i="14" s="1"/>
  <c r="R350" i="14" s="1"/>
  <c r="H691" i="14"/>
  <c r="P691" i="14" s="1"/>
  <c r="S691" i="14" s="1"/>
  <c r="I690" i="14"/>
  <c r="Q690" i="14" s="1"/>
  <c r="R690" i="14" s="1"/>
  <c r="H731" i="14"/>
  <c r="P731" i="14" s="1"/>
  <c r="S731" i="14" s="1"/>
  <c r="I530" i="14"/>
  <c r="Q530" i="14" s="1"/>
  <c r="R530" i="14" s="1"/>
  <c r="I419" i="14"/>
  <c r="Q419" i="14" s="1"/>
  <c r="R419" i="14" s="1"/>
  <c r="I261" i="14"/>
  <c r="Q261" i="14" s="1"/>
  <c r="R261" i="14" s="1"/>
  <c r="H260" i="14"/>
  <c r="P260" i="14" s="1"/>
  <c r="S260" i="14" s="1"/>
  <c r="I490" i="14"/>
  <c r="Q490" i="14" s="1"/>
  <c r="R490" i="14" s="1"/>
  <c r="H351" i="14"/>
  <c r="P351" i="14" s="1"/>
  <c r="S351" i="14" s="1"/>
  <c r="I230" i="14"/>
  <c r="Q230" i="14" s="1"/>
  <c r="R230" i="14" s="1"/>
  <c r="I271" i="14"/>
  <c r="Q271" i="14" s="1"/>
  <c r="R271" i="14" s="1"/>
  <c r="H270" i="14"/>
  <c r="P270" i="14" s="1"/>
  <c r="S270" i="14" s="1"/>
  <c r="H378" i="14"/>
  <c r="P378" i="14" s="1"/>
  <c r="S378" i="14" s="1"/>
  <c r="I163" i="14"/>
  <c r="Q163" i="14" s="1"/>
  <c r="R163" i="14" s="1"/>
  <c r="H162" i="14"/>
  <c r="P162" i="14" s="1"/>
  <c r="S162" i="14" s="1"/>
  <c r="I115" i="14"/>
  <c r="Q115" i="14" s="1"/>
  <c r="R115" i="14" s="1"/>
  <c r="H114" i="14"/>
  <c r="P114" i="14" s="1"/>
  <c r="S114" i="14" s="1"/>
  <c r="H431" i="14"/>
  <c r="P431" i="14" s="1"/>
  <c r="S431" i="14" s="1"/>
  <c r="H131" i="14"/>
  <c r="P131" i="14" s="1"/>
  <c r="S131" i="14" s="1"/>
  <c r="I100" i="14"/>
  <c r="Q100" i="14" s="1"/>
  <c r="R100" i="14" s="1"/>
  <c r="H418" i="14"/>
  <c r="P418" i="14" s="1"/>
  <c r="S418" i="14" s="1"/>
  <c r="I313" i="14"/>
  <c r="Q313" i="14" s="1"/>
  <c r="R313" i="14" s="1"/>
  <c r="H231" i="14"/>
  <c r="P231" i="14" s="1"/>
  <c r="S231" i="14" s="1"/>
  <c r="I149" i="14"/>
  <c r="Q149" i="14" s="1"/>
  <c r="R149" i="14" s="1"/>
  <c r="H148" i="14"/>
  <c r="P148" i="14" s="1"/>
  <c r="S148" i="14" s="1"/>
  <c r="I330" i="14"/>
  <c r="Q330" i="14" s="1"/>
  <c r="R330" i="14" s="1"/>
  <c r="I290" i="14"/>
  <c r="Q290" i="14" s="1"/>
  <c r="R290" i="14" s="1"/>
  <c r="I130" i="14"/>
  <c r="Q130" i="14" s="1"/>
  <c r="R130" i="14" s="1"/>
  <c r="I379" i="14"/>
  <c r="Q379" i="14" s="1"/>
  <c r="R379" i="14" s="1"/>
  <c r="I71" i="14"/>
  <c r="Q71" i="14" s="1"/>
  <c r="R71" i="14" s="1"/>
  <c r="I20" i="14"/>
  <c r="Q20" i="14" s="1"/>
  <c r="H391" i="14"/>
  <c r="P391" i="14" s="1"/>
  <c r="S391" i="14" s="1"/>
  <c r="H291" i="14"/>
  <c r="P291" i="14" s="1"/>
  <c r="S291" i="14" s="1"/>
  <c r="H191" i="14"/>
  <c r="P191" i="14" s="1"/>
  <c r="S191" i="14" s="1"/>
  <c r="H21" i="14"/>
  <c r="I503" i="14"/>
  <c r="Q503" i="14" s="1"/>
  <c r="R503" i="14" s="1"/>
  <c r="H471" i="14"/>
  <c r="P471" i="14" s="1"/>
  <c r="S471" i="14" s="1"/>
  <c r="H216" i="14"/>
  <c r="P216" i="14" s="1"/>
  <c r="S216" i="14" s="1"/>
  <c r="H70" i="14"/>
  <c r="P70" i="14" s="1"/>
  <c r="S70" i="14" s="1"/>
  <c r="I190" i="14"/>
  <c r="Q190" i="14" s="1"/>
  <c r="R190" i="14" s="1"/>
  <c r="I39" i="14"/>
  <c r="Q39" i="14" s="1"/>
  <c r="R39" i="14" s="1"/>
  <c r="H331" i="14"/>
  <c r="P331" i="14" s="1"/>
  <c r="S331" i="14" s="1"/>
  <c r="H312" i="14"/>
  <c r="P312" i="14" s="1"/>
  <c r="S312" i="14" s="1"/>
  <c r="H101" i="14"/>
  <c r="P101" i="14" s="1"/>
  <c r="S101" i="14" s="1"/>
  <c r="I727" i="14"/>
  <c r="Q727" i="14" s="1"/>
  <c r="R727" i="14" s="1"/>
  <c r="H726" i="14"/>
  <c r="P726" i="14" s="1"/>
  <c r="S726" i="14" s="1"/>
  <c r="I695" i="14"/>
  <c r="Q695" i="14" s="1"/>
  <c r="R695" i="14" s="1"/>
  <c r="H694" i="14"/>
  <c r="P694" i="14" s="1"/>
  <c r="S694" i="14" s="1"/>
  <c r="I591" i="14"/>
  <c r="Q591" i="14" s="1"/>
  <c r="R591" i="14" s="1"/>
  <c r="H590" i="14"/>
  <c r="P590" i="14" s="1"/>
  <c r="S590" i="14" s="1"/>
  <c r="H615" i="14"/>
  <c r="P615" i="14" s="1"/>
  <c r="S615" i="14" s="1"/>
  <c r="I641" i="14"/>
  <c r="Q641" i="14" s="1"/>
  <c r="R641" i="14" s="1"/>
  <c r="H640" i="14"/>
  <c r="P640" i="14" s="1"/>
  <c r="S640" i="14" s="1"/>
  <c r="H757" i="14"/>
  <c r="P757" i="14" s="1"/>
  <c r="S757" i="14" s="1"/>
  <c r="H717" i="14"/>
  <c r="P717" i="14" s="1"/>
  <c r="S717" i="14" s="1"/>
  <c r="H677" i="14"/>
  <c r="P677" i="14" s="1"/>
  <c r="S677" i="14" s="1"/>
  <c r="I614" i="14"/>
  <c r="Q614" i="14" s="1"/>
  <c r="R614" i="14" s="1"/>
  <c r="H652" i="14"/>
  <c r="P652" i="14" s="1"/>
  <c r="S652" i="14" s="1"/>
  <c r="H555" i="14"/>
  <c r="P555" i="14" s="1"/>
  <c r="S555" i="14" s="1"/>
  <c r="H515" i="14"/>
  <c r="P515" i="14" s="1"/>
  <c r="S515" i="14" s="1"/>
  <c r="I541" i="14"/>
  <c r="Q541" i="14" s="1"/>
  <c r="R541" i="14" s="1"/>
  <c r="H540" i="14"/>
  <c r="P540" i="14" s="1"/>
  <c r="S540" i="14" s="1"/>
  <c r="I756" i="14"/>
  <c r="Q756" i="14" s="1"/>
  <c r="R756" i="14" s="1"/>
  <c r="I716" i="14"/>
  <c r="Q716" i="14" s="1"/>
  <c r="R716" i="14" s="1"/>
  <c r="I676" i="14"/>
  <c r="Q676" i="14" s="1"/>
  <c r="R676" i="14" s="1"/>
  <c r="I554" i="14"/>
  <c r="Q554" i="14" s="1"/>
  <c r="R554" i="14" s="1"/>
  <c r="I653" i="14"/>
  <c r="Q653" i="14" s="1"/>
  <c r="R653" i="14" s="1"/>
  <c r="I437" i="14"/>
  <c r="Q437" i="14" s="1"/>
  <c r="R437" i="14" s="1"/>
  <c r="H436" i="14"/>
  <c r="P436" i="14" s="1"/>
  <c r="S436" i="14" s="1"/>
  <c r="H575" i="14"/>
  <c r="P575" i="14" s="1"/>
  <c r="S575" i="14" s="1"/>
  <c r="H484" i="14"/>
  <c r="P484" i="14" s="1"/>
  <c r="S484" i="14" s="1"/>
  <c r="I454" i="14"/>
  <c r="Q454" i="14" s="1"/>
  <c r="R454" i="14" s="1"/>
  <c r="I414" i="14"/>
  <c r="Q414" i="14" s="1"/>
  <c r="R414" i="14" s="1"/>
  <c r="I374" i="14"/>
  <c r="Q374" i="14" s="1"/>
  <c r="R374" i="14" s="1"/>
  <c r="I485" i="14"/>
  <c r="Q485" i="14" s="1"/>
  <c r="R485" i="14" s="1"/>
  <c r="I463" i="14"/>
  <c r="Q463" i="14" s="1"/>
  <c r="R463" i="14" s="1"/>
  <c r="H462" i="14"/>
  <c r="P462" i="14" s="1"/>
  <c r="S462" i="14" s="1"/>
  <c r="I401" i="14"/>
  <c r="Q401" i="14" s="1"/>
  <c r="R401" i="14" s="1"/>
  <c r="I333" i="14"/>
  <c r="Q333" i="14" s="1"/>
  <c r="R333" i="14" s="1"/>
  <c r="H332" i="14"/>
  <c r="P332" i="14" s="1"/>
  <c r="S332" i="14" s="1"/>
  <c r="I269" i="14"/>
  <c r="Q269" i="14" s="1"/>
  <c r="R269" i="14" s="1"/>
  <c r="H268" i="14"/>
  <c r="P268" i="14" s="1"/>
  <c r="S268" i="14" s="1"/>
  <c r="I229" i="14"/>
  <c r="Q229" i="14" s="1"/>
  <c r="R229" i="14" s="1"/>
  <c r="I254" i="14"/>
  <c r="Q254" i="14" s="1"/>
  <c r="R254" i="14" s="1"/>
  <c r="I214" i="14"/>
  <c r="Q214" i="14" s="1"/>
  <c r="R214" i="14" s="1"/>
  <c r="I343" i="14"/>
  <c r="Q343" i="14" s="1"/>
  <c r="R343" i="14" s="1"/>
  <c r="H342" i="14"/>
  <c r="P342" i="14" s="1"/>
  <c r="S342" i="14" s="1"/>
  <c r="I574" i="14"/>
  <c r="Q574" i="14" s="1"/>
  <c r="R574" i="14" s="1"/>
  <c r="I296" i="14"/>
  <c r="Q296" i="14" s="1"/>
  <c r="R296" i="14" s="1"/>
  <c r="H255" i="14"/>
  <c r="P255" i="14" s="1"/>
  <c r="S255" i="14" s="1"/>
  <c r="H215" i="14"/>
  <c r="P215" i="14" s="1"/>
  <c r="S215" i="14" s="1"/>
  <c r="I187" i="14"/>
  <c r="Q187" i="14" s="1"/>
  <c r="R187" i="14" s="1"/>
  <c r="H186" i="14"/>
  <c r="P186" i="14" s="1"/>
  <c r="S186" i="14" s="1"/>
  <c r="I99" i="14"/>
  <c r="Q99" i="14" s="1"/>
  <c r="R99" i="14" s="1"/>
  <c r="H98" i="14"/>
  <c r="P98" i="14" s="1"/>
  <c r="S98" i="14" s="1"/>
  <c r="H415" i="14"/>
  <c r="P415" i="14" s="1"/>
  <c r="S415" i="14" s="1"/>
  <c r="H375" i="14"/>
  <c r="P375" i="14" s="1"/>
  <c r="S375" i="14" s="1"/>
  <c r="I156" i="14"/>
  <c r="Q156" i="14" s="1"/>
  <c r="R156" i="14" s="1"/>
  <c r="I116" i="14"/>
  <c r="Q116" i="14" s="1"/>
  <c r="R116" i="14" s="1"/>
  <c r="H228" i="14"/>
  <c r="P228" i="14" s="1"/>
  <c r="S228" i="14" s="1"/>
  <c r="I125" i="14"/>
  <c r="Q125" i="14" s="1"/>
  <c r="R125" i="14" s="1"/>
  <c r="H124" i="14"/>
  <c r="P124" i="14" s="1"/>
  <c r="S124" i="14" s="1"/>
  <c r="I314" i="14"/>
  <c r="Q314" i="14" s="1"/>
  <c r="R314" i="14" s="1"/>
  <c r="H157" i="14"/>
  <c r="P157" i="14" s="1"/>
  <c r="S157" i="14" s="1"/>
  <c r="I28" i="14"/>
  <c r="Q28" i="14" s="1"/>
  <c r="R28" i="14" s="1"/>
  <c r="H400" i="14"/>
  <c r="P400" i="14" s="1"/>
  <c r="S400" i="14" s="1"/>
  <c r="H71" i="14"/>
  <c r="P71" i="14" s="1"/>
  <c r="S71" i="14" s="1"/>
  <c r="H455" i="14"/>
  <c r="P455" i="14" s="1"/>
  <c r="S455" i="14" s="1"/>
  <c r="H297" i="14"/>
  <c r="P297" i="14" s="1"/>
  <c r="S297" i="14" s="1"/>
  <c r="H175" i="14"/>
  <c r="P175" i="14" s="1"/>
  <c r="S175" i="14" s="1"/>
  <c r="H29" i="14"/>
  <c r="P29" i="14" s="1"/>
  <c r="S29" i="14" s="1"/>
  <c r="I43" i="14"/>
  <c r="Q43" i="14" s="1"/>
  <c r="R43" i="14" s="1"/>
  <c r="H42" i="14"/>
  <c r="P42" i="14" s="1"/>
  <c r="S42" i="14" s="1"/>
  <c r="I19" i="14"/>
  <c r="Q19" i="14" s="1"/>
  <c r="H18" i="14"/>
  <c r="I174" i="14"/>
  <c r="Q174" i="14" s="1"/>
  <c r="R174" i="14" s="1"/>
  <c r="I70" i="14"/>
  <c r="Q70" i="14" s="1"/>
  <c r="R70" i="14" s="1"/>
  <c r="I514" i="14"/>
  <c r="Q514" i="14" s="1"/>
  <c r="R514" i="14" s="1"/>
  <c r="H117" i="14"/>
  <c r="P117" i="14" s="1"/>
  <c r="S117" i="14" s="1"/>
  <c r="I703" i="14"/>
  <c r="Q703" i="14" s="1"/>
  <c r="R703" i="14" s="1"/>
  <c r="H702" i="14"/>
  <c r="P702" i="14" s="1"/>
  <c r="S702" i="14" s="1"/>
  <c r="I640" i="14"/>
  <c r="Q640" i="14" s="1"/>
  <c r="R640" i="14" s="1"/>
  <c r="I600" i="14"/>
  <c r="Q600" i="14" s="1"/>
  <c r="R600" i="14" s="1"/>
  <c r="I665" i="14"/>
  <c r="Q665" i="14" s="1"/>
  <c r="R665" i="14" s="1"/>
  <c r="H664" i="14"/>
  <c r="P664" i="14" s="1"/>
  <c r="S664" i="14" s="1"/>
  <c r="H748" i="14"/>
  <c r="P748" i="14" s="1"/>
  <c r="S748" i="14" s="1"/>
  <c r="H612" i="14"/>
  <c r="P612" i="14" s="1"/>
  <c r="S612" i="14" s="1"/>
  <c r="H641" i="14"/>
  <c r="P641" i="14" s="1"/>
  <c r="S641" i="14" s="1"/>
  <c r="H601" i="14"/>
  <c r="P601" i="14" s="1"/>
  <c r="S601" i="14" s="1"/>
  <c r="I581" i="14"/>
  <c r="Q581" i="14" s="1"/>
  <c r="R581" i="14" s="1"/>
  <c r="H580" i="14"/>
  <c r="P580" i="14" s="1"/>
  <c r="S580" i="14" s="1"/>
  <c r="I749" i="14"/>
  <c r="Q749" i="14" s="1"/>
  <c r="R749" i="14" s="1"/>
  <c r="I698" i="14"/>
  <c r="Q698" i="14" s="1"/>
  <c r="R698" i="14" s="1"/>
  <c r="H559" i="14"/>
  <c r="P559" i="14" s="1"/>
  <c r="S559" i="14" s="1"/>
  <c r="H479" i="14"/>
  <c r="P479" i="14" s="1"/>
  <c r="S479" i="14" s="1"/>
  <c r="I438" i="14"/>
  <c r="Q438" i="14" s="1"/>
  <c r="R438" i="14" s="1"/>
  <c r="I398" i="14"/>
  <c r="Q398" i="14" s="1"/>
  <c r="R398" i="14" s="1"/>
  <c r="H739" i="14"/>
  <c r="P739" i="14" s="1"/>
  <c r="S739" i="14" s="1"/>
  <c r="H659" i="14"/>
  <c r="P659" i="14" s="1"/>
  <c r="S659" i="14" s="1"/>
  <c r="H528" i="14"/>
  <c r="P528" i="14" s="1"/>
  <c r="S528" i="14" s="1"/>
  <c r="I738" i="14"/>
  <c r="Q738" i="14" s="1"/>
  <c r="R738" i="14" s="1"/>
  <c r="I658" i="14"/>
  <c r="Q658" i="14" s="1"/>
  <c r="R658" i="14" s="1"/>
  <c r="I613" i="14"/>
  <c r="Q613" i="14" s="1"/>
  <c r="R613" i="14" s="1"/>
  <c r="H699" i="14"/>
  <c r="P699" i="14" s="1"/>
  <c r="S699" i="14" s="1"/>
  <c r="I518" i="14"/>
  <c r="Q518" i="14" s="1"/>
  <c r="R518" i="14" s="1"/>
  <c r="H519" i="14"/>
  <c r="P519" i="14" s="1"/>
  <c r="S519" i="14" s="1"/>
  <c r="I449" i="14"/>
  <c r="Q449" i="14" s="1"/>
  <c r="R449" i="14" s="1"/>
  <c r="I417" i="14"/>
  <c r="Q417" i="14" s="1"/>
  <c r="R417" i="14" s="1"/>
  <c r="I301" i="14"/>
  <c r="Q301" i="14" s="1"/>
  <c r="R301" i="14" s="1"/>
  <c r="H300" i="14"/>
  <c r="P300" i="14" s="1"/>
  <c r="S300" i="14" s="1"/>
  <c r="I253" i="14"/>
  <c r="Q253" i="14" s="1"/>
  <c r="R253" i="14" s="1"/>
  <c r="H252" i="14"/>
  <c r="P252" i="14" s="1"/>
  <c r="S252" i="14" s="1"/>
  <c r="I318" i="14"/>
  <c r="Q318" i="14" s="1"/>
  <c r="R318" i="14" s="1"/>
  <c r="I278" i="14"/>
  <c r="Q278" i="14" s="1"/>
  <c r="R278" i="14" s="1"/>
  <c r="I238" i="14"/>
  <c r="Q238" i="14" s="1"/>
  <c r="R238" i="14" s="1"/>
  <c r="H490" i="14"/>
  <c r="P490" i="14" s="1"/>
  <c r="S490" i="14" s="1"/>
  <c r="I378" i="14"/>
  <c r="Q378" i="14" s="1"/>
  <c r="R378" i="14" s="1"/>
  <c r="I558" i="14"/>
  <c r="Q558" i="14" s="1"/>
  <c r="R558" i="14" s="1"/>
  <c r="H319" i="14"/>
  <c r="P319" i="14" s="1"/>
  <c r="S319" i="14" s="1"/>
  <c r="H279" i="14"/>
  <c r="P279" i="14" s="1"/>
  <c r="S279" i="14" s="1"/>
  <c r="H239" i="14"/>
  <c r="P239" i="14" s="1"/>
  <c r="S239" i="14" s="1"/>
  <c r="I529" i="14"/>
  <c r="Q529" i="14" s="1"/>
  <c r="R529" i="14" s="1"/>
  <c r="I491" i="14"/>
  <c r="Q491" i="14" s="1"/>
  <c r="R491" i="14" s="1"/>
  <c r="I359" i="14"/>
  <c r="Q359" i="14" s="1"/>
  <c r="R359" i="14" s="1"/>
  <c r="I155" i="14"/>
  <c r="Q155" i="14" s="1"/>
  <c r="R155" i="14" s="1"/>
  <c r="H154" i="14"/>
  <c r="P154" i="14" s="1"/>
  <c r="S154" i="14" s="1"/>
  <c r="H399" i="14"/>
  <c r="P399" i="14" s="1"/>
  <c r="S399" i="14" s="1"/>
  <c r="H139" i="14"/>
  <c r="P139" i="14" s="1"/>
  <c r="S139" i="14" s="1"/>
  <c r="I337" i="14"/>
  <c r="Q337" i="14" s="1"/>
  <c r="R337" i="14" s="1"/>
  <c r="I205" i="14"/>
  <c r="Q205" i="14" s="1"/>
  <c r="R205" i="14" s="1"/>
  <c r="H204" i="14"/>
  <c r="P204" i="14" s="1"/>
  <c r="S204" i="14" s="1"/>
  <c r="H379" i="14"/>
  <c r="P379" i="14" s="1"/>
  <c r="S379" i="14" s="1"/>
  <c r="I138" i="14"/>
  <c r="Q138" i="14" s="1"/>
  <c r="R138" i="14" s="1"/>
  <c r="I12" i="14"/>
  <c r="Q12" i="14" s="1"/>
  <c r="H336" i="14"/>
  <c r="P336" i="14" s="1"/>
  <c r="S336" i="14" s="1"/>
  <c r="I167" i="14"/>
  <c r="Q167" i="14" s="1"/>
  <c r="R167" i="14" s="1"/>
  <c r="I29" i="14"/>
  <c r="Q29" i="14" s="1"/>
  <c r="R29" i="14" s="1"/>
  <c r="H28" i="14"/>
  <c r="P28" i="14" s="1"/>
  <c r="S28" i="14" s="1"/>
  <c r="H199" i="14"/>
  <c r="P199" i="14" s="1"/>
  <c r="S199" i="14" s="1"/>
  <c r="I111" i="14"/>
  <c r="Q111" i="14" s="1"/>
  <c r="R111" i="14" s="1"/>
  <c r="H13" i="14"/>
  <c r="I478" i="14"/>
  <c r="Q478" i="14" s="1"/>
  <c r="R478" i="14" s="1"/>
  <c r="H439" i="14"/>
  <c r="P439" i="14" s="1"/>
  <c r="S439" i="14" s="1"/>
  <c r="H110" i="14"/>
  <c r="P110" i="14" s="1"/>
  <c r="S110" i="14" s="1"/>
  <c r="H95" i="14"/>
  <c r="P95" i="14" s="1"/>
  <c r="S95" i="14" s="1"/>
  <c r="I63" i="14"/>
  <c r="Q63" i="14" s="1"/>
  <c r="R63" i="14" s="1"/>
  <c r="H416" i="14"/>
  <c r="P416" i="14" s="1"/>
  <c r="S416" i="14" s="1"/>
  <c r="H448" i="14"/>
  <c r="P448" i="14" s="1"/>
  <c r="S448" i="14" s="1"/>
  <c r="H358" i="14"/>
  <c r="P358" i="14" s="1"/>
  <c r="S358" i="14" s="1"/>
  <c r="I549" i="15"/>
  <c r="I541" i="15"/>
  <c r="I533" i="15"/>
  <c r="I552" i="15"/>
  <c r="I544" i="15"/>
  <c r="I536" i="15"/>
  <c r="I547" i="15"/>
  <c r="I539" i="15"/>
  <c r="I531" i="15"/>
  <c r="I550" i="15"/>
  <c r="I542" i="15"/>
  <c r="I534" i="15"/>
  <c r="I553" i="15"/>
  <c r="I545" i="15"/>
  <c r="I537" i="15"/>
  <c r="I548" i="15"/>
  <c r="I540" i="15"/>
  <c r="I532" i="15"/>
  <c r="I546" i="15"/>
  <c r="I530" i="15"/>
  <c r="I551" i="15"/>
  <c r="I538" i="15"/>
  <c r="I535" i="15"/>
  <c r="I543" i="15"/>
  <c r="I554" i="15"/>
  <c r="H505" i="15"/>
  <c r="H329" i="15"/>
  <c r="H136" i="15"/>
  <c r="H139" i="15"/>
  <c r="H134" i="15"/>
  <c r="H125" i="15"/>
  <c r="H117" i="15"/>
  <c r="H128" i="15"/>
  <c r="H120" i="15"/>
  <c r="H112" i="15"/>
  <c r="H131" i="15"/>
  <c r="H123" i="15"/>
  <c r="H115" i="15"/>
  <c r="H138" i="15"/>
  <c r="H133" i="15"/>
  <c r="H126" i="15"/>
  <c r="H118" i="15"/>
  <c r="H110" i="15"/>
  <c r="H140" i="15"/>
  <c r="H135" i="15"/>
  <c r="H129" i="15"/>
  <c r="H121" i="15"/>
  <c r="H124" i="15"/>
  <c r="H116" i="15"/>
  <c r="H130" i="15"/>
  <c r="H122" i="15"/>
  <c r="H114" i="15"/>
  <c r="H132" i="15"/>
  <c r="H119" i="15"/>
  <c r="H111" i="15"/>
  <c r="H127" i="15"/>
  <c r="S15" i="14"/>
  <c r="H41" i="14"/>
  <c r="P41" i="14" s="1"/>
  <c r="S41" i="14" s="1"/>
  <c r="I217" i="14"/>
  <c r="Q217" i="14" s="1"/>
  <c r="R217" i="14" s="1"/>
  <c r="J552" i="15"/>
  <c r="J544" i="15"/>
  <c r="J536" i="15"/>
  <c r="J547" i="15"/>
  <c r="J539" i="15"/>
  <c r="J550" i="15"/>
  <c r="J542" i="15"/>
  <c r="J534" i="15"/>
  <c r="J553" i="15"/>
  <c r="J545" i="15"/>
  <c r="J537" i="15"/>
  <c r="J548" i="15"/>
  <c r="J540" i="15"/>
  <c r="J532" i="15"/>
  <c r="J551" i="15"/>
  <c r="J543" i="15"/>
  <c r="J535" i="15"/>
  <c r="J546" i="15"/>
  <c r="J530" i="15"/>
  <c r="J538" i="15"/>
  <c r="J533" i="15"/>
  <c r="J554" i="15"/>
  <c r="J531" i="15"/>
  <c r="J549" i="15"/>
  <c r="J541" i="15"/>
  <c r="I15" i="14"/>
  <c r="Q15" i="14" s="1"/>
  <c r="I32" i="14"/>
  <c r="Q32" i="14" s="1"/>
  <c r="R32" i="14" s="1"/>
  <c r="H38" i="14"/>
  <c r="P38" i="14" s="1"/>
  <c r="S38" i="14" s="1"/>
  <c r="I48" i="14"/>
  <c r="Q48" i="14" s="1"/>
  <c r="R48" i="14" s="1"/>
  <c r="H57" i="14"/>
  <c r="P57" i="14" s="1"/>
  <c r="S57" i="14" s="1"/>
  <c r="Z347" i="11"/>
  <c r="AB347" i="11" s="1"/>
  <c r="AJ347" i="11" s="1"/>
  <c r="AG347" i="11"/>
  <c r="AK347" i="11" s="1"/>
  <c r="Z359" i="11"/>
  <c r="AB359" i="11" s="1"/>
  <c r="AJ359" i="11" s="1"/>
  <c r="AG359" i="11"/>
  <c r="AK359" i="11" s="1"/>
  <c r="Z375" i="11"/>
  <c r="AB375" i="11" s="1"/>
  <c r="AJ375" i="11" s="1"/>
  <c r="AG375" i="11"/>
  <c r="AK375" i="11" s="1"/>
  <c r="Z393" i="11"/>
  <c r="AB393" i="11" s="1"/>
  <c r="AJ393" i="11" s="1"/>
  <c r="AG393" i="11"/>
  <c r="AK393" i="11" s="1"/>
  <c r="Z441" i="11"/>
  <c r="AB441" i="11" s="1"/>
  <c r="AJ441" i="11" s="1"/>
  <c r="AG441" i="11"/>
  <c r="AK441" i="11" s="1"/>
  <c r="I283" i="14"/>
  <c r="Q283" i="14" s="1"/>
  <c r="R283" i="14" s="1"/>
  <c r="H109" i="14"/>
  <c r="P109" i="14" s="1"/>
  <c r="S109" i="14" s="1"/>
  <c r="I112" i="14"/>
  <c r="Q112" i="14" s="1"/>
  <c r="R112" i="14" s="1"/>
  <c r="I74" i="14"/>
  <c r="Q74" i="14" s="1"/>
  <c r="R74" i="14" s="1"/>
  <c r="T15" i="14"/>
  <c r="H315" i="14"/>
  <c r="P315" i="14" s="1"/>
  <c r="S315" i="14" s="1"/>
  <c r="Z361" i="11"/>
  <c r="AB361" i="11" s="1"/>
  <c r="AJ361" i="11" s="1"/>
  <c r="AG361" i="11"/>
  <c r="AK361" i="11" s="1"/>
  <c r="Z395" i="11"/>
  <c r="AB395" i="11" s="1"/>
  <c r="AJ395" i="11" s="1"/>
  <c r="AG395" i="11"/>
  <c r="AK395" i="11" s="1"/>
  <c r="Z407" i="11"/>
  <c r="AB407" i="11" s="1"/>
  <c r="AJ407" i="11" s="1"/>
  <c r="AG407" i="11"/>
  <c r="AK407" i="11" s="1"/>
  <c r="Z423" i="11"/>
  <c r="AB423" i="11" s="1"/>
  <c r="AJ423" i="11" s="1"/>
  <c r="AG423" i="11"/>
  <c r="AK423" i="11" s="1"/>
  <c r="Z439" i="11"/>
  <c r="AB439" i="11" s="1"/>
  <c r="AJ439" i="11" s="1"/>
  <c r="AG439" i="11"/>
  <c r="AK439" i="11" s="1"/>
  <c r="AG478" i="11"/>
  <c r="AK478" i="11" s="1"/>
  <c r="Z478" i="11"/>
  <c r="AB478" i="11" s="1"/>
  <c r="AJ478" i="11" s="1"/>
  <c r="AG494" i="11"/>
  <c r="AK494" i="11" s="1"/>
  <c r="Z494" i="11"/>
  <c r="AB494" i="11" s="1"/>
  <c r="AJ494" i="11" s="1"/>
  <c r="Z507" i="11"/>
  <c r="AB507" i="11" s="1"/>
  <c r="AJ507" i="11" s="1"/>
  <c r="Z523" i="11"/>
  <c r="AB523" i="11" s="1"/>
  <c r="AJ523" i="11" s="1"/>
  <c r="Z543" i="11"/>
  <c r="AB543" i="11" s="1"/>
  <c r="AJ543" i="11" s="1"/>
  <c r="I435" i="15"/>
  <c r="I438" i="15"/>
  <c r="I441" i="15"/>
  <c r="I433" i="15"/>
  <c r="I436" i="15"/>
  <c r="I427" i="15"/>
  <c r="I419" i="15"/>
  <c r="I434" i="15"/>
  <c r="I430" i="15"/>
  <c r="I422" i="15"/>
  <c r="I414" i="15"/>
  <c r="I437" i="15"/>
  <c r="I425" i="15"/>
  <c r="I417" i="15"/>
  <c r="I429" i="15"/>
  <c r="I421" i="15"/>
  <c r="I413" i="15"/>
  <c r="I442" i="15"/>
  <c r="I418" i="15"/>
  <c r="I424" i="15"/>
  <c r="I440" i="15"/>
  <c r="I420" i="15"/>
  <c r="I431" i="15"/>
  <c r="I415" i="15"/>
  <c r="I416" i="15"/>
  <c r="I326" i="15"/>
  <c r="I428" i="15"/>
  <c r="I439" i="15"/>
  <c r="I423" i="15"/>
  <c r="I163" i="15"/>
  <c r="I432" i="15"/>
  <c r="I426" i="15"/>
  <c r="I44" i="15"/>
  <c r="R8" i="14"/>
  <c r="T16" i="14"/>
  <c r="P16" i="14"/>
  <c r="I97" i="14"/>
  <c r="Q97" i="14" s="1"/>
  <c r="R97" i="14" s="1"/>
  <c r="I144" i="14"/>
  <c r="Q144" i="14" s="1"/>
  <c r="R144" i="14" s="1"/>
  <c r="Z331" i="11"/>
  <c r="AB331" i="11" s="1"/>
  <c r="AJ331" i="11" s="1"/>
  <c r="Z349" i="11"/>
  <c r="AB349" i="11" s="1"/>
  <c r="AJ349" i="11" s="1"/>
  <c r="AG349" i="11"/>
  <c r="AK349" i="11" s="1"/>
  <c r="Z405" i="11"/>
  <c r="AB405" i="11" s="1"/>
  <c r="AJ405" i="11" s="1"/>
  <c r="AG405" i="11"/>
  <c r="AK405" i="11" s="1"/>
  <c r="Z421" i="11"/>
  <c r="AB421" i="11" s="1"/>
  <c r="AJ421" i="11" s="1"/>
  <c r="AG421" i="11"/>
  <c r="AK421" i="11" s="1"/>
  <c r="AG453" i="11"/>
  <c r="AK453" i="11" s="1"/>
  <c r="AG468" i="11"/>
  <c r="AK468" i="11" s="1"/>
  <c r="Z468" i="11"/>
  <c r="AB468" i="11" s="1"/>
  <c r="AD468" i="11"/>
  <c r="AG484" i="11"/>
  <c r="AK484" i="11" s="1"/>
  <c r="Z484" i="11"/>
  <c r="AB484" i="11" s="1"/>
  <c r="AJ484" i="11" s="1"/>
  <c r="H440" i="15"/>
  <c r="H435" i="15"/>
  <c r="H438" i="15"/>
  <c r="H441" i="15"/>
  <c r="H433" i="15"/>
  <c r="H432" i="15"/>
  <c r="H424" i="15"/>
  <c r="H416" i="15"/>
  <c r="H427" i="15"/>
  <c r="H419" i="15"/>
  <c r="H434" i="15"/>
  <c r="H430" i="15"/>
  <c r="H422" i="15"/>
  <c r="H414" i="15"/>
  <c r="H442" i="15"/>
  <c r="H426" i="15"/>
  <c r="H418" i="15"/>
  <c r="H431" i="15"/>
  <c r="H415" i="15"/>
  <c r="H421" i="15"/>
  <c r="H417" i="15"/>
  <c r="H436" i="15"/>
  <c r="H428" i="15"/>
  <c r="H439" i="15"/>
  <c r="H423" i="15"/>
  <c r="H429" i="15"/>
  <c r="H437" i="15"/>
  <c r="H326" i="15"/>
  <c r="H420" i="15"/>
  <c r="H163" i="15"/>
  <c r="H413" i="15"/>
  <c r="H425" i="15"/>
  <c r="H44" i="15"/>
  <c r="S8" i="14"/>
  <c r="H33" i="14"/>
  <c r="P33" i="14" s="1"/>
  <c r="S33" i="14" s="1"/>
  <c r="H49" i="14"/>
  <c r="P49" i="14" s="1"/>
  <c r="S49" i="14" s="1"/>
  <c r="I94" i="14"/>
  <c r="Q94" i="14" s="1"/>
  <c r="R94" i="14" s="1"/>
  <c r="H166" i="14"/>
  <c r="P166" i="14" s="1"/>
  <c r="S166" i="14" s="1"/>
  <c r="Z466" i="11"/>
  <c r="AB466" i="11" s="1"/>
  <c r="AJ466" i="11" s="1"/>
  <c r="Z469" i="11"/>
  <c r="AB469" i="11" s="1"/>
  <c r="Z482" i="11"/>
  <c r="AB482" i="11" s="1"/>
  <c r="AJ482" i="11" s="1"/>
  <c r="Z485" i="11"/>
  <c r="AB485" i="11" s="1"/>
  <c r="AJ485" i="11" s="1"/>
  <c r="Z498" i="11"/>
  <c r="AB498" i="11" s="1"/>
  <c r="Z501" i="11"/>
  <c r="AB501" i="11" s="1"/>
  <c r="AJ501" i="11" s="1"/>
  <c r="Z514" i="11"/>
  <c r="AB514" i="11" s="1"/>
  <c r="AJ514" i="11" s="1"/>
  <c r="Z517" i="11"/>
  <c r="AB517" i="11" s="1"/>
  <c r="AJ517" i="11" s="1"/>
  <c r="Z530" i="11"/>
  <c r="AB530" i="11" s="1"/>
  <c r="Z533" i="11"/>
  <c r="AB533" i="11" s="1"/>
  <c r="AJ533" i="11" s="1"/>
  <c r="Z546" i="11"/>
  <c r="AB546" i="11" s="1"/>
  <c r="AJ546" i="11" s="1"/>
  <c r="Z549" i="11"/>
  <c r="AB549" i="11" s="1"/>
  <c r="AJ549" i="11" s="1"/>
  <c r="H151" i="14"/>
  <c r="P151" i="14" s="1"/>
  <c r="S151" i="14" s="1"/>
  <c r="H233" i="14"/>
  <c r="P233" i="14" s="1"/>
  <c r="S233" i="14" s="1"/>
  <c r="I72" i="14"/>
  <c r="Q72" i="14" s="1"/>
  <c r="R72" i="14" s="1"/>
  <c r="I17" i="14"/>
  <c r="Q17" i="14" s="1"/>
  <c r="H32" i="14"/>
  <c r="P32" i="14" s="1"/>
  <c r="S32" i="14" s="1"/>
  <c r="H40" i="14"/>
  <c r="P40" i="14" s="1"/>
  <c r="S40" i="14" s="1"/>
  <c r="H48" i="14"/>
  <c r="P48" i="14" s="1"/>
  <c r="S48" i="14" s="1"/>
  <c r="H56" i="14"/>
  <c r="P56" i="14" s="1"/>
  <c r="S56" i="14" s="1"/>
  <c r="I82" i="14"/>
  <c r="Q82" i="14" s="1"/>
  <c r="R82" i="14" s="1"/>
  <c r="H94" i="14"/>
  <c r="P94" i="14" s="1"/>
  <c r="S94" i="14" s="1"/>
  <c r="H217" i="14"/>
  <c r="P217" i="14" s="1"/>
  <c r="S217" i="14" s="1"/>
  <c r="H426" i="14"/>
  <c r="P426" i="14" s="1"/>
  <c r="S426" i="14" s="1"/>
  <c r="H472" i="14"/>
  <c r="P472" i="14" s="1"/>
  <c r="S472" i="14" s="1"/>
  <c r="AF498" i="11"/>
  <c r="AF530" i="11"/>
  <c r="I13" i="14"/>
  <c r="Q13" i="14" s="1"/>
  <c r="H12" i="14"/>
  <c r="H250" i="15"/>
  <c r="H242" i="15"/>
  <c r="H234" i="15"/>
  <c r="H245" i="15"/>
  <c r="H237" i="15"/>
  <c r="H248" i="15"/>
  <c r="H240" i="15"/>
  <c r="H246" i="15"/>
  <c r="H241" i="15"/>
  <c r="H236" i="15"/>
  <c r="H232" i="15"/>
  <c r="H243" i="15"/>
  <c r="H238" i="15"/>
  <c r="H227" i="15"/>
  <c r="H235" i="15"/>
  <c r="H230" i="15"/>
  <c r="H249" i="15"/>
  <c r="H244" i="15"/>
  <c r="H229" i="15"/>
  <c r="H231" i="15"/>
  <c r="H233" i="15"/>
  <c r="H247" i="15"/>
  <c r="H228" i="15"/>
  <c r="S7" i="14"/>
  <c r="I16" i="14"/>
  <c r="Q16" i="14" s="1"/>
  <c r="H31" i="14"/>
  <c r="P31" i="14" s="1"/>
  <c r="S31" i="14" s="1"/>
  <c r="I33" i="14"/>
  <c r="Q33" i="14" s="1"/>
  <c r="R33" i="14" s="1"/>
  <c r="H39" i="14"/>
  <c r="P39" i="14" s="1"/>
  <c r="S39" i="14" s="1"/>
  <c r="I41" i="14"/>
  <c r="Q41" i="14" s="1"/>
  <c r="R41" i="14" s="1"/>
  <c r="I49" i="14"/>
  <c r="Q49" i="14" s="1"/>
  <c r="R49" i="14" s="1"/>
  <c r="I57" i="14"/>
  <c r="Q57" i="14" s="1"/>
  <c r="R57" i="14" s="1"/>
  <c r="H111" i="14"/>
  <c r="P111" i="14" s="1"/>
  <c r="S111" i="14" s="1"/>
  <c r="I721" i="14"/>
  <c r="Q721" i="14" s="1"/>
  <c r="R721" i="14" s="1"/>
  <c r="H720" i="14"/>
  <c r="P720" i="14" s="1"/>
  <c r="S720" i="14" s="1"/>
  <c r="I673" i="14"/>
  <c r="Q673" i="14" s="1"/>
  <c r="R673" i="14" s="1"/>
  <c r="H672" i="14"/>
  <c r="P672" i="14" s="1"/>
  <c r="S672" i="14" s="1"/>
  <c r="I585" i="14"/>
  <c r="Q585" i="14" s="1"/>
  <c r="R585" i="14" s="1"/>
  <c r="H645" i="14"/>
  <c r="P645" i="14" s="1"/>
  <c r="S645" i="14" s="1"/>
  <c r="H605" i="14"/>
  <c r="P605" i="14" s="1"/>
  <c r="S605" i="14" s="1"/>
  <c r="H756" i="14"/>
  <c r="P756" i="14" s="1"/>
  <c r="S756" i="14" s="1"/>
  <c r="H628" i="14"/>
  <c r="P628" i="14" s="1"/>
  <c r="S628" i="14" s="1"/>
  <c r="I564" i="14"/>
  <c r="Q564" i="14" s="1"/>
  <c r="R564" i="14" s="1"/>
  <c r="I525" i="14"/>
  <c r="Q525" i="14" s="1"/>
  <c r="R525" i="14" s="1"/>
  <c r="H524" i="14"/>
  <c r="P524" i="14" s="1"/>
  <c r="S524" i="14" s="1"/>
  <c r="I644" i="14"/>
  <c r="Q644" i="14" s="1"/>
  <c r="R644" i="14" s="1"/>
  <c r="I604" i="14"/>
  <c r="Q604" i="14" s="1"/>
  <c r="R604" i="14" s="1"/>
  <c r="I682" i="14"/>
  <c r="Q682" i="14" s="1"/>
  <c r="R682" i="14" s="1"/>
  <c r="H474" i="14"/>
  <c r="P474" i="14" s="1"/>
  <c r="S474" i="14" s="1"/>
  <c r="H545" i="14"/>
  <c r="P545" i="14" s="1"/>
  <c r="S545" i="14" s="1"/>
  <c r="H505" i="14"/>
  <c r="P505" i="14" s="1"/>
  <c r="S505" i="14" s="1"/>
  <c r="I475" i="14"/>
  <c r="Q475" i="14" s="1"/>
  <c r="R475" i="14" s="1"/>
  <c r="H445" i="14"/>
  <c r="P445" i="14" s="1"/>
  <c r="S445" i="14" s="1"/>
  <c r="H405" i="14"/>
  <c r="P405" i="14" s="1"/>
  <c r="S405" i="14" s="1"/>
  <c r="H365" i="14"/>
  <c r="P365" i="14" s="1"/>
  <c r="S365" i="14" s="1"/>
  <c r="H723" i="14"/>
  <c r="P723" i="14" s="1"/>
  <c r="S723" i="14" s="1"/>
  <c r="I439" i="14"/>
  <c r="Q439" i="14" s="1"/>
  <c r="R439" i="14" s="1"/>
  <c r="H438" i="14"/>
  <c r="P438" i="14" s="1"/>
  <c r="S438" i="14" s="1"/>
  <c r="I757" i="14"/>
  <c r="Q757" i="14" s="1"/>
  <c r="R757" i="14" s="1"/>
  <c r="I722" i="14"/>
  <c r="Q722" i="14" s="1"/>
  <c r="R722" i="14" s="1"/>
  <c r="I629" i="14"/>
  <c r="Q629" i="14" s="1"/>
  <c r="R629" i="14" s="1"/>
  <c r="H584" i="14"/>
  <c r="P584" i="14" s="1"/>
  <c r="S584" i="14" s="1"/>
  <c r="H683" i="14"/>
  <c r="P683" i="14" s="1"/>
  <c r="S683" i="14" s="1"/>
  <c r="H565" i="14"/>
  <c r="P565" i="14" s="1"/>
  <c r="S565" i="14" s="1"/>
  <c r="I483" i="14"/>
  <c r="Q483" i="14" s="1"/>
  <c r="R483" i="14" s="1"/>
  <c r="I444" i="14"/>
  <c r="Q444" i="14" s="1"/>
  <c r="R444" i="14" s="1"/>
  <c r="I404" i="14"/>
  <c r="Q404" i="14" s="1"/>
  <c r="R404" i="14" s="1"/>
  <c r="I544" i="14"/>
  <c r="Q544" i="14" s="1"/>
  <c r="R544" i="14" s="1"/>
  <c r="H482" i="14"/>
  <c r="P482" i="14" s="1"/>
  <c r="S482" i="14" s="1"/>
  <c r="I385" i="14"/>
  <c r="Q385" i="14" s="1"/>
  <c r="R385" i="14" s="1"/>
  <c r="I341" i="14"/>
  <c r="Q341" i="14" s="1"/>
  <c r="R341" i="14" s="1"/>
  <c r="H340" i="14"/>
  <c r="P340" i="14" s="1"/>
  <c r="S340" i="14" s="1"/>
  <c r="H346" i="14"/>
  <c r="P346" i="14" s="1"/>
  <c r="S346" i="14" s="1"/>
  <c r="H245" i="14"/>
  <c r="P245" i="14" s="1"/>
  <c r="S245" i="14" s="1"/>
  <c r="I347" i="14"/>
  <c r="Q347" i="14" s="1"/>
  <c r="R347" i="14" s="1"/>
  <c r="I231" i="14"/>
  <c r="Q231" i="14" s="1"/>
  <c r="R231" i="14" s="1"/>
  <c r="H230" i="14"/>
  <c r="P230" i="14" s="1"/>
  <c r="S230" i="14" s="1"/>
  <c r="I304" i="14"/>
  <c r="Q304" i="14" s="1"/>
  <c r="R304" i="14" s="1"/>
  <c r="I264" i="14"/>
  <c r="Q264" i="14" s="1"/>
  <c r="R264" i="14" s="1"/>
  <c r="H282" i="14"/>
  <c r="P282" i="14" s="1"/>
  <c r="S282" i="14" s="1"/>
  <c r="I107" i="14"/>
  <c r="Q107" i="14" s="1"/>
  <c r="R107" i="14" s="1"/>
  <c r="H106" i="14"/>
  <c r="P106" i="14" s="1"/>
  <c r="S106" i="14" s="1"/>
  <c r="I204" i="14"/>
  <c r="Q204" i="14" s="1"/>
  <c r="R204" i="14" s="1"/>
  <c r="I164" i="14"/>
  <c r="Q164" i="14" s="1"/>
  <c r="R164" i="14" s="1"/>
  <c r="H123" i="14"/>
  <c r="P123" i="14" s="1"/>
  <c r="S123" i="14" s="1"/>
  <c r="H99" i="14"/>
  <c r="P99" i="14" s="1"/>
  <c r="S99" i="14" s="1"/>
  <c r="I504" i="14"/>
  <c r="Q504" i="14" s="1"/>
  <c r="R504" i="14" s="1"/>
  <c r="H384" i="14"/>
  <c r="P384" i="14" s="1"/>
  <c r="S384" i="14" s="1"/>
  <c r="I244" i="14"/>
  <c r="Q244" i="14" s="1"/>
  <c r="R244" i="14" s="1"/>
  <c r="I122" i="14"/>
  <c r="Q122" i="14" s="1"/>
  <c r="R122" i="14" s="1"/>
  <c r="H205" i="14"/>
  <c r="P205" i="14" s="1"/>
  <c r="S205" i="14" s="1"/>
  <c r="H165" i="14"/>
  <c r="P165" i="14" s="1"/>
  <c r="S165" i="14" s="1"/>
  <c r="I193" i="14"/>
  <c r="Q193" i="14" s="1"/>
  <c r="R193" i="14" s="1"/>
  <c r="I159" i="14"/>
  <c r="Q159" i="14" s="1"/>
  <c r="R159" i="14" s="1"/>
  <c r="H265" i="14"/>
  <c r="P265" i="14" s="1"/>
  <c r="S265" i="14" s="1"/>
  <c r="I364" i="14"/>
  <c r="Q364" i="14" s="1"/>
  <c r="R364" i="14" s="1"/>
  <c r="I608" i="14"/>
  <c r="Q608" i="14" s="1"/>
  <c r="R608" i="14" s="1"/>
  <c r="I697" i="14"/>
  <c r="Q697" i="14" s="1"/>
  <c r="R697" i="14" s="1"/>
  <c r="H696" i="14"/>
  <c r="P696" i="14" s="1"/>
  <c r="S696" i="14" s="1"/>
  <c r="I633" i="14"/>
  <c r="Q633" i="14" s="1"/>
  <c r="R633" i="14" s="1"/>
  <c r="H632" i="14"/>
  <c r="P632" i="14" s="1"/>
  <c r="S632" i="14" s="1"/>
  <c r="H749" i="14"/>
  <c r="P749" i="14" s="1"/>
  <c r="S749" i="14" s="1"/>
  <c r="H709" i="14"/>
  <c r="P709" i="14" s="1"/>
  <c r="S709" i="14" s="1"/>
  <c r="I507" i="14"/>
  <c r="Q507" i="14" s="1"/>
  <c r="R507" i="14" s="1"/>
  <c r="H506" i="14"/>
  <c r="P506" i="14" s="1"/>
  <c r="S506" i="14" s="1"/>
  <c r="I524" i="14"/>
  <c r="Q524" i="14" s="1"/>
  <c r="R524" i="14" s="1"/>
  <c r="I484" i="14"/>
  <c r="Q484" i="14" s="1"/>
  <c r="R484" i="14" s="1"/>
  <c r="H609" i="14"/>
  <c r="P609" i="14" s="1"/>
  <c r="S609" i="14" s="1"/>
  <c r="I748" i="14"/>
  <c r="Q748" i="14" s="1"/>
  <c r="R748" i="14" s="1"/>
  <c r="H730" i="14"/>
  <c r="P730" i="14" s="1"/>
  <c r="S730" i="14" s="1"/>
  <c r="I708" i="14"/>
  <c r="Q708" i="14" s="1"/>
  <c r="R708" i="14" s="1"/>
  <c r="H642" i="14"/>
  <c r="P642" i="14" s="1"/>
  <c r="S642" i="14" s="1"/>
  <c r="H586" i="14"/>
  <c r="P586" i="14" s="1"/>
  <c r="S586" i="14" s="1"/>
  <c r="H569" i="14"/>
  <c r="P569" i="14" s="1"/>
  <c r="S569" i="14" s="1"/>
  <c r="I666" i="14"/>
  <c r="Q666" i="14" s="1"/>
  <c r="R666" i="14" s="1"/>
  <c r="I551" i="14"/>
  <c r="Q551" i="14" s="1"/>
  <c r="R551" i="14" s="1"/>
  <c r="I643" i="14"/>
  <c r="Q643" i="14" s="1"/>
  <c r="R643" i="14" s="1"/>
  <c r="I375" i="14"/>
  <c r="Q375" i="14" s="1"/>
  <c r="R375" i="14" s="1"/>
  <c r="H374" i="14"/>
  <c r="P374" i="14" s="1"/>
  <c r="S374" i="14" s="1"/>
  <c r="I731" i="14"/>
  <c r="Q731" i="14" s="1"/>
  <c r="R731" i="14" s="1"/>
  <c r="I587" i="14"/>
  <c r="Q587" i="14" s="1"/>
  <c r="R587" i="14" s="1"/>
  <c r="H667" i="14"/>
  <c r="P667" i="14" s="1"/>
  <c r="S667" i="14" s="1"/>
  <c r="H451" i="14"/>
  <c r="P451" i="14" s="1"/>
  <c r="S451" i="14" s="1"/>
  <c r="H411" i="14"/>
  <c r="P411" i="14" s="1"/>
  <c r="S411" i="14" s="1"/>
  <c r="H550" i="14"/>
  <c r="P550" i="14" s="1"/>
  <c r="S550" i="14" s="1"/>
  <c r="I467" i="14"/>
  <c r="Q467" i="14" s="1"/>
  <c r="R467" i="14" s="1"/>
  <c r="I441" i="14"/>
  <c r="Q441" i="14" s="1"/>
  <c r="R441" i="14" s="1"/>
  <c r="I393" i="14"/>
  <c r="Q393" i="14" s="1"/>
  <c r="R393" i="14" s="1"/>
  <c r="H325" i="14"/>
  <c r="P325" i="14" s="1"/>
  <c r="S325" i="14" s="1"/>
  <c r="I286" i="14"/>
  <c r="Q286" i="14" s="1"/>
  <c r="R286" i="14" s="1"/>
  <c r="I568" i="14"/>
  <c r="Q568" i="14" s="1"/>
  <c r="R568" i="14" s="1"/>
  <c r="H485" i="14"/>
  <c r="P485" i="14" s="1"/>
  <c r="S485" i="14" s="1"/>
  <c r="H287" i="14"/>
  <c r="P287" i="14" s="1"/>
  <c r="S287" i="14" s="1"/>
  <c r="H525" i="14"/>
  <c r="P525" i="14" s="1"/>
  <c r="S525" i="14" s="1"/>
  <c r="H274" i="14"/>
  <c r="P274" i="14" s="1"/>
  <c r="S274" i="14" s="1"/>
  <c r="H234" i="14"/>
  <c r="P234" i="14" s="1"/>
  <c r="S234" i="14" s="1"/>
  <c r="I450" i="14"/>
  <c r="Q450" i="14" s="1"/>
  <c r="R450" i="14" s="1"/>
  <c r="H211" i="14"/>
  <c r="P211" i="14" s="1"/>
  <c r="S211" i="14" s="1"/>
  <c r="H171" i="14"/>
  <c r="P171" i="14" s="1"/>
  <c r="S171" i="14" s="1"/>
  <c r="I148" i="14"/>
  <c r="Q148" i="14" s="1"/>
  <c r="R148" i="14" s="1"/>
  <c r="I108" i="14"/>
  <c r="Q108" i="14" s="1"/>
  <c r="R108" i="14" s="1"/>
  <c r="H466" i="14"/>
  <c r="P466" i="14" s="1"/>
  <c r="S466" i="14" s="1"/>
  <c r="H440" i="14"/>
  <c r="P440" i="14" s="1"/>
  <c r="S440" i="14" s="1"/>
  <c r="H392" i="14"/>
  <c r="P392" i="14" s="1"/>
  <c r="S392" i="14" s="1"/>
  <c r="I305" i="14"/>
  <c r="Q305" i="14" s="1"/>
  <c r="R305" i="14" s="1"/>
  <c r="I189" i="14"/>
  <c r="Q189" i="14" s="1"/>
  <c r="R189" i="14" s="1"/>
  <c r="H188" i="14"/>
  <c r="P188" i="14" s="1"/>
  <c r="S188" i="14" s="1"/>
  <c r="I141" i="14"/>
  <c r="Q141" i="14" s="1"/>
  <c r="R141" i="14" s="1"/>
  <c r="H140" i="14"/>
  <c r="P140" i="14" s="1"/>
  <c r="S140" i="14" s="1"/>
  <c r="I324" i="14"/>
  <c r="Q324" i="14" s="1"/>
  <c r="R324" i="14" s="1"/>
  <c r="I250" i="14"/>
  <c r="Q250" i="14" s="1"/>
  <c r="R250" i="14" s="1"/>
  <c r="I210" i="14"/>
  <c r="Q210" i="14" s="1"/>
  <c r="R210" i="14" s="1"/>
  <c r="I170" i="14"/>
  <c r="Q170" i="14" s="1"/>
  <c r="R170" i="14" s="1"/>
  <c r="I410" i="14"/>
  <c r="Q410" i="14" s="1"/>
  <c r="R410" i="14" s="1"/>
  <c r="H149" i="14"/>
  <c r="P149" i="14" s="1"/>
  <c r="S149" i="14" s="1"/>
  <c r="I76" i="14"/>
  <c r="Q76" i="14" s="1"/>
  <c r="R76" i="14" s="1"/>
  <c r="H27" i="14"/>
  <c r="P27" i="14" s="1"/>
  <c r="S27" i="14" s="1"/>
  <c r="H304" i="14"/>
  <c r="P304" i="14" s="1"/>
  <c r="S304" i="14" s="1"/>
  <c r="I275" i="14"/>
  <c r="Q275" i="14" s="1"/>
  <c r="R275" i="14" s="1"/>
  <c r="I53" i="14"/>
  <c r="Q53" i="14" s="1"/>
  <c r="R53" i="14" s="1"/>
  <c r="H52" i="14"/>
  <c r="P52" i="14" s="1"/>
  <c r="S52" i="14" s="1"/>
  <c r="H345" i="14"/>
  <c r="P345" i="14" s="1"/>
  <c r="S345" i="14" s="1"/>
  <c r="I3" i="14"/>
  <c r="Q3" i="14" s="1"/>
  <c r="H2" i="14"/>
  <c r="I752" i="14"/>
  <c r="Q752" i="14" s="1"/>
  <c r="R752" i="14" s="1"/>
  <c r="I712" i="14"/>
  <c r="Q712" i="14" s="1"/>
  <c r="R712" i="14" s="1"/>
  <c r="I672" i="14"/>
  <c r="Q672" i="14" s="1"/>
  <c r="R672" i="14" s="1"/>
  <c r="I632" i="14"/>
  <c r="Q632" i="14" s="1"/>
  <c r="R632" i="14" s="1"/>
  <c r="I592" i="14"/>
  <c r="Q592" i="14" s="1"/>
  <c r="R592" i="14" s="1"/>
  <c r="I689" i="14"/>
  <c r="Q689" i="14" s="1"/>
  <c r="R689" i="14" s="1"/>
  <c r="H688" i="14"/>
  <c r="P688" i="14" s="1"/>
  <c r="S688" i="14" s="1"/>
  <c r="I617" i="14"/>
  <c r="Q617" i="14" s="1"/>
  <c r="R617" i="14" s="1"/>
  <c r="H616" i="14"/>
  <c r="P616" i="14" s="1"/>
  <c r="S616" i="14" s="1"/>
  <c r="H724" i="14"/>
  <c r="P724" i="14" s="1"/>
  <c r="S724" i="14" s="1"/>
  <c r="H660" i="14"/>
  <c r="P660" i="14" s="1"/>
  <c r="S660" i="14" s="1"/>
  <c r="I563" i="14"/>
  <c r="Q563" i="14" s="1"/>
  <c r="R563" i="14" s="1"/>
  <c r="H562" i="14"/>
  <c r="P562" i="14" s="1"/>
  <c r="S562" i="14" s="1"/>
  <c r="I515" i="14"/>
  <c r="Q515" i="14" s="1"/>
  <c r="R515" i="14" s="1"/>
  <c r="H514" i="14"/>
  <c r="P514" i="14" s="1"/>
  <c r="S514" i="14" s="1"/>
  <c r="I532" i="14"/>
  <c r="Q532" i="14" s="1"/>
  <c r="R532" i="14" s="1"/>
  <c r="I492" i="14"/>
  <c r="Q492" i="14" s="1"/>
  <c r="R492" i="14" s="1"/>
  <c r="H753" i="14"/>
  <c r="P753" i="14" s="1"/>
  <c r="S753" i="14" s="1"/>
  <c r="H713" i="14"/>
  <c r="P713" i="14" s="1"/>
  <c r="S713" i="14" s="1"/>
  <c r="H673" i="14"/>
  <c r="P673" i="14" s="1"/>
  <c r="S673" i="14" s="1"/>
  <c r="H633" i="14"/>
  <c r="P633" i="14" s="1"/>
  <c r="S633" i="14" s="1"/>
  <c r="H593" i="14"/>
  <c r="P593" i="14" s="1"/>
  <c r="S593" i="14" s="1"/>
  <c r="I553" i="14"/>
  <c r="Q553" i="14" s="1"/>
  <c r="R553" i="14" s="1"/>
  <c r="H533" i="14"/>
  <c r="P533" i="14" s="1"/>
  <c r="S533" i="14" s="1"/>
  <c r="I381" i="14"/>
  <c r="Q381" i="14" s="1"/>
  <c r="R381" i="14" s="1"/>
  <c r="H380" i="14"/>
  <c r="P380" i="14" s="1"/>
  <c r="S380" i="14" s="1"/>
  <c r="H453" i="14"/>
  <c r="P453" i="14" s="1"/>
  <c r="S453" i="14" s="1"/>
  <c r="H413" i="14"/>
  <c r="P413" i="14" s="1"/>
  <c r="S413" i="14" s="1"/>
  <c r="H493" i="14"/>
  <c r="P493" i="14" s="1"/>
  <c r="S493" i="14" s="1"/>
  <c r="I399" i="14"/>
  <c r="Q399" i="14" s="1"/>
  <c r="R399" i="14" s="1"/>
  <c r="H398" i="14"/>
  <c r="P398" i="14" s="1"/>
  <c r="S398" i="14" s="1"/>
  <c r="I725" i="14"/>
  <c r="Q725" i="14" s="1"/>
  <c r="R725" i="14" s="1"/>
  <c r="I661" i="14"/>
  <c r="Q661" i="14" s="1"/>
  <c r="R661" i="14" s="1"/>
  <c r="I452" i="14"/>
  <c r="Q452" i="14" s="1"/>
  <c r="R452" i="14" s="1"/>
  <c r="I412" i="14"/>
  <c r="Q412" i="14" s="1"/>
  <c r="R412" i="14" s="1"/>
  <c r="I465" i="14"/>
  <c r="Q465" i="14" s="1"/>
  <c r="R465" i="14" s="1"/>
  <c r="I433" i="14"/>
  <c r="Q433" i="14" s="1"/>
  <c r="R433" i="14" s="1"/>
  <c r="I317" i="14"/>
  <c r="Q317" i="14" s="1"/>
  <c r="R317" i="14" s="1"/>
  <c r="H316" i="14"/>
  <c r="P316" i="14" s="1"/>
  <c r="S316" i="14" s="1"/>
  <c r="H333" i="14"/>
  <c r="P333" i="14" s="1"/>
  <c r="S333" i="14" s="1"/>
  <c r="H293" i="14"/>
  <c r="P293" i="14" s="1"/>
  <c r="S293" i="14" s="1"/>
  <c r="H253" i="14"/>
  <c r="P253" i="14" s="1"/>
  <c r="S253" i="14" s="1"/>
  <c r="H213" i="14"/>
  <c r="P213" i="14" s="1"/>
  <c r="S213" i="14" s="1"/>
  <c r="I352" i="14"/>
  <c r="Q352" i="14" s="1"/>
  <c r="R352" i="14" s="1"/>
  <c r="I131" i="14"/>
  <c r="Q131" i="14" s="1"/>
  <c r="R131" i="14" s="1"/>
  <c r="H130" i="14"/>
  <c r="P130" i="14" s="1"/>
  <c r="S130" i="14" s="1"/>
  <c r="I67" i="14"/>
  <c r="Q67" i="14" s="1"/>
  <c r="R67" i="14" s="1"/>
  <c r="H66" i="14"/>
  <c r="P66" i="14" s="1"/>
  <c r="S66" i="14" s="1"/>
  <c r="I212" i="14"/>
  <c r="Q212" i="14" s="1"/>
  <c r="R212" i="14" s="1"/>
  <c r="I172" i="14"/>
  <c r="Q172" i="14" s="1"/>
  <c r="R172" i="14" s="1"/>
  <c r="I265" i="14"/>
  <c r="Q265" i="14" s="1"/>
  <c r="R265" i="14" s="1"/>
  <c r="H353" i="14"/>
  <c r="P353" i="14" s="1"/>
  <c r="S353" i="14" s="1"/>
  <c r="I332" i="14"/>
  <c r="Q332" i="14" s="1"/>
  <c r="R332" i="14" s="1"/>
  <c r="I292" i="14"/>
  <c r="Q292" i="14" s="1"/>
  <c r="R292" i="14" s="1"/>
  <c r="I252" i="14"/>
  <c r="Q252" i="14" s="1"/>
  <c r="R252" i="14" s="1"/>
  <c r="I227" i="14"/>
  <c r="Q227" i="14" s="1"/>
  <c r="R227" i="14" s="1"/>
  <c r="H153" i="14"/>
  <c r="P153" i="14" s="1"/>
  <c r="S153" i="14" s="1"/>
  <c r="H113" i="14"/>
  <c r="P113" i="14" s="1"/>
  <c r="S113" i="14" s="1"/>
  <c r="H173" i="14"/>
  <c r="P173" i="14" s="1"/>
  <c r="S173" i="14" s="1"/>
  <c r="I93" i="14"/>
  <c r="Q93" i="14" s="1"/>
  <c r="R93" i="14" s="1"/>
  <c r="H51" i="14"/>
  <c r="P51" i="14" s="1"/>
  <c r="S51" i="14" s="1"/>
  <c r="H464" i="14"/>
  <c r="P464" i="14" s="1"/>
  <c r="S464" i="14" s="1"/>
  <c r="H432" i="14"/>
  <c r="P432" i="14" s="1"/>
  <c r="S432" i="14" s="1"/>
  <c r="I183" i="14"/>
  <c r="Q183" i="14" s="1"/>
  <c r="R183" i="14" s="1"/>
  <c r="H226" i="14"/>
  <c r="P226" i="14" s="1"/>
  <c r="S226" i="14" s="1"/>
  <c r="I27" i="14"/>
  <c r="Q27" i="14" s="1"/>
  <c r="R27" i="14" s="1"/>
  <c r="H26" i="14"/>
  <c r="P26" i="14" s="1"/>
  <c r="S26" i="14" s="1"/>
  <c r="H735" i="14"/>
  <c r="P735" i="14" s="1"/>
  <c r="S735" i="14" s="1"/>
  <c r="H695" i="14"/>
  <c r="P695" i="14" s="1"/>
  <c r="S695" i="14" s="1"/>
  <c r="H679" i="14"/>
  <c r="P679" i="14" s="1"/>
  <c r="S679" i="14" s="1"/>
  <c r="I649" i="14"/>
  <c r="Q649" i="14" s="1"/>
  <c r="R649" i="14" s="1"/>
  <c r="H648" i="14"/>
  <c r="P648" i="14" s="1"/>
  <c r="S648" i="14" s="1"/>
  <c r="I734" i="14"/>
  <c r="Q734" i="14" s="1"/>
  <c r="R734" i="14" s="1"/>
  <c r="I694" i="14"/>
  <c r="Q694" i="14" s="1"/>
  <c r="R694" i="14" s="1"/>
  <c r="I678" i="14"/>
  <c r="Q678" i="14" s="1"/>
  <c r="R678" i="14" s="1"/>
  <c r="H637" i="14"/>
  <c r="P637" i="14" s="1"/>
  <c r="S637" i="14" s="1"/>
  <c r="H597" i="14"/>
  <c r="P597" i="14" s="1"/>
  <c r="S597" i="14" s="1"/>
  <c r="H604" i="14"/>
  <c r="P604" i="14" s="1"/>
  <c r="S604" i="14" s="1"/>
  <c r="I556" i="14"/>
  <c r="Q556" i="14" s="1"/>
  <c r="R556" i="14" s="1"/>
  <c r="I516" i="14"/>
  <c r="Q516" i="14" s="1"/>
  <c r="R516" i="14" s="1"/>
  <c r="I533" i="14"/>
  <c r="Q533" i="14" s="1"/>
  <c r="R533" i="14" s="1"/>
  <c r="H532" i="14"/>
  <c r="P532" i="14" s="1"/>
  <c r="S532" i="14" s="1"/>
  <c r="H714" i="14"/>
  <c r="P714" i="14" s="1"/>
  <c r="S714" i="14" s="1"/>
  <c r="I636" i="14"/>
  <c r="Q636" i="14" s="1"/>
  <c r="R636" i="14" s="1"/>
  <c r="I596" i="14"/>
  <c r="Q596" i="14" s="1"/>
  <c r="R596" i="14" s="1"/>
  <c r="I605" i="14"/>
  <c r="Q605" i="14" s="1"/>
  <c r="R605" i="14" s="1"/>
  <c r="I569" i="14"/>
  <c r="Q569" i="14" s="1"/>
  <c r="R569" i="14" s="1"/>
  <c r="I761" i="14"/>
  <c r="Q761" i="14" s="1"/>
  <c r="R761" i="14" s="1"/>
  <c r="I471" i="14"/>
  <c r="Q471" i="14" s="1"/>
  <c r="R471" i="14" s="1"/>
  <c r="H470" i="14"/>
  <c r="P470" i="14" s="1"/>
  <c r="S470" i="14" s="1"/>
  <c r="H760" i="14"/>
  <c r="P760" i="14" s="1"/>
  <c r="S760" i="14" s="1"/>
  <c r="I715" i="14"/>
  <c r="Q715" i="14" s="1"/>
  <c r="R715" i="14" s="1"/>
  <c r="H557" i="14"/>
  <c r="P557" i="14" s="1"/>
  <c r="S557" i="14" s="1"/>
  <c r="I425" i="14"/>
  <c r="Q425" i="14" s="1"/>
  <c r="R425" i="14" s="1"/>
  <c r="I395" i="14"/>
  <c r="Q395" i="14" s="1"/>
  <c r="R395" i="14" s="1"/>
  <c r="H500" i="14"/>
  <c r="P500" i="14" s="1"/>
  <c r="S500" i="14" s="1"/>
  <c r="H457" i="14"/>
  <c r="P457" i="14" s="1"/>
  <c r="S457" i="14" s="1"/>
  <c r="H417" i="14"/>
  <c r="P417" i="14" s="1"/>
  <c r="S417" i="14" s="1"/>
  <c r="H317" i="14"/>
  <c r="P317" i="14" s="1"/>
  <c r="S317" i="14" s="1"/>
  <c r="I376" i="14"/>
  <c r="Q376" i="14" s="1"/>
  <c r="R376" i="14" s="1"/>
  <c r="I223" i="14"/>
  <c r="Q223" i="14" s="1"/>
  <c r="R223" i="14" s="1"/>
  <c r="H222" i="14"/>
  <c r="P222" i="14" s="1"/>
  <c r="S222" i="14" s="1"/>
  <c r="I456" i="14"/>
  <c r="Q456" i="14" s="1"/>
  <c r="R456" i="14" s="1"/>
  <c r="I416" i="14"/>
  <c r="Q416" i="14" s="1"/>
  <c r="R416" i="14" s="1"/>
  <c r="I256" i="14"/>
  <c r="Q256" i="14" s="1"/>
  <c r="R256" i="14" s="1"/>
  <c r="H517" i="14"/>
  <c r="P517" i="14" s="1"/>
  <c r="S517" i="14" s="1"/>
  <c r="H348" i="14"/>
  <c r="P348" i="14" s="1"/>
  <c r="S348" i="14" s="1"/>
  <c r="H338" i="14"/>
  <c r="P338" i="14" s="1"/>
  <c r="S338" i="14" s="1"/>
  <c r="H266" i="14"/>
  <c r="P266" i="14" s="1"/>
  <c r="S266" i="14" s="1"/>
  <c r="I501" i="14"/>
  <c r="Q501" i="14" s="1"/>
  <c r="R501" i="14" s="1"/>
  <c r="H91" i="14"/>
  <c r="P91" i="14" s="1"/>
  <c r="S91" i="14" s="1"/>
  <c r="H424" i="14"/>
  <c r="P424" i="14" s="1"/>
  <c r="S424" i="14" s="1"/>
  <c r="I216" i="14"/>
  <c r="Q216" i="14" s="1"/>
  <c r="R216" i="14" s="1"/>
  <c r="H568" i="14"/>
  <c r="P568" i="14" s="1"/>
  <c r="S568" i="14" s="1"/>
  <c r="I316" i="14"/>
  <c r="Q316" i="14" s="1"/>
  <c r="R316" i="14" s="1"/>
  <c r="I298" i="14"/>
  <c r="Q298" i="14" s="1"/>
  <c r="R298" i="14" s="1"/>
  <c r="H177" i="14"/>
  <c r="P177" i="14" s="1"/>
  <c r="S177" i="14" s="1"/>
  <c r="I52" i="14"/>
  <c r="Q52" i="14" s="1"/>
  <c r="R52" i="14" s="1"/>
  <c r="I339" i="14"/>
  <c r="Q339" i="14" s="1"/>
  <c r="R339" i="14" s="1"/>
  <c r="I199" i="14"/>
  <c r="Q199" i="14" s="1"/>
  <c r="R199" i="14" s="1"/>
  <c r="I145" i="14"/>
  <c r="Q145" i="14" s="1"/>
  <c r="R145" i="14" s="1"/>
  <c r="H116" i="14"/>
  <c r="P116" i="14" s="1"/>
  <c r="S116" i="14" s="1"/>
  <c r="I90" i="14"/>
  <c r="Q90" i="14" s="1"/>
  <c r="R90" i="14" s="1"/>
  <c r="I349" i="14"/>
  <c r="Q349" i="14" s="1"/>
  <c r="R349" i="14" s="1"/>
  <c r="H135" i="14"/>
  <c r="P135" i="14" s="1"/>
  <c r="S135" i="14" s="1"/>
  <c r="H53" i="14"/>
  <c r="P53" i="14" s="1"/>
  <c r="S53" i="14" s="1"/>
  <c r="I663" i="14"/>
  <c r="Q663" i="14" s="1"/>
  <c r="R663" i="14" s="1"/>
  <c r="H662" i="14"/>
  <c r="P662" i="14" s="1"/>
  <c r="S662" i="14" s="1"/>
  <c r="I639" i="14"/>
  <c r="Q639" i="14" s="1"/>
  <c r="R639" i="14" s="1"/>
  <c r="H638" i="14"/>
  <c r="P638" i="14" s="1"/>
  <c r="S638" i="14" s="1"/>
  <c r="I745" i="14"/>
  <c r="Q745" i="14" s="1"/>
  <c r="R745" i="14" s="1"/>
  <c r="H744" i="14"/>
  <c r="P744" i="14" s="1"/>
  <c r="S744" i="14" s="1"/>
  <c r="H741" i="14"/>
  <c r="P741" i="14" s="1"/>
  <c r="S741" i="14" s="1"/>
  <c r="H701" i="14"/>
  <c r="P701" i="14" s="1"/>
  <c r="S701" i="14" s="1"/>
  <c r="H661" i="14"/>
  <c r="P661" i="14" s="1"/>
  <c r="S661" i="14" s="1"/>
  <c r="H621" i="14"/>
  <c r="P621" i="14" s="1"/>
  <c r="S621" i="14" s="1"/>
  <c r="H708" i="14"/>
  <c r="P708" i="14" s="1"/>
  <c r="S708" i="14" s="1"/>
  <c r="H588" i="14"/>
  <c r="P588" i="14" s="1"/>
  <c r="S588" i="14" s="1"/>
  <c r="I580" i="14"/>
  <c r="Q580" i="14" s="1"/>
  <c r="R580" i="14" s="1"/>
  <c r="I540" i="14"/>
  <c r="Q540" i="14" s="1"/>
  <c r="R540" i="14" s="1"/>
  <c r="I500" i="14"/>
  <c r="Q500" i="14" s="1"/>
  <c r="R500" i="14" s="1"/>
  <c r="I509" i="14"/>
  <c r="Q509" i="14" s="1"/>
  <c r="R509" i="14" s="1"/>
  <c r="I740" i="14"/>
  <c r="Q740" i="14" s="1"/>
  <c r="R740" i="14" s="1"/>
  <c r="I700" i="14"/>
  <c r="Q700" i="14" s="1"/>
  <c r="R700" i="14" s="1"/>
  <c r="I660" i="14"/>
  <c r="Q660" i="14" s="1"/>
  <c r="R660" i="14" s="1"/>
  <c r="I620" i="14"/>
  <c r="Q620" i="14" s="1"/>
  <c r="R620" i="14" s="1"/>
  <c r="I589" i="14"/>
  <c r="Q589" i="14" s="1"/>
  <c r="R589" i="14" s="1"/>
  <c r="I545" i="14"/>
  <c r="Q545" i="14" s="1"/>
  <c r="R545" i="14" s="1"/>
  <c r="H461" i="14"/>
  <c r="P461" i="14" s="1"/>
  <c r="S461" i="14" s="1"/>
  <c r="H421" i="14"/>
  <c r="P421" i="14" s="1"/>
  <c r="S421" i="14" s="1"/>
  <c r="H541" i="14"/>
  <c r="P541" i="14" s="1"/>
  <c r="S541" i="14" s="1"/>
  <c r="I391" i="14"/>
  <c r="Q391" i="14" s="1"/>
  <c r="R391" i="14" s="1"/>
  <c r="H390" i="14"/>
  <c r="P390" i="14" s="1"/>
  <c r="S390" i="14" s="1"/>
  <c r="I709" i="14"/>
  <c r="Q709" i="14" s="1"/>
  <c r="R709" i="14" s="1"/>
  <c r="H581" i="14"/>
  <c r="P581" i="14" s="1"/>
  <c r="S581" i="14" s="1"/>
  <c r="H508" i="14"/>
  <c r="P508" i="14" s="1"/>
  <c r="S508" i="14" s="1"/>
  <c r="I460" i="14"/>
  <c r="Q460" i="14" s="1"/>
  <c r="R460" i="14" s="1"/>
  <c r="I420" i="14"/>
  <c r="Q420" i="14" s="1"/>
  <c r="R420" i="14" s="1"/>
  <c r="I427" i="14"/>
  <c r="Q427" i="14" s="1"/>
  <c r="R427" i="14" s="1"/>
  <c r="I360" i="14"/>
  <c r="Q360" i="14" s="1"/>
  <c r="R360" i="14" s="1"/>
  <c r="I293" i="14"/>
  <c r="Q293" i="14" s="1"/>
  <c r="R293" i="14" s="1"/>
  <c r="H292" i="14"/>
  <c r="P292" i="14" s="1"/>
  <c r="S292" i="14" s="1"/>
  <c r="H544" i="14"/>
  <c r="P544" i="14" s="1"/>
  <c r="S544" i="14" s="1"/>
  <c r="I473" i="14"/>
  <c r="Q473" i="14" s="1"/>
  <c r="R473" i="14" s="1"/>
  <c r="H341" i="14"/>
  <c r="P341" i="14" s="1"/>
  <c r="S341" i="14" s="1"/>
  <c r="H261" i="14"/>
  <c r="P261" i="14" s="1"/>
  <c r="S261" i="14" s="1"/>
  <c r="H221" i="14"/>
  <c r="P221" i="14" s="1"/>
  <c r="S221" i="14" s="1"/>
  <c r="H376" i="14"/>
  <c r="P376" i="14" s="1"/>
  <c r="S376" i="14" s="1"/>
  <c r="H361" i="14"/>
  <c r="P361" i="14" s="1"/>
  <c r="S361" i="14" s="1"/>
  <c r="I280" i="14"/>
  <c r="Q280" i="14" s="1"/>
  <c r="R280" i="14" s="1"/>
  <c r="H314" i="14"/>
  <c r="P314" i="14" s="1"/>
  <c r="S314" i="14" s="1"/>
  <c r="I195" i="14"/>
  <c r="Q195" i="14" s="1"/>
  <c r="R195" i="14" s="1"/>
  <c r="H194" i="14"/>
  <c r="P194" i="14" s="1"/>
  <c r="S194" i="14" s="1"/>
  <c r="I147" i="14"/>
  <c r="Q147" i="14" s="1"/>
  <c r="R147" i="14" s="1"/>
  <c r="H146" i="14"/>
  <c r="P146" i="14" s="1"/>
  <c r="S146" i="14" s="1"/>
  <c r="I180" i="14"/>
  <c r="Q180" i="14" s="1"/>
  <c r="R180" i="14" s="1"/>
  <c r="I140" i="14"/>
  <c r="Q140" i="14" s="1"/>
  <c r="R140" i="14" s="1"/>
  <c r="H501" i="14"/>
  <c r="P501" i="14" s="1"/>
  <c r="S501" i="14" s="1"/>
  <c r="I241" i="14"/>
  <c r="Q241" i="14" s="1"/>
  <c r="R241" i="14" s="1"/>
  <c r="I340" i="14"/>
  <c r="Q340" i="14" s="1"/>
  <c r="R340" i="14" s="1"/>
  <c r="I260" i="14"/>
  <c r="Q260" i="14" s="1"/>
  <c r="R260" i="14" s="1"/>
  <c r="H181" i="14"/>
  <c r="P181" i="14" s="1"/>
  <c r="S181" i="14" s="1"/>
  <c r="H141" i="14"/>
  <c r="P141" i="14" s="1"/>
  <c r="S141" i="14" s="1"/>
  <c r="H240" i="14"/>
  <c r="P240" i="14" s="1"/>
  <c r="S240" i="14" s="1"/>
  <c r="H118" i="14"/>
  <c r="P118" i="14" s="1"/>
  <c r="S118" i="14" s="1"/>
  <c r="I96" i="14"/>
  <c r="Q96" i="14" s="1"/>
  <c r="R96" i="14" s="1"/>
  <c r="I5" i="14"/>
  <c r="Q5" i="14" s="1"/>
  <c r="H4" i="14"/>
  <c r="H281" i="14"/>
  <c r="P281" i="14" s="1"/>
  <c r="S281" i="14" s="1"/>
  <c r="I220" i="14"/>
  <c r="Q220" i="14" s="1"/>
  <c r="R220" i="14" s="1"/>
  <c r="I30" i="14"/>
  <c r="Q30" i="14" s="1"/>
  <c r="R30" i="14" s="1"/>
  <c r="I377" i="14"/>
  <c r="Q377" i="14" s="1"/>
  <c r="R377" i="14" s="1"/>
  <c r="H75" i="14"/>
  <c r="P75" i="14" s="1"/>
  <c r="S75" i="14" s="1"/>
  <c r="I23" i="14"/>
  <c r="Q23" i="14" s="1"/>
  <c r="R23" i="14" s="1"/>
  <c r="I55" i="14"/>
  <c r="Q55" i="14" s="1"/>
  <c r="R55" i="14" s="1"/>
  <c r="I101" i="14"/>
  <c r="Q101" i="14" s="1"/>
  <c r="R101" i="14" s="1"/>
  <c r="H104" i="14"/>
  <c r="P104" i="14" s="1"/>
  <c r="S104" i="14" s="1"/>
  <c r="H158" i="14"/>
  <c r="P158" i="14" s="1"/>
  <c r="S158" i="14" s="1"/>
  <c r="H168" i="14"/>
  <c r="P168" i="14" s="1"/>
  <c r="S168" i="14" s="1"/>
  <c r="H190" i="14"/>
  <c r="P190" i="14" s="1"/>
  <c r="S190" i="14" s="1"/>
  <c r="H251" i="14"/>
  <c r="P251" i="14" s="1"/>
  <c r="S251" i="14" s="1"/>
  <c r="I371" i="14"/>
  <c r="Q371" i="14" s="1"/>
  <c r="R371" i="14" s="1"/>
  <c r="Z456" i="11"/>
  <c r="AB456" i="11" s="1"/>
  <c r="AJ456" i="11" s="1"/>
  <c r="Z472" i="11"/>
  <c r="AB472" i="11" s="1"/>
  <c r="AJ472" i="11" s="1"/>
  <c r="Z504" i="11"/>
  <c r="AB504" i="11" s="1"/>
  <c r="AJ504" i="11" s="1"/>
  <c r="Z520" i="11"/>
  <c r="AB520" i="11" s="1"/>
  <c r="AJ520" i="11" s="1"/>
  <c r="Z536" i="11"/>
  <c r="AB536" i="11" s="1"/>
  <c r="AJ536" i="11" s="1"/>
  <c r="Z552" i="11"/>
  <c r="AB552" i="11" s="1"/>
  <c r="AJ552" i="11" s="1"/>
  <c r="T7" i="14"/>
  <c r="H17" i="14"/>
  <c r="I79" i="14"/>
  <c r="Q79" i="14" s="1"/>
  <c r="R79" i="14" s="1"/>
  <c r="I117" i="14"/>
  <c r="Q117" i="14" s="1"/>
  <c r="R117" i="14" s="1"/>
  <c r="I152" i="14"/>
  <c r="Q152" i="14" s="1"/>
  <c r="R152" i="14" s="1"/>
  <c r="H299" i="14"/>
  <c r="P299" i="14" s="1"/>
  <c r="S299" i="14" s="1"/>
  <c r="H743" i="14"/>
  <c r="P743" i="14" s="1"/>
  <c r="S743" i="14" s="1"/>
  <c r="H703" i="14"/>
  <c r="P703" i="14" s="1"/>
  <c r="S703" i="14" s="1"/>
  <c r="H663" i="14"/>
  <c r="P663" i="14" s="1"/>
  <c r="S663" i="14" s="1"/>
  <c r="H623" i="14"/>
  <c r="P623" i="14" s="1"/>
  <c r="S623" i="14" s="1"/>
  <c r="I729" i="14"/>
  <c r="Q729" i="14" s="1"/>
  <c r="R729" i="14" s="1"/>
  <c r="H728" i="14"/>
  <c r="P728" i="14" s="1"/>
  <c r="S728" i="14" s="1"/>
  <c r="I609" i="14"/>
  <c r="Q609" i="14" s="1"/>
  <c r="R609" i="14" s="1"/>
  <c r="H608" i="14"/>
  <c r="P608" i="14" s="1"/>
  <c r="S608" i="14" s="1"/>
  <c r="I742" i="14"/>
  <c r="Q742" i="14" s="1"/>
  <c r="R742" i="14" s="1"/>
  <c r="I702" i="14"/>
  <c r="Q702" i="14" s="1"/>
  <c r="R702" i="14" s="1"/>
  <c r="I662" i="14"/>
  <c r="Q662" i="14" s="1"/>
  <c r="R662" i="14" s="1"/>
  <c r="I622" i="14"/>
  <c r="Q622" i="14" s="1"/>
  <c r="R622" i="14" s="1"/>
  <c r="H692" i="14"/>
  <c r="P692" i="14" s="1"/>
  <c r="S692" i="14" s="1"/>
  <c r="H644" i="14"/>
  <c r="P644" i="14" s="1"/>
  <c r="S644" i="14" s="1"/>
  <c r="I567" i="14"/>
  <c r="Q567" i="14" s="1"/>
  <c r="R567" i="14" s="1"/>
  <c r="I502" i="14"/>
  <c r="Q502" i="14" s="1"/>
  <c r="R502" i="14" s="1"/>
  <c r="I413" i="14"/>
  <c r="Q413" i="14" s="1"/>
  <c r="R413" i="14" s="1"/>
  <c r="H412" i="14"/>
  <c r="P412" i="14" s="1"/>
  <c r="S412" i="14" s="1"/>
  <c r="H583" i="14"/>
  <c r="P583" i="14" s="1"/>
  <c r="S583" i="14" s="1"/>
  <c r="I462" i="14"/>
  <c r="Q462" i="14" s="1"/>
  <c r="R462" i="14" s="1"/>
  <c r="I422" i="14"/>
  <c r="Q422" i="14" s="1"/>
  <c r="R422" i="14" s="1"/>
  <c r="I382" i="14"/>
  <c r="Q382" i="14" s="1"/>
  <c r="R382" i="14" s="1"/>
  <c r="H543" i="14"/>
  <c r="P543" i="14" s="1"/>
  <c r="S543" i="14" s="1"/>
  <c r="I582" i="14"/>
  <c r="Q582" i="14" s="1"/>
  <c r="R582" i="14" s="1"/>
  <c r="I693" i="14"/>
  <c r="Q693" i="14" s="1"/>
  <c r="R693" i="14" s="1"/>
  <c r="I645" i="14"/>
  <c r="Q645" i="14" s="1"/>
  <c r="R645" i="14" s="1"/>
  <c r="I495" i="14"/>
  <c r="Q495" i="14" s="1"/>
  <c r="R495" i="14" s="1"/>
  <c r="H566" i="14"/>
  <c r="P566" i="14" s="1"/>
  <c r="S566" i="14" s="1"/>
  <c r="H536" i="14"/>
  <c r="P536" i="14" s="1"/>
  <c r="S536" i="14" s="1"/>
  <c r="H503" i="14"/>
  <c r="P503" i="14" s="1"/>
  <c r="S503" i="14" s="1"/>
  <c r="I457" i="14"/>
  <c r="Q457" i="14" s="1"/>
  <c r="R457" i="14" s="1"/>
  <c r="I351" i="14"/>
  <c r="Q351" i="14" s="1"/>
  <c r="R351" i="14" s="1"/>
  <c r="H383" i="14"/>
  <c r="P383" i="14" s="1"/>
  <c r="S383" i="14" s="1"/>
  <c r="I302" i="14"/>
  <c r="Q302" i="14" s="1"/>
  <c r="R302" i="14" s="1"/>
  <c r="I222" i="14"/>
  <c r="Q222" i="14" s="1"/>
  <c r="R222" i="14" s="1"/>
  <c r="I327" i="14"/>
  <c r="Q327" i="14" s="1"/>
  <c r="R327" i="14" s="1"/>
  <c r="H326" i="14"/>
  <c r="P326" i="14" s="1"/>
  <c r="S326" i="14" s="1"/>
  <c r="I247" i="14"/>
  <c r="Q247" i="14" s="1"/>
  <c r="R247" i="14" s="1"/>
  <c r="H246" i="14"/>
  <c r="P246" i="14" s="1"/>
  <c r="S246" i="14" s="1"/>
  <c r="H303" i="14"/>
  <c r="P303" i="14" s="1"/>
  <c r="S303" i="14" s="1"/>
  <c r="I537" i="14"/>
  <c r="Q537" i="14" s="1"/>
  <c r="R537" i="14" s="1"/>
  <c r="I139" i="14"/>
  <c r="Q139" i="14" s="1"/>
  <c r="R139" i="14" s="1"/>
  <c r="H138" i="14"/>
  <c r="P138" i="14" s="1"/>
  <c r="S138" i="14" s="1"/>
  <c r="H463" i="14"/>
  <c r="P463" i="14" s="1"/>
  <c r="S463" i="14" s="1"/>
  <c r="H218" i="14"/>
  <c r="P218" i="14" s="1"/>
  <c r="S218" i="14" s="1"/>
  <c r="H494" i="14"/>
  <c r="P494" i="14" s="1"/>
  <c r="S494" i="14" s="1"/>
  <c r="H456" i="14"/>
  <c r="P456" i="14" s="1"/>
  <c r="S456" i="14" s="1"/>
  <c r="H350" i="14"/>
  <c r="P350" i="14" s="1"/>
  <c r="S350" i="14" s="1"/>
  <c r="I281" i="14"/>
  <c r="Q281" i="14" s="1"/>
  <c r="R281" i="14" s="1"/>
  <c r="I282" i="14"/>
  <c r="Q282" i="14" s="1"/>
  <c r="R282" i="14" s="1"/>
  <c r="I743" i="14"/>
  <c r="Q743" i="14" s="1"/>
  <c r="R743" i="14" s="1"/>
  <c r="H742" i="14"/>
  <c r="P742" i="14" s="1"/>
  <c r="S742" i="14" s="1"/>
  <c r="I711" i="14"/>
  <c r="Q711" i="14" s="1"/>
  <c r="R711" i="14" s="1"/>
  <c r="H710" i="14"/>
  <c r="P710" i="14" s="1"/>
  <c r="S710" i="14" s="1"/>
  <c r="H727" i="14"/>
  <c r="P727" i="14" s="1"/>
  <c r="S727" i="14" s="1"/>
  <c r="H687" i="14"/>
  <c r="P687" i="14" s="1"/>
  <c r="S687" i="14" s="1"/>
  <c r="I664" i="14"/>
  <c r="Q664" i="14" s="1"/>
  <c r="R664" i="14" s="1"/>
  <c r="I726" i="14"/>
  <c r="Q726" i="14" s="1"/>
  <c r="R726" i="14" s="1"/>
  <c r="I686" i="14"/>
  <c r="Q686" i="14" s="1"/>
  <c r="R686" i="14" s="1"/>
  <c r="I548" i="14"/>
  <c r="Q548" i="14" s="1"/>
  <c r="R548" i="14" s="1"/>
  <c r="I508" i="14"/>
  <c r="Q508" i="14" s="1"/>
  <c r="R508" i="14" s="1"/>
  <c r="H665" i="14"/>
  <c r="P665" i="14" s="1"/>
  <c r="S665" i="14" s="1"/>
  <c r="I573" i="14"/>
  <c r="Q573" i="14" s="1"/>
  <c r="R573" i="14" s="1"/>
  <c r="H572" i="14"/>
  <c r="P572" i="14" s="1"/>
  <c r="S572" i="14" s="1"/>
  <c r="H650" i="14"/>
  <c r="P650" i="14" s="1"/>
  <c r="S650" i="14" s="1"/>
  <c r="H602" i="14"/>
  <c r="P602" i="14" s="1"/>
  <c r="S602" i="14" s="1"/>
  <c r="I586" i="14"/>
  <c r="Q586" i="14" s="1"/>
  <c r="R586" i="14" s="1"/>
  <c r="H627" i="14"/>
  <c r="P627" i="14" s="1"/>
  <c r="S627" i="14" s="1"/>
  <c r="H509" i="14"/>
  <c r="P509" i="14" s="1"/>
  <c r="S509" i="14" s="1"/>
  <c r="I407" i="14"/>
  <c r="Q407" i="14" s="1"/>
  <c r="R407" i="14" s="1"/>
  <c r="H406" i="14"/>
  <c r="P406" i="14" s="1"/>
  <c r="S406" i="14" s="1"/>
  <c r="I626" i="14"/>
  <c r="Q626" i="14" s="1"/>
  <c r="R626" i="14" s="1"/>
  <c r="I651" i="14"/>
  <c r="Q651" i="14" s="1"/>
  <c r="R651" i="14" s="1"/>
  <c r="I603" i="14"/>
  <c r="Q603" i="14" s="1"/>
  <c r="R603" i="14" s="1"/>
  <c r="H549" i="14"/>
  <c r="P549" i="14" s="1"/>
  <c r="S549" i="14" s="1"/>
  <c r="I535" i="14"/>
  <c r="Q535" i="14" s="1"/>
  <c r="R535" i="14" s="1"/>
  <c r="I459" i="14"/>
  <c r="Q459" i="14" s="1"/>
  <c r="R459" i="14" s="1"/>
  <c r="I245" i="14"/>
  <c r="Q245" i="14" s="1"/>
  <c r="R245" i="14" s="1"/>
  <c r="H244" i="14"/>
  <c r="P244" i="14" s="1"/>
  <c r="S244" i="14" s="1"/>
  <c r="H465" i="14"/>
  <c r="P465" i="14" s="1"/>
  <c r="S465" i="14" s="1"/>
  <c r="H425" i="14"/>
  <c r="P425" i="14" s="1"/>
  <c r="S425" i="14" s="1"/>
  <c r="H385" i="14"/>
  <c r="P385" i="14" s="1"/>
  <c r="S385" i="14" s="1"/>
  <c r="H369" i="14"/>
  <c r="P369" i="14" s="1"/>
  <c r="S369" i="14" s="1"/>
  <c r="H360" i="14"/>
  <c r="P360" i="14" s="1"/>
  <c r="S360" i="14" s="1"/>
  <c r="H309" i="14"/>
  <c r="P309" i="14" s="1"/>
  <c r="S309" i="14" s="1"/>
  <c r="H285" i="14"/>
  <c r="P285" i="14" s="1"/>
  <c r="S285" i="14" s="1"/>
  <c r="H587" i="14"/>
  <c r="P587" i="14" s="1"/>
  <c r="S587" i="14" s="1"/>
  <c r="I361" i="14"/>
  <c r="Q361" i="14" s="1"/>
  <c r="R361" i="14" s="1"/>
  <c r="I279" i="14"/>
  <c r="Q279" i="14" s="1"/>
  <c r="R279" i="14" s="1"/>
  <c r="H278" i="14"/>
  <c r="P278" i="14" s="1"/>
  <c r="S278" i="14" s="1"/>
  <c r="I464" i="14"/>
  <c r="Q464" i="14" s="1"/>
  <c r="R464" i="14" s="1"/>
  <c r="I424" i="14"/>
  <c r="Q424" i="14" s="1"/>
  <c r="R424" i="14" s="1"/>
  <c r="H330" i="14"/>
  <c r="P330" i="14" s="1"/>
  <c r="S330" i="14" s="1"/>
  <c r="I84" i="14"/>
  <c r="Q84" i="14" s="1"/>
  <c r="R84" i="14" s="1"/>
  <c r="I497" i="14"/>
  <c r="Q497" i="14" s="1"/>
  <c r="R497" i="14" s="1"/>
  <c r="H225" i="14"/>
  <c r="P225" i="14" s="1"/>
  <c r="S225" i="14" s="1"/>
  <c r="H212" i="14"/>
  <c r="P212" i="14" s="1"/>
  <c r="S212" i="14" s="1"/>
  <c r="I157" i="14"/>
  <c r="Q157" i="14" s="1"/>
  <c r="R157" i="14" s="1"/>
  <c r="H156" i="14"/>
  <c r="P156" i="14" s="1"/>
  <c r="S156" i="14" s="1"/>
  <c r="I368" i="14"/>
  <c r="Q368" i="14" s="1"/>
  <c r="R368" i="14" s="1"/>
  <c r="I308" i="14"/>
  <c r="Q308" i="14" s="1"/>
  <c r="R308" i="14" s="1"/>
  <c r="I284" i="14"/>
  <c r="Q284" i="14" s="1"/>
  <c r="R284" i="14" s="1"/>
  <c r="H185" i="14"/>
  <c r="P185" i="14" s="1"/>
  <c r="S185" i="14" s="1"/>
  <c r="I671" i="14"/>
  <c r="Q671" i="14" s="1"/>
  <c r="R671" i="14" s="1"/>
  <c r="H670" i="14"/>
  <c r="P670" i="14" s="1"/>
  <c r="S670" i="14" s="1"/>
  <c r="I728" i="14"/>
  <c r="Q728" i="14" s="1"/>
  <c r="R728" i="14" s="1"/>
  <c r="I688" i="14"/>
  <c r="Q688" i="14" s="1"/>
  <c r="R688" i="14" s="1"/>
  <c r="H629" i="14"/>
  <c r="P629" i="14" s="1"/>
  <c r="S629" i="14" s="1"/>
  <c r="H589" i="14"/>
  <c r="P589" i="14" s="1"/>
  <c r="S589" i="14" s="1"/>
  <c r="H729" i="14"/>
  <c r="P729" i="14" s="1"/>
  <c r="S729" i="14" s="1"/>
  <c r="H689" i="14"/>
  <c r="P689" i="14" s="1"/>
  <c r="S689" i="14" s="1"/>
  <c r="I557" i="14"/>
  <c r="Q557" i="14" s="1"/>
  <c r="R557" i="14" s="1"/>
  <c r="H556" i="14"/>
  <c r="P556" i="14" s="1"/>
  <c r="S556" i="14" s="1"/>
  <c r="H754" i="14"/>
  <c r="P754" i="14" s="1"/>
  <c r="S754" i="14" s="1"/>
  <c r="H706" i="14"/>
  <c r="P706" i="14" s="1"/>
  <c r="S706" i="14" s="1"/>
  <c r="I628" i="14"/>
  <c r="Q628" i="14" s="1"/>
  <c r="R628" i="14" s="1"/>
  <c r="H610" i="14"/>
  <c r="P610" i="14" s="1"/>
  <c r="S610" i="14" s="1"/>
  <c r="I588" i="14"/>
  <c r="Q588" i="14" s="1"/>
  <c r="R588" i="14" s="1"/>
  <c r="I650" i="14"/>
  <c r="Q650" i="14" s="1"/>
  <c r="R650" i="14" s="1"/>
  <c r="I577" i="14"/>
  <c r="Q577" i="14" s="1"/>
  <c r="R577" i="14" s="1"/>
  <c r="H520" i="14"/>
  <c r="P520" i="14" s="1"/>
  <c r="S520" i="14" s="1"/>
  <c r="I488" i="14"/>
  <c r="Q488" i="14" s="1"/>
  <c r="R488" i="14" s="1"/>
  <c r="I373" i="14"/>
  <c r="Q373" i="14" s="1"/>
  <c r="R373" i="14" s="1"/>
  <c r="H372" i="14"/>
  <c r="P372" i="14" s="1"/>
  <c r="S372" i="14" s="1"/>
  <c r="I755" i="14"/>
  <c r="Q755" i="14" s="1"/>
  <c r="R755" i="14" s="1"/>
  <c r="I707" i="14"/>
  <c r="Q707" i="14" s="1"/>
  <c r="R707" i="14" s="1"/>
  <c r="I611" i="14"/>
  <c r="Q611" i="14" s="1"/>
  <c r="R611" i="14" s="1"/>
  <c r="I528" i="14"/>
  <c r="Q528" i="14" s="1"/>
  <c r="R528" i="14" s="1"/>
  <c r="H469" i="14"/>
  <c r="P469" i="14" s="1"/>
  <c r="S469" i="14" s="1"/>
  <c r="H429" i="14"/>
  <c r="P429" i="14" s="1"/>
  <c r="S429" i="14" s="1"/>
  <c r="H389" i="14"/>
  <c r="P389" i="14" s="1"/>
  <c r="S389" i="14" s="1"/>
  <c r="H349" i="14"/>
  <c r="P349" i="14" s="1"/>
  <c r="S349" i="14" s="1"/>
  <c r="I521" i="14"/>
  <c r="Q521" i="14" s="1"/>
  <c r="R521" i="14" s="1"/>
  <c r="I455" i="14"/>
  <c r="Q455" i="14" s="1"/>
  <c r="R455" i="14" s="1"/>
  <c r="H454" i="14"/>
  <c r="P454" i="14" s="1"/>
  <c r="S454" i="14" s="1"/>
  <c r="H651" i="14"/>
  <c r="P651" i="14" s="1"/>
  <c r="S651" i="14" s="1"/>
  <c r="I468" i="14"/>
  <c r="Q468" i="14" s="1"/>
  <c r="R468" i="14" s="1"/>
  <c r="I428" i="14"/>
  <c r="Q428" i="14" s="1"/>
  <c r="R428" i="14" s="1"/>
  <c r="I388" i="14"/>
  <c r="Q388" i="14" s="1"/>
  <c r="R388" i="14" s="1"/>
  <c r="H576" i="14"/>
  <c r="P576" i="14" s="1"/>
  <c r="S576" i="14" s="1"/>
  <c r="I411" i="14"/>
  <c r="Q411" i="14" s="1"/>
  <c r="R411" i="14" s="1"/>
  <c r="I285" i="14"/>
  <c r="Q285" i="14" s="1"/>
  <c r="R285" i="14" s="1"/>
  <c r="H284" i="14"/>
  <c r="P284" i="14" s="1"/>
  <c r="S284" i="14" s="1"/>
  <c r="I270" i="14"/>
  <c r="Q270" i="14" s="1"/>
  <c r="R270" i="14" s="1"/>
  <c r="H229" i="14"/>
  <c r="P229" i="14" s="1"/>
  <c r="S229" i="14" s="1"/>
  <c r="I319" i="14"/>
  <c r="Q319" i="14" s="1"/>
  <c r="R319" i="14" s="1"/>
  <c r="H318" i="14"/>
  <c r="P318" i="14" s="1"/>
  <c r="S318" i="14" s="1"/>
  <c r="I348" i="14"/>
  <c r="Q348" i="14" s="1"/>
  <c r="R348" i="14" s="1"/>
  <c r="I328" i="14"/>
  <c r="Q328" i="14" s="1"/>
  <c r="R328" i="14" s="1"/>
  <c r="H271" i="14"/>
  <c r="P271" i="14" s="1"/>
  <c r="S271" i="14" s="1"/>
  <c r="H242" i="14"/>
  <c r="P242" i="14" s="1"/>
  <c r="S242" i="14" s="1"/>
  <c r="I179" i="14"/>
  <c r="Q179" i="14" s="1"/>
  <c r="R179" i="14" s="1"/>
  <c r="H178" i="14"/>
  <c r="P178" i="14" s="1"/>
  <c r="S178" i="14" s="1"/>
  <c r="I75" i="14"/>
  <c r="Q75" i="14" s="1"/>
  <c r="R75" i="14" s="1"/>
  <c r="H74" i="14"/>
  <c r="P74" i="14" s="1"/>
  <c r="S74" i="14" s="1"/>
  <c r="H529" i="14"/>
  <c r="P529" i="14" s="1"/>
  <c r="S529" i="14" s="1"/>
  <c r="I228" i="14"/>
  <c r="Q228" i="14" s="1"/>
  <c r="R228" i="14" s="1"/>
  <c r="I188" i="14"/>
  <c r="Q188" i="14" s="1"/>
  <c r="R188" i="14" s="1"/>
  <c r="H129" i="14"/>
  <c r="P129" i="14" s="1"/>
  <c r="S129" i="14" s="1"/>
  <c r="I751" i="14"/>
  <c r="Q751" i="14" s="1"/>
  <c r="R751" i="14" s="1"/>
  <c r="H750" i="14"/>
  <c r="P750" i="14" s="1"/>
  <c r="S750" i="14" s="1"/>
  <c r="I719" i="14"/>
  <c r="Q719" i="14" s="1"/>
  <c r="R719" i="14" s="1"/>
  <c r="H718" i="14"/>
  <c r="P718" i="14" s="1"/>
  <c r="S718" i="14" s="1"/>
  <c r="I599" i="14"/>
  <c r="Q599" i="14" s="1"/>
  <c r="R599" i="14" s="1"/>
  <c r="H598" i="14"/>
  <c r="P598" i="14" s="1"/>
  <c r="S598" i="14" s="1"/>
  <c r="I625" i="14"/>
  <c r="Q625" i="14" s="1"/>
  <c r="R625" i="14" s="1"/>
  <c r="H624" i="14"/>
  <c r="P624" i="14" s="1"/>
  <c r="S624" i="14" s="1"/>
  <c r="H733" i="14"/>
  <c r="P733" i="14" s="1"/>
  <c r="S733" i="14" s="1"/>
  <c r="H693" i="14"/>
  <c r="P693" i="14" s="1"/>
  <c r="S693" i="14" s="1"/>
  <c r="H653" i="14"/>
  <c r="P653" i="14" s="1"/>
  <c r="S653" i="14" s="1"/>
  <c r="H613" i="14"/>
  <c r="P613" i="14" s="1"/>
  <c r="S613" i="14" s="1"/>
  <c r="I531" i="14"/>
  <c r="Q531" i="14" s="1"/>
  <c r="R531" i="14" s="1"/>
  <c r="H530" i="14"/>
  <c r="P530" i="14" s="1"/>
  <c r="S530" i="14" s="1"/>
  <c r="I572" i="14"/>
  <c r="Q572" i="14" s="1"/>
  <c r="R572" i="14" s="1"/>
  <c r="H475" i="14"/>
  <c r="P475" i="14" s="1"/>
  <c r="S475" i="14" s="1"/>
  <c r="I732" i="14"/>
  <c r="Q732" i="14" s="1"/>
  <c r="R732" i="14" s="1"/>
  <c r="I692" i="14"/>
  <c r="Q692" i="14" s="1"/>
  <c r="R692" i="14" s="1"/>
  <c r="H674" i="14"/>
  <c r="P674" i="14" s="1"/>
  <c r="S674" i="14" s="1"/>
  <c r="I652" i="14"/>
  <c r="Q652" i="14" s="1"/>
  <c r="R652" i="14" s="1"/>
  <c r="I612" i="14"/>
  <c r="Q612" i="14" s="1"/>
  <c r="R612" i="14" s="1"/>
  <c r="H553" i="14"/>
  <c r="P553" i="14" s="1"/>
  <c r="S553" i="14" s="1"/>
  <c r="I421" i="14"/>
  <c r="Q421" i="14" s="1"/>
  <c r="R421" i="14" s="1"/>
  <c r="H420" i="14"/>
  <c r="P420" i="14" s="1"/>
  <c r="S420" i="14" s="1"/>
  <c r="I675" i="14"/>
  <c r="Q675" i="14" s="1"/>
  <c r="R675" i="14" s="1"/>
  <c r="H513" i="14"/>
  <c r="P513" i="14" s="1"/>
  <c r="S513" i="14" s="1"/>
  <c r="H488" i="14"/>
  <c r="P488" i="14" s="1"/>
  <c r="S488" i="14" s="1"/>
  <c r="H373" i="14"/>
  <c r="P373" i="14" s="1"/>
  <c r="S373" i="14" s="1"/>
  <c r="I489" i="14"/>
  <c r="Q489" i="14" s="1"/>
  <c r="R489" i="14" s="1"/>
  <c r="H573" i="14"/>
  <c r="P573" i="14" s="1"/>
  <c r="S573" i="14" s="1"/>
  <c r="I474" i="14"/>
  <c r="Q474" i="14" s="1"/>
  <c r="R474" i="14" s="1"/>
  <c r="H435" i="14"/>
  <c r="P435" i="14" s="1"/>
  <c r="S435" i="14" s="1"/>
  <c r="H395" i="14"/>
  <c r="P395" i="14" s="1"/>
  <c r="S395" i="14" s="1"/>
  <c r="I451" i="14"/>
  <c r="Q451" i="14" s="1"/>
  <c r="R451" i="14" s="1"/>
  <c r="I552" i="14"/>
  <c r="Q552" i="14" s="1"/>
  <c r="R552" i="14" s="1"/>
  <c r="H352" i="14"/>
  <c r="P352" i="14" s="1"/>
  <c r="S352" i="14" s="1"/>
  <c r="I312" i="14"/>
  <c r="Q312" i="14" s="1"/>
  <c r="R312" i="14" s="1"/>
  <c r="I272" i="14"/>
  <c r="Q272" i="14" s="1"/>
  <c r="R272" i="14" s="1"/>
  <c r="H322" i="14"/>
  <c r="P322" i="14" s="1"/>
  <c r="S322" i="14" s="1"/>
  <c r="I512" i="14"/>
  <c r="Q512" i="14" s="1"/>
  <c r="R512" i="14" s="1"/>
  <c r="I434" i="14"/>
  <c r="Q434" i="14" s="1"/>
  <c r="R434" i="14" s="1"/>
  <c r="H195" i="14"/>
  <c r="P195" i="14" s="1"/>
  <c r="S195" i="14" s="1"/>
  <c r="I132" i="14"/>
  <c r="Q132" i="14" s="1"/>
  <c r="R132" i="14" s="1"/>
  <c r="H450" i="14"/>
  <c r="P450" i="14" s="1"/>
  <c r="S450" i="14" s="1"/>
  <c r="I372" i="14"/>
  <c r="Q372" i="14" s="1"/>
  <c r="R372" i="14" s="1"/>
  <c r="I297" i="14"/>
  <c r="Q297" i="14" s="1"/>
  <c r="R297" i="14" s="1"/>
  <c r="I257" i="14"/>
  <c r="Q257" i="14" s="1"/>
  <c r="R257" i="14" s="1"/>
  <c r="I165" i="14"/>
  <c r="Q165" i="14" s="1"/>
  <c r="R165" i="14" s="1"/>
  <c r="H164" i="14"/>
  <c r="P164" i="14" s="1"/>
  <c r="S164" i="14" s="1"/>
  <c r="I234" i="14"/>
  <c r="Q234" i="14" s="1"/>
  <c r="R234" i="14" s="1"/>
  <c r="I194" i="14"/>
  <c r="Q194" i="14" s="1"/>
  <c r="R194" i="14" s="1"/>
  <c r="I615" i="14"/>
  <c r="Q615" i="14" s="1"/>
  <c r="R615" i="14" s="1"/>
  <c r="H614" i="14"/>
  <c r="P614" i="14" s="1"/>
  <c r="S614" i="14" s="1"/>
  <c r="I736" i="14"/>
  <c r="Q736" i="14" s="1"/>
  <c r="R736" i="14" s="1"/>
  <c r="I696" i="14"/>
  <c r="Q696" i="14" s="1"/>
  <c r="R696" i="14" s="1"/>
  <c r="I656" i="14"/>
  <c r="Q656" i="14" s="1"/>
  <c r="R656" i="14" s="1"/>
  <c r="H639" i="14"/>
  <c r="P639" i="14" s="1"/>
  <c r="S639" i="14" s="1"/>
  <c r="H599" i="14"/>
  <c r="P599" i="14" s="1"/>
  <c r="S599" i="14" s="1"/>
  <c r="I753" i="14"/>
  <c r="Q753" i="14" s="1"/>
  <c r="R753" i="14" s="1"/>
  <c r="H752" i="14"/>
  <c r="P752" i="14" s="1"/>
  <c r="S752" i="14" s="1"/>
  <c r="I705" i="14"/>
  <c r="Q705" i="14" s="1"/>
  <c r="R705" i="14" s="1"/>
  <c r="H704" i="14"/>
  <c r="P704" i="14" s="1"/>
  <c r="S704" i="14" s="1"/>
  <c r="I681" i="14"/>
  <c r="Q681" i="14" s="1"/>
  <c r="R681" i="14" s="1"/>
  <c r="H680" i="14"/>
  <c r="P680" i="14" s="1"/>
  <c r="S680" i="14" s="1"/>
  <c r="I638" i="14"/>
  <c r="Q638" i="14" s="1"/>
  <c r="R638" i="14" s="1"/>
  <c r="I598" i="14"/>
  <c r="Q598" i="14" s="1"/>
  <c r="R598" i="14" s="1"/>
  <c r="H539" i="14"/>
  <c r="P539" i="14" s="1"/>
  <c r="S539" i="14" s="1"/>
  <c r="H499" i="14"/>
  <c r="P499" i="14" s="1"/>
  <c r="S499" i="14" s="1"/>
  <c r="H737" i="14"/>
  <c r="P737" i="14" s="1"/>
  <c r="S737" i="14" s="1"/>
  <c r="H697" i="14"/>
  <c r="P697" i="14" s="1"/>
  <c r="S697" i="14" s="1"/>
  <c r="H657" i="14"/>
  <c r="P657" i="14" s="1"/>
  <c r="S657" i="14" s="1"/>
  <c r="I565" i="14"/>
  <c r="Q565" i="14" s="1"/>
  <c r="R565" i="14" s="1"/>
  <c r="H564" i="14"/>
  <c r="P564" i="14" s="1"/>
  <c r="S564" i="14" s="1"/>
  <c r="I517" i="14"/>
  <c r="Q517" i="14" s="1"/>
  <c r="R517" i="14" s="1"/>
  <c r="H516" i="14"/>
  <c r="P516" i="14" s="1"/>
  <c r="S516" i="14" s="1"/>
  <c r="I559" i="14"/>
  <c r="Q559" i="14" s="1"/>
  <c r="R559" i="14" s="1"/>
  <c r="I469" i="14"/>
  <c r="Q469" i="14" s="1"/>
  <c r="R469" i="14" s="1"/>
  <c r="H468" i="14"/>
  <c r="P468" i="14" s="1"/>
  <c r="S468" i="14" s="1"/>
  <c r="I397" i="14"/>
  <c r="Q397" i="14" s="1"/>
  <c r="R397" i="14" s="1"/>
  <c r="H396" i="14"/>
  <c r="P396" i="14" s="1"/>
  <c r="S396" i="14" s="1"/>
  <c r="I538" i="14"/>
  <c r="Q538" i="14" s="1"/>
  <c r="R538" i="14" s="1"/>
  <c r="I358" i="14"/>
  <c r="Q358" i="14" s="1"/>
  <c r="R358" i="14" s="1"/>
  <c r="I423" i="14"/>
  <c r="Q423" i="14" s="1"/>
  <c r="R423" i="14" s="1"/>
  <c r="H422" i="14"/>
  <c r="P422" i="14" s="1"/>
  <c r="S422" i="14" s="1"/>
  <c r="H459" i="14"/>
  <c r="P459" i="14" s="1"/>
  <c r="S459" i="14" s="1"/>
  <c r="H419" i="14"/>
  <c r="P419" i="14" s="1"/>
  <c r="S419" i="14" s="1"/>
  <c r="I498" i="14"/>
  <c r="Q498" i="14" s="1"/>
  <c r="R498" i="14" s="1"/>
  <c r="H277" i="14"/>
  <c r="P277" i="14" s="1"/>
  <c r="S277" i="14" s="1"/>
  <c r="I295" i="14"/>
  <c r="Q295" i="14" s="1"/>
  <c r="R295" i="14" s="1"/>
  <c r="H294" i="14"/>
  <c r="P294" i="14" s="1"/>
  <c r="S294" i="14" s="1"/>
  <c r="H370" i="14"/>
  <c r="P370" i="14" s="1"/>
  <c r="S370" i="14" s="1"/>
  <c r="H306" i="14"/>
  <c r="P306" i="14" s="1"/>
  <c r="S306" i="14" s="1"/>
  <c r="I218" i="14"/>
  <c r="Q218" i="14" s="1"/>
  <c r="R218" i="14" s="1"/>
  <c r="H558" i="14"/>
  <c r="P558" i="14" s="1"/>
  <c r="S558" i="14" s="1"/>
  <c r="I418" i="14"/>
  <c r="Q418" i="14" s="1"/>
  <c r="R418" i="14" s="1"/>
  <c r="H359" i="14"/>
  <c r="P359" i="14" s="1"/>
  <c r="S359" i="14" s="1"/>
  <c r="I225" i="14"/>
  <c r="Q225" i="14" s="1"/>
  <c r="R225" i="14" s="1"/>
  <c r="H179" i="14"/>
  <c r="P179" i="14" s="1"/>
  <c r="S179" i="14" s="1"/>
  <c r="I92" i="14"/>
  <c r="Q92" i="14" s="1"/>
  <c r="R92" i="14" s="1"/>
  <c r="I338" i="14"/>
  <c r="Q338" i="14" s="1"/>
  <c r="R338" i="14" s="1"/>
  <c r="I276" i="14"/>
  <c r="Q276" i="14" s="1"/>
  <c r="R276" i="14" s="1"/>
  <c r="I258" i="14"/>
  <c r="Q258" i="14" s="1"/>
  <c r="R258" i="14" s="1"/>
  <c r="H224" i="14"/>
  <c r="P224" i="14" s="1"/>
  <c r="S224" i="14" s="1"/>
  <c r="I178" i="14"/>
  <c r="Q178" i="14" s="1"/>
  <c r="R178" i="14" s="1"/>
  <c r="H137" i="14"/>
  <c r="P137" i="14" s="1"/>
  <c r="S137" i="14" s="1"/>
  <c r="H10" i="14"/>
  <c r="I11" i="14"/>
  <c r="Q11" i="14" s="1"/>
  <c r="H34" i="14"/>
  <c r="P34" i="14" s="1"/>
  <c r="S34" i="14" s="1"/>
  <c r="I35" i="14"/>
  <c r="Q35" i="14" s="1"/>
  <c r="R35" i="14" s="1"/>
  <c r="H79" i="14"/>
  <c r="P79" i="14" s="1"/>
  <c r="S79" i="14" s="1"/>
  <c r="I86" i="14"/>
  <c r="Q86" i="14" s="1"/>
  <c r="R86" i="14" s="1"/>
  <c r="I89" i="14"/>
  <c r="Q89" i="14" s="1"/>
  <c r="R89" i="14" s="1"/>
  <c r="I102" i="14"/>
  <c r="Q102" i="14" s="1"/>
  <c r="R102" i="14" s="1"/>
  <c r="I105" i="14"/>
  <c r="Q105" i="14" s="1"/>
  <c r="R105" i="14" s="1"/>
  <c r="H108" i="14"/>
  <c r="P108" i="14" s="1"/>
  <c r="S108" i="14" s="1"/>
  <c r="I120" i="14"/>
  <c r="Q120" i="14" s="1"/>
  <c r="R120" i="14" s="1"/>
  <c r="H223" i="14"/>
  <c r="P223" i="14" s="1"/>
  <c r="S223" i="14" s="1"/>
  <c r="H367" i="14"/>
  <c r="P367" i="14" s="1"/>
  <c r="S367" i="14" s="1"/>
  <c r="H489" i="14"/>
  <c r="P489" i="14" s="1"/>
  <c r="S489" i="14" s="1"/>
  <c r="I519" i="14"/>
  <c r="Q519" i="14" s="1"/>
  <c r="R519" i="14" s="1"/>
  <c r="I534" i="14"/>
  <c r="Q534" i="14" s="1"/>
  <c r="R534" i="14" s="1"/>
  <c r="H574" i="14"/>
  <c r="P574" i="14" s="1"/>
  <c r="S574" i="14" s="1"/>
  <c r="I560" i="14"/>
  <c r="Q560" i="14" s="1"/>
  <c r="R560" i="14" s="1"/>
  <c r="H5" i="14"/>
  <c r="I14" i="14"/>
  <c r="Q14" i="14" s="1"/>
  <c r="I22" i="14"/>
  <c r="Q22" i="14" s="1"/>
  <c r="R22" i="14" s="1"/>
  <c r="H37" i="14"/>
  <c r="P37" i="14" s="1"/>
  <c r="S37" i="14" s="1"/>
  <c r="I38" i="14"/>
  <c r="Q38" i="14" s="1"/>
  <c r="R38" i="14" s="1"/>
  <c r="H45" i="14"/>
  <c r="P45" i="14" s="1"/>
  <c r="S45" i="14" s="1"/>
  <c r="I46" i="14"/>
  <c r="Q46" i="14" s="1"/>
  <c r="R46" i="14" s="1"/>
  <c r="I54" i="14"/>
  <c r="Q54" i="14" s="1"/>
  <c r="R54" i="14" s="1"/>
  <c r="H61" i="14"/>
  <c r="P61" i="14" s="1"/>
  <c r="S61" i="14" s="1"/>
  <c r="I68" i="14"/>
  <c r="Q68" i="14" s="1"/>
  <c r="R68" i="14" s="1"/>
  <c r="I77" i="14"/>
  <c r="Q77" i="14" s="1"/>
  <c r="R77" i="14" s="1"/>
  <c r="H80" i="14"/>
  <c r="P80" i="14" s="1"/>
  <c r="S80" i="14" s="1"/>
  <c r="H84" i="14"/>
  <c r="P84" i="14" s="1"/>
  <c r="S84" i="14" s="1"/>
  <c r="I87" i="14"/>
  <c r="Q87" i="14" s="1"/>
  <c r="R87" i="14" s="1"/>
  <c r="H100" i="14"/>
  <c r="P100" i="14" s="1"/>
  <c r="S100" i="14" s="1"/>
  <c r="I103" i="14"/>
  <c r="Q103" i="14" s="1"/>
  <c r="R103" i="14" s="1"/>
  <c r="I109" i="14"/>
  <c r="Q109" i="14" s="1"/>
  <c r="R109" i="14" s="1"/>
  <c r="I121" i="14"/>
  <c r="Q121" i="14" s="1"/>
  <c r="R121" i="14" s="1"/>
  <c r="H127" i="14"/>
  <c r="P127" i="14" s="1"/>
  <c r="S127" i="14" s="1"/>
  <c r="H143" i="14"/>
  <c r="P143" i="14" s="1"/>
  <c r="S143" i="14" s="1"/>
  <c r="H159" i="14"/>
  <c r="P159" i="14" s="1"/>
  <c r="S159" i="14" s="1"/>
  <c r="H167" i="14"/>
  <c r="P167" i="14" s="1"/>
  <c r="S167" i="14" s="1"/>
  <c r="H183" i="14"/>
  <c r="P183" i="14" s="1"/>
  <c r="S183" i="14" s="1"/>
  <c r="H207" i="14"/>
  <c r="P207" i="14" s="1"/>
  <c r="S207" i="14" s="1"/>
  <c r="H259" i="14"/>
  <c r="P259" i="14" s="1"/>
  <c r="S259" i="14" s="1"/>
  <c r="H307" i="14"/>
  <c r="P307" i="14" s="1"/>
  <c r="S307" i="14" s="1"/>
  <c r="H313" i="14"/>
  <c r="P313" i="14" s="1"/>
  <c r="S313" i="14" s="1"/>
  <c r="H329" i="14"/>
  <c r="P329" i="14" s="1"/>
  <c r="S329" i="14" s="1"/>
  <c r="H339" i="14"/>
  <c r="P339" i="14" s="1"/>
  <c r="S339" i="14" s="1"/>
  <c r="H423" i="14"/>
  <c r="P423" i="14" s="1"/>
  <c r="S423" i="14" s="1"/>
  <c r="I679" i="14"/>
  <c r="Q679" i="14" s="1"/>
  <c r="R679" i="14" s="1"/>
  <c r="H678" i="14"/>
  <c r="P678" i="14" s="1"/>
  <c r="S678" i="14" s="1"/>
  <c r="H647" i="14"/>
  <c r="P647" i="14" s="1"/>
  <c r="S647" i="14" s="1"/>
  <c r="I624" i="14"/>
  <c r="Q624" i="14" s="1"/>
  <c r="R624" i="14" s="1"/>
  <c r="I584" i="14"/>
  <c r="Q584" i="14" s="1"/>
  <c r="R584" i="14" s="1"/>
  <c r="H725" i="14"/>
  <c r="P725" i="14" s="1"/>
  <c r="S725" i="14" s="1"/>
  <c r="H685" i="14"/>
  <c r="P685" i="14" s="1"/>
  <c r="S685" i="14" s="1"/>
  <c r="I646" i="14"/>
  <c r="Q646" i="14" s="1"/>
  <c r="R646" i="14" s="1"/>
  <c r="H716" i="14"/>
  <c r="P716" i="14" s="1"/>
  <c r="S716" i="14" s="1"/>
  <c r="H620" i="14"/>
  <c r="P620" i="14" s="1"/>
  <c r="S620" i="14" s="1"/>
  <c r="I579" i="14"/>
  <c r="Q579" i="14" s="1"/>
  <c r="R579" i="14" s="1"/>
  <c r="H578" i="14"/>
  <c r="P578" i="14" s="1"/>
  <c r="S578" i="14" s="1"/>
  <c r="I539" i="14"/>
  <c r="Q539" i="14" s="1"/>
  <c r="R539" i="14" s="1"/>
  <c r="H538" i="14"/>
  <c r="P538" i="14" s="1"/>
  <c r="S538" i="14" s="1"/>
  <c r="H547" i="14"/>
  <c r="P547" i="14" s="1"/>
  <c r="S547" i="14" s="1"/>
  <c r="H507" i="14"/>
  <c r="P507" i="14" s="1"/>
  <c r="S507" i="14" s="1"/>
  <c r="H625" i="14"/>
  <c r="P625" i="14" s="1"/>
  <c r="S625" i="14" s="1"/>
  <c r="H585" i="14"/>
  <c r="P585" i="14" s="1"/>
  <c r="S585" i="14" s="1"/>
  <c r="H746" i="14"/>
  <c r="P746" i="14" s="1"/>
  <c r="S746" i="14" s="1"/>
  <c r="I724" i="14"/>
  <c r="Q724" i="14" s="1"/>
  <c r="R724" i="14" s="1"/>
  <c r="I684" i="14"/>
  <c r="Q684" i="14" s="1"/>
  <c r="R684" i="14" s="1"/>
  <c r="I546" i="14"/>
  <c r="Q546" i="14" s="1"/>
  <c r="R546" i="14" s="1"/>
  <c r="I717" i="14"/>
  <c r="Q717" i="14" s="1"/>
  <c r="R717" i="14" s="1"/>
  <c r="I621" i="14"/>
  <c r="Q621" i="14" s="1"/>
  <c r="R621" i="14" s="1"/>
  <c r="I479" i="14"/>
  <c r="Q479" i="14" s="1"/>
  <c r="R479" i="14" s="1"/>
  <c r="I429" i="14"/>
  <c r="Q429" i="14" s="1"/>
  <c r="R429" i="14" s="1"/>
  <c r="H428" i="14"/>
  <c r="P428" i="14" s="1"/>
  <c r="S428" i="14" s="1"/>
  <c r="I446" i="14"/>
  <c r="Q446" i="14" s="1"/>
  <c r="R446" i="14" s="1"/>
  <c r="I406" i="14"/>
  <c r="Q406" i="14" s="1"/>
  <c r="R406" i="14" s="1"/>
  <c r="I366" i="14"/>
  <c r="Q366" i="14" s="1"/>
  <c r="R366" i="14" s="1"/>
  <c r="I506" i="14"/>
  <c r="Q506" i="14" s="1"/>
  <c r="R506" i="14" s="1"/>
  <c r="I383" i="14"/>
  <c r="Q383" i="14" s="1"/>
  <c r="R383" i="14" s="1"/>
  <c r="H382" i="14"/>
  <c r="P382" i="14" s="1"/>
  <c r="S382" i="14" s="1"/>
  <c r="I747" i="14"/>
  <c r="Q747" i="14" s="1"/>
  <c r="R747" i="14" s="1"/>
  <c r="H478" i="14"/>
  <c r="P478" i="14" s="1"/>
  <c r="S478" i="14" s="1"/>
  <c r="I237" i="14"/>
  <c r="Q237" i="14" s="1"/>
  <c r="R237" i="14" s="1"/>
  <c r="H236" i="14"/>
  <c r="P236" i="14" s="1"/>
  <c r="S236" i="14" s="1"/>
  <c r="H486" i="14"/>
  <c r="P486" i="14" s="1"/>
  <c r="S486" i="14" s="1"/>
  <c r="I246" i="14"/>
  <c r="Q246" i="14" s="1"/>
  <c r="R246" i="14" s="1"/>
  <c r="I335" i="14"/>
  <c r="Q335" i="14" s="1"/>
  <c r="R335" i="14" s="1"/>
  <c r="H334" i="14"/>
  <c r="P334" i="14" s="1"/>
  <c r="S334" i="14" s="1"/>
  <c r="H247" i="14"/>
  <c r="P247" i="14" s="1"/>
  <c r="S247" i="14" s="1"/>
  <c r="H290" i="14"/>
  <c r="P290" i="14" s="1"/>
  <c r="S290" i="14" s="1"/>
  <c r="I487" i="14"/>
  <c r="Q487" i="14" s="1"/>
  <c r="R487" i="14" s="1"/>
  <c r="H447" i="14"/>
  <c r="P447" i="14" s="1"/>
  <c r="S447" i="14" s="1"/>
  <c r="I124" i="14"/>
  <c r="Q124" i="14" s="1"/>
  <c r="R124" i="14" s="1"/>
  <c r="H83" i="14"/>
  <c r="P83" i="14" s="1"/>
  <c r="S83" i="14" s="1"/>
  <c r="H344" i="14"/>
  <c r="P344" i="14" s="1"/>
  <c r="S344" i="14" s="1"/>
  <c r="I306" i="14"/>
  <c r="Q306" i="14" s="1"/>
  <c r="R306" i="14" s="1"/>
  <c r="I266" i="14"/>
  <c r="Q266" i="14" s="1"/>
  <c r="R266" i="14" s="1"/>
  <c r="I655" i="14"/>
  <c r="Q655" i="14" s="1"/>
  <c r="R655" i="14" s="1"/>
  <c r="H654" i="14"/>
  <c r="P654" i="14" s="1"/>
  <c r="S654" i="14" s="1"/>
  <c r="H751" i="14"/>
  <c r="P751" i="14" s="1"/>
  <c r="S751" i="14" s="1"/>
  <c r="H711" i="14"/>
  <c r="P711" i="14" s="1"/>
  <c r="S711" i="14" s="1"/>
  <c r="I737" i="14"/>
  <c r="Q737" i="14" s="1"/>
  <c r="R737" i="14" s="1"/>
  <c r="H736" i="14"/>
  <c r="P736" i="14" s="1"/>
  <c r="S736" i="14" s="1"/>
  <c r="I750" i="14"/>
  <c r="Q750" i="14" s="1"/>
  <c r="R750" i="14" s="1"/>
  <c r="I710" i="14"/>
  <c r="Q710" i="14" s="1"/>
  <c r="R710" i="14" s="1"/>
  <c r="H669" i="14"/>
  <c r="P669" i="14" s="1"/>
  <c r="S669" i="14" s="1"/>
  <c r="H636" i="14"/>
  <c r="P636" i="14" s="1"/>
  <c r="S636" i="14" s="1"/>
  <c r="H571" i="14"/>
  <c r="P571" i="14" s="1"/>
  <c r="S571" i="14" s="1"/>
  <c r="H698" i="14"/>
  <c r="P698" i="14" s="1"/>
  <c r="S698" i="14" s="1"/>
  <c r="I668" i="14"/>
  <c r="Q668" i="14" s="1"/>
  <c r="R668" i="14" s="1"/>
  <c r="H594" i="14"/>
  <c r="P594" i="14" s="1"/>
  <c r="S594" i="14" s="1"/>
  <c r="I570" i="14"/>
  <c r="Q570" i="14" s="1"/>
  <c r="R570" i="14" s="1"/>
  <c r="I637" i="14"/>
  <c r="Q637" i="14" s="1"/>
  <c r="R637" i="14" s="1"/>
  <c r="I505" i="14"/>
  <c r="Q505" i="14" s="1"/>
  <c r="R505" i="14" s="1"/>
  <c r="I453" i="14"/>
  <c r="Q453" i="14" s="1"/>
  <c r="R453" i="14" s="1"/>
  <c r="H452" i="14"/>
  <c r="P452" i="14" s="1"/>
  <c r="S452" i="14" s="1"/>
  <c r="I595" i="14"/>
  <c r="Q595" i="14" s="1"/>
  <c r="R595" i="14" s="1"/>
  <c r="I543" i="14"/>
  <c r="Q543" i="14" s="1"/>
  <c r="R543" i="14" s="1"/>
  <c r="I526" i="14"/>
  <c r="Q526" i="14" s="1"/>
  <c r="R526" i="14" s="1"/>
  <c r="H611" i="14"/>
  <c r="P611" i="14" s="1"/>
  <c r="S611" i="14" s="1"/>
  <c r="I415" i="14"/>
  <c r="Q415" i="14" s="1"/>
  <c r="R415" i="14" s="1"/>
  <c r="H414" i="14"/>
  <c r="P414" i="14" s="1"/>
  <c r="S414" i="14" s="1"/>
  <c r="I610" i="14"/>
  <c r="Q610" i="14" s="1"/>
  <c r="R610" i="14" s="1"/>
  <c r="I699" i="14"/>
  <c r="Q699" i="14" s="1"/>
  <c r="R699" i="14" s="1"/>
  <c r="H504" i="14"/>
  <c r="P504" i="14" s="1"/>
  <c r="S504" i="14" s="1"/>
  <c r="H487" i="14"/>
  <c r="P487" i="14" s="1"/>
  <c r="S487" i="14" s="1"/>
  <c r="H467" i="14"/>
  <c r="P467" i="14" s="1"/>
  <c r="S467" i="14" s="1"/>
  <c r="H427" i="14"/>
  <c r="P427" i="14" s="1"/>
  <c r="S427" i="14" s="1"/>
  <c r="H387" i="14"/>
  <c r="P387" i="14" s="1"/>
  <c r="S387" i="14" s="1"/>
  <c r="I486" i="14"/>
  <c r="Q486" i="14" s="1"/>
  <c r="R486" i="14" s="1"/>
  <c r="I346" i="14"/>
  <c r="Q346" i="14" s="1"/>
  <c r="R346" i="14" s="1"/>
  <c r="I326" i="14"/>
  <c r="Q326" i="14" s="1"/>
  <c r="R326" i="14" s="1"/>
  <c r="H527" i="14"/>
  <c r="P527" i="14" s="1"/>
  <c r="S527" i="14" s="1"/>
  <c r="I263" i="14"/>
  <c r="Q263" i="14" s="1"/>
  <c r="R263" i="14" s="1"/>
  <c r="H262" i="14"/>
  <c r="P262" i="14" s="1"/>
  <c r="S262" i="14" s="1"/>
  <c r="H366" i="14"/>
  <c r="P366" i="14" s="1"/>
  <c r="S366" i="14" s="1"/>
  <c r="H347" i="14"/>
  <c r="P347" i="14" s="1"/>
  <c r="S347" i="14" s="1"/>
  <c r="H327" i="14"/>
  <c r="P327" i="14" s="1"/>
  <c r="S327" i="14" s="1"/>
  <c r="I288" i="14"/>
  <c r="Q288" i="14" s="1"/>
  <c r="R288" i="14" s="1"/>
  <c r="H227" i="14"/>
  <c r="P227" i="14" s="1"/>
  <c r="S227" i="14" s="1"/>
  <c r="I211" i="14"/>
  <c r="Q211" i="14" s="1"/>
  <c r="R211" i="14" s="1"/>
  <c r="H210" i="14"/>
  <c r="P210" i="14" s="1"/>
  <c r="S210" i="14" s="1"/>
  <c r="I466" i="14"/>
  <c r="Q466" i="14" s="1"/>
  <c r="R466" i="14" s="1"/>
  <c r="I386" i="14"/>
  <c r="Q386" i="14" s="1"/>
  <c r="R386" i="14" s="1"/>
  <c r="H187" i="14"/>
  <c r="P187" i="14" s="1"/>
  <c r="S187" i="14" s="1"/>
  <c r="I367" i="14"/>
  <c r="Q367" i="14" s="1"/>
  <c r="R367" i="14" s="1"/>
  <c r="I321" i="14"/>
  <c r="Q321" i="14" s="1"/>
  <c r="R321" i="14" s="1"/>
  <c r="I249" i="14"/>
  <c r="Q249" i="14" s="1"/>
  <c r="R249" i="14" s="1"/>
  <c r="I181" i="14"/>
  <c r="Q181" i="14" s="1"/>
  <c r="R181" i="14" s="1"/>
  <c r="H180" i="14"/>
  <c r="P180" i="14" s="1"/>
  <c r="S180" i="14" s="1"/>
  <c r="H542" i="14"/>
  <c r="P542" i="14" s="1"/>
  <c r="S542" i="14" s="1"/>
  <c r="I186" i="14"/>
  <c r="Q186" i="14" s="1"/>
  <c r="R186" i="14" s="1"/>
  <c r="I657" i="14"/>
  <c r="Q657" i="14" s="1"/>
  <c r="R657" i="14" s="1"/>
  <c r="H656" i="14"/>
  <c r="P656" i="14" s="1"/>
  <c r="S656" i="14" s="1"/>
  <c r="I547" i="14"/>
  <c r="Q547" i="14" s="1"/>
  <c r="R547" i="14" s="1"/>
  <c r="H546" i="14"/>
  <c r="P546" i="14" s="1"/>
  <c r="S546" i="14" s="1"/>
  <c r="H738" i="14"/>
  <c r="P738" i="14" s="1"/>
  <c r="S738" i="14" s="1"/>
  <c r="H690" i="14"/>
  <c r="P690" i="14" s="1"/>
  <c r="S690" i="14" s="1"/>
  <c r="H618" i="14"/>
  <c r="P618" i="14" s="1"/>
  <c r="S618" i="14" s="1"/>
  <c r="I714" i="14"/>
  <c r="Q714" i="14" s="1"/>
  <c r="R714" i="14" s="1"/>
  <c r="I634" i="14"/>
  <c r="Q634" i="14" s="1"/>
  <c r="R634" i="14" s="1"/>
  <c r="I575" i="14"/>
  <c r="Q575" i="14" s="1"/>
  <c r="R575" i="14" s="1"/>
  <c r="H535" i="14"/>
  <c r="P535" i="14" s="1"/>
  <c r="S535" i="14" s="1"/>
  <c r="H495" i="14"/>
  <c r="P495" i="14" s="1"/>
  <c r="S495" i="14" s="1"/>
  <c r="I405" i="14"/>
  <c r="Q405" i="14" s="1"/>
  <c r="R405" i="14" s="1"/>
  <c r="H404" i="14"/>
  <c r="P404" i="14" s="1"/>
  <c r="S404" i="14" s="1"/>
  <c r="I739" i="14"/>
  <c r="Q739" i="14" s="1"/>
  <c r="R739" i="14" s="1"/>
  <c r="I691" i="14"/>
  <c r="Q691" i="14" s="1"/>
  <c r="R691" i="14" s="1"/>
  <c r="I511" i="14"/>
  <c r="Q511" i="14" s="1"/>
  <c r="R511" i="14" s="1"/>
  <c r="H755" i="14"/>
  <c r="P755" i="14" s="1"/>
  <c r="S755" i="14" s="1"/>
  <c r="H675" i="14"/>
  <c r="P675" i="14" s="1"/>
  <c r="S675" i="14" s="1"/>
  <c r="H595" i="14"/>
  <c r="P595" i="14" s="1"/>
  <c r="S595" i="14" s="1"/>
  <c r="I754" i="14"/>
  <c r="Q754" i="14" s="1"/>
  <c r="R754" i="14" s="1"/>
  <c r="I674" i="14"/>
  <c r="Q674" i="14" s="1"/>
  <c r="R674" i="14" s="1"/>
  <c r="I594" i="14"/>
  <c r="Q594" i="14" s="1"/>
  <c r="R594" i="14" s="1"/>
  <c r="I619" i="14"/>
  <c r="Q619" i="14" s="1"/>
  <c r="R619" i="14" s="1"/>
  <c r="H715" i="14"/>
  <c r="P715" i="14" s="1"/>
  <c r="S715" i="14" s="1"/>
  <c r="H635" i="14"/>
  <c r="P635" i="14" s="1"/>
  <c r="S635" i="14" s="1"/>
  <c r="H473" i="14"/>
  <c r="P473" i="14" s="1"/>
  <c r="S473" i="14" s="1"/>
  <c r="I443" i="14"/>
  <c r="Q443" i="14" s="1"/>
  <c r="R443" i="14" s="1"/>
  <c r="I309" i="14"/>
  <c r="Q309" i="14" s="1"/>
  <c r="R309" i="14" s="1"/>
  <c r="H308" i="14"/>
  <c r="P308" i="14" s="1"/>
  <c r="S308" i="14" s="1"/>
  <c r="H433" i="14"/>
  <c r="P433" i="14" s="1"/>
  <c r="S433" i="14" s="1"/>
  <c r="H393" i="14"/>
  <c r="P393" i="14" s="1"/>
  <c r="S393" i="14" s="1"/>
  <c r="H355" i="14"/>
  <c r="P355" i="14" s="1"/>
  <c r="S355" i="14" s="1"/>
  <c r="I334" i="14"/>
  <c r="Q334" i="14" s="1"/>
  <c r="R334" i="14" s="1"/>
  <c r="I294" i="14"/>
  <c r="Q294" i="14" s="1"/>
  <c r="R294" i="14" s="1"/>
  <c r="H510" i="14"/>
  <c r="P510" i="14" s="1"/>
  <c r="S510" i="14" s="1"/>
  <c r="I432" i="14"/>
  <c r="Q432" i="14" s="1"/>
  <c r="R432" i="14" s="1"/>
  <c r="I392" i="14"/>
  <c r="Q392" i="14" s="1"/>
  <c r="R392" i="14" s="1"/>
  <c r="H335" i="14"/>
  <c r="P335" i="14" s="1"/>
  <c r="S335" i="14" s="1"/>
  <c r="H295" i="14"/>
  <c r="P295" i="14" s="1"/>
  <c r="S295" i="14" s="1"/>
  <c r="I232" i="14"/>
  <c r="Q232" i="14" s="1"/>
  <c r="R232" i="14" s="1"/>
  <c r="H250" i="14"/>
  <c r="P250" i="14" s="1"/>
  <c r="S250" i="14" s="1"/>
  <c r="I494" i="14"/>
  <c r="Q494" i="14" s="1"/>
  <c r="R494" i="14" s="1"/>
  <c r="H155" i="14"/>
  <c r="P155" i="14" s="1"/>
  <c r="S155" i="14" s="1"/>
  <c r="H115" i="14"/>
  <c r="P115" i="14" s="1"/>
  <c r="S115" i="14" s="1"/>
  <c r="I472" i="14"/>
  <c r="Q472" i="14" s="1"/>
  <c r="R472" i="14" s="1"/>
  <c r="I363" i="14"/>
  <c r="Q363" i="14" s="1"/>
  <c r="R363" i="14" s="1"/>
  <c r="I273" i="14"/>
  <c r="Q273" i="14" s="1"/>
  <c r="R273" i="14" s="1"/>
  <c r="I173" i="14"/>
  <c r="Q173" i="14" s="1"/>
  <c r="R173" i="14" s="1"/>
  <c r="H172" i="14"/>
  <c r="P172" i="14" s="1"/>
  <c r="S172" i="14" s="1"/>
  <c r="I221" i="14"/>
  <c r="Q221" i="14" s="1"/>
  <c r="R221" i="14" s="1"/>
  <c r="H193" i="14"/>
  <c r="P193" i="14" s="1"/>
  <c r="S193" i="14" s="1"/>
  <c r="I154" i="14"/>
  <c r="Q154" i="14" s="1"/>
  <c r="R154" i="14" s="1"/>
  <c r="I114" i="14"/>
  <c r="Q114" i="14" s="1"/>
  <c r="R114" i="14" s="1"/>
  <c r="H759" i="14"/>
  <c r="P759" i="14" s="1"/>
  <c r="S759" i="14" s="1"/>
  <c r="H719" i="14"/>
  <c r="P719" i="14" s="1"/>
  <c r="S719" i="14" s="1"/>
  <c r="H655" i="14"/>
  <c r="P655" i="14" s="1"/>
  <c r="S655" i="14" s="1"/>
  <c r="I616" i="14"/>
  <c r="Q616" i="14" s="1"/>
  <c r="R616" i="14" s="1"/>
  <c r="I758" i="14"/>
  <c r="Q758" i="14" s="1"/>
  <c r="R758" i="14" s="1"/>
  <c r="I718" i="14"/>
  <c r="Q718" i="14" s="1"/>
  <c r="R718" i="14" s="1"/>
  <c r="I654" i="14"/>
  <c r="Q654" i="14" s="1"/>
  <c r="R654" i="14" s="1"/>
  <c r="H740" i="14"/>
  <c r="P740" i="14" s="1"/>
  <c r="S740" i="14" s="1"/>
  <c r="H596" i="14"/>
  <c r="P596" i="14" s="1"/>
  <c r="S596" i="14" s="1"/>
  <c r="I476" i="14"/>
  <c r="Q476" i="14" s="1"/>
  <c r="R476" i="14" s="1"/>
  <c r="H617" i="14"/>
  <c r="P617" i="14" s="1"/>
  <c r="S617" i="14" s="1"/>
  <c r="H682" i="14"/>
  <c r="P682" i="14" s="1"/>
  <c r="S682" i="14" s="1"/>
  <c r="H666" i="14"/>
  <c r="P666" i="14" s="1"/>
  <c r="S666" i="14" s="1"/>
  <c r="H634" i="14"/>
  <c r="P634" i="14" s="1"/>
  <c r="S634" i="14" s="1"/>
  <c r="H577" i="14"/>
  <c r="P577" i="14" s="1"/>
  <c r="S577" i="14" s="1"/>
  <c r="I561" i="14"/>
  <c r="Q561" i="14" s="1"/>
  <c r="R561" i="14" s="1"/>
  <c r="H518" i="14"/>
  <c r="P518" i="14" s="1"/>
  <c r="S518" i="14" s="1"/>
  <c r="H437" i="14"/>
  <c r="P437" i="14" s="1"/>
  <c r="S437" i="14" s="1"/>
  <c r="H397" i="14"/>
  <c r="P397" i="14" s="1"/>
  <c r="S397" i="14" s="1"/>
  <c r="H357" i="14"/>
  <c r="P357" i="14" s="1"/>
  <c r="S357" i="14" s="1"/>
  <c r="I496" i="14"/>
  <c r="Q496" i="14" s="1"/>
  <c r="R496" i="14" s="1"/>
  <c r="I447" i="14"/>
  <c r="Q447" i="14" s="1"/>
  <c r="R447" i="14" s="1"/>
  <c r="H446" i="14"/>
  <c r="P446" i="14" s="1"/>
  <c r="S446" i="14" s="1"/>
  <c r="I741" i="14"/>
  <c r="Q741" i="14" s="1"/>
  <c r="R741" i="14" s="1"/>
  <c r="I597" i="14"/>
  <c r="Q597" i="14" s="1"/>
  <c r="R597" i="14" s="1"/>
  <c r="I683" i="14"/>
  <c r="Q683" i="14" s="1"/>
  <c r="R683" i="14" s="1"/>
  <c r="I667" i="14"/>
  <c r="Q667" i="14" s="1"/>
  <c r="R667" i="14" s="1"/>
  <c r="I635" i="14"/>
  <c r="Q635" i="14" s="1"/>
  <c r="R635" i="14" s="1"/>
  <c r="H537" i="14"/>
  <c r="P537" i="14" s="1"/>
  <c r="S537" i="14" s="1"/>
  <c r="I436" i="14"/>
  <c r="Q436" i="14" s="1"/>
  <c r="R436" i="14" s="1"/>
  <c r="I396" i="14"/>
  <c r="Q396" i="14" s="1"/>
  <c r="R396" i="14" s="1"/>
  <c r="H560" i="14"/>
  <c r="P560" i="14" s="1"/>
  <c r="S560" i="14" s="1"/>
  <c r="I403" i="14"/>
  <c r="Q403" i="14" s="1"/>
  <c r="R403" i="14" s="1"/>
  <c r="I369" i="14"/>
  <c r="Q369" i="14" s="1"/>
  <c r="R369" i="14" s="1"/>
  <c r="I356" i="14"/>
  <c r="Q356" i="14" s="1"/>
  <c r="R356" i="14" s="1"/>
  <c r="H237" i="14"/>
  <c r="P237" i="14" s="1"/>
  <c r="S237" i="14" s="1"/>
  <c r="H477" i="14"/>
  <c r="P477" i="14" s="1"/>
  <c r="S477" i="14" s="1"/>
  <c r="I303" i="14"/>
  <c r="Q303" i="14" s="1"/>
  <c r="R303" i="14" s="1"/>
  <c r="H302" i="14"/>
  <c r="P302" i="14" s="1"/>
  <c r="S302" i="14" s="1"/>
  <c r="I215" i="14"/>
  <c r="Q215" i="14" s="1"/>
  <c r="R215" i="14" s="1"/>
  <c r="H214" i="14"/>
  <c r="P214" i="14" s="1"/>
  <c r="S214" i="14" s="1"/>
  <c r="I336" i="14"/>
  <c r="Q336" i="14" s="1"/>
  <c r="R336" i="14" s="1"/>
  <c r="H368" i="14"/>
  <c r="P368" i="14" s="1"/>
  <c r="S368" i="14" s="1"/>
  <c r="H258" i="14"/>
  <c r="P258" i="14" s="1"/>
  <c r="S258" i="14" s="1"/>
  <c r="I196" i="14"/>
  <c r="Q196" i="14" s="1"/>
  <c r="R196" i="14" s="1"/>
  <c r="I576" i="14"/>
  <c r="Q576" i="14" s="1"/>
  <c r="R576" i="14" s="1"/>
  <c r="I536" i="14"/>
  <c r="Q536" i="14" s="1"/>
  <c r="R536" i="14" s="1"/>
  <c r="H402" i="14"/>
  <c r="P402" i="14" s="1"/>
  <c r="S402" i="14" s="1"/>
  <c r="I289" i="14"/>
  <c r="Q289" i="14" s="1"/>
  <c r="R289" i="14" s="1"/>
  <c r="I133" i="14"/>
  <c r="Q133" i="14" s="1"/>
  <c r="R133" i="14" s="1"/>
  <c r="H132" i="14"/>
  <c r="P132" i="14" s="1"/>
  <c r="S132" i="14" s="1"/>
  <c r="I274" i="14"/>
  <c r="Q274" i="14" s="1"/>
  <c r="R274" i="14" s="1"/>
  <c r="I236" i="14"/>
  <c r="Q236" i="14" s="1"/>
  <c r="R236" i="14" s="1"/>
  <c r="I687" i="14"/>
  <c r="Q687" i="14" s="1"/>
  <c r="R687" i="14" s="1"/>
  <c r="H686" i="14"/>
  <c r="P686" i="14" s="1"/>
  <c r="S686" i="14" s="1"/>
  <c r="I631" i="14"/>
  <c r="Q631" i="14" s="1"/>
  <c r="R631" i="14" s="1"/>
  <c r="H630" i="14"/>
  <c r="P630" i="14" s="1"/>
  <c r="S630" i="14" s="1"/>
  <c r="I720" i="14"/>
  <c r="Q720" i="14" s="1"/>
  <c r="R720" i="14" s="1"/>
  <c r="I680" i="14"/>
  <c r="Q680" i="14" s="1"/>
  <c r="R680" i="14" s="1"/>
  <c r="I760" i="14"/>
  <c r="Q760" i="14" s="1"/>
  <c r="R760" i="14" s="1"/>
  <c r="H732" i="14"/>
  <c r="P732" i="14" s="1"/>
  <c r="S732" i="14" s="1"/>
  <c r="H579" i="14"/>
  <c r="P579" i="14" s="1"/>
  <c r="S579" i="14" s="1"/>
  <c r="H721" i="14"/>
  <c r="P721" i="14" s="1"/>
  <c r="S721" i="14" s="1"/>
  <c r="H681" i="14"/>
  <c r="P681" i="14" s="1"/>
  <c r="S681" i="14" s="1"/>
  <c r="H658" i="14"/>
  <c r="P658" i="14" s="1"/>
  <c r="S658" i="14" s="1"/>
  <c r="I578" i="14"/>
  <c r="Q578" i="14" s="1"/>
  <c r="R578" i="14" s="1"/>
  <c r="H561" i="14"/>
  <c r="P561" i="14" s="1"/>
  <c r="S561" i="14" s="1"/>
  <c r="I733" i="14"/>
  <c r="Q733" i="14" s="1"/>
  <c r="R733" i="14" s="1"/>
  <c r="I618" i="14"/>
  <c r="Q618" i="14" s="1"/>
  <c r="R618" i="14" s="1"/>
  <c r="I583" i="14"/>
  <c r="Q583" i="14" s="1"/>
  <c r="R583" i="14" s="1"/>
  <c r="I461" i="14"/>
  <c r="Q461" i="14" s="1"/>
  <c r="R461" i="14" s="1"/>
  <c r="H460" i="14"/>
  <c r="P460" i="14" s="1"/>
  <c r="S460" i="14" s="1"/>
  <c r="I659" i="14"/>
  <c r="Q659" i="14" s="1"/>
  <c r="R659" i="14" s="1"/>
  <c r="I493" i="14"/>
  <c r="Q493" i="14" s="1"/>
  <c r="R493" i="14" s="1"/>
  <c r="H381" i="14"/>
  <c r="P381" i="14" s="1"/>
  <c r="S381" i="14" s="1"/>
  <c r="H761" i="14"/>
  <c r="P761" i="14" s="1"/>
  <c r="S761" i="14" s="1"/>
  <c r="H526" i="14"/>
  <c r="P526" i="14" s="1"/>
  <c r="S526" i="14" s="1"/>
  <c r="I480" i="14"/>
  <c r="Q480" i="14" s="1"/>
  <c r="R480" i="14" s="1"/>
  <c r="H619" i="14"/>
  <c r="P619" i="14" s="1"/>
  <c r="S619" i="14" s="1"/>
  <c r="I520" i="14"/>
  <c r="Q520" i="14" s="1"/>
  <c r="R520" i="14" s="1"/>
  <c r="H492" i="14"/>
  <c r="P492" i="14" s="1"/>
  <c r="S492" i="14" s="1"/>
  <c r="H582" i="14"/>
  <c r="P582" i="14" s="1"/>
  <c r="S582" i="14" s="1"/>
  <c r="I409" i="14"/>
  <c r="Q409" i="14" s="1"/>
  <c r="R409" i="14" s="1"/>
  <c r="I380" i="14"/>
  <c r="Q380" i="14" s="1"/>
  <c r="R380" i="14" s="1"/>
  <c r="I277" i="14"/>
  <c r="Q277" i="14" s="1"/>
  <c r="R277" i="14" s="1"/>
  <c r="H276" i="14"/>
  <c r="P276" i="14" s="1"/>
  <c r="S276" i="14" s="1"/>
  <c r="I527" i="14"/>
  <c r="Q527" i="14" s="1"/>
  <c r="R527" i="14" s="1"/>
  <c r="H441" i="14"/>
  <c r="P441" i="14" s="1"/>
  <c r="S441" i="14" s="1"/>
  <c r="H401" i="14"/>
  <c r="P401" i="14" s="1"/>
  <c r="S401" i="14" s="1"/>
  <c r="H301" i="14"/>
  <c r="P301" i="14" s="1"/>
  <c r="S301" i="14" s="1"/>
  <c r="H521" i="14"/>
  <c r="P521" i="14" s="1"/>
  <c r="S521" i="14" s="1"/>
  <c r="H356" i="14"/>
  <c r="P356" i="14" s="1"/>
  <c r="S356" i="14" s="1"/>
  <c r="I255" i="14"/>
  <c r="Q255" i="14" s="1"/>
  <c r="R255" i="14" s="1"/>
  <c r="H254" i="14"/>
  <c r="P254" i="14" s="1"/>
  <c r="S254" i="14" s="1"/>
  <c r="I440" i="14"/>
  <c r="Q440" i="14" s="1"/>
  <c r="R440" i="14" s="1"/>
  <c r="I400" i="14"/>
  <c r="Q400" i="14" s="1"/>
  <c r="R400" i="14" s="1"/>
  <c r="I357" i="14"/>
  <c r="Q357" i="14" s="1"/>
  <c r="R357" i="14" s="1"/>
  <c r="I320" i="14"/>
  <c r="Q320" i="14" s="1"/>
  <c r="R320" i="14" s="1"/>
  <c r="I240" i="14"/>
  <c r="Q240" i="14" s="1"/>
  <c r="R240" i="14" s="1"/>
  <c r="I203" i="14"/>
  <c r="Q203" i="14" s="1"/>
  <c r="R203" i="14" s="1"/>
  <c r="H202" i="14"/>
  <c r="P202" i="14" s="1"/>
  <c r="S202" i="14" s="1"/>
  <c r="I171" i="14"/>
  <c r="Q171" i="14" s="1"/>
  <c r="R171" i="14" s="1"/>
  <c r="H170" i="14"/>
  <c r="P170" i="14" s="1"/>
  <c r="S170" i="14" s="1"/>
  <c r="I123" i="14"/>
  <c r="Q123" i="14" s="1"/>
  <c r="R123" i="14" s="1"/>
  <c r="H122" i="14"/>
  <c r="P122" i="14" s="1"/>
  <c r="S122" i="14" s="1"/>
  <c r="I91" i="14"/>
  <c r="Q91" i="14" s="1"/>
  <c r="R91" i="14" s="1"/>
  <c r="H90" i="14"/>
  <c r="P90" i="14" s="1"/>
  <c r="S90" i="14" s="1"/>
  <c r="H408" i="14"/>
  <c r="P408" i="14" s="1"/>
  <c r="S408" i="14" s="1"/>
  <c r="I329" i="14"/>
  <c r="Q329" i="14" s="1"/>
  <c r="R329" i="14" s="1"/>
  <c r="I300" i="14"/>
  <c r="Q300" i="14" s="1"/>
  <c r="R300" i="14" s="1"/>
  <c r="H201" i="14"/>
  <c r="P201" i="14" s="1"/>
  <c r="S201" i="14" s="1"/>
  <c r="H161" i="14"/>
  <c r="P161" i="14" s="1"/>
  <c r="S161" i="14" s="1"/>
  <c r="H121" i="14"/>
  <c r="P121" i="14" s="1"/>
  <c r="S121" i="14" s="1"/>
  <c r="H36" i="14"/>
  <c r="P36" i="14" s="1"/>
  <c r="S36" i="14" s="1"/>
  <c r="I37" i="14"/>
  <c r="Q37" i="14" s="1"/>
  <c r="R37" i="14" s="1"/>
  <c r="H44" i="14"/>
  <c r="P44" i="14" s="1"/>
  <c r="S44" i="14" s="1"/>
  <c r="I45" i="14"/>
  <c r="Q45" i="14" s="1"/>
  <c r="R45" i="14" s="1"/>
  <c r="H60" i="14"/>
  <c r="P60" i="14" s="1"/>
  <c r="S60" i="14" s="1"/>
  <c r="I61" i="14"/>
  <c r="Q61" i="14" s="1"/>
  <c r="R61" i="14" s="1"/>
  <c r="H76" i="14"/>
  <c r="P76" i="14" s="1"/>
  <c r="S76" i="14" s="1"/>
  <c r="I80" i="14"/>
  <c r="Q80" i="14" s="1"/>
  <c r="R80" i="14" s="1"/>
  <c r="H93" i="14"/>
  <c r="P93" i="14" s="1"/>
  <c r="S93" i="14" s="1"/>
  <c r="I127" i="14"/>
  <c r="Q127" i="14" s="1"/>
  <c r="R127" i="14" s="1"/>
  <c r="I135" i="14"/>
  <c r="Q135" i="14" s="1"/>
  <c r="R135" i="14" s="1"/>
  <c r="I143" i="14"/>
  <c r="Q143" i="14" s="1"/>
  <c r="R143" i="14" s="1"/>
  <c r="I151" i="14"/>
  <c r="Q151" i="14" s="1"/>
  <c r="R151" i="14" s="1"/>
  <c r="I153" i="14"/>
  <c r="Q153" i="14" s="1"/>
  <c r="R153" i="14" s="1"/>
  <c r="I161" i="14"/>
  <c r="Q161" i="14" s="1"/>
  <c r="R161" i="14" s="1"/>
  <c r="I169" i="14"/>
  <c r="Q169" i="14" s="1"/>
  <c r="R169" i="14" s="1"/>
  <c r="I175" i="14"/>
  <c r="Q175" i="14" s="1"/>
  <c r="R175" i="14" s="1"/>
  <c r="I177" i="14"/>
  <c r="Q177" i="14" s="1"/>
  <c r="R177" i="14" s="1"/>
  <c r="I185" i="14"/>
  <c r="Q185" i="14" s="1"/>
  <c r="R185" i="14" s="1"/>
  <c r="I191" i="14"/>
  <c r="Q191" i="14" s="1"/>
  <c r="R191" i="14" s="1"/>
  <c r="I207" i="14"/>
  <c r="Q207" i="14" s="1"/>
  <c r="R207" i="14" s="1"/>
  <c r="I209" i="14"/>
  <c r="Q209" i="14" s="1"/>
  <c r="R209" i="14" s="1"/>
  <c r="I243" i="14"/>
  <c r="Q243" i="14" s="1"/>
  <c r="R243" i="14" s="1"/>
  <c r="H256" i="14"/>
  <c r="P256" i="14" s="1"/>
  <c r="S256" i="14" s="1"/>
  <c r="I259" i="14"/>
  <c r="Q259" i="14" s="1"/>
  <c r="R259" i="14" s="1"/>
  <c r="H272" i="14"/>
  <c r="P272" i="14" s="1"/>
  <c r="S272" i="14" s="1"/>
  <c r="H288" i="14"/>
  <c r="P288" i="14" s="1"/>
  <c r="S288" i="14" s="1"/>
  <c r="I291" i="14"/>
  <c r="Q291" i="14" s="1"/>
  <c r="R291" i="14" s="1"/>
  <c r="I307" i="14"/>
  <c r="Q307" i="14" s="1"/>
  <c r="R307" i="14" s="1"/>
  <c r="H320" i="14"/>
  <c r="P320" i="14" s="1"/>
  <c r="S320" i="14" s="1"/>
  <c r="I323" i="14"/>
  <c r="Q323" i="14" s="1"/>
  <c r="R323" i="14" s="1"/>
  <c r="I353" i="14"/>
  <c r="Q353" i="14" s="1"/>
  <c r="R353" i="14" s="1"/>
  <c r="H363" i="14"/>
  <c r="P363" i="14" s="1"/>
  <c r="S363" i="14" s="1"/>
  <c r="H410" i="14"/>
  <c r="P410" i="14" s="1"/>
  <c r="S410" i="14" s="1"/>
  <c r="H442" i="14"/>
  <c r="P442" i="14" s="1"/>
  <c r="S442" i="14" s="1"/>
  <c r="H3" i="14"/>
  <c r="I4" i="14"/>
  <c r="Q4" i="14" s="1"/>
  <c r="H11" i="14"/>
  <c r="H19" i="14"/>
  <c r="H35" i="14"/>
  <c r="P35" i="14" s="1"/>
  <c r="S35" i="14" s="1"/>
  <c r="I36" i="14"/>
  <c r="Q36" i="14" s="1"/>
  <c r="R36" i="14" s="1"/>
  <c r="H43" i="14"/>
  <c r="P43" i="14" s="1"/>
  <c r="S43" i="14" s="1"/>
  <c r="I44" i="14"/>
  <c r="Q44" i="14" s="1"/>
  <c r="R44" i="14" s="1"/>
  <c r="H59" i="14"/>
  <c r="P59" i="14" s="1"/>
  <c r="S59" i="14" s="1"/>
  <c r="I60" i="14"/>
  <c r="Q60" i="14" s="1"/>
  <c r="R60" i="14" s="1"/>
  <c r="H86" i="14"/>
  <c r="P86" i="14" s="1"/>
  <c r="S86" i="14" s="1"/>
  <c r="H89" i="14"/>
  <c r="P89" i="14" s="1"/>
  <c r="S89" i="14" s="1"/>
  <c r="H102" i="14"/>
  <c r="P102" i="14" s="1"/>
  <c r="S102" i="14" s="1"/>
  <c r="I113" i="14"/>
  <c r="Q113" i="14" s="1"/>
  <c r="R113" i="14" s="1"/>
  <c r="I118" i="14"/>
  <c r="Q118" i="14" s="1"/>
  <c r="R118" i="14" s="1"/>
  <c r="H120" i="14"/>
  <c r="P120" i="14" s="1"/>
  <c r="S120" i="14" s="1"/>
  <c r="H125" i="14"/>
  <c r="P125" i="14" s="1"/>
  <c r="S125" i="14" s="1"/>
  <c r="H133" i="14"/>
  <c r="P133" i="14" s="1"/>
  <c r="S133" i="14" s="1"/>
  <c r="H189" i="14"/>
  <c r="P189" i="14" s="1"/>
  <c r="S189" i="14" s="1"/>
  <c r="H197" i="14"/>
  <c r="P197" i="14" s="1"/>
  <c r="S197" i="14" s="1"/>
  <c r="I213" i="14"/>
  <c r="Q213" i="14" s="1"/>
  <c r="R213" i="14" s="1"/>
  <c r="H534" i="14"/>
  <c r="P534" i="14" s="1"/>
  <c r="S534" i="14" s="1"/>
  <c r="O236" i="15" l="1"/>
  <c r="N236" i="15"/>
  <c r="N417" i="15"/>
  <c r="O417" i="15"/>
  <c r="N433" i="15"/>
  <c r="O433" i="15"/>
  <c r="O122" i="15"/>
  <c r="N122" i="15"/>
  <c r="O112" i="15"/>
  <c r="N112" i="15"/>
  <c r="T11" i="14"/>
  <c r="P11" i="14"/>
  <c r="E26" i="1"/>
  <c r="F26" i="1" s="1"/>
  <c r="N230" i="15"/>
  <c r="O230" i="15"/>
  <c r="O246" i="15"/>
  <c r="N246" i="15"/>
  <c r="P12" i="14"/>
  <c r="T12" i="14"/>
  <c r="E27" i="1"/>
  <c r="F27" i="1" s="1"/>
  <c r="O437" i="15"/>
  <c r="N437" i="15"/>
  <c r="O415" i="15"/>
  <c r="N415" i="15"/>
  <c r="O434" i="15"/>
  <c r="N434" i="15"/>
  <c r="O438" i="15"/>
  <c r="N438" i="15"/>
  <c r="O116" i="15"/>
  <c r="N116" i="15"/>
  <c r="N126" i="15"/>
  <c r="O126" i="15"/>
  <c r="O128" i="15"/>
  <c r="N128" i="15"/>
  <c r="I343" i="15"/>
  <c r="I335" i="15"/>
  <c r="I327" i="15"/>
  <c r="I346" i="15"/>
  <c r="I338" i="15"/>
  <c r="I330" i="15"/>
  <c r="I349" i="15"/>
  <c r="I341" i="15"/>
  <c r="I333" i="15"/>
  <c r="I344" i="15"/>
  <c r="I339" i="15"/>
  <c r="I334" i="15"/>
  <c r="I261" i="15"/>
  <c r="I336" i="15"/>
  <c r="I331" i="15"/>
  <c r="I328" i="15"/>
  <c r="I347" i="15"/>
  <c r="I342" i="15"/>
  <c r="I337" i="15"/>
  <c r="I332" i="15"/>
  <c r="I350" i="15"/>
  <c r="I345" i="15"/>
  <c r="I340" i="15"/>
  <c r="I348" i="15"/>
  <c r="R12" i="14"/>
  <c r="Z486" i="3"/>
  <c r="AD486" i="3" s="1"/>
  <c r="Y486" i="3"/>
  <c r="AC486" i="3" s="1"/>
  <c r="AE486" i="3"/>
  <c r="AE528" i="3"/>
  <c r="Z528" i="3"/>
  <c r="AD528" i="3" s="1"/>
  <c r="Y528" i="3"/>
  <c r="AC528" i="3" s="1"/>
  <c r="AE470" i="3"/>
  <c r="Y470" i="3"/>
  <c r="AC470" i="3" s="1"/>
  <c r="Z470" i="3"/>
  <c r="AD470" i="3" s="1"/>
  <c r="Z260" i="3"/>
  <c r="AD260" i="3" s="1"/>
  <c r="Y260" i="3"/>
  <c r="AC260" i="3" s="1"/>
  <c r="AE260" i="3"/>
  <c r="Z12" i="3"/>
  <c r="AD12" i="3" s="1"/>
  <c r="Y12" i="3"/>
  <c r="AC12" i="3" s="1"/>
  <c r="AE12" i="3"/>
  <c r="Z376" i="3"/>
  <c r="AD376" i="3" s="1"/>
  <c r="Y376" i="3"/>
  <c r="AC376" i="3" s="1"/>
  <c r="AE376" i="3"/>
  <c r="Z210" i="3"/>
  <c r="AD210" i="3" s="1"/>
  <c r="Y210" i="3"/>
  <c r="AC210" i="3" s="1"/>
  <c r="AE210" i="3"/>
  <c r="Z114" i="3"/>
  <c r="AD114" i="3" s="1"/>
  <c r="Y114" i="3"/>
  <c r="AC114" i="3" s="1"/>
  <c r="AE114" i="3"/>
  <c r="Z40" i="3"/>
  <c r="AD40" i="3" s="1"/>
  <c r="Y40" i="3"/>
  <c r="AC40" i="3" s="1"/>
  <c r="AE40" i="3"/>
  <c r="Z228" i="3"/>
  <c r="AD228" i="3" s="1"/>
  <c r="Y228" i="3"/>
  <c r="AC228" i="3" s="1"/>
  <c r="AE228" i="3"/>
  <c r="Z14" i="3"/>
  <c r="AD14" i="3" s="1"/>
  <c r="Y14" i="3"/>
  <c r="AC14" i="3" s="1"/>
  <c r="AE14" i="3"/>
  <c r="O127" i="15"/>
  <c r="N127" i="15"/>
  <c r="O124" i="15"/>
  <c r="N124" i="15"/>
  <c r="N133" i="15"/>
  <c r="O133" i="15"/>
  <c r="O117" i="15"/>
  <c r="N117" i="15"/>
  <c r="P13" i="14"/>
  <c r="T13" i="14"/>
  <c r="E32" i="1"/>
  <c r="F32" i="1" s="1"/>
  <c r="H557" i="15"/>
  <c r="H564" i="15"/>
  <c r="H300" i="15"/>
  <c r="H292" i="15"/>
  <c r="H284" i="15"/>
  <c r="H295" i="15"/>
  <c r="H298" i="15"/>
  <c r="H293" i="15"/>
  <c r="H282" i="15"/>
  <c r="H274" i="15"/>
  <c r="H291" i="15"/>
  <c r="H277" i="15"/>
  <c r="H289" i="15"/>
  <c r="H287" i="15"/>
  <c r="H280" i="15"/>
  <c r="H296" i="15"/>
  <c r="H286" i="15"/>
  <c r="H279" i="15"/>
  <c r="H283" i="15"/>
  <c r="H290" i="15"/>
  <c r="H288" i="15"/>
  <c r="H297" i="15"/>
  <c r="H281" i="15"/>
  <c r="H294" i="15"/>
  <c r="H285" i="15"/>
  <c r="H278" i="15"/>
  <c r="H299" i="15"/>
  <c r="H276" i="15"/>
  <c r="H275" i="15"/>
  <c r="S9" i="14"/>
  <c r="J382" i="15"/>
  <c r="J374" i="15"/>
  <c r="J366" i="15"/>
  <c r="J358" i="15"/>
  <c r="J377" i="15"/>
  <c r="J369" i="15"/>
  <c r="J380" i="15"/>
  <c r="J372" i="15"/>
  <c r="J384" i="15"/>
  <c r="J363" i="15"/>
  <c r="J361" i="15"/>
  <c r="J354" i="15"/>
  <c r="J379" i="15"/>
  <c r="J376" i="15"/>
  <c r="J371" i="15"/>
  <c r="J359" i="15"/>
  <c r="J373" i="15"/>
  <c r="J368" i="15"/>
  <c r="J357" i="15"/>
  <c r="J352" i="15"/>
  <c r="J360" i="15"/>
  <c r="J381" i="15"/>
  <c r="J362" i="15"/>
  <c r="J383" i="15"/>
  <c r="J375" i="15"/>
  <c r="J356" i="15"/>
  <c r="J351" i="15"/>
  <c r="J367" i="15"/>
  <c r="J355" i="15"/>
  <c r="J365" i="15"/>
  <c r="J364" i="15"/>
  <c r="J378" i="15"/>
  <c r="J370" i="15"/>
  <c r="J353" i="15"/>
  <c r="Z482" i="3"/>
  <c r="AD482" i="3" s="1"/>
  <c r="Y482" i="3"/>
  <c r="AC482" i="3" s="1"/>
  <c r="AE482" i="3"/>
  <c r="AE524" i="3"/>
  <c r="Z524" i="3"/>
  <c r="AD524" i="3" s="1"/>
  <c r="Y524" i="3"/>
  <c r="AC524" i="3" s="1"/>
  <c r="AE466" i="3"/>
  <c r="Y466" i="3"/>
  <c r="AC466" i="3" s="1"/>
  <c r="Z466" i="3"/>
  <c r="AD466" i="3" s="1"/>
  <c r="AE566" i="3"/>
  <c r="Z566" i="3"/>
  <c r="AD566" i="3" s="1"/>
  <c r="Y566" i="3"/>
  <c r="AC566" i="3" s="1"/>
  <c r="AE550" i="3"/>
  <c r="Z550" i="3"/>
  <c r="AD550" i="3" s="1"/>
  <c r="Y550" i="3"/>
  <c r="AC550" i="3" s="1"/>
  <c r="Z568" i="3"/>
  <c r="AD568" i="3" s="1"/>
  <c r="Y568" i="3"/>
  <c r="AC568" i="3" s="1"/>
  <c r="AE568" i="3"/>
  <c r="Z498" i="3"/>
  <c r="AD498" i="3" s="1"/>
  <c r="Y498" i="3"/>
  <c r="AC498" i="3" s="1"/>
  <c r="AE498" i="3"/>
  <c r="Z399" i="3"/>
  <c r="AD399" i="3" s="1"/>
  <c r="Y399" i="3"/>
  <c r="AC399" i="3" s="1"/>
  <c r="AE399" i="3"/>
  <c r="Z350" i="3"/>
  <c r="AD350" i="3" s="1"/>
  <c r="Y350" i="3"/>
  <c r="AC350" i="3" s="1"/>
  <c r="AE350" i="3"/>
  <c r="Z208" i="3"/>
  <c r="AD208" i="3" s="1"/>
  <c r="Y208" i="3"/>
  <c r="AC208" i="3" s="1"/>
  <c r="AE208" i="3"/>
  <c r="Z154" i="3"/>
  <c r="AD154" i="3" s="1"/>
  <c r="Y154" i="3"/>
  <c r="AC154" i="3" s="1"/>
  <c r="AE154" i="3"/>
  <c r="Z280" i="3"/>
  <c r="AD280" i="3" s="1"/>
  <c r="Y280" i="3"/>
  <c r="AC280" i="3" s="1"/>
  <c r="AE280" i="3"/>
  <c r="Z88" i="3"/>
  <c r="AD88" i="3" s="1"/>
  <c r="Y88" i="3"/>
  <c r="AC88" i="3" s="1"/>
  <c r="AE88" i="3"/>
  <c r="T3" i="14"/>
  <c r="P3" i="14"/>
  <c r="E15" i="1"/>
  <c r="F15" i="1" s="1"/>
  <c r="T17" i="14"/>
  <c r="P17" i="14"/>
  <c r="E29" i="1"/>
  <c r="F29" i="1" s="1"/>
  <c r="I566" i="15"/>
  <c r="I104" i="15"/>
  <c r="I96" i="15"/>
  <c r="I88" i="15"/>
  <c r="I107" i="15"/>
  <c r="I99" i="15"/>
  <c r="I91" i="15"/>
  <c r="I83" i="15"/>
  <c r="I102" i="15"/>
  <c r="I94" i="15"/>
  <c r="I86" i="15"/>
  <c r="I97" i="15"/>
  <c r="I89" i="15"/>
  <c r="I108" i="15"/>
  <c r="I100" i="15"/>
  <c r="I109" i="15"/>
  <c r="I101" i="15"/>
  <c r="I93" i="15"/>
  <c r="I85" i="15"/>
  <c r="I106" i="15"/>
  <c r="I84" i="15"/>
  <c r="I92" i="15"/>
  <c r="I90" i="15"/>
  <c r="I98" i="15"/>
  <c r="I87" i="15"/>
  <c r="I95" i="15"/>
  <c r="I103" i="15"/>
  <c r="R5" i="14"/>
  <c r="O247" i="15"/>
  <c r="N247" i="15"/>
  <c r="O227" i="15"/>
  <c r="N227" i="15"/>
  <c r="O248" i="15"/>
  <c r="N248" i="15"/>
  <c r="O44" i="15"/>
  <c r="N44" i="15"/>
  <c r="O423" i="15"/>
  <c r="N423" i="15"/>
  <c r="O418" i="15"/>
  <c r="N418" i="15"/>
  <c r="N427" i="15"/>
  <c r="O427" i="15"/>
  <c r="O440" i="15"/>
  <c r="N440" i="15"/>
  <c r="O111" i="15"/>
  <c r="N111" i="15"/>
  <c r="O121" i="15"/>
  <c r="N121" i="15"/>
  <c r="O138" i="15"/>
  <c r="N138" i="15"/>
  <c r="O125" i="15"/>
  <c r="N125" i="15"/>
  <c r="I245" i="15"/>
  <c r="I237" i="15"/>
  <c r="I248" i="15"/>
  <c r="I240" i="15"/>
  <c r="I243" i="15"/>
  <c r="I235" i="15"/>
  <c r="I238" i="15"/>
  <c r="I227" i="15"/>
  <c r="I230" i="15"/>
  <c r="I233" i="15"/>
  <c r="I246" i="15"/>
  <c r="I241" i="15"/>
  <c r="I236" i="15"/>
  <c r="I232" i="15"/>
  <c r="I249" i="15"/>
  <c r="I244" i="15"/>
  <c r="I234" i="15"/>
  <c r="I247" i="15"/>
  <c r="I242" i="15"/>
  <c r="I229" i="15"/>
  <c r="I250" i="15"/>
  <c r="I231" i="15"/>
  <c r="I228" i="15"/>
  <c r="R7" i="14"/>
  <c r="AE520" i="3"/>
  <c r="Z520" i="3"/>
  <c r="AD520" i="3" s="1"/>
  <c r="Y520" i="3"/>
  <c r="AC520" i="3" s="1"/>
  <c r="AE562" i="3"/>
  <c r="Z562" i="3"/>
  <c r="AD562" i="3" s="1"/>
  <c r="Y562" i="3"/>
  <c r="AC562" i="3" s="1"/>
  <c r="AE546" i="3"/>
  <c r="Z546" i="3"/>
  <c r="AD546" i="3" s="1"/>
  <c r="Y546" i="3"/>
  <c r="AC546" i="3" s="1"/>
  <c r="Y510" i="3"/>
  <c r="AC510" i="3" s="1"/>
  <c r="AE510" i="3"/>
  <c r="Z510" i="3"/>
  <c r="AD510" i="3" s="1"/>
  <c r="Y413" i="3"/>
  <c r="AC413" i="3" s="1"/>
  <c r="AE413" i="3"/>
  <c r="Z413" i="3"/>
  <c r="AD413" i="3" s="1"/>
  <c r="Y397" i="3"/>
  <c r="AC397" i="3" s="1"/>
  <c r="AE397" i="3"/>
  <c r="Z397" i="3"/>
  <c r="AD397" i="3" s="1"/>
  <c r="AE393" i="3"/>
  <c r="Z393" i="3"/>
  <c r="AD393" i="3" s="1"/>
  <c r="Y393" i="3"/>
  <c r="AC393" i="3" s="1"/>
  <c r="Z50" i="3"/>
  <c r="AD50" i="3" s="1"/>
  <c r="Y50" i="3"/>
  <c r="AC50" i="3" s="1"/>
  <c r="AE50" i="3"/>
  <c r="Z262" i="3"/>
  <c r="AD262" i="3" s="1"/>
  <c r="Y262" i="3"/>
  <c r="AC262" i="3" s="1"/>
  <c r="AE262" i="3"/>
  <c r="Z290" i="3"/>
  <c r="AD290" i="3" s="1"/>
  <c r="Y290" i="3"/>
  <c r="AC290" i="3" s="1"/>
  <c r="AE290" i="3"/>
  <c r="I523" i="15"/>
  <c r="I515" i="15"/>
  <c r="I507" i="15"/>
  <c r="I499" i="15"/>
  <c r="I526" i="15"/>
  <c r="I518" i="15"/>
  <c r="I510" i="15"/>
  <c r="I502" i="15"/>
  <c r="I529" i="15"/>
  <c r="I521" i="15"/>
  <c r="I513" i="15"/>
  <c r="I497" i="15"/>
  <c r="I524" i="15"/>
  <c r="I516" i="15"/>
  <c r="I508" i="15"/>
  <c r="I500" i="15"/>
  <c r="I527" i="15"/>
  <c r="I511" i="15"/>
  <c r="I495" i="15"/>
  <c r="I514" i="15"/>
  <c r="I498" i="15"/>
  <c r="I517" i="15"/>
  <c r="I501" i="15"/>
  <c r="I525" i="15"/>
  <c r="I509" i="15"/>
  <c r="I506" i="15"/>
  <c r="I512" i="15"/>
  <c r="I504" i="15"/>
  <c r="I519" i="15"/>
  <c r="I528" i="15"/>
  <c r="I503" i="15"/>
  <c r="I456" i="15"/>
  <c r="I522" i="15"/>
  <c r="I496" i="15"/>
  <c r="I520" i="15"/>
  <c r="I113" i="15"/>
  <c r="R4" i="14"/>
  <c r="O228" i="15"/>
  <c r="N228" i="15"/>
  <c r="N235" i="15"/>
  <c r="O235" i="15"/>
  <c r="O240" i="15"/>
  <c r="N240" i="15"/>
  <c r="I491" i="15"/>
  <c r="I483" i="15"/>
  <c r="I475" i="15"/>
  <c r="I494" i="15"/>
  <c r="I486" i="15"/>
  <c r="I478" i="15"/>
  <c r="I470" i="15"/>
  <c r="I489" i="15"/>
  <c r="I481" i="15"/>
  <c r="I473" i="15"/>
  <c r="I492" i="15"/>
  <c r="I484" i="15"/>
  <c r="I476" i="15"/>
  <c r="I468" i="15"/>
  <c r="I559" i="15"/>
  <c r="I479" i="15"/>
  <c r="I485" i="15"/>
  <c r="I469" i="15"/>
  <c r="I493" i="15"/>
  <c r="I477" i="15"/>
  <c r="I474" i="15"/>
  <c r="I480" i="15"/>
  <c r="I472" i="15"/>
  <c r="I487" i="15"/>
  <c r="I490" i="15"/>
  <c r="I488" i="15"/>
  <c r="I471" i="15"/>
  <c r="R13" i="14"/>
  <c r="O429" i="15"/>
  <c r="N429" i="15"/>
  <c r="O431" i="15"/>
  <c r="N431" i="15"/>
  <c r="N419" i="15"/>
  <c r="O419" i="15"/>
  <c r="N435" i="15"/>
  <c r="O435" i="15"/>
  <c r="I161" i="15"/>
  <c r="I56" i="15"/>
  <c r="I48" i="15"/>
  <c r="I40" i="15"/>
  <c r="I32" i="15"/>
  <c r="I51" i="15"/>
  <c r="I43" i="15"/>
  <c r="I35" i="15"/>
  <c r="I54" i="15"/>
  <c r="I46" i="15"/>
  <c r="I38" i="15"/>
  <c r="I30" i="15"/>
  <c r="I53" i="15"/>
  <c r="I45" i="15"/>
  <c r="I37" i="15"/>
  <c r="I29" i="15"/>
  <c r="I47" i="15"/>
  <c r="I31" i="15"/>
  <c r="I50" i="15"/>
  <c r="I34" i="15"/>
  <c r="I49" i="15"/>
  <c r="I33" i="15"/>
  <c r="I52" i="15"/>
  <c r="I39" i="15"/>
  <c r="I36" i="15"/>
  <c r="I57" i="15"/>
  <c r="I55" i="15"/>
  <c r="I42" i="15"/>
  <c r="R14" i="14"/>
  <c r="P5" i="14"/>
  <c r="T5" i="14"/>
  <c r="E18" i="1"/>
  <c r="F18" i="1" s="1"/>
  <c r="N233" i="15"/>
  <c r="O233" i="15"/>
  <c r="O238" i="15"/>
  <c r="N238" i="15"/>
  <c r="O237" i="15"/>
  <c r="N237" i="15"/>
  <c r="N425" i="15"/>
  <c r="O425" i="15"/>
  <c r="O439" i="15"/>
  <c r="N439" i="15"/>
  <c r="O426" i="15"/>
  <c r="N426" i="15"/>
  <c r="N416" i="15"/>
  <c r="O416" i="15"/>
  <c r="H567" i="15"/>
  <c r="H77" i="15"/>
  <c r="H69" i="15"/>
  <c r="H61" i="15"/>
  <c r="H80" i="15"/>
  <c r="H72" i="15"/>
  <c r="H64" i="15"/>
  <c r="H75" i="15"/>
  <c r="H67" i="15"/>
  <c r="H59" i="15"/>
  <c r="H78" i="15"/>
  <c r="H82" i="15"/>
  <c r="H74" i="15"/>
  <c r="H66" i="15"/>
  <c r="H58" i="15"/>
  <c r="H60" i="15"/>
  <c r="H76" i="15"/>
  <c r="H63" i="15"/>
  <c r="H62" i="15"/>
  <c r="H81" i="15"/>
  <c r="H73" i="15"/>
  <c r="H65" i="15"/>
  <c r="H79" i="15"/>
  <c r="H71" i="15"/>
  <c r="H70" i="15"/>
  <c r="H68" i="15"/>
  <c r="S16" i="14"/>
  <c r="O119" i="15"/>
  <c r="N119" i="15"/>
  <c r="O129" i="15"/>
  <c r="N129" i="15"/>
  <c r="N115" i="15"/>
  <c r="O115" i="15"/>
  <c r="O134" i="15"/>
  <c r="N134" i="15"/>
  <c r="T18" i="14"/>
  <c r="P18" i="14"/>
  <c r="E28" i="1"/>
  <c r="F28" i="1" s="1"/>
  <c r="P21" i="14"/>
  <c r="T21" i="14"/>
  <c r="E24" i="1"/>
  <c r="F24" i="1" s="1"/>
  <c r="P20" i="14"/>
  <c r="T20" i="14"/>
  <c r="E20" i="1"/>
  <c r="F20" i="1" s="1"/>
  <c r="P14" i="14"/>
  <c r="T14" i="14"/>
  <c r="E16" i="1"/>
  <c r="F16" i="1" s="1"/>
  <c r="J198" i="15"/>
  <c r="J190" i="15"/>
  <c r="J182" i="15"/>
  <c r="J174" i="15"/>
  <c r="J193" i="15"/>
  <c r="J185" i="15"/>
  <c r="J177" i="15"/>
  <c r="J196" i="15"/>
  <c r="J188" i="15"/>
  <c r="J180" i="15"/>
  <c r="J172" i="15"/>
  <c r="J195" i="15"/>
  <c r="J187" i="15"/>
  <c r="J179" i="15"/>
  <c r="J189" i="15"/>
  <c r="J173" i="15"/>
  <c r="J192" i="15"/>
  <c r="J176" i="15"/>
  <c r="J191" i="15"/>
  <c r="J175" i="15"/>
  <c r="J105" i="15"/>
  <c r="J194" i="15"/>
  <c r="J178" i="15"/>
  <c r="J197" i="15"/>
  <c r="J181" i="15"/>
  <c r="J184" i="15"/>
  <c r="J186" i="15"/>
  <c r="J183" i="15"/>
  <c r="AE516" i="3"/>
  <c r="Z516" i="3"/>
  <c r="AD516" i="3" s="1"/>
  <c r="Y516" i="3"/>
  <c r="AC516" i="3" s="1"/>
  <c r="AE558" i="3"/>
  <c r="Z558" i="3"/>
  <c r="AD558" i="3" s="1"/>
  <c r="Y558" i="3"/>
  <c r="AC558" i="3" s="1"/>
  <c r="Z494" i="3"/>
  <c r="AD494" i="3" s="1"/>
  <c r="Y494" i="3"/>
  <c r="AC494" i="3" s="1"/>
  <c r="AE494" i="3"/>
  <c r="AE411" i="3"/>
  <c r="Y411" i="3"/>
  <c r="AC411" i="3" s="1"/>
  <c r="Z411" i="3"/>
  <c r="AD411" i="3" s="1"/>
  <c r="Z431" i="3"/>
  <c r="AD431" i="3" s="1"/>
  <c r="Y431" i="3"/>
  <c r="AC431" i="3" s="1"/>
  <c r="AE431" i="3"/>
  <c r="Y381" i="3"/>
  <c r="AC381" i="3" s="1"/>
  <c r="AE381" i="3"/>
  <c r="Z381" i="3"/>
  <c r="AD381" i="3" s="1"/>
  <c r="Z509" i="3"/>
  <c r="AD509" i="3" s="1"/>
  <c r="Y509" i="3"/>
  <c r="AC509" i="3" s="1"/>
  <c r="AE509" i="3"/>
  <c r="Z242" i="3"/>
  <c r="AD242" i="3" s="1"/>
  <c r="Y242" i="3"/>
  <c r="AC242" i="3" s="1"/>
  <c r="AE242" i="3"/>
  <c r="Z34" i="3"/>
  <c r="AD34" i="3" s="1"/>
  <c r="Y34" i="3"/>
  <c r="AC34" i="3" s="1"/>
  <c r="AE34" i="3"/>
  <c r="Z352" i="3"/>
  <c r="AD352" i="3" s="1"/>
  <c r="Y352" i="3"/>
  <c r="AC352" i="3" s="1"/>
  <c r="AE352" i="3"/>
  <c r="Z200" i="3"/>
  <c r="AD200" i="3" s="1"/>
  <c r="Y200" i="3"/>
  <c r="AC200" i="3" s="1"/>
  <c r="AE200" i="3"/>
  <c r="Z132" i="3"/>
  <c r="AD132" i="3" s="1"/>
  <c r="Y132" i="3"/>
  <c r="AC132" i="3" s="1"/>
  <c r="AE132" i="3"/>
  <c r="Z72" i="3"/>
  <c r="AD72" i="3" s="1"/>
  <c r="Y72" i="3"/>
  <c r="AC72" i="3" s="1"/>
  <c r="AE72" i="3"/>
  <c r="Z230" i="3"/>
  <c r="AD230" i="3" s="1"/>
  <c r="Y230" i="3"/>
  <c r="AC230" i="3" s="1"/>
  <c r="AE230" i="3"/>
  <c r="O231" i="15"/>
  <c r="N231" i="15"/>
  <c r="N243" i="15"/>
  <c r="O243" i="15"/>
  <c r="O245" i="15"/>
  <c r="N245" i="15"/>
  <c r="O413" i="15"/>
  <c r="N413" i="15"/>
  <c r="O428" i="15"/>
  <c r="N428" i="15"/>
  <c r="O442" i="15"/>
  <c r="N442" i="15"/>
  <c r="N424" i="15"/>
  <c r="O424" i="15"/>
  <c r="I505" i="15"/>
  <c r="I329" i="15"/>
  <c r="I139" i="15"/>
  <c r="I131" i="15"/>
  <c r="I134" i="15"/>
  <c r="I128" i="15"/>
  <c r="I120" i="15"/>
  <c r="I112" i="15"/>
  <c r="I136" i="15"/>
  <c r="I123" i="15"/>
  <c r="I115" i="15"/>
  <c r="I138" i="15"/>
  <c r="I133" i="15"/>
  <c r="I126" i="15"/>
  <c r="I118" i="15"/>
  <c r="I110" i="15"/>
  <c r="I140" i="15"/>
  <c r="I135" i="15"/>
  <c r="I129" i="15"/>
  <c r="I121" i="15"/>
  <c r="I124" i="15"/>
  <c r="I116" i="15"/>
  <c r="I132" i="15"/>
  <c r="I127" i="15"/>
  <c r="I119" i="15"/>
  <c r="I111" i="15"/>
  <c r="I125" i="15"/>
  <c r="I117" i="15"/>
  <c r="I130" i="15"/>
  <c r="I114" i="15"/>
  <c r="I122" i="15"/>
  <c r="R15" i="14"/>
  <c r="O132" i="15"/>
  <c r="N132" i="15"/>
  <c r="O135" i="15"/>
  <c r="N135" i="15"/>
  <c r="N123" i="15"/>
  <c r="O123" i="15"/>
  <c r="O139" i="15"/>
  <c r="N139" i="15"/>
  <c r="I568" i="15"/>
  <c r="I560" i="15"/>
  <c r="I467" i="15"/>
  <c r="I459" i="15"/>
  <c r="I451" i="15"/>
  <c r="I443" i="15"/>
  <c r="I462" i="15"/>
  <c r="I454" i="15"/>
  <c r="I446" i="15"/>
  <c r="I465" i="15"/>
  <c r="I457" i="15"/>
  <c r="I449" i="15"/>
  <c r="I460" i="15"/>
  <c r="I452" i="15"/>
  <c r="I444" i="15"/>
  <c r="I463" i="15"/>
  <c r="I447" i="15"/>
  <c r="I466" i="15"/>
  <c r="I450" i="15"/>
  <c r="I453" i="15"/>
  <c r="I461" i="15"/>
  <c r="I445" i="15"/>
  <c r="I448" i="15"/>
  <c r="I455" i="15"/>
  <c r="I464" i="15"/>
  <c r="I458" i="15"/>
  <c r="R19" i="14"/>
  <c r="I269" i="15"/>
  <c r="I253" i="15"/>
  <c r="I272" i="15"/>
  <c r="I264" i="15"/>
  <c r="I256" i="15"/>
  <c r="I267" i="15"/>
  <c r="I259" i="15"/>
  <c r="I251" i="15"/>
  <c r="I266" i="15"/>
  <c r="I258" i="15"/>
  <c r="I270" i="15"/>
  <c r="I254" i="15"/>
  <c r="I273" i="15"/>
  <c r="I257" i="15"/>
  <c r="I271" i="15"/>
  <c r="I255" i="15"/>
  <c r="I268" i="15"/>
  <c r="I265" i="15"/>
  <c r="I252" i="15"/>
  <c r="I262" i="15"/>
  <c r="I263" i="15"/>
  <c r="R21" i="14"/>
  <c r="J564" i="15"/>
  <c r="J557" i="15"/>
  <c r="J298" i="15"/>
  <c r="J290" i="15"/>
  <c r="J282" i="15"/>
  <c r="J293" i="15"/>
  <c r="J296" i="15"/>
  <c r="J289" i="15"/>
  <c r="J280" i="15"/>
  <c r="J287" i="15"/>
  <c r="J285" i="15"/>
  <c r="J275" i="15"/>
  <c r="J300" i="15"/>
  <c r="J295" i="15"/>
  <c r="J283" i="15"/>
  <c r="J278" i="15"/>
  <c r="J291" i="15"/>
  <c r="J277" i="15"/>
  <c r="J299" i="15"/>
  <c r="J294" i="15"/>
  <c r="J276" i="15"/>
  <c r="J286" i="15"/>
  <c r="J279" i="15"/>
  <c r="J284" i="15"/>
  <c r="J274" i="15"/>
  <c r="J288" i="15"/>
  <c r="J292" i="15"/>
  <c r="J297" i="15"/>
  <c r="J281" i="15"/>
  <c r="J556" i="15"/>
  <c r="J222" i="15"/>
  <c r="J214" i="15"/>
  <c r="J206" i="15"/>
  <c r="J225" i="15"/>
  <c r="J217" i="15"/>
  <c r="J209" i="15"/>
  <c r="J220" i="15"/>
  <c r="J212" i="15"/>
  <c r="J204" i="15"/>
  <c r="J219" i="15"/>
  <c r="J211" i="15"/>
  <c r="J203" i="15"/>
  <c r="J221" i="15"/>
  <c r="J205" i="15"/>
  <c r="J224" i="15"/>
  <c r="J208" i="15"/>
  <c r="J223" i="15"/>
  <c r="J207" i="15"/>
  <c r="J226" i="15"/>
  <c r="J210" i="15"/>
  <c r="J213" i="15"/>
  <c r="J216" i="15"/>
  <c r="J200" i="15"/>
  <c r="J218" i="15"/>
  <c r="J202" i="15"/>
  <c r="J199" i="15"/>
  <c r="J215" i="15"/>
  <c r="AE544" i="3"/>
  <c r="Z544" i="3"/>
  <c r="AD544" i="3" s="1"/>
  <c r="Y544" i="3"/>
  <c r="AC544" i="3" s="1"/>
  <c r="AE512" i="3"/>
  <c r="Z512" i="3"/>
  <c r="AD512" i="3" s="1"/>
  <c r="Y512" i="3"/>
  <c r="AC512" i="3" s="1"/>
  <c r="AE554" i="3"/>
  <c r="Z554" i="3"/>
  <c r="AD554" i="3" s="1"/>
  <c r="Y554" i="3"/>
  <c r="AC554" i="3" s="1"/>
  <c r="Z467" i="3"/>
  <c r="AD467" i="3" s="1"/>
  <c r="Y467" i="3"/>
  <c r="AC467" i="3" s="1"/>
  <c r="AE467" i="3"/>
  <c r="Y406" i="3"/>
  <c r="AC406" i="3" s="1"/>
  <c r="AE406" i="3"/>
  <c r="Z406" i="3"/>
  <c r="AD406" i="3" s="1"/>
  <c r="Z424" i="3"/>
  <c r="AD424" i="3" s="1"/>
  <c r="Y424" i="3"/>
  <c r="AC424" i="3" s="1"/>
  <c r="AE424" i="3"/>
  <c r="Z196" i="3"/>
  <c r="AD196" i="3" s="1"/>
  <c r="Y196" i="3"/>
  <c r="AC196" i="3" s="1"/>
  <c r="AE196" i="3"/>
  <c r="Z138" i="3"/>
  <c r="AD138" i="3" s="1"/>
  <c r="Y138" i="3"/>
  <c r="AC138" i="3" s="1"/>
  <c r="AE138" i="3"/>
  <c r="Z144" i="3"/>
  <c r="AD144" i="3" s="1"/>
  <c r="Y144" i="3"/>
  <c r="AC144" i="3" s="1"/>
  <c r="AE144" i="3"/>
  <c r="Z56" i="3"/>
  <c r="AD56" i="3" s="1"/>
  <c r="Y56" i="3"/>
  <c r="AC56" i="3" s="1"/>
  <c r="AE56" i="3"/>
  <c r="P4" i="14"/>
  <c r="T4" i="14"/>
  <c r="E33" i="1"/>
  <c r="F33" i="1" s="1"/>
  <c r="I565" i="15"/>
  <c r="I563" i="15"/>
  <c r="I555" i="15"/>
  <c r="I319" i="15"/>
  <c r="I311" i="15"/>
  <c r="I303" i="15"/>
  <c r="I322" i="15"/>
  <c r="I314" i="15"/>
  <c r="I306" i="15"/>
  <c r="I325" i="15"/>
  <c r="I317" i="15"/>
  <c r="I309" i="15"/>
  <c r="I301" i="15"/>
  <c r="I324" i="15"/>
  <c r="I321" i="15"/>
  <c r="I316" i="15"/>
  <c r="I323" i="15"/>
  <c r="I318" i="15"/>
  <c r="I313" i="15"/>
  <c r="I308" i="15"/>
  <c r="I320" i="15"/>
  <c r="I315" i="15"/>
  <c r="I310" i="15"/>
  <c r="I305" i="15"/>
  <c r="I304" i="15"/>
  <c r="I260" i="15"/>
  <c r="I307" i="15"/>
  <c r="I302" i="15"/>
  <c r="I312" i="15"/>
  <c r="R11" i="14"/>
  <c r="T10" i="14"/>
  <c r="P10" i="14"/>
  <c r="E34" i="1"/>
  <c r="F34" i="1" s="1"/>
  <c r="T2" i="14"/>
  <c r="P2" i="14"/>
  <c r="E21" i="1"/>
  <c r="F21" i="1" s="1"/>
  <c r="O229" i="15"/>
  <c r="N229" i="15"/>
  <c r="O232" i="15"/>
  <c r="N232" i="15"/>
  <c r="N234" i="15"/>
  <c r="O234" i="15"/>
  <c r="I411" i="15"/>
  <c r="I403" i="15"/>
  <c r="I395" i="15"/>
  <c r="I387" i="15"/>
  <c r="I482" i="15"/>
  <c r="I406" i="15"/>
  <c r="I398" i="15"/>
  <c r="I390" i="15"/>
  <c r="I409" i="15"/>
  <c r="I401" i="15"/>
  <c r="I393" i="15"/>
  <c r="I385" i="15"/>
  <c r="I405" i="15"/>
  <c r="I397" i="15"/>
  <c r="I389" i="15"/>
  <c r="I402" i="15"/>
  <c r="I386" i="15"/>
  <c r="I408" i="15"/>
  <c r="I392" i="15"/>
  <c r="I404" i="15"/>
  <c r="I388" i="15"/>
  <c r="I410" i="15"/>
  <c r="I391" i="15"/>
  <c r="I399" i="15"/>
  <c r="I407" i="15"/>
  <c r="I396" i="15"/>
  <c r="I394" i="15"/>
  <c r="I400" i="15"/>
  <c r="I412" i="15"/>
  <c r="I239" i="15"/>
  <c r="R17" i="14"/>
  <c r="O163" i="15"/>
  <c r="N163" i="15"/>
  <c r="O436" i="15"/>
  <c r="N436" i="15"/>
  <c r="O414" i="15"/>
  <c r="N414" i="15"/>
  <c r="O432" i="15"/>
  <c r="N432" i="15"/>
  <c r="J438" i="15"/>
  <c r="J441" i="15"/>
  <c r="J433" i="15"/>
  <c r="J436" i="15"/>
  <c r="J439" i="15"/>
  <c r="J434" i="15"/>
  <c r="J430" i="15"/>
  <c r="J422" i="15"/>
  <c r="J414" i="15"/>
  <c r="J437" i="15"/>
  <c r="J425" i="15"/>
  <c r="J417" i="15"/>
  <c r="J440" i="15"/>
  <c r="J428" i="15"/>
  <c r="J420" i="15"/>
  <c r="J432" i="15"/>
  <c r="J424" i="15"/>
  <c r="J416" i="15"/>
  <c r="J421" i="15"/>
  <c r="J435" i="15"/>
  <c r="J427" i="15"/>
  <c r="J423" i="15"/>
  <c r="J442" i="15"/>
  <c r="J418" i="15"/>
  <c r="J429" i="15"/>
  <c r="J326" i="15"/>
  <c r="J415" i="15"/>
  <c r="J419" i="15"/>
  <c r="J431" i="15"/>
  <c r="J426" i="15"/>
  <c r="J413" i="15"/>
  <c r="J163" i="15"/>
  <c r="J44" i="15"/>
  <c r="O114" i="15"/>
  <c r="N114" i="15"/>
  <c r="O140" i="15"/>
  <c r="N140" i="15"/>
  <c r="N131" i="15"/>
  <c r="O131" i="15"/>
  <c r="N136" i="15"/>
  <c r="O136" i="15"/>
  <c r="Z552" i="3"/>
  <c r="AD552" i="3" s="1"/>
  <c r="Y552" i="3"/>
  <c r="AC552" i="3" s="1"/>
  <c r="AE552" i="3"/>
  <c r="AE540" i="3"/>
  <c r="Z540" i="3"/>
  <c r="AD540" i="3" s="1"/>
  <c r="Y540" i="3"/>
  <c r="AC540" i="3" s="1"/>
  <c r="AE478" i="3"/>
  <c r="Z478" i="3"/>
  <c r="AD478" i="3" s="1"/>
  <c r="Y478" i="3"/>
  <c r="AC478" i="3" s="1"/>
  <c r="AE504" i="3"/>
  <c r="Z504" i="3"/>
  <c r="AD504" i="3" s="1"/>
  <c r="Y504" i="3"/>
  <c r="AC504" i="3" s="1"/>
  <c r="Y464" i="3"/>
  <c r="AC464" i="3" s="1"/>
  <c r="AE464" i="3"/>
  <c r="Z464" i="3"/>
  <c r="AD464" i="3" s="1"/>
  <c r="Z164" i="3"/>
  <c r="AD164" i="3" s="1"/>
  <c r="Y164" i="3"/>
  <c r="AC164" i="3" s="1"/>
  <c r="AE164" i="3"/>
  <c r="Z254" i="3"/>
  <c r="AD254" i="3" s="1"/>
  <c r="Y254" i="3"/>
  <c r="AC254" i="3" s="1"/>
  <c r="AE254" i="3"/>
  <c r="Z6" i="3"/>
  <c r="AD6" i="3" s="1"/>
  <c r="Y6" i="3"/>
  <c r="AC6" i="3" s="1"/>
  <c r="AE6" i="3"/>
  <c r="Z433" i="3"/>
  <c r="AD433" i="3" s="1"/>
  <c r="Y433" i="3"/>
  <c r="AC433" i="3" s="1"/>
  <c r="AE433" i="3"/>
  <c r="Z134" i="3"/>
  <c r="AD134" i="3" s="1"/>
  <c r="Y134" i="3"/>
  <c r="AC134" i="3" s="1"/>
  <c r="AE134" i="3"/>
  <c r="I558" i="15"/>
  <c r="I24" i="15"/>
  <c r="I16" i="15"/>
  <c r="I8" i="15"/>
  <c r="I27" i="15"/>
  <c r="I19" i="15"/>
  <c r="I11" i="15"/>
  <c r="I3" i="15"/>
  <c r="I22" i="15"/>
  <c r="I14" i="15"/>
  <c r="I6" i="15"/>
  <c r="I21" i="15"/>
  <c r="I13" i="15"/>
  <c r="I5" i="15"/>
  <c r="I15" i="15"/>
  <c r="I18" i="15"/>
  <c r="I2" i="15"/>
  <c r="I17" i="15"/>
  <c r="I28" i="15"/>
  <c r="I12" i="15"/>
  <c r="I20" i="15"/>
  <c r="I7" i="15"/>
  <c r="I26" i="15"/>
  <c r="I9" i="15"/>
  <c r="I25" i="15"/>
  <c r="I23" i="15"/>
  <c r="I10" i="15"/>
  <c r="I4" i="15"/>
  <c r="R3" i="14"/>
  <c r="O244" i="15"/>
  <c r="N244" i="15"/>
  <c r="O242" i="15"/>
  <c r="N242" i="15"/>
  <c r="O420" i="15"/>
  <c r="N420" i="15"/>
  <c r="O422" i="15"/>
  <c r="N422" i="15"/>
  <c r="N110" i="15"/>
  <c r="O110" i="15"/>
  <c r="O329" i="15"/>
  <c r="N329" i="15"/>
  <c r="Z548" i="3"/>
  <c r="AD548" i="3" s="1"/>
  <c r="Y548" i="3"/>
  <c r="AC548" i="3" s="1"/>
  <c r="AE548" i="3"/>
  <c r="AE500" i="3"/>
  <c r="Z500" i="3"/>
  <c r="AD500" i="3" s="1"/>
  <c r="Y500" i="3"/>
  <c r="AC500" i="3" s="1"/>
  <c r="AE443" i="3"/>
  <c r="Y443" i="3"/>
  <c r="AC443" i="3" s="1"/>
  <c r="Z443" i="3"/>
  <c r="AD443" i="3" s="1"/>
  <c r="AE404" i="3"/>
  <c r="Z404" i="3"/>
  <c r="AD404" i="3" s="1"/>
  <c r="Y404" i="3"/>
  <c r="AC404" i="3" s="1"/>
  <c r="AE377" i="3"/>
  <c r="Z377" i="3"/>
  <c r="AD377" i="3" s="1"/>
  <c r="Y377" i="3"/>
  <c r="AC377" i="3" s="1"/>
  <c r="Z216" i="3"/>
  <c r="AD216" i="3" s="1"/>
  <c r="Y216" i="3"/>
  <c r="AC216" i="3" s="1"/>
  <c r="AE216" i="3"/>
  <c r="Z344" i="3"/>
  <c r="AD344" i="3" s="1"/>
  <c r="Y344" i="3"/>
  <c r="AC344" i="3" s="1"/>
  <c r="AE344" i="3"/>
  <c r="Z170" i="3"/>
  <c r="AD170" i="3" s="1"/>
  <c r="Y170" i="3"/>
  <c r="AC170" i="3" s="1"/>
  <c r="AE170" i="3"/>
  <c r="Z316" i="3"/>
  <c r="AD316" i="3" s="1"/>
  <c r="Y316" i="3"/>
  <c r="AC316" i="3" s="1"/>
  <c r="AE316" i="3"/>
  <c r="Z102" i="3"/>
  <c r="AD102" i="3" s="1"/>
  <c r="Y102" i="3"/>
  <c r="AC102" i="3" s="1"/>
  <c r="AE102" i="3"/>
  <c r="Z20" i="3"/>
  <c r="AD20" i="3" s="1"/>
  <c r="Y20" i="3"/>
  <c r="AC20" i="3" s="1"/>
  <c r="AE20" i="3"/>
  <c r="T19" i="14"/>
  <c r="P19" i="14"/>
  <c r="E31" i="1"/>
  <c r="F31" i="1" s="1"/>
  <c r="I567" i="15"/>
  <c r="I80" i="15"/>
  <c r="I72" i="15"/>
  <c r="I64" i="15"/>
  <c r="I75" i="15"/>
  <c r="I67" i="15"/>
  <c r="I59" i="15"/>
  <c r="I78" i="15"/>
  <c r="I70" i="15"/>
  <c r="I62" i="15"/>
  <c r="I81" i="15"/>
  <c r="I77" i="15"/>
  <c r="I69" i="15"/>
  <c r="I61" i="15"/>
  <c r="I76" i="15"/>
  <c r="I63" i="15"/>
  <c r="I66" i="15"/>
  <c r="I65" i="15"/>
  <c r="I60" i="15"/>
  <c r="I79" i="15"/>
  <c r="I71" i="15"/>
  <c r="I58" i="15"/>
  <c r="I82" i="15"/>
  <c r="I73" i="15"/>
  <c r="I74" i="15"/>
  <c r="I68" i="15"/>
  <c r="R16" i="14"/>
  <c r="O249" i="15"/>
  <c r="N249" i="15"/>
  <c r="O241" i="15"/>
  <c r="N241" i="15"/>
  <c r="O250" i="15"/>
  <c r="N250" i="15"/>
  <c r="O326" i="15"/>
  <c r="N326" i="15"/>
  <c r="N421" i="15"/>
  <c r="O421" i="15"/>
  <c r="O430" i="15"/>
  <c r="N430" i="15"/>
  <c r="N441" i="15"/>
  <c r="O441" i="15"/>
  <c r="O130" i="15"/>
  <c r="N130" i="15"/>
  <c r="N118" i="15"/>
  <c r="O118" i="15"/>
  <c r="O120" i="15"/>
  <c r="N120" i="15"/>
  <c r="N505" i="15"/>
  <c r="O505" i="15"/>
  <c r="I561" i="15"/>
  <c r="I562" i="15"/>
  <c r="I171" i="15"/>
  <c r="I155" i="15"/>
  <c r="I147" i="15"/>
  <c r="I166" i="15"/>
  <c r="I158" i="15"/>
  <c r="I150" i="15"/>
  <c r="I142" i="15"/>
  <c r="I201" i="15"/>
  <c r="I169" i="15"/>
  <c r="I153" i="15"/>
  <c r="I145" i="15"/>
  <c r="I137" i="15"/>
  <c r="I168" i="15"/>
  <c r="I170" i="15"/>
  <c r="I164" i="15"/>
  <c r="I159" i="15"/>
  <c r="I154" i="15"/>
  <c r="I149" i="15"/>
  <c r="I144" i="15"/>
  <c r="I156" i="15"/>
  <c r="I151" i="15"/>
  <c r="I146" i="15"/>
  <c r="I141" i="15"/>
  <c r="I148" i="15"/>
  <c r="I143" i="15"/>
  <c r="I167" i="15"/>
  <c r="I162" i="15"/>
  <c r="I157" i="15"/>
  <c r="I152" i="15"/>
  <c r="I41" i="15"/>
  <c r="I165" i="15"/>
  <c r="I160" i="15"/>
  <c r="R20" i="14"/>
  <c r="P6" i="14"/>
  <c r="T6" i="14"/>
  <c r="E22" i="1"/>
  <c r="F22" i="1" s="1"/>
  <c r="AE532" i="3"/>
  <c r="Z532" i="3"/>
  <c r="AD532" i="3" s="1"/>
  <c r="Y532" i="3"/>
  <c r="AC532" i="3" s="1"/>
  <c r="AE508" i="3"/>
  <c r="Y508" i="3"/>
  <c r="AC508" i="3" s="1"/>
  <c r="Z508" i="3"/>
  <c r="AD508" i="3" s="1"/>
  <c r="AE496" i="3"/>
  <c r="Z496" i="3"/>
  <c r="AD496" i="3" s="1"/>
  <c r="Y496" i="3"/>
  <c r="AC496" i="3" s="1"/>
  <c r="Z440" i="3"/>
  <c r="AD440" i="3" s="1"/>
  <c r="Y440" i="3"/>
  <c r="AC440" i="3" s="1"/>
  <c r="AE440" i="3"/>
  <c r="Z461" i="3"/>
  <c r="AD461" i="3" s="1"/>
  <c r="Y461" i="3"/>
  <c r="AC461" i="3" s="1"/>
  <c r="AE461" i="3"/>
  <c r="Z204" i="3"/>
  <c r="AD204" i="3" s="1"/>
  <c r="Y204" i="3"/>
  <c r="AC204" i="3" s="1"/>
  <c r="AE204" i="3"/>
  <c r="H53" i="15" l="1"/>
  <c r="H45" i="15"/>
  <c r="H37" i="15"/>
  <c r="H29" i="15"/>
  <c r="H56" i="15"/>
  <c r="H48" i="15"/>
  <c r="H40" i="15"/>
  <c r="H32" i="15"/>
  <c r="H161" i="15"/>
  <c r="H51" i="15"/>
  <c r="H43" i="15"/>
  <c r="H35" i="15"/>
  <c r="H50" i="15"/>
  <c r="H42" i="15"/>
  <c r="H34" i="15"/>
  <c r="H47" i="15"/>
  <c r="H31" i="15"/>
  <c r="H46" i="15"/>
  <c r="H30" i="15"/>
  <c r="H57" i="15"/>
  <c r="H33" i="15"/>
  <c r="H52" i="15"/>
  <c r="H39" i="15"/>
  <c r="H54" i="15"/>
  <c r="H38" i="15"/>
  <c r="H49" i="15"/>
  <c r="H36" i="15"/>
  <c r="H55" i="15"/>
  <c r="S14" i="14"/>
  <c r="O74" i="15"/>
  <c r="N74" i="15"/>
  <c r="J566" i="15"/>
  <c r="J107" i="15"/>
  <c r="J99" i="15"/>
  <c r="J91" i="15"/>
  <c r="J83" i="15"/>
  <c r="J102" i="15"/>
  <c r="J94" i="15"/>
  <c r="J86" i="15"/>
  <c r="J97" i="15"/>
  <c r="J89" i="15"/>
  <c r="J108" i="15"/>
  <c r="J100" i="15"/>
  <c r="J92" i="15"/>
  <c r="J84" i="15"/>
  <c r="J103" i="15"/>
  <c r="J95" i="15"/>
  <c r="J104" i="15"/>
  <c r="J96" i="15"/>
  <c r="J88" i="15"/>
  <c r="J106" i="15"/>
  <c r="J85" i="15"/>
  <c r="J93" i="15"/>
  <c r="J98" i="15"/>
  <c r="J101" i="15"/>
  <c r="J87" i="15"/>
  <c r="J90" i="15"/>
  <c r="J109" i="15"/>
  <c r="H558" i="15"/>
  <c r="H21" i="15"/>
  <c r="H13" i="15"/>
  <c r="H5" i="15"/>
  <c r="H24" i="15"/>
  <c r="H16" i="15"/>
  <c r="H8" i="15"/>
  <c r="H27" i="15"/>
  <c r="H19" i="15"/>
  <c r="H11" i="15"/>
  <c r="H3" i="15"/>
  <c r="H26" i="15"/>
  <c r="H18" i="15"/>
  <c r="H10" i="15"/>
  <c r="H2" i="15"/>
  <c r="H28" i="15"/>
  <c r="H12" i="15"/>
  <c r="H15" i="15"/>
  <c r="H14" i="15"/>
  <c r="H25" i="15"/>
  <c r="H9" i="15"/>
  <c r="H20" i="15"/>
  <c r="H7" i="15"/>
  <c r="H22" i="15"/>
  <c r="H23" i="15"/>
  <c r="H6" i="15"/>
  <c r="H17" i="15"/>
  <c r="H4" i="15"/>
  <c r="S3" i="14"/>
  <c r="N285" i="15"/>
  <c r="O285" i="15"/>
  <c r="O286" i="15"/>
  <c r="N286" i="15"/>
  <c r="O282" i="15"/>
  <c r="N282" i="15"/>
  <c r="O557" i="15"/>
  <c r="N557" i="15"/>
  <c r="J563" i="15"/>
  <c r="J555" i="15"/>
  <c r="J565" i="15"/>
  <c r="J322" i="15"/>
  <c r="J314" i="15"/>
  <c r="J306" i="15"/>
  <c r="J325" i="15"/>
  <c r="J317" i="15"/>
  <c r="J309" i="15"/>
  <c r="J301" i="15"/>
  <c r="J320" i="15"/>
  <c r="J312" i="15"/>
  <c r="J304" i="15"/>
  <c r="J321" i="15"/>
  <c r="J316" i="15"/>
  <c r="J311" i="15"/>
  <c r="J323" i="15"/>
  <c r="J318" i="15"/>
  <c r="J313" i="15"/>
  <c r="J308" i="15"/>
  <c r="J303" i="15"/>
  <c r="J315" i="15"/>
  <c r="J310" i="15"/>
  <c r="J305" i="15"/>
  <c r="J324" i="15"/>
  <c r="J319" i="15"/>
  <c r="J260" i="15"/>
  <c r="J302" i="15"/>
  <c r="J307" i="15"/>
  <c r="H528" i="15"/>
  <c r="H520" i="15"/>
  <c r="H512" i="15"/>
  <c r="H504" i="15"/>
  <c r="H496" i="15"/>
  <c r="H456" i="15"/>
  <c r="H523" i="15"/>
  <c r="H515" i="15"/>
  <c r="H507" i="15"/>
  <c r="H499" i="15"/>
  <c r="H526" i="15"/>
  <c r="H518" i="15"/>
  <c r="H510" i="15"/>
  <c r="H502" i="15"/>
  <c r="H529" i="15"/>
  <c r="H521" i="15"/>
  <c r="H513" i="15"/>
  <c r="H497" i="15"/>
  <c r="H524" i="15"/>
  <c r="H508" i="15"/>
  <c r="H527" i="15"/>
  <c r="H511" i="15"/>
  <c r="H495" i="15"/>
  <c r="H514" i="15"/>
  <c r="H498" i="15"/>
  <c r="H522" i="15"/>
  <c r="H506" i="15"/>
  <c r="H519" i="15"/>
  <c r="H525" i="15"/>
  <c r="H517" i="15"/>
  <c r="H500" i="15"/>
  <c r="H503" i="15"/>
  <c r="H501" i="15"/>
  <c r="H516" i="15"/>
  <c r="H509" i="15"/>
  <c r="H113" i="15"/>
  <c r="S4" i="14"/>
  <c r="J272" i="15"/>
  <c r="J264" i="15"/>
  <c r="J256" i="15"/>
  <c r="J267" i="15"/>
  <c r="J259" i="15"/>
  <c r="J251" i="15"/>
  <c r="J270" i="15"/>
  <c r="J262" i="15"/>
  <c r="J254" i="15"/>
  <c r="J269" i="15"/>
  <c r="J253" i="15"/>
  <c r="J273" i="15"/>
  <c r="J257" i="15"/>
  <c r="J263" i="15"/>
  <c r="J258" i="15"/>
  <c r="J268" i="15"/>
  <c r="J255" i="15"/>
  <c r="J266" i="15"/>
  <c r="J265" i="15"/>
  <c r="J252" i="15"/>
  <c r="J271" i="15"/>
  <c r="O81" i="15"/>
  <c r="N81" i="15"/>
  <c r="O82" i="15"/>
  <c r="N82" i="15"/>
  <c r="O61" i="15"/>
  <c r="N61" i="15"/>
  <c r="O294" i="15"/>
  <c r="N294" i="15"/>
  <c r="O296" i="15"/>
  <c r="N296" i="15"/>
  <c r="N293" i="15"/>
  <c r="O293" i="15"/>
  <c r="J248" i="15"/>
  <c r="J240" i="15"/>
  <c r="J243" i="15"/>
  <c r="J235" i="15"/>
  <c r="J246" i="15"/>
  <c r="J238" i="15"/>
  <c r="J230" i="15"/>
  <c r="J233" i="15"/>
  <c r="J228" i="15"/>
  <c r="J227" i="15"/>
  <c r="J249" i="15"/>
  <c r="J244" i="15"/>
  <c r="J234" i="15"/>
  <c r="J247" i="15"/>
  <c r="J242" i="15"/>
  <c r="J237" i="15"/>
  <c r="J229" i="15"/>
  <c r="J241" i="15"/>
  <c r="J236" i="15"/>
  <c r="J232" i="15"/>
  <c r="J250" i="15"/>
  <c r="J245" i="15"/>
  <c r="J231" i="15"/>
  <c r="J558" i="15"/>
  <c r="J27" i="15"/>
  <c r="J19" i="15"/>
  <c r="J11" i="15"/>
  <c r="J3" i="15"/>
  <c r="J22" i="15"/>
  <c r="J14" i="15"/>
  <c r="J6" i="15"/>
  <c r="J25" i="15"/>
  <c r="J17" i="15"/>
  <c r="J9" i="15"/>
  <c r="J24" i="15"/>
  <c r="J16" i="15"/>
  <c r="J8" i="15"/>
  <c r="J18" i="15"/>
  <c r="J2" i="15"/>
  <c r="J21" i="15"/>
  <c r="J5" i="15"/>
  <c r="J20" i="15"/>
  <c r="J4" i="15"/>
  <c r="J15" i="15"/>
  <c r="J7" i="15"/>
  <c r="J26" i="15"/>
  <c r="J13" i="15"/>
  <c r="J28" i="15"/>
  <c r="J12" i="15"/>
  <c r="J23" i="15"/>
  <c r="J10" i="15"/>
  <c r="J505" i="15"/>
  <c r="J329" i="15"/>
  <c r="J134" i="15"/>
  <c r="J140" i="15"/>
  <c r="J136" i="15"/>
  <c r="J123" i="15"/>
  <c r="J115" i="15"/>
  <c r="J138" i="15"/>
  <c r="J133" i="15"/>
  <c r="J131" i="15"/>
  <c r="J126" i="15"/>
  <c r="J118" i="15"/>
  <c r="J110" i="15"/>
  <c r="J135" i="15"/>
  <c r="J129" i="15"/>
  <c r="J121" i="15"/>
  <c r="J124" i="15"/>
  <c r="J116" i="15"/>
  <c r="J132" i="15"/>
  <c r="J127" i="15"/>
  <c r="J119" i="15"/>
  <c r="J111" i="15"/>
  <c r="J130" i="15"/>
  <c r="J122" i="15"/>
  <c r="J114" i="15"/>
  <c r="J139" i="15"/>
  <c r="J128" i="15"/>
  <c r="J120" i="15"/>
  <c r="J112" i="15"/>
  <c r="J117" i="15"/>
  <c r="J125" i="15"/>
  <c r="N62" i="15"/>
  <c r="O62" i="15"/>
  <c r="N78" i="15"/>
  <c r="O78" i="15"/>
  <c r="N69" i="15"/>
  <c r="O69" i="15"/>
  <c r="O281" i="15"/>
  <c r="N281" i="15"/>
  <c r="N280" i="15"/>
  <c r="O280" i="15"/>
  <c r="N298" i="15"/>
  <c r="O298" i="15"/>
  <c r="H384" i="15"/>
  <c r="H376" i="15"/>
  <c r="H368" i="15"/>
  <c r="H360" i="15"/>
  <c r="H379" i="15"/>
  <c r="H371" i="15"/>
  <c r="H382" i="15"/>
  <c r="H374" i="15"/>
  <c r="H378" i="15"/>
  <c r="H383" i="15"/>
  <c r="H367" i="15"/>
  <c r="H356" i="15"/>
  <c r="H365" i="15"/>
  <c r="H363" i="15"/>
  <c r="H351" i="15"/>
  <c r="H361" i="15"/>
  <c r="H354" i="15"/>
  <c r="H366" i="15"/>
  <c r="H352" i="15"/>
  <c r="H377" i="15"/>
  <c r="H373" i="15"/>
  <c r="H369" i="15"/>
  <c r="H357" i="15"/>
  <c r="H370" i="15"/>
  <c r="H358" i="15"/>
  <c r="H355" i="15"/>
  <c r="H362" i="15"/>
  <c r="H375" i="15"/>
  <c r="H381" i="15"/>
  <c r="H372" i="15"/>
  <c r="H359" i="15"/>
  <c r="H364" i="15"/>
  <c r="H353" i="15"/>
  <c r="H380" i="15"/>
  <c r="S18" i="14"/>
  <c r="O73" i="15"/>
  <c r="N73" i="15"/>
  <c r="O80" i="15"/>
  <c r="N80" i="15"/>
  <c r="H568" i="15"/>
  <c r="H560" i="15"/>
  <c r="H464" i="15"/>
  <c r="H448" i="15"/>
  <c r="H467" i="15"/>
  <c r="H459" i="15"/>
  <c r="H451" i="15"/>
  <c r="H443" i="15"/>
  <c r="H462" i="15"/>
  <c r="H454" i="15"/>
  <c r="H446" i="15"/>
  <c r="H465" i="15"/>
  <c r="H457" i="15"/>
  <c r="H449" i="15"/>
  <c r="H460" i="15"/>
  <c r="H444" i="15"/>
  <c r="H463" i="15"/>
  <c r="H447" i="15"/>
  <c r="H466" i="15"/>
  <c r="H450" i="15"/>
  <c r="H458" i="15"/>
  <c r="H455" i="15"/>
  <c r="H461" i="15"/>
  <c r="H453" i="15"/>
  <c r="H452" i="15"/>
  <c r="H445" i="15"/>
  <c r="S19" i="14"/>
  <c r="H562" i="15"/>
  <c r="H561" i="15"/>
  <c r="H168" i="15"/>
  <c r="H160" i="15"/>
  <c r="H152" i="15"/>
  <c r="H144" i="15"/>
  <c r="H171" i="15"/>
  <c r="H155" i="15"/>
  <c r="H147" i="15"/>
  <c r="H166" i="15"/>
  <c r="H158" i="15"/>
  <c r="H150" i="15"/>
  <c r="H142" i="15"/>
  <c r="H167" i="15"/>
  <c r="H162" i="15"/>
  <c r="H157" i="15"/>
  <c r="H170" i="15"/>
  <c r="H164" i="15"/>
  <c r="H159" i="15"/>
  <c r="H154" i="15"/>
  <c r="H149" i="15"/>
  <c r="H201" i="15"/>
  <c r="H169" i="15"/>
  <c r="H156" i="15"/>
  <c r="H151" i="15"/>
  <c r="H146" i="15"/>
  <c r="H141" i="15"/>
  <c r="H153" i="15"/>
  <c r="H148" i="15"/>
  <c r="H143" i="15"/>
  <c r="H145" i="15"/>
  <c r="H137" i="15"/>
  <c r="H165" i="15"/>
  <c r="H41" i="15"/>
  <c r="S20" i="14"/>
  <c r="O68" i="15"/>
  <c r="N68" i="15"/>
  <c r="O63" i="15"/>
  <c r="N63" i="15"/>
  <c r="N59" i="15"/>
  <c r="O59" i="15"/>
  <c r="O77" i="15"/>
  <c r="N77" i="15"/>
  <c r="J494" i="15"/>
  <c r="J486" i="15"/>
  <c r="J478" i="15"/>
  <c r="J470" i="15"/>
  <c r="J489" i="15"/>
  <c r="J481" i="15"/>
  <c r="J473" i="15"/>
  <c r="J492" i="15"/>
  <c r="J484" i="15"/>
  <c r="J476" i="15"/>
  <c r="J468" i="15"/>
  <c r="J559" i="15"/>
  <c r="J487" i="15"/>
  <c r="J479" i="15"/>
  <c r="J471" i="15"/>
  <c r="J485" i="15"/>
  <c r="J469" i="15"/>
  <c r="J488" i="15"/>
  <c r="J472" i="15"/>
  <c r="J480" i="15"/>
  <c r="J493" i="15"/>
  <c r="J491" i="15"/>
  <c r="J474" i="15"/>
  <c r="J477" i="15"/>
  <c r="J475" i="15"/>
  <c r="J490" i="15"/>
  <c r="J483" i="15"/>
  <c r="O297" i="15"/>
  <c r="N297" i="15"/>
  <c r="N287" i="15"/>
  <c r="O287" i="15"/>
  <c r="O295" i="15"/>
  <c r="N295" i="15"/>
  <c r="H488" i="15"/>
  <c r="H480" i="15"/>
  <c r="H472" i="15"/>
  <c r="H491" i="15"/>
  <c r="H483" i="15"/>
  <c r="H475" i="15"/>
  <c r="H494" i="15"/>
  <c r="H486" i="15"/>
  <c r="H478" i="15"/>
  <c r="H470" i="15"/>
  <c r="H489" i="15"/>
  <c r="H481" i="15"/>
  <c r="H473" i="15"/>
  <c r="H492" i="15"/>
  <c r="H476" i="15"/>
  <c r="H559" i="15"/>
  <c r="H479" i="15"/>
  <c r="H490" i="15"/>
  <c r="H474" i="15"/>
  <c r="H487" i="15"/>
  <c r="H493" i="15"/>
  <c r="H485" i="15"/>
  <c r="H468" i="15"/>
  <c r="H477" i="15"/>
  <c r="H484" i="15"/>
  <c r="H471" i="15"/>
  <c r="H469" i="15"/>
  <c r="S13" i="14"/>
  <c r="N70" i="15"/>
  <c r="O70" i="15"/>
  <c r="O76" i="15"/>
  <c r="N76" i="15"/>
  <c r="N67" i="15"/>
  <c r="O67" i="15"/>
  <c r="O567" i="15"/>
  <c r="N567" i="15"/>
  <c r="N275" i="15"/>
  <c r="O275" i="15"/>
  <c r="O288" i="15"/>
  <c r="N288" i="15"/>
  <c r="N289" i="15"/>
  <c r="O289" i="15"/>
  <c r="O284" i="15"/>
  <c r="N284" i="15"/>
  <c r="H565" i="15"/>
  <c r="H563" i="15"/>
  <c r="H555" i="15"/>
  <c r="H324" i="15"/>
  <c r="H316" i="15"/>
  <c r="H308" i="15"/>
  <c r="H319" i="15"/>
  <c r="H311" i="15"/>
  <c r="H303" i="15"/>
  <c r="H322" i="15"/>
  <c r="H314" i="15"/>
  <c r="H306" i="15"/>
  <c r="H321" i="15"/>
  <c r="H301" i="15"/>
  <c r="H325" i="15"/>
  <c r="H320" i="15"/>
  <c r="H315" i="15"/>
  <c r="H310" i="15"/>
  <c r="H305" i="15"/>
  <c r="H309" i="15"/>
  <c r="H323" i="15"/>
  <c r="H318" i="15"/>
  <c r="H313" i="15"/>
  <c r="H307" i="15"/>
  <c r="H304" i="15"/>
  <c r="H260" i="15"/>
  <c r="H317" i="15"/>
  <c r="H302" i="15"/>
  <c r="H312" i="15"/>
  <c r="S11" i="14"/>
  <c r="O71" i="15"/>
  <c r="N71" i="15"/>
  <c r="O60" i="15"/>
  <c r="N60" i="15"/>
  <c r="N75" i="15"/>
  <c r="O75" i="15"/>
  <c r="H566" i="15"/>
  <c r="H109" i="15"/>
  <c r="H101" i="15"/>
  <c r="H93" i="15"/>
  <c r="H85" i="15"/>
  <c r="H104" i="15"/>
  <c r="H96" i="15"/>
  <c r="H88" i="15"/>
  <c r="H107" i="15"/>
  <c r="H99" i="15"/>
  <c r="H91" i="15"/>
  <c r="H83" i="15"/>
  <c r="H102" i="15"/>
  <c r="H94" i="15"/>
  <c r="H86" i="15"/>
  <c r="H97" i="15"/>
  <c r="H108" i="15"/>
  <c r="H106" i="15"/>
  <c r="H98" i="15"/>
  <c r="H90" i="15"/>
  <c r="H100" i="15"/>
  <c r="H89" i="15"/>
  <c r="H84" i="15"/>
  <c r="H95" i="15"/>
  <c r="H87" i="15"/>
  <c r="H92" i="15"/>
  <c r="H103" i="15"/>
  <c r="S5" i="14"/>
  <c r="J526" i="15"/>
  <c r="J518" i="15"/>
  <c r="J510" i="15"/>
  <c r="J502" i="15"/>
  <c r="J529" i="15"/>
  <c r="J521" i="15"/>
  <c r="J513" i="15"/>
  <c r="J497" i="15"/>
  <c r="J524" i="15"/>
  <c r="J516" i="15"/>
  <c r="J508" i="15"/>
  <c r="J500" i="15"/>
  <c r="J527" i="15"/>
  <c r="J519" i="15"/>
  <c r="J511" i="15"/>
  <c r="J503" i="15"/>
  <c r="J495" i="15"/>
  <c r="J514" i="15"/>
  <c r="J498" i="15"/>
  <c r="J517" i="15"/>
  <c r="J501" i="15"/>
  <c r="J520" i="15"/>
  <c r="J504" i="15"/>
  <c r="J456" i="15"/>
  <c r="J528" i="15"/>
  <c r="J512" i="15"/>
  <c r="J496" i="15"/>
  <c r="J525" i="15"/>
  <c r="J499" i="15"/>
  <c r="J523" i="15"/>
  <c r="J506" i="15"/>
  <c r="J515" i="15"/>
  <c r="J509" i="15"/>
  <c r="J507" i="15"/>
  <c r="J522" i="15"/>
  <c r="J113" i="15"/>
  <c r="H408" i="15"/>
  <c r="H400" i="15"/>
  <c r="H392" i="15"/>
  <c r="H411" i="15"/>
  <c r="H403" i="15"/>
  <c r="H395" i="15"/>
  <c r="H387" i="15"/>
  <c r="H482" i="15"/>
  <c r="H406" i="15"/>
  <c r="H398" i="15"/>
  <c r="H390" i="15"/>
  <c r="H410" i="15"/>
  <c r="H402" i="15"/>
  <c r="H394" i="15"/>
  <c r="H386" i="15"/>
  <c r="H399" i="15"/>
  <c r="H405" i="15"/>
  <c r="H389" i="15"/>
  <c r="H401" i="15"/>
  <c r="H385" i="15"/>
  <c r="H412" i="15"/>
  <c r="H393" i="15"/>
  <c r="H409" i="15"/>
  <c r="H397" i="15"/>
  <c r="H404" i="15"/>
  <c r="H388" i="15"/>
  <c r="H407" i="15"/>
  <c r="H396" i="15"/>
  <c r="H391" i="15"/>
  <c r="H239" i="15"/>
  <c r="S17" i="14"/>
  <c r="O276" i="15"/>
  <c r="N276" i="15"/>
  <c r="O290" i="15"/>
  <c r="N290" i="15"/>
  <c r="N277" i="15"/>
  <c r="O277" i="15"/>
  <c r="O292" i="15"/>
  <c r="N292" i="15"/>
  <c r="J346" i="15"/>
  <c r="J338" i="15"/>
  <c r="J330" i="15"/>
  <c r="J349" i="15"/>
  <c r="J341" i="15"/>
  <c r="J333" i="15"/>
  <c r="J344" i="15"/>
  <c r="J336" i="15"/>
  <c r="J328" i="15"/>
  <c r="J331" i="15"/>
  <c r="J339" i="15"/>
  <c r="J334" i="15"/>
  <c r="J261" i="15"/>
  <c r="J350" i="15"/>
  <c r="J345" i="15"/>
  <c r="J340" i="15"/>
  <c r="J335" i="15"/>
  <c r="J347" i="15"/>
  <c r="J342" i="15"/>
  <c r="J337" i="15"/>
  <c r="J332" i="15"/>
  <c r="J327" i="15"/>
  <c r="J343" i="15"/>
  <c r="J348" i="15"/>
  <c r="H192" i="15"/>
  <c r="H184" i="15"/>
  <c r="H176" i="15"/>
  <c r="H195" i="15"/>
  <c r="H187" i="15"/>
  <c r="H179" i="15"/>
  <c r="H198" i="15"/>
  <c r="H190" i="15"/>
  <c r="H182" i="15"/>
  <c r="H174" i="15"/>
  <c r="H197" i="15"/>
  <c r="H189" i="15"/>
  <c r="H181" i="15"/>
  <c r="H173" i="15"/>
  <c r="H183" i="15"/>
  <c r="H186" i="15"/>
  <c r="H185" i="15"/>
  <c r="H188" i="15"/>
  <c r="H172" i="15"/>
  <c r="H191" i="15"/>
  <c r="H175" i="15"/>
  <c r="H105" i="15"/>
  <c r="H194" i="15"/>
  <c r="H178" i="15"/>
  <c r="H196" i="15"/>
  <c r="H180" i="15"/>
  <c r="H193" i="15"/>
  <c r="H177" i="15"/>
  <c r="S2" i="14"/>
  <c r="H556" i="15"/>
  <c r="H224" i="15"/>
  <c r="H216" i="15"/>
  <c r="H208" i="15"/>
  <c r="H200" i="15"/>
  <c r="H219" i="15"/>
  <c r="H211" i="15"/>
  <c r="H203" i="15"/>
  <c r="H222" i="15"/>
  <c r="H214" i="15"/>
  <c r="H206" i="15"/>
  <c r="H221" i="15"/>
  <c r="H213" i="15"/>
  <c r="H205" i="15"/>
  <c r="H215" i="15"/>
  <c r="H199" i="15"/>
  <c r="H218" i="15"/>
  <c r="H202" i="15"/>
  <c r="H217" i="15"/>
  <c r="H220" i="15"/>
  <c r="H204" i="15"/>
  <c r="H223" i="15"/>
  <c r="H207" i="15"/>
  <c r="H226" i="15"/>
  <c r="H210" i="15"/>
  <c r="H212" i="15"/>
  <c r="H225" i="15"/>
  <c r="H209" i="15"/>
  <c r="S6" i="14"/>
  <c r="J561" i="15"/>
  <c r="J562" i="15"/>
  <c r="J166" i="15"/>
  <c r="J158" i="15"/>
  <c r="J150" i="15"/>
  <c r="J142" i="15"/>
  <c r="J201" i="15"/>
  <c r="J169" i="15"/>
  <c r="J153" i="15"/>
  <c r="J145" i="15"/>
  <c r="J137" i="15"/>
  <c r="J164" i="15"/>
  <c r="J156" i="15"/>
  <c r="J148" i="15"/>
  <c r="J171" i="15"/>
  <c r="J151" i="15"/>
  <c r="J146" i="15"/>
  <c r="J141" i="15"/>
  <c r="J143" i="15"/>
  <c r="J41" i="15"/>
  <c r="J168" i="15"/>
  <c r="J165" i="15"/>
  <c r="J160" i="15"/>
  <c r="J155" i="15"/>
  <c r="J170" i="15"/>
  <c r="J159" i="15"/>
  <c r="J154" i="15"/>
  <c r="J149" i="15"/>
  <c r="J144" i="15"/>
  <c r="J152" i="15"/>
  <c r="J167" i="15"/>
  <c r="J147" i="15"/>
  <c r="J157" i="15"/>
  <c r="J162" i="15"/>
  <c r="J482" i="15"/>
  <c r="J406" i="15"/>
  <c r="J398" i="15"/>
  <c r="J390" i="15"/>
  <c r="J409" i="15"/>
  <c r="J401" i="15"/>
  <c r="J393" i="15"/>
  <c r="J385" i="15"/>
  <c r="J412" i="15"/>
  <c r="J404" i="15"/>
  <c r="J396" i="15"/>
  <c r="J388" i="15"/>
  <c r="J408" i="15"/>
  <c r="J400" i="15"/>
  <c r="J392" i="15"/>
  <c r="J405" i="15"/>
  <c r="J389" i="15"/>
  <c r="J411" i="15"/>
  <c r="J395" i="15"/>
  <c r="J407" i="15"/>
  <c r="J391" i="15"/>
  <c r="J402" i="15"/>
  <c r="J403" i="15"/>
  <c r="J397" i="15"/>
  <c r="J387" i="15"/>
  <c r="J410" i="15"/>
  <c r="J386" i="15"/>
  <c r="J394" i="15"/>
  <c r="J399" i="15"/>
  <c r="J239" i="15"/>
  <c r="H266" i="15"/>
  <c r="H258" i="15"/>
  <c r="H269" i="15"/>
  <c r="H253" i="15"/>
  <c r="H272" i="15"/>
  <c r="H264" i="15"/>
  <c r="H256" i="15"/>
  <c r="H271" i="15"/>
  <c r="H263" i="15"/>
  <c r="H255" i="15"/>
  <c r="H267" i="15"/>
  <c r="H251" i="15"/>
  <c r="H270" i="15"/>
  <c r="H254" i="15"/>
  <c r="H273" i="15"/>
  <c r="H257" i="15"/>
  <c r="H268" i="15"/>
  <c r="H252" i="15"/>
  <c r="H262" i="15"/>
  <c r="H259" i="15"/>
  <c r="H265" i="15"/>
  <c r="S21" i="14"/>
  <c r="O79" i="15"/>
  <c r="N79" i="15"/>
  <c r="O58" i="15"/>
  <c r="N58" i="15"/>
  <c r="O64" i="15"/>
  <c r="N64" i="15"/>
  <c r="J161" i="15"/>
  <c r="J51" i="15"/>
  <c r="J43" i="15"/>
  <c r="J35" i="15"/>
  <c r="J54" i="15"/>
  <c r="J46" i="15"/>
  <c r="J38" i="15"/>
  <c r="J30" i="15"/>
  <c r="J57" i="15"/>
  <c r="J49" i="15"/>
  <c r="J33" i="15"/>
  <c r="J56" i="15"/>
  <c r="J48" i="15"/>
  <c r="J40" i="15"/>
  <c r="J32" i="15"/>
  <c r="J50" i="15"/>
  <c r="J34" i="15"/>
  <c r="J53" i="15"/>
  <c r="J37" i="15"/>
  <c r="J52" i="15"/>
  <c r="J36" i="15"/>
  <c r="J47" i="15"/>
  <c r="J31" i="15"/>
  <c r="J39" i="15"/>
  <c r="J45" i="15"/>
  <c r="J55" i="15"/>
  <c r="J42" i="15"/>
  <c r="J29" i="15"/>
  <c r="O299" i="15"/>
  <c r="N299" i="15"/>
  <c r="O283" i="15"/>
  <c r="N283" i="15"/>
  <c r="N291" i="15"/>
  <c r="O291" i="15"/>
  <c r="O300" i="15"/>
  <c r="N300" i="15"/>
  <c r="H348" i="15"/>
  <c r="H340" i="15"/>
  <c r="H332" i="15"/>
  <c r="H343" i="15"/>
  <c r="H335" i="15"/>
  <c r="H327" i="15"/>
  <c r="H346" i="15"/>
  <c r="H338" i="15"/>
  <c r="H330" i="15"/>
  <c r="H347" i="15"/>
  <c r="H342" i="15"/>
  <c r="H337" i="15"/>
  <c r="H349" i="15"/>
  <c r="H344" i="15"/>
  <c r="H339" i="15"/>
  <c r="H334" i="15"/>
  <c r="H261" i="15"/>
  <c r="H341" i="15"/>
  <c r="H336" i="15"/>
  <c r="H331" i="15"/>
  <c r="H350" i="15"/>
  <c r="H345" i="15"/>
  <c r="H333" i="15"/>
  <c r="H328" i="15"/>
  <c r="S12" i="14"/>
  <c r="J567" i="15"/>
  <c r="J75" i="15"/>
  <c r="J67" i="15"/>
  <c r="J59" i="15"/>
  <c r="J78" i="15"/>
  <c r="J70" i="15"/>
  <c r="J62" i="15"/>
  <c r="J81" i="15"/>
  <c r="J73" i="15"/>
  <c r="J65" i="15"/>
  <c r="J76" i="15"/>
  <c r="J80" i="15"/>
  <c r="J72" i="15"/>
  <c r="J64" i="15"/>
  <c r="J66" i="15"/>
  <c r="J69" i="15"/>
  <c r="J79" i="15"/>
  <c r="J68" i="15"/>
  <c r="J77" i="15"/>
  <c r="J63" i="15"/>
  <c r="J71" i="15"/>
  <c r="J58" i="15"/>
  <c r="J60" i="15"/>
  <c r="J74" i="15"/>
  <c r="J61" i="15"/>
  <c r="J82" i="15"/>
  <c r="H554" i="15"/>
  <c r="H546" i="15"/>
  <c r="H538" i="15"/>
  <c r="H549" i="15"/>
  <c r="H541" i="15"/>
  <c r="H552" i="15"/>
  <c r="H544" i="15"/>
  <c r="H536" i="15"/>
  <c r="H547" i="15"/>
  <c r="H539" i="15"/>
  <c r="H531" i="15"/>
  <c r="H550" i="15"/>
  <c r="H542" i="15"/>
  <c r="H534" i="15"/>
  <c r="H553" i="15"/>
  <c r="H545" i="15"/>
  <c r="H537" i="15"/>
  <c r="H540" i="15"/>
  <c r="H530" i="15"/>
  <c r="H551" i="15"/>
  <c r="H533" i="15"/>
  <c r="H548" i="15"/>
  <c r="H543" i="15"/>
  <c r="H532" i="15"/>
  <c r="H535" i="15"/>
  <c r="S10" i="14"/>
  <c r="J568" i="15"/>
  <c r="J560" i="15"/>
  <c r="J462" i="15"/>
  <c r="J454" i="15"/>
  <c r="J446" i="15"/>
  <c r="J465" i="15"/>
  <c r="J457" i="15"/>
  <c r="J449" i="15"/>
  <c r="J460" i="15"/>
  <c r="J452" i="15"/>
  <c r="J444" i="15"/>
  <c r="J463" i="15"/>
  <c r="J455" i="15"/>
  <c r="J447" i="15"/>
  <c r="J466" i="15"/>
  <c r="J450" i="15"/>
  <c r="J453" i="15"/>
  <c r="J464" i="15"/>
  <c r="J448" i="15"/>
  <c r="J461" i="15"/>
  <c r="J467" i="15"/>
  <c r="J459" i="15"/>
  <c r="J451" i="15"/>
  <c r="J458" i="15"/>
  <c r="J445" i="15"/>
  <c r="J443" i="15"/>
  <c r="O65" i="15"/>
  <c r="N65" i="15"/>
  <c r="N66" i="15"/>
  <c r="O66" i="15"/>
  <c r="O72" i="15"/>
  <c r="N72" i="15"/>
  <c r="O278" i="15"/>
  <c r="N278" i="15"/>
  <c r="O279" i="15"/>
  <c r="N279" i="15"/>
  <c r="O274" i="15"/>
  <c r="N274" i="15"/>
  <c r="O564" i="15"/>
  <c r="N564" i="15"/>
  <c r="N341" i="15" l="1"/>
  <c r="O341" i="15"/>
  <c r="O258" i="15"/>
  <c r="N258" i="15"/>
  <c r="N177" i="15"/>
  <c r="O177" i="15"/>
  <c r="N401" i="15"/>
  <c r="O401" i="15"/>
  <c r="N91" i="15"/>
  <c r="O91" i="15"/>
  <c r="N313" i="15"/>
  <c r="O313" i="15"/>
  <c r="N489" i="15"/>
  <c r="O489" i="15"/>
  <c r="N169" i="15"/>
  <c r="O169" i="15"/>
  <c r="O171" i="15"/>
  <c r="N171" i="15"/>
  <c r="O454" i="15"/>
  <c r="N454" i="15"/>
  <c r="O353" i="15"/>
  <c r="N353" i="15"/>
  <c r="O354" i="15"/>
  <c r="N354" i="15"/>
  <c r="O384" i="15"/>
  <c r="N384" i="15"/>
  <c r="O548" i="15"/>
  <c r="N548" i="15"/>
  <c r="O534" i="15"/>
  <c r="N534" i="15"/>
  <c r="O552" i="15"/>
  <c r="N552" i="15"/>
  <c r="N261" i="15"/>
  <c r="O261" i="15"/>
  <c r="O348" i="15"/>
  <c r="N348" i="15"/>
  <c r="O266" i="15"/>
  <c r="N266" i="15"/>
  <c r="N205" i="15"/>
  <c r="O205" i="15"/>
  <c r="N193" i="15"/>
  <c r="O193" i="15"/>
  <c r="O197" i="15"/>
  <c r="N197" i="15"/>
  <c r="O388" i="15"/>
  <c r="N388" i="15"/>
  <c r="O398" i="15"/>
  <c r="N398" i="15"/>
  <c r="O92" i="15"/>
  <c r="N92" i="15"/>
  <c r="N99" i="15"/>
  <c r="O99" i="15"/>
  <c r="O109" i="15"/>
  <c r="N109" i="15"/>
  <c r="O318" i="15"/>
  <c r="N318" i="15"/>
  <c r="N308" i="15"/>
  <c r="O308" i="15"/>
  <c r="O490" i="15"/>
  <c r="N490" i="15"/>
  <c r="N480" i="15"/>
  <c r="O480" i="15"/>
  <c r="O143" i="15"/>
  <c r="N143" i="15"/>
  <c r="O167" i="15"/>
  <c r="N167" i="15"/>
  <c r="O452" i="15"/>
  <c r="N452" i="15"/>
  <c r="O462" i="15"/>
  <c r="N462" i="15"/>
  <c r="O364" i="15"/>
  <c r="N364" i="15"/>
  <c r="N361" i="15"/>
  <c r="O361" i="15"/>
  <c r="O519" i="15"/>
  <c r="N519" i="15"/>
  <c r="O518" i="15"/>
  <c r="N518" i="15"/>
  <c r="O10" i="15"/>
  <c r="N10" i="15"/>
  <c r="N54" i="15"/>
  <c r="O54" i="15"/>
  <c r="O32" i="15"/>
  <c r="N32" i="15"/>
  <c r="O533" i="15"/>
  <c r="N533" i="15"/>
  <c r="O542" i="15"/>
  <c r="N542" i="15"/>
  <c r="O541" i="15"/>
  <c r="N541" i="15"/>
  <c r="O328" i="15"/>
  <c r="N328" i="15"/>
  <c r="O334" i="15"/>
  <c r="N334" i="15"/>
  <c r="O338" i="15"/>
  <c r="N338" i="15"/>
  <c r="O257" i="15"/>
  <c r="N257" i="15"/>
  <c r="O271" i="15"/>
  <c r="N271" i="15"/>
  <c r="O204" i="15"/>
  <c r="N204" i="15"/>
  <c r="O213" i="15"/>
  <c r="N213" i="15"/>
  <c r="O200" i="15"/>
  <c r="N200" i="15"/>
  <c r="O180" i="15"/>
  <c r="N180" i="15"/>
  <c r="O188" i="15"/>
  <c r="N188" i="15"/>
  <c r="N174" i="15"/>
  <c r="O174" i="15"/>
  <c r="O184" i="15"/>
  <c r="N184" i="15"/>
  <c r="O404" i="15"/>
  <c r="N404" i="15"/>
  <c r="N405" i="15"/>
  <c r="O405" i="15"/>
  <c r="O406" i="15"/>
  <c r="N406" i="15"/>
  <c r="N408" i="15"/>
  <c r="O408" i="15"/>
  <c r="O87" i="15"/>
  <c r="N87" i="15"/>
  <c r="O108" i="15"/>
  <c r="N108" i="15"/>
  <c r="N107" i="15"/>
  <c r="O107" i="15"/>
  <c r="O566" i="15"/>
  <c r="N566" i="15"/>
  <c r="O312" i="15"/>
  <c r="N312" i="15"/>
  <c r="O323" i="15"/>
  <c r="N323" i="15"/>
  <c r="N321" i="15"/>
  <c r="O321" i="15"/>
  <c r="N316" i="15"/>
  <c r="O316" i="15"/>
  <c r="O484" i="15"/>
  <c r="N484" i="15"/>
  <c r="O479" i="15"/>
  <c r="N479" i="15"/>
  <c r="O478" i="15"/>
  <c r="N478" i="15"/>
  <c r="O488" i="15"/>
  <c r="N488" i="15"/>
  <c r="O148" i="15"/>
  <c r="N148" i="15"/>
  <c r="O149" i="15"/>
  <c r="N149" i="15"/>
  <c r="O142" i="15"/>
  <c r="N142" i="15"/>
  <c r="O152" i="15"/>
  <c r="N152" i="15"/>
  <c r="O453" i="15"/>
  <c r="N453" i="15"/>
  <c r="O444" i="15"/>
  <c r="N444" i="15"/>
  <c r="O443" i="15"/>
  <c r="N443" i="15"/>
  <c r="N359" i="15"/>
  <c r="O359" i="15"/>
  <c r="O357" i="15"/>
  <c r="N357" i="15"/>
  <c r="O351" i="15"/>
  <c r="N351" i="15"/>
  <c r="O382" i="15"/>
  <c r="N382" i="15"/>
  <c r="O509" i="15"/>
  <c r="N509" i="15"/>
  <c r="O506" i="15"/>
  <c r="N506" i="15"/>
  <c r="O524" i="15"/>
  <c r="N524" i="15"/>
  <c r="O526" i="15"/>
  <c r="N526" i="15"/>
  <c r="N512" i="15"/>
  <c r="O512" i="15"/>
  <c r="O9" i="15"/>
  <c r="N9" i="15"/>
  <c r="N18" i="15"/>
  <c r="O18" i="15"/>
  <c r="O24" i="15"/>
  <c r="N24" i="15"/>
  <c r="O39" i="15"/>
  <c r="N39" i="15"/>
  <c r="N34" i="15"/>
  <c r="O34" i="15"/>
  <c r="O40" i="15"/>
  <c r="N40" i="15"/>
  <c r="O543" i="15"/>
  <c r="N543" i="15"/>
  <c r="O340" i="15"/>
  <c r="N340" i="15"/>
  <c r="O207" i="15"/>
  <c r="N207" i="15"/>
  <c r="O191" i="15"/>
  <c r="N191" i="15"/>
  <c r="O195" i="15"/>
  <c r="N195" i="15"/>
  <c r="N392" i="15"/>
  <c r="O392" i="15"/>
  <c r="O103" i="15"/>
  <c r="N103" i="15"/>
  <c r="O101" i="15"/>
  <c r="N101" i="15"/>
  <c r="N325" i="15"/>
  <c r="O325" i="15"/>
  <c r="O469" i="15"/>
  <c r="N469" i="15"/>
  <c r="O474" i="15"/>
  <c r="N474" i="15"/>
  <c r="N145" i="15"/>
  <c r="O145" i="15"/>
  <c r="O162" i="15"/>
  <c r="N162" i="15"/>
  <c r="O447" i="15"/>
  <c r="N447" i="15"/>
  <c r="O560" i="15"/>
  <c r="N560" i="15"/>
  <c r="O358" i="15"/>
  <c r="N358" i="15"/>
  <c r="O378" i="15"/>
  <c r="N378" i="15"/>
  <c r="O330" i="15"/>
  <c r="N330" i="15"/>
  <c r="O268" i="15"/>
  <c r="N268" i="15"/>
  <c r="O263" i="15"/>
  <c r="N263" i="15"/>
  <c r="O223" i="15"/>
  <c r="N223" i="15"/>
  <c r="O219" i="15"/>
  <c r="N219" i="15"/>
  <c r="O172" i="15"/>
  <c r="N172" i="15"/>
  <c r="N176" i="15"/>
  <c r="O176" i="15"/>
  <c r="O389" i="15"/>
  <c r="N389" i="15"/>
  <c r="O400" i="15"/>
  <c r="N400" i="15"/>
  <c r="O106" i="15"/>
  <c r="N106" i="15"/>
  <c r="N301" i="15"/>
  <c r="O301" i="15"/>
  <c r="O471" i="15"/>
  <c r="N471" i="15"/>
  <c r="O470" i="15"/>
  <c r="N470" i="15"/>
  <c r="N201" i="15"/>
  <c r="O201" i="15"/>
  <c r="O144" i="15"/>
  <c r="N144" i="15"/>
  <c r="O463" i="15"/>
  <c r="N463" i="15"/>
  <c r="O568" i="15"/>
  <c r="N568" i="15"/>
  <c r="O370" i="15"/>
  <c r="N370" i="15"/>
  <c r="N374" i="15"/>
  <c r="O374" i="15"/>
  <c r="O113" i="15"/>
  <c r="N113" i="15"/>
  <c r="O508" i="15"/>
  <c r="N508" i="15"/>
  <c r="O504" i="15"/>
  <c r="N504" i="15"/>
  <c r="O20" i="15"/>
  <c r="N20" i="15"/>
  <c r="O16" i="15"/>
  <c r="N16" i="15"/>
  <c r="O47" i="15"/>
  <c r="N47" i="15"/>
  <c r="O551" i="15"/>
  <c r="N551" i="15"/>
  <c r="O550" i="15"/>
  <c r="N550" i="15"/>
  <c r="O549" i="15"/>
  <c r="N549" i="15"/>
  <c r="N333" i="15"/>
  <c r="O333" i="15"/>
  <c r="O339" i="15"/>
  <c r="N339" i="15"/>
  <c r="O346" i="15"/>
  <c r="N346" i="15"/>
  <c r="O273" i="15"/>
  <c r="N273" i="15"/>
  <c r="N256" i="15"/>
  <c r="O256" i="15"/>
  <c r="N209" i="15"/>
  <c r="O209" i="15"/>
  <c r="O220" i="15"/>
  <c r="N220" i="15"/>
  <c r="N221" i="15"/>
  <c r="O221" i="15"/>
  <c r="N208" i="15"/>
  <c r="O208" i="15"/>
  <c r="O196" i="15"/>
  <c r="N196" i="15"/>
  <c r="N185" i="15"/>
  <c r="O185" i="15"/>
  <c r="N182" i="15"/>
  <c r="O182" i="15"/>
  <c r="N192" i="15"/>
  <c r="O192" i="15"/>
  <c r="O397" i="15"/>
  <c r="N397" i="15"/>
  <c r="O399" i="15"/>
  <c r="N399" i="15"/>
  <c r="O482" i="15"/>
  <c r="N482" i="15"/>
  <c r="O95" i="15"/>
  <c r="N95" i="15"/>
  <c r="O97" i="15"/>
  <c r="N97" i="15"/>
  <c r="O88" i="15"/>
  <c r="N88" i="15"/>
  <c r="O302" i="15"/>
  <c r="N302" i="15"/>
  <c r="N309" i="15"/>
  <c r="O309" i="15"/>
  <c r="N306" i="15"/>
  <c r="O306" i="15"/>
  <c r="O324" i="15"/>
  <c r="N324" i="15"/>
  <c r="O477" i="15"/>
  <c r="N477" i="15"/>
  <c r="O559" i="15"/>
  <c r="N559" i="15"/>
  <c r="O486" i="15"/>
  <c r="N486" i="15"/>
  <c r="N153" i="15"/>
  <c r="O153" i="15"/>
  <c r="O154" i="15"/>
  <c r="N154" i="15"/>
  <c r="O150" i="15"/>
  <c r="N150" i="15"/>
  <c r="O160" i="15"/>
  <c r="N160" i="15"/>
  <c r="O461" i="15"/>
  <c r="N461" i="15"/>
  <c r="O460" i="15"/>
  <c r="N460" i="15"/>
  <c r="N451" i="15"/>
  <c r="O451" i="15"/>
  <c r="O372" i="15"/>
  <c r="N372" i="15"/>
  <c r="N369" i="15"/>
  <c r="O369" i="15"/>
  <c r="N363" i="15"/>
  <c r="O363" i="15"/>
  <c r="N371" i="15"/>
  <c r="O371" i="15"/>
  <c r="O516" i="15"/>
  <c r="N516" i="15"/>
  <c r="O522" i="15"/>
  <c r="N522" i="15"/>
  <c r="N497" i="15"/>
  <c r="O497" i="15"/>
  <c r="N499" i="15"/>
  <c r="O499" i="15"/>
  <c r="O520" i="15"/>
  <c r="N520" i="15"/>
  <c r="O4" i="15"/>
  <c r="N4" i="15"/>
  <c r="O25" i="15"/>
  <c r="N25" i="15"/>
  <c r="O26" i="15"/>
  <c r="N26" i="15"/>
  <c r="N5" i="15"/>
  <c r="O5" i="15"/>
  <c r="O52" i="15"/>
  <c r="N52" i="15"/>
  <c r="O42" i="15"/>
  <c r="N42" i="15"/>
  <c r="O48" i="15"/>
  <c r="N48" i="15"/>
  <c r="O158" i="15"/>
  <c r="N158" i="15"/>
  <c r="O168" i="15"/>
  <c r="N168" i="15"/>
  <c r="O455" i="15"/>
  <c r="N455" i="15"/>
  <c r="N449" i="15"/>
  <c r="O449" i="15"/>
  <c r="O459" i="15"/>
  <c r="N459" i="15"/>
  <c r="O381" i="15"/>
  <c r="N381" i="15"/>
  <c r="O373" i="15"/>
  <c r="N373" i="15"/>
  <c r="O365" i="15"/>
  <c r="N365" i="15"/>
  <c r="N379" i="15"/>
  <c r="O379" i="15"/>
  <c r="O501" i="15"/>
  <c r="N501" i="15"/>
  <c r="O498" i="15"/>
  <c r="N498" i="15"/>
  <c r="N513" i="15"/>
  <c r="O513" i="15"/>
  <c r="O507" i="15"/>
  <c r="N507" i="15"/>
  <c r="N528" i="15"/>
  <c r="O528" i="15"/>
  <c r="O17" i="15"/>
  <c r="N17" i="15"/>
  <c r="N14" i="15"/>
  <c r="O14" i="15"/>
  <c r="N3" i="15"/>
  <c r="O3" i="15"/>
  <c r="O13" i="15"/>
  <c r="N13" i="15"/>
  <c r="O33" i="15"/>
  <c r="N33" i="15"/>
  <c r="N50" i="15"/>
  <c r="O50" i="15"/>
  <c r="O56" i="15"/>
  <c r="N56" i="15"/>
  <c r="O553" i="15"/>
  <c r="N553" i="15"/>
  <c r="O347" i="15"/>
  <c r="N347" i="15"/>
  <c r="O252" i="15"/>
  <c r="N252" i="15"/>
  <c r="O215" i="15"/>
  <c r="N215" i="15"/>
  <c r="N189" i="15"/>
  <c r="O189" i="15"/>
  <c r="O390" i="15"/>
  <c r="N390" i="15"/>
  <c r="O98" i="15"/>
  <c r="N98" i="15"/>
  <c r="O319" i="15"/>
  <c r="N319" i="15"/>
  <c r="O472" i="15"/>
  <c r="N472" i="15"/>
  <c r="O530" i="15"/>
  <c r="N530" i="15"/>
  <c r="O538" i="15"/>
  <c r="N538" i="15"/>
  <c r="N327" i="15"/>
  <c r="O327" i="15"/>
  <c r="N393" i="15"/>
  <c r="O393" i="15"/>
  <c r="N467" i="15"/>
  <c r="O467" i="15"/>
  <c r="O375" i="15"/>
  <c r="N375" i="15"/>
  <c r="N377" i="15"/>
  <c r="O377" i="15"/>
  <c r="O356" i="15"/>
  <c r="N356" i="15"/>
  <c r="N360" i="15"/>
  <c r="O360" i="15"/>
  <c r="O503" i="15"/>
  <c r="N503" i="15"/>
  <c r="O514" i="15"/>
  <c r="N514" i="15"/>
  <c r="N521" i="15"/>
  <c r="O521" i="15"/>
  <c r="N515" i="15"/>
  <c r="O515" i="15"/>
  <c r="N6" i="15"/>
  <c r="O6" i="15"/>
  <c r="O15" i="15"/>
  <c r="N15" i="15"/>
  <c r="N11" i="15"/>
  <c r="O11" i="15"/>
  <c r="N21" i="15"/>
  <c r="O21" i="15"/>
  <c r="O55" i="15"/>
  <c r="N55" i="15"/>
  <c r="O57" i="15"/>
  <c r="N57" i="15"/>
  <c r="N35" i="15"/>
  <c r="O35" i="15"/>
  <c r="O29" i="15"/>
  <c r="N29" i="15"/>
  <c r="O544" i="15"/>
  <c r="N544" i="15"/>
  <c r="N255" i="15"/>
  <c r="O255" i="15"/>
  <c r="O211" i="15"/>
  <c r="N211" i="15"/>
  <c r="O407" i="15"/>
  <c r="N407" i="15"/>
  <c r="O445" i="15"/>
  <c r="N445" i="15"/>
  <c r="N531" i="15"/>
  <c r="O531" i="15"/>
  <c r="O345" i="15"/>
  <c r="N345" i="15"/>
  <c r="O344" i="15"/>
  <c r="N344" i="15"/>
  <c r="O254" i="15"/>
  <c r="N254" i="15"/>
  <c r="N264" i="15"/>
  <c r="O264" i="15"/>
  <c r="N225" i="15"/>
  <c r="O225" i="15"/>
  <c r="N217" i="15"/>
  <c r="O217" i="15"/>
  <c r="N206" i="15"/>
  <c r="O206" i="15"/>
  <c r="O216" i="15"/>
  <c r="N216" i="15"/>
  <c r="O178" i="15"/>
  <c r="N178" i="15"/>
  <c r="O186" i="15"/>
  <c r="N186" i="15"/>
  <c r="N190" i="15"/>
  <c r="O190" i="15"/>
  <c r="N409" i="15"/>
  <c r="O409" i="15"/>
  <c r="N387" i="15"/>
  <c r="O387" i="15"/>
  <c r="O84" i="15"/>
  <c r="N84" i="15"/>
  <c r="O96" i="15"/>
  <c r="N96" i="15"/>
  <c r="N317" i="15"/>
  <c r="O317" i="15"/>
  <c r="O314" i="15"/>
  <c r="N314" i="15"/>
  <c r="O476" i="15"/>
  <c r="N476" i="15"/>
  <c r="N141" i="15"/>
  <c r="O141" i="15"/>
  <c r="N539" i="15"/>
  <c r="O539" i="15"/>
  <c r="N349" i="15"/>
  <c r="O349" i="15"/>
  <c r="O270" i="15"/>
  <c r="N270" i="15"/>
  <c r="O212" i="15"/>
  <c r="N212" i="15"/>
  <c r="N214" i="15"/>
  <c r="O214" i="15"/>
  <c r="O194" i="15"/>
  <c r="N194" i="15"/>
  <c r="O394" i="15"/>
  <c r="N394" i="15"/>
  <c r="N94" i="15"/>
  <c r="O94" i="15"/>
  <c r="O310" i="15"/>
  <c r="N310" i="15"/>
  <c r="N563" i="15"/>
  <c r="O563" i="15"/>
  <c r="O485" i="15"/>
  <c r="N485" i="15"/>
  <c r="O492" i="15"/>
  <c r="N492" i="15"/>
  <c r="O41" i="15"/>
  <c r="N41" i="15"/>
  <c r="O146" i="15"/>
  <c r="N146" i="15"/>
  <c r="O164" i="15"/>
  <c r="N164" i="15"/>
  <c r="O166" i="15"/>
  <c r="N166" i="15"/>
  <c r="O561" i="15"/>
  <c r="N561" i="15"/>
  <c r="O458" i="15"/>
  <c r="N458" i="15"/>
  <c r="O535" i="15"/>
  <c r="N535" i="15"/>
  <c r="O537" i="15"/>
  <c r="N537" i="15"/>
  <c r="N547" i="15"/>
  <c r="O547" i="15"/>
  <c r="O554" i="15"/>
  <c r="N554" i="15"/>
  <c r="O331" i="15"/>
  <c r="N331" i="15"/>
  <c r="O337" i="15"/>
  <c r="N337" i="15"/>
  <c r="O343" i="15"/>
  <c r="N343" i="15"/>
  <c r="N259" i="15"/>
  <c r="O259" i="15"/>
  <c r="N251" i="15"/>
  <c r="O251" i="15"/>
  <c r="O253" i="15"/>
  <c r="N253" i="15"/>
  <c r="O210" i="15"/>
  <c r="N210" i="15"/>
  <c r="O218" i="15"/>
  <c r="N218" i="15"/>
  <c r="N222" i="15"/>
  <c r="O222" i="15"/>
  <c r="O556" i="15"/>
  <c r="N556" i="15"/>
  <c r="O105" i="15"/>
  <c r="N105" i="15"/>
  <c r="N173" i="15"/>
  <c r="O173" i="15"/>
  <c r="O179" i="15"/>
  <c r="N179" i="15"/>
  <c r="O391" i="15"/>
  <c r="N391" i="15"/>
  <c r="O412" i="15"/>
  <c r="N412" i="15"/>
  <c r="O402" i="15"/>
  <c r="N402" i="15"/>
  <c r="N403" i="15"/>
  <c r="O403" i="15"/>
  <c r="O100" i="15"/>
  <c r="N100" i="15"/>
  <c r="N102" i="15"/>
  <c r="O102" i="15"/>
  <c r="N85" i="15"/>
  <c r="O85" i="15"/>
  <c r="O304" i="15"/>
  <c r="N304" i="15"/>
  <c r="O315" i="15"/>
  <c r="N315" i="15"/>
  <c r="N303" i="15"/>
  <c r="O303" i="15"/>
  <c r="O565" i="15"/>
  <c r="N565" i="15"/>
  <c r="O493" i="15"/>
  <c r="N493" i="15"/>
  <c r="N473" i="15"/>
  <c r="O473" i="15"/>
  <c r="N483" i="15"/>
  <c r="O483" i="15"/>
  <c r="O165" i="15"/>
  <c r="N165" i="15"/>
  <c r="O151" i="15"/>
  <c r="N151" i="15"/>
  <c r="O170" i="15"/>
  <c r="N170" i="15"/>
  <c r="O147" i="15"/>
  <c r="N147" i="15"/>
  <c r="O562" i="15"/>
  <c r="N562" i="15"/>
  <c r="O450" i="15"/>
  <c r="N450" i="15"/>
  <c r="N465" i="15"/>
  <c r="O465" i="15"/>
  <c r="N448" i="15"/>
  <c r="O448" i="15"/>
  <c r="O362" i="15"/>
  <c r="N362" i="15"/>
  <c r="O352" i="15"/>
  <c r="N352" i="15"/>
  <c r="O367" i="15"/>
  <c r="N367" i="15"/>
  <c r="O368" i="15"/>
  <c r="N368" i="15"/>
  <c r="O500" i="15"/>
  <c r="N500" i="15"/>
  <c r="O495" i="15"/>
  <c r="N495" i="15"/>
  <c r="N529" i="15"/>
  <c r="O529" i="15"/>
  <c r="O523" i="15"/>
  <c r="N523" i="15"/>
  <c r="O23" i="15"/>
  <c r="N23" i="15"/>
  <c r="O12" i="15"/>
  <c r="N12" i="15"/>
  <c r="N19" i="15"/>
  <c r="O19" i="15"/>
  <c r="O558" i="15"/>
  <c r="N558" i="15"/>
  <c r="O36" i="15"/>
  <c r="N36" i="15"/>
  <c r="N30" i="15"/>
  <c r="O30" i="15"/>
  <c r="N43" i="15"/>
  <c r="O43" i="15"/>
  <c r="N37" i="15"/>
  <c r="O37" i="15"/>
  <c r="O386" i="15"/>
  <c r="N386" i="15"/>
  <c r="N86" i="15"/>
  <c r="O86" i="15"/>
  <c r="O305" i="15"/>
  <c r="N305" i="15"/>
  <c r="N555" i="15"/>
  <c r="O555" i="15"/>
  <c r="O468" i="15"/>
  <c r="N468" i="15"/>
  <c r="O494" i="15"/>
  <c r="N494" i="15"/>
  <c r="O159" i="15"/>
  <c r="N159" i="15"/>
  <c r="O540" i="15"/>
  <c r="N540" i="15"/>
  <c r="O546" i="15"/>
  <c r="N546" i="15"/>
  <c r="O350" i="15"/>
  <c r="N350" i="15"/>
  <c r="O335" i="15"/>
  <c r="N335" i="15"/>
  <c r="O265" i="15"/>
  <c r="N265" i="15"/>
  <c r="N272" i="15"/>
  <c r="O272" i="15"/>
  <c r="O202" i="15"/>
  <c r="N202" i="15"/>
  <c r="N224" i="15"/>
  <c r="O224" i="15"/>
  <c r="O183" i="15"/>
  <c r="N183" i="15"/>
  <c r="N198" i="15"/>
  <c r="O198" i="15"/>
  <c r="N239" i="15"/>
  <c r="O239" i="15"/>
  <c r="N395" i="15"/>
  <c r="O395" i="15"/>
  <c r="O89" i="15"/>
  <c r="N89" i="15"/>
  <c r="O104" i="15"/>
  <c r="N104" i="15"/>
  <c r="O260" i="15"/>
  <c r="N260" i="15"/>
  <c r="O322" i="15"/>
  <c r="N322" i="15"/>
  <c r="O475" i="15"/>
  <c r="N475" i="15"/>
  <c r="N457" i="15"/>
  <c r="O457" i="15"/>
  <c r="O532" i="15"/>
  <c r="N532" i="15"/>
  <c r="O545" i="15"/>
  <c r="N545" i="15"/>
  <c r="O536" i="15"/>
  <c r="N536" i="15"/>
  <c r="O336" i="15"/>
  <c r="N336" i="15"/>
  <c r="O342" i="15"/>
  <c r="N342" i="15"/>
  <c r="O332" i="15"/>
  <c r="N332" i="15"/>
  <c r="O262" i="15"/>
  <c r="N262" i="15"/>
  <c r="N267" i="15"/>
  <c r="O267" i="15"/>
  <c r="O269" i="15"/>
  <c r="N269" i="15"/>
  <c r="O226" i="15"/>
  <c r="N226" i="15"/>
  <c r="O199" i="15"/>
  <c r="N199" i="15"/>
  <c r="O203" i="15"/>
  <c r="N203" i="15"/>
  <c r="O175" i="15"/>
  <c r="N175" i="15"/>
  <c r="O181" i="15"/>
  <c r="N181" i="15"/>
  <c r="O187" i="15"/>
  <c r="N187" i="15"/>
  <c r="O396" i="15"/>
  <c r="N396" i="15"/>
  <c r="N385" i="15"/>
  <c r="O385" i="15"/>
  <c r="O410" i="15"/>
  <c r="N410" i="15"/>
  <c r="N411" i="15"/>
  <c r="O411" i="15"/>
  <c r="O90" i="15"/>
  <c r="N90" i="15"/>
  <c r="N83" i="15"/>
  <c r="O83" i="15"/>
  <c r="O93" i="15"/>
  <c r="N93" i="15"/>
  <c r="O307" i="15"/>
  <c r="N307" i="15"/>
  <c r="O320" i="15"/>
  <c r="N320" i="15"/>
  <c r="N311" i="15"/>
  <c r="O311" i="15"/>
  <c r="O487" i="15"/>
  <c r="N487" i="15"/>
  <c r="N481" i="15"/>
  <c r="O481" i="15"/>
  <c r="O491" i="15"/>
  <c r="N491" i="15"/>
  <c r="N137" i="15"/>
  <c r="O137" i="15"/>
  <c r="O156" i="15"/>
  <c r="N156" i="15"/>
  <c r="O157" i="15"/>
  <c r="N157" i="15"/>
  <c r="O155" i="15"/>
  <c r="N155" i="15"/>
  <c r="O466" i="15"/>
  <c r="N466" i="15"/>
  <c r="O446" i="15"/>
  <c r="N446" i="15"/>
  <c r="N464" i="15"/>
  <c r="O464" i="15"/>
  <c r="O380" i="15"/>
  <c r="N380" i="15"/>
  <c r="O355" i="15"/>
  <c r="N355" i="15"/>
  <c r="O366" i="15"/>
  <c r="N366" i="15"/>
  <c r="O383" i="15"/>
  <c r="N383" i="15"/>
  <c r="N376" i="15"/>
  <c r="O376" i="15"/>
  <c r="O517" i="15"/>
  <c r="N517" i="15"/>
  <c r="O511" i="15"/>
  <c r="N511" i="15"/>
  <c r="O502" i="15"/>
  <c r="N502" i="15"/>
  <c r="O456" i="15"/>
  <c r="N456" i="15"/>
  <c r="N22" i="15"/>
  <c r="O22" i="15"/>
  <c r="O28" i="15"/>
  <c r="N28" i="15"/>
  <c r="N27" i="15"/>
  <c r="O27" i="15"/>
  <c r="O49" i="15"/>
  <c r="N49" i="15"/>
  <c r="N46" i="15"/>
  <c r="O46" i="15"/>
  <c r="N51" i="15"/>
  <c r="O51" i="15"/>
  <c r="O45" i="15"/>
  <c r="N45" i="15"/>
  <c r="O525" i="15"/>
  <c r="N525" i="15"/>
  <c r="O527" i="15"/>
  <c r="N527" i="15"/>
  <c r="O510" i="15"/>
  <c r="N510" i="15"/>
  <c r="O496" i="15"/>
  <c r="N496" i="15"/>
  <c r="O7" i="15"/>
  <c r="N7" i="15"/>
  <c r="N2" i="15"/>
  <c r="O2" i="15"/>
  <c r="O8" i="15"/>
  <c r="N8" i="15"/>
  <c r="N38" i="15"/>
  <c r="O38" i="15"/>
  <c r="O31" i="15"/>
  <c r="N31" i="15"/>
  <c r="N161" i="15"/>
  <c r="O161" i="15"/>
  <c r="N53" i="15"/>
  <c r="O53" i="15"/>
</calcChain>
</file>

<file path=xl/sharedStrings.xml><?xml version="1.0" encoding="utf-8"?>
<sst xmlns="http://schemas.openxmlformats.org/spreadsheetml/2006/main" count="25299" uniqueCount="1886">
  <si>
    <t>FPL 2026/27 Model — v0.5 Team + Fixture Engine</t>
  </si>
  <si>
    <t>Snapshot</t>
  </si>
  <si>
    <t>19 Aug 2026</t>
  </si>
  <si>
    <t>Fixture</t>
  </si>
  <si>
    <t>Fair H</t>
  </si>
  <si>
    <t>Fair D</t>
  </si>
  <si>
    <t>Fair A</t>
  </si>
  <si>
    <t>Home xG</t>
  </si>
  <si>
    <t>Away xG</t>
  </si>
  <si>
    <t>GW1 market coverage</t>
  </si>
  <si>
    <t>10 / 10 fixtures</t>
  </si>
  <si>
    <t>Arsenal v Coventry City</t>
  </si>
  <si>
    <t>Market anchor</t>
  </si>
  <si>
    <t>Oddschecker 1X2 best-price consensus</t>
  </si>
  <si>
    <t>Hull City v Man Utd</t>
  </si>
  <si>
    <t>De-vig</t>
  </si>
  <si>
    <t>Yes — normalize implied probs to 100%</t>
  </si>
  <si>
    <t>Ipswich Town v Sunderland</t>
  </si>
  <si>
    <t>Market xG method</t>
  </si>
  <si>
    <t>Independent Poisson fit to fair 1X2</t>
  </si>
  <si>
    <t>Everton v Crystal Palace</t>
  </si>
  <si>
    <t>Default market weight</t>
  </si>
  <si>
    <t>100% where market exists</t>
  </si>
  <si>
    <t>Nott'm Forest v Leeds</t>
  </si>
  <si>
    <t>Structural model</t>
  </si>
  <si>
    <t>Parallel diagnostic / future fallback</t>
  </si>
  <si>
    <t>Brentford v Spurs</t>
  </si>
  <si>
    <t>Final FPL xPts</t>
  </si>
  <si>
    <t>Not yet — v0.6</t>
  </si>
  <si>
    <t>Man City v Bournemouth</t>
  </si>
  <si>
    <t>Brighton v Aston Villa</t>
  </si>
  <si>
    <t>Newcastle v Liverpool</t>
  </si>
  <si>
    <t>Fulham v Chelsea</t>
  </si>
  <si>
    <t>Team</t>
  </si>
  <si>
    <t>Struct Attack</t>
  </si>
  <si>
    <t>Struct Def Weak</t>
  </si>
  <si>
    <t>GW1 Market xG</t>
  </si>
  <si>
    <t>GW1 Struct xG</t>
  </si>
  <si>
    <t>Gap</t>
  </si>
  <si>
    <t>Arsenal</t>
  </si>
  <si>
    <t>Aston Villa</t>
  </si>
  <si>
    <t>Bournemouth</t>
  </si>
  <si>
    <t>Brentford</t>
  </si>
  <si>
    <t>Brighton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</si>
  <si>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</si>
  <si>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</si>
  <si>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</si>
  <si>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</si>
  <si>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</si>
  <si>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</si>
  <si>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</si>
  <si>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</t>
  </si>
  <si>
    <t>Liverpool</t>
  </si>
  <si>
    <t>Man City</t>
  </si>
  <si>
    <t>Man Utd</t>
  </si>
  <si>
    <t>Newcastle</t>
  </si>
  <si>
    <t>Nott'm Forest</t>
  </si>
  <si>
    <t>Spurs</t>
  </si>
  <si>
    <t>Sunderland</t>
  </si>
  <si>
    <t>Override architecture: Team_26_27 changes structural channels; Fixture_Engine can override a specific match; GW1_Player can later override minutes.</t>
  </si>
  <si>
    <t>Player ID</t>
  </si>
  <si>
    <t>Code</t>
  </si>
  <si>
    <t>Player</t>
  </si>
  <si>
    <t>Full Name</t>
  </si>
  <si>
    <t>FPL Pos</t>
  </si>
  <si>
    <t>Start £m</t>
  </si>
  <si>
    <t>Current £m</t>
  </si>
  <si>
    <t>Pens Order</t>
  </si>
  <si>
    <t>Direct FK Order</t>
  </si>
  <si>
    <t>Corners/IFK Order</t>
  </si>
  <si>
    <t>Team Join Date</t>
  </si>
  <si>
    <t>New Club Summer?</t>
  </si>
  <si>
    <t>Promoted Club?</t>
  </si>
  <si>
    <t>Manager</t>
  </si>
  <si>
    <t>Manager Start</t>
  </si>
  <si>
    <t>New Manager Summer?</t>
  </si>
  <si>
    <t>Manager Shift Since Aug-25?</t>
  </si>
  <si>
    <t>Status</t>
  </si>
  <si>
    <t>Chance Play GW1</t>
  </si>
  <si>
    <t>News</t>
  </si>
  <si>
    <t>Ownership %</t>
  </si>
  <si>
    <t>Selectable?</t>
  </si>
  <si>
    <t>Current Source</t>
  </si>
  <si>
    <t>Raya</t>
  </si>
  <si>
    <t>David Raya Martín</t>
  </si>
  <si>
    <t>GK</t>
  </si>
  <si>
    <t>2024-07-04</t>
  </si>
  <si>
    <t>Mikel Arteta</t>
  </si>
  <si>
    <t>2019-12-22</t>
  </si>
  <si>
    <t>Available</t>
  </si>
  <si>
    <t>https://fantasy.premierleague.com/</t>
  </si>
  <si>
    <t>Arrizabalaga</t>
  </si>
  <si>
    <t>Kepa Arrizabalaga Revuelta</t>
  </si>
  <si>
    <t>2025-07-01</t>
  </si>
  <si>
    <t>Meslier</t>
  </si>
  <si>
    <t>Illan Meslier</t>
  </si>
  <si>
    <t>2026-07-09</t>
  </si>
  <si>
    <t>Gabriel</t>
  </si>
  <si>
    <t>Gabriel dos Santos Magalhães</t>
  </si>
  <si>
    <t>DEF</t>
  </si>
  <si>
    <t>2020-09-01</t>
  </si>
  <si>
    <t>J.Timber</t>
  </si>
  <si>
    <t>Jurriën Timber</t>
  </si>
  <si>
    <t>2023-07-14</t>
  </si>
  <si>
    <t>Injured</t>
  </si>
  <si>
    <t>Groin injury - Expected back 21 Aug</t>
  </si>
  <si>
    <t>Saliba</t>
  </si>
  <si>
    <t>William Saliba</t>
  </si>
  <si>
    <t>2019-07-25</t>
  </si>
  <si>
    <t>Back injury - Unknown return date</t>
  </si>
  <si>
    <t>Lewis-Skelly</t>
  </si>
  <si>
    <t>Myles Lewis-Skelly</t>
  </si>
  <si>
    <t>MID</t>
  </si>
  <si>
    <t>2022-12-04</t>
  </si>
  <si>
    <t>Calafiori</t>
  </si>
  <si>
    <t>Riccardo Calafiori</t>
  </si>
  <si>
    <t>2024-07-29</t>
  </si>
  <si>
    <t>Hincapie</t>
  </si>
  <si>
    <t>Piero Hincapié</t>
  </si>
  <si>
    <t>2026-07-01</t>
  </si>
  <si>
    <t>White</t>
  </si>
  <si>
    <t>Benjamin White</t>
  </si>
  <si>
    <t>2021-07-30</t>
  </si>
  <si>
    <t>Mosquera</t>
  </si>
  <si>
    <t>Cristhian Mosquera</t>
  </si>
  <si>
    <t>2025-07-24</t>
  </si>
  <si>
    <t>Saka</t>
  </si>
  <si>
    <t>Bukayo Saka</t>
  </si>
  <si>
    <t>2018-11-28</t>
  </si>
  <si>
    <t>Rice</t>
  </si>
  <si>
    <t>Declan Rice</t>
  </si>
  <si>
    <t>2023-07-15</t>
  </si>
  <si>
    <t>Eze</t>
  </si>
  <si>
    <t>Eberechi Eze</t>
  </si>
  <si>
    <t>2025-08-23</t>
  </si>
  <si>
    <t>Ødegaard</t>
  </si>
  <si>
    <t>Martin Ødegaard</t>
  </si>
  <si>
    <t>2021-08-20</t>
  </si>
  <si>
    <t>Madueke</t>
  </si>
  <si>
    <t>Noni Madueke</t>
  </si>
  <si>
    <t>2025-07-18</t>
  </si>
  <si>
    <t>Merino</t>
  </si>
  <si>
    <t>Mikel Merino Zazón</t>
  </si>
  <si>
    <t>2024-08-27</t>
  </si>
  <si>
    <t>Martinelli</t>
  </si>
  <si>
    <t>Gabriel Martinelli Silva</t>
  </si>
  <si>
    <t>2019-07-15</t>
  </si>
  <si>
    <t>Zubimendi</t>
  </si>
  <si>
    <t>Martín Zubimendi Ibáñez</t>
  </si>
  <si>
    <t>2025-07-06</t>
  </si>
  <si>
    <t>Dowman</t>
  </si>
  <si>
    <t>Max Dowman</t>
  </si>
  <si>
    <t>None</t>
  </si>
  <si>
    <t>Nørgaard</t>
  </si>
  <si>
    <t>Christian Nørgaard</t>
  </si>
  <si>
    <t>2025-07-10</t>
  </si>
  <si>
    <t>Nwaneri</t>
  </si>
  <si>
    <t>Ethan Nwaneri</t>
  </si>
  <si>
    <t>2022-09-17</t>
  </si>
  <si>
    <t>Fábio Vieira</t>
  </si>
  <si>
    <t>Fábio Ferreira Vieira</t>
  </si>
  <si>
    <t>2022-06-21</t>
  </si>
  <si>
    <t>Nelson</t>
  </si>
  <si>
    <t>Reiss Nelson</t>
  </si>
  <si>
    <t>2017-07-12</t>
  </si>
  <si>
    <t>Gyökeres</t>
  </si>
  <si>
    <t>Viktor Gyökeres</t>
  </si>
  <si>
    <t>FWD</t>
  </si>
  <si>
    <t>2025-07-26</t>
  </si>
  <si>
    <t>Havertz</t>
  </si>
  <si>
    <t>Kai Havertz</t>
  </si>
  <si>
    <t>2023-06-28</t>
  </si>
  <si>
    <t>G.Jesus</t>
  </si>
  <si>
    <t>Gabriel Fernando de Jesus</t>
  </si>
  <si>
    <t>2022-07-04</t>
  </si>
  <si>
    <t>Tzolis</t>
  </si>
  <si>
    <t>Christos Tzolis</t>
  </si>
  <si>
    <t>2026-07-23</t>
  </si>
  <si>
    <t>Martinez</t>
  </si>
  <si>
    <t>Emiliano Martínez Romero</t>
  </si>
  <si>
    <t>2020-09-16</t>
  </si>
  <si>
    <t>Unai Emery</t>
  </si>
  <si>
    <t>2022-11-01</t>
  </si>
  <si>
    <t>M.Bizot</t>
  </si>
  <si>
    <t>Marco Bizot</t>
  </si>
  <si>
    <t>2025-07-15</t>
  </si>
  <si>
    <t>Digne</t>
  </si>
  <si>
    <t>Lucas Digne</t>
  </si>
  <si>
    <t>2022-01-13</t>
  </si>
  <si>
    <t>Konsa</t>
  </si>
  <si>
    <t>Ezri Konsa Ngoyo</t>
  </si>
  <si>
    <t>2019-07-11</t>
  </si>
  <si>
    <t>Cash</t>
  </si>
  <si>
    <t>Matty Cash</t>
  </si>
  <si>
    <t>2020-09-03</t>
  </si>
  <si>
    <t>Mings</t>
  </si>
  <si>
    <t>Tyrone Mings</t>
  </si>
  <si>
    <t>2019-07-08</t>
  </si>
  <si>
    <t>Pau</t>
  </si>
  <si>
    <t>Pau Torres</t>
  </si>
  <si>
    <t>2023-07-12</t>
  </si>
  <si>
    <t>Bogarde</t>
  </si>
  <si>
    <t>Lamare Bogarde</t>
  </si>
  <si>
    <t>2021-01-07</t>
  </si>
  <si>
    <t>Maatsen</t>
  </si>
  <si>
    <t>Ian Maatsen</t>
  </si>
  <si>
    <t>2024-06-28</t>
  </si>
  <si>
    <t>Lindelöf</t>
  </si>
  <si>
    <t>Victor Lindelöf</t>
  </si>
  <si>
    <t>2025-09-01</t>
  </si>
  <si>
    <t>A.García</t>
  </si>
  <si>
    <t>Andrés García</t>
  </si>
  <si>
    <t>Nedeljkovic</t>
  </si>
  <si>
    <t>Kosta Nedeljkovic</t>
  </si>
  <si>
    <t>2024-01-22</t>
  </si>
  <si>
    <t>Buendía</t>
  </si>
  <si>
    <t>Emiliano Buendía Stati</t>
  </si>
  <si>
    <t>2021-06-10</t>
  </si>
  <si>
    <t>Guessand</t>
  </si>
  <si>
    <t>Evann Guessand</t>
  </si>
  <si>
    <t>2025-08-08</t>
  </si>
  <si>
    <t>Bailey</t>
  </si>
  <si>
    <t>Leon Bailey</t>
  </si>
  <si>
    <t>2021-08-04</t>
  </si>
  <si>
    <t>McGinn</t>
  </si>
  <si>
    <t>John McGinn</t>
  </si>
  <si>
    <t>2018-08-08</t>
  </si>
  <si>
    <t>Barkley</t>
  </si>
  <si>
    <t>Ross Barkley</t>
  </si>
  <si>
    <t>2024-07-01</t>
  </si>
  <si>
    <t>Kamara</t>
  </si>
  <si>
    <t>Boubacar Kamara</t>
  </si>
  <si>
    <t>2022-06-11</t>
  </si>
  <si>
    <t>Doubtful</t>
  </si>
  <si>
    <t>Knee injury - 75% chance of playing</t>
  </si>
  <si>
    <t>Onana</t>
  </si>
  <si>
    <t>Amadou Onana</t>
  </si>
  <si>
    <t>2024-07-22</t>
  </si>
  <si>
    <t>Knee injury - Unknown return date</t>
  </si>
  <si>
    <t>Iling Jr</t>
  </si>
  <si>
    <t>Samuel Iling-Junior</t>
  </si>
  <si>
    <t>Burrowes</t>
  </si>
  <si>
    <t>Bradley Burrowes</t>
  </si>
  <si>
    <t>George Hemmings</t>
  </si>
  <si>
    <t>Alysson</t>
  </si>
  <si>
    <t>Alysson Edward Franco da Rocha dos Santos</t>
  </si>
  <si>
    <t>2026-01-01</t>
  </si>
  <si>
    <t>Manzambi</t>
  </si>
  <si>
    <t>Johan Manzambi</t>
  </si>
  <si>
    <t>2026-07-17</t>
  </si>
  <si>
    <t>Gomes</t>
  </si>
  <si>
    <t>Joao Gomes</t>
  </si>
  <si>
    <t>2026-07-20</t>
  </si>
  <si>
    <t>Watkins</t>
  </si>
  <si>
    <t>Ollie Watkins</t>
  </si>
  <si>
    <t>2020-09-09</t>
  </si>
  <si>
    <t>Abraham</t>
  </si>
  <si>
    <t>Tammy Abraham</t>
  </si>
  <si>
    <t>2026-01-27</t>
  </si>
  <si>
    <t>Shoulder injury - Expected back 23 Aug</t>
  </si>
  <si>
    <t>Garnacho</t>
  </si>
  <si>
    <t>Alejandro Garnacho Ferreyra</t>
  </si>
  <si>
    <t>Petrović</t>
  </si>
  <si>
    <t>Đorđe Petrović</t>
  </si>
  <si>
    <t>2025-07-16</t>
  </si>
  <si>
    <t>Marco Rose</t>
  </si>
  <si>
    <t>2026-06-01</t>
  </si>
  <si>
    <t>Forster</t>
  </si>
  <si>
    <t>Fraser Forster</t>
  </si>
  <si>
    <t>2026-01-02</t>
  </si>
  <si>
    <t>Dennis</t>
  </si>
  <si>
    <t>Will Dennis</t>
  </si>
  <si>
    <t>2019-08-01</t>
  </si>
  <si>
    <t>Hill</t>
  </si>
  <si>
    <t>James Hill</t>
  </si>
  <si>
    <t>2022-01-05</t>
  </si>
  <si>
    <t>Truffert</t>
  </si>
  <si>
    <t>Adrien Truffert</t>
  </si>
  <si>
    <t>2025-06-16</t>
  </si>
  <si>
    <t>Diakité</t>
  </si>
  <si>
    <t>Bafodé Diakité</t>
  </si>
  <si>
    <t>2025-08-13</t>
  </si>
  <si>
    <t>Milosavljević</t>
  </si>
  <si>
    <t>Veljko Milosavljevic</t>
  </si>
  <si>
    <t>Smith</t>
  </si>
  <si>
    <t>Adam Smith</t>
  </si>
  <si>
    <t>2014-01-28</t>
  </si>
  <si>
    <t>J.Araujo</t>
  </si>
  <si>
    <t>Julián Araujo Zúñiga</t>
  </si>
  <si>
    <t>2024-08-13</t>
  </si>
  <si>
    <t>Soler</t>
  </si>
  <si>
    <t>Julio Soler Barreto</t>
  </si>
  <si>
    <t>2025-01-07</t>
  </si>
  <si>
    <t>Rayan</t>
  </si>
  <si>
    <t>Rayan Vitor Simplício Rocha</t>
  </si>
  <si>
    <t>Tavernier</t>
  </si>
  <si>
    <t>Marcus Tavernier</t>
  </si>
  <si>
    <t>2022-08-01</t>
  </si>
  <si>
    <t>Scott</t>
  </si>
  <si>
    <t>Alex Scott</t>
  </si>
  <si>
    <t>2023-08-10</t>
  </si>
  <si>
    <t>Kluivert</t>
  </si>
  <si>
    <t>Justin Kluivert</t>
  </si>
  <si>
    <t>2023-07-01</t>
  </si>
  <si>
    <t>Cook</t>
  </si>
  <si>
    <t>Lewis Cook</t>
  </si>
  <si>
    <t>2016-07-08</t>
  </si>
  <si>
    <t>Gannon-Doak</t>
  </si>
  <si>
    <t>Ben Gannon-Doak</t>
  </si>
  <si>
    <t>2025-08-18</t>
  </si>
  <si>
    <t>Adams</t>
  </si>
  <si>
    <t>Tyler Adams</t>
  </si>
  <si>
    <t>2023-08-20</t>
  </si>
  <si>
    <t>Brooks</t>
  </si>
  <si>
    <t>David Brooks</t>
  </si>
  <si>
    <t>2018-07-01</t>
  </si>
  <si>
    <t>Christie</t>
  </si>
  <si>
    <t>Ryan Christie</t>
  </si>
  <si>
    <t>2021-08-31</t>
  </si>
  <si>
    <t>Suspended</t>
  </si>
  <si>
    <t>Suspended until 29 Aug</t>
  </si>
  <si>
    <t>Tóth.A</t>
  </si>
  <si>
    <t>Alex Tóth</t>
  </si>
  <si>
    <t>2026-01-20</t>
  </si>
  <si>
    <t>Adli</t>
  </si>
  <si>
    <t>Amine Adli</t>
  </si>
  <si>
    <t>2025-08-21</t>
  </si>
  <si>
    <t>Kroupi.Jr</t>
  </si>
  <si>
    <t>Junior Kroupi</t>
  </si>
  <si>
    <t>2025-02-02</t>
  </si>
  <si>
    <t>Foot injury - Unknown return date</t>
  </si>
  <si>
    <t>Evanilson</t>
  </si>
  <si>
    <t>Francisco Evanilson de Lima Barbosa</t>
  </si>
  <si>
    <t>2024-08-16</t>
  </si>
  <si>
    <t>Enes Ünal</t>
  </si>
  <si>
    <t>Rodríguez</t>
  </si>
  <si>
    <t>Álvaro Rodríguez</t>
  </si>
  <si>
    <t>2026-07-14</t>
  </si>
  <si>
    <t>Silva</t>
  </si>
  <si>
    <t>António João Pereira de Albuquerque Tavares da Silva</t>
  </si>
  <si>
    <t>2026-08-01</t>
  </si>
  <si>
    <t>Kelleher</t>
  </si>
  <si>
    <t>Caoimhín Kelleher</t>
  </si>
  <si>
    <t>2025-06-03</t>
  </si>
  <si>
    <t>Keith Andrews</t>
  </si>
  <si>
    <t>2025-06-27</t>
  </si>
  <si>
    <t>Valdimarsson</t>
  </si>
  <si>
    <t>Hákon Rafn Valdimarsson</t>
  </si>
  <si>
    <t>2024-01-26</t>
  </si>
  <si>
    <t>Collins</t>
  </si>
  <si>
    <t>Nathan Collins</t>
  </si>
  <si>
    <t>2023-07-04</t>
  </si>
  <si>
    <t>Van den Berg</t>
  </si>
  <si>
    <t>Sepp van den Berg</t>
  </si>
  <si>
    <t>2024-08-22</t>
  </si>
  <si>
    <t>Lewis-Potter</t>
  </si>
  <si>
    <t>Keane Lewis-Potter</t>
  </si>
  <si>
    <t>2022-07-12</t>
  </si>
  <si>
    <t>Ajer</t>
  </si>
  <si>
    <t>Kristoffer Ajer</t>
  </si>
  <si>
    <t>2021-07-21</t>
  </si>
  <si>
    <t>Kayode</t>
  </si>
  <si>
    <t>Michael Kayode</t>
  </si>
  <si>
    <t>Henry</t>
  </si>
  <si>
    <t>Rico Henry</t>
  </si>
  <si>
    <t>2016-08-31</t>
  </si>
  <si>
    <t>Hickey</t>
  </si>
  <si>
    <t>Aaron Hickey</t>
  </si>
  <si>
    <t>2022-07-09</t>
  </si>
  <si>
    <t>Pinnock</t>
  </si>
  <si>
    <t>Ethan Pinnock</t>
  </si>
  <si>
    <t>2019-07-02</t>
  </si>
  <si>
    <t>Ji-soo</t>
  </si>
  <si>
    <t>Kim Ji-soo</t>
  </si>
  <si>
    <t>2023-07-20</t>
  </si>
  <si>
    <t>Schuster</t>
  </si>
  <si>
    <t>Jannik Schuster</t>
  </si>
  <si>
    <t>2026-06-15</t>
  </si>
  <si>
    <t>Schade</t>
  </si>
  <si>
    <t>Kevin Schade</t>
  </si>
  <si>
    <t>O.Dango</t>
  </si>
  <si>
    <t>Dango Ouattara</t>
  </si>
  <si>
    <t>2025-08-16</t>
  </si>
  <si>
    <t>Damsgaard</t>
  </si>
  <si>
    <t>Mikkel Damsgaard</t>
  </si>
  <si>
    <t>2022-08-10</t>
  </si>
  <si>
    <t>Jensen</t>
  </si>
  <si>
    <t>Mathias Jensen</t>
  </si>
  <si>
    <t>2019-07-10</t>
  </si>
  <si>
    <t>Janelt</t>
  </si>
  <si>
    <t>Vitaly Janelt</t>
  </si>
  <si>
    <t>2020-10-03</t>
  </si>
  <si>
    <t>Milambo</t>
  </si>
  <si>
    <t>Antoni Milambo</t>
  </si>
  <si>
    <t>2025-07-03</t>
  </si>
  <si>
    <t>Carvalho</t>
  </si>
  <si>
    <t>Fábio Freitas Gouveia Carvalho</t>
  </si>
  <si>
    <t>2024-08-12</t>
  </si>
  <si>
    <t>Henderson</t>
  </si>
  <si>
    <t>Jordan Henderson</t>
  </si>
  <si>
    <t>Unavailable</t>
  </si>
  <si>
    <t>has departed the club as a free agent.</t>
  </si>
  <si>
    <t>Yarmoliuk</t>
  </si>
  <si>
    <t>Yehor Yarmoliuk</t>
  </si>
  <si>
    <t>2022-10-28</t>
  </si>
  <si>
    <t>Dasilva</t>
  </si>
  <si>
    <t>Josh Dasilva</t>
  </si>
  <si>
    <t>2025-10-23</t>
  </si>
  <si>
    <t>Anthony</t>
  </si>
  <si>
    <t>Jaidon Anthony</t>
  </si>
  <si>
    <t>2026-07-07</t>
  </si>
  <si>
    <t>Thiago</t>
  </si>
  <si>
    <t>Igor Thiago Nascimento Rodrigues</t>
  </si>
  <si>
    <t>Furo</t>
  </si>
  <si>
    <t>Kaye Furo</t>
  </si>
  <si>
    <t>2026-01-11</t>
  </si>
  <si>
    <t>Wilson</t>
  </si>
  <si>
    <t>Callum Wilson</t>
  </si>
  <si>
    <t>Sangaré</t>
  </si>
  <si>
    <t>Mamadou Sangaré</t>
  </si>
  <si>
    <t>Verbruggen</t>
  </si>
  <si>
    <t>Bart Verbruggen</t>
  </si>
  <si>
    <t>2023-07-03</t>
  </si>
  <si>
    <t>Fabian Hurzeler</t>
  </si>
  <si>
    <t>2024-06-15</t>
  </si>
  <si>
    <t>Rushworth</t>
  </si>
  <si>
    <t>Carl Rushworth</t>
  </si>
  <si>
    <t>Steele</t>
  </si>
  <si>
    <t>Jason Steele</t>
  </si>
  <si>
    <t>F.Kadıoğlu</t>
  </si>
  <si>
    <t>Ferdi Kadıoğlu</t>
  </si>
  <si>
    <t>Boscagli</t>
  </si>
  <si>
    <t>Olivier Boscagli</t>
  </si>
  <si>
    <t>2025-07-02</t>
  </si>
  <si>
    <t>De Cuyper</t>
  </si>
  <si>
    <t>Maxim De Cuyper</t>
  </si>
  <si>
    <t>2025-07-05</t>
  </si>
  <si>
    <t>Dunk</t>
  </si>
  <si>
    <t>Lewis Dunk</t>
  </si>
  <si>
    <t>2009-07-01</t>
  </si>
  <si>
    <t>Coppola</t>
  </si>
  <si>
    <t>Diego Coppola</t>
  </si>
  <si>
    <t>Igor</t>
  </si>
  <si>
    <t>Igor Julio dos Santos de Paulo</t>
  </si>
  <si>
    <t>2023-07-26</t>
  </si>
  <si>
    <t>Costinha</t>
  </si>
  <si>
    <t>João Pedro Loureiro da Costa</t>
  </si>
  <si>
    <t>Svoboda</t>
  </si>
  <si>
    <t>Michael Svoboda</t>
  </si>
  <si>
    <t>2026-07-02</t>
  </si>
  <si>
    <t>Mitoma</t>
  </si>
  <si>
    <t>Mitoma Kaoru</t>
  </si>
  <si>
    <t>2021-08-09</t>
  </si>
  <si>
    <t>Hamstring injury - Unknown return date</t>
  </si>
  <si>
    <t>Minteh</t>
  </si>
  <si>
    <t>Yankuba Minteh</t>
  </si>
  <si>
    <t>Hinshelwood</t>
  </si>
  <si>
    <t>Jack Hinshelwood</t>
  </si>
  <si>
    <t>2022-12-30</t>
  </si>
  <si>
    <t>Groß</t>
  </si>
  <si>
    <t>Pascal Groß</t>
  </si>
  <si>
    <t>Georginio</t>
  </si>
  <si>
    <t>Georginio Rutter</t>
  </si>
  <si>
    <t>2024-08-19</t>
  </si>
  <si>
    <t>O'Riley</t>
  </si>
  <si>
    <t>Matt O'Riley</t>
  </si>
  <si>
    <t>2024-08-26</t>
  </si>
  <si>
    <t>Gomez</t>
  </si>
  <si>
    <t>Diego Gómez Amarilla</t>
  </si>
  <si>
    <t>2025-01-01</t>
  </si>
  <si>
    <t>Buonanotte</t>
  </si>
  <si>
    <t>Facundo Buonanotte</t>
  </si>
  <si>
    <t>2023-01-01</t>
  </si>
  <si>
    <t>Ayari</t>
  </si>
  <si>
    <t>Yasin Ayari</t>
  </si>
  <si>
    <t>2023-01-30</t>
  </si>
  <si>
    <t>Wieffer</t>
  </si>
  <si>
    <t>Mats Wieffer</t>
  </si>
  <si>
    <t>2024-07-06</t>
  </si>
  <si>
    <t>Baleba</t>
  </si>
  <si>
    <t>Carlos Baleba</t>
  </si>
  <si>
    <t>2023-08-29</t>
  </si>
  <si>
    <t>Howell</t>
  </si>
  <si>
    <t>Harry Howell</t>
  </si>
  <si>
    <t>Watson</t>
  </si>
  <si>
    <t>Tom Watson</t>
  </si>
  <si>
    <t>2025-06-01</t>
  </si>
  <si>
    <t>Has joined Leicester City on loan for the rest of the season</t>
  </si>
  <si>
    <t>Oriola</t>
  </si>
  <si>
    <t>Nehemiah Oriola</t>
  </si>
  <si>
    <t>Yohanna</t>
  </si>
  <si>
    <t>Zadok Yohanna</t>
  </si>
  <si>
    <t>Tzimas</t>
  </si>
  <si>
    <t>Stefanos Tzimas</t>
  </si>
  <si>
    <t>2025-02-03</t>
  </si>
  <si>
    <t>Kostoulas</t>
  </si>
  <si>
    <t>Charalampos Kostoulas</t>
  </si>
  <si>
    <t>Ferguson</t>
  </si>
  <si>
    <t>Evan Ferguson</t>
  </si>
  <si>
    <t>2021-08-23</t>
  </si>
  <si>
    <t>Ankle injury - Expected back 10 Oct</t>
  </si>
  <si>
    <t>Struijk</t>
  </si>
  <si>
    <t>Pascal Struijk</t>
  </si>
  <si>
    <t>2026-06-30</t>
  </si>
  <si>
    <t>Vuskovic</t>
  </si>
  <si>
    <t>Luka Vušković</t>
  </si>
  <si>
    <t>Rogers</t>
  </si>
  <si>
    <t>Morgan Rogers</t>
  </si>
  <si>
    <t>2026-07-21</t>
  </si>
  <si>
    <t>Xabi Alonso</t>
  </si>
  <si>
    <t>Welbeck</t>
  </si>
  <si>
    <t>Danny Welbeck</t>
  </si>
  <si>
    <t>Sánchez</t>
  </si>
  <si>
    <t>Robert Lynch Sánchez</t>
  </si>
  <si>
    <t>2023-08-05</t>
  </si>
  <si>
    <t>Jörgensen</t>
  </si>
  <si>
    <t>Filip Jörgensen</t>
  </si>
  <si>
    <t>2024-07-30</t>
  </si>
  <si>
    <t>James</t>
  </si>
  <si>
    <t>Reece James</t>
  </si>
  <si>
    <t>2019-05-15</t>
  </si>
  <si>
    <t>Chalobah</t>
  </si>
  <si>
    <t>Trevoh Chalobah</t>
  </si>
  <si>
    <t>2018-02-16</t>
  </si>
  <si>
    <t>Gusto</t>
  </si>
  <si>
    <t>Malo Gusto</t>
  </si>
  <si>
    <t>2023-01-28</t>
  </si>
  <si>
    <t>Fofana</t>
  </si>
  <si>
    <t>Wesley Fofana</t>
  </si>
  <si>
    <t>2022-08-31</t>
  </si>
  <si>
    <t>Suspended until 6 Sep</t>
  </si>
  <si>
    <t>B.Badiashile</t>
  </si>
  <si>
    <t>Benoît Badiashile Mukinayi</t>
  </si>
  <si>
    <t>2023-01-05</t>
  </si>
  <si>
    <t>Tosin</t>
  </si>
  <si>
    <t>Tosin Adarabioyo</t>
  </si>
  <si>
    <t>Hato</t>
  </si>
  <si>
    <t>Jorrel Hato</t>
  </si>
  <si>
    <t>2025-08-03</t>
  </si>
  <si>
    <t>Colwill</t>
  </si>
  <si>
    <t>Levi Samuels Colwill</t>
  </si>
  <si>
    <t>2022-07-01</t>
  </si>
  <si>
    <t>M.Sarr</t>
  </si>
  <si>
    <t>Mamadou Sarr</t>
  </si>
  <si>
    <t>2025-06-09</t>
  </si>
  <si>
    <t>Acheampong</t>
  </si>
  <si>
    <t>Josh Acheampong</t>
  </si>
  <si>
    <t>2024-03-10</t>
  </si>
  <si>
    <t>Palestra</t>
  </si>
  <si>
    <t>Marco Palestra</t>
  </si>
  <si>
    <t>Disasi</t>
  </si>
  <si>
    <t>Axel Disasi</t>
  </si>
  <si>
    <t>2023-08-04</t>
  </si>
  <si>
    <t>Palmer</t>
  </si>
  <si>
    <t>Cole Palmer</t>
  </si>
  <si>
    <t>2023-09-01</t>
  </si>
  <si>
    <t>Enzo</t>
  </si>
  <si>
    <t>Enzo Fernández</t>
  </si>
  <si>
    <t>2023-01-31</t>
  </si>
  <si>
    <t>Neto</t>
  </si>
  <si>
    <t>Pedro Lomba Neto</t>
  </si>
  <si>
    <t>2024-08-11</t>
  </si>
  <si>
    <t>Estêvão</t>
  </si>
  <si>
    <t>Estêvão Almeida de Oliveira Gonçalves</t>
  </si>
  <si>
    <t>2025-07-14</t>
  </si>
  <si>
    <t>Gittens</t>
  </si>
  <si>
    <t>Jamie Bynoe-Gittens</t>
  </si>
  <si>
    <t>Caicedo</t>
  </si>
  <si>
    <t>Moisés Caicedo Corozo</t>
  </si>
  <si>
    <t>2023-08-14</t>
  </si>
  <si>
    <t>Lavia</t>
  </si>
  <si>
    <t>Roméo Lavia</t>
  </si>
  <si>
    <t>2023-08-18</t>
  </si>
  <si>
    <t>D.Essugo</t>
  </si>
  <si>
    <t>Dário Luís Essugo</t>
  </si>
  <si>
    <t>2025-06-02</t>
  </si>
  <si>
    <t>Quenda</t>
  </si>
  <si>
    <t>Geovany Quenda</t>
  </si>
  <si>
    <t>Unspecified injury - 75% chance of playing</t>
  </si>
  <si>
    <t>João Pedro</t>
  </si>
  <si>
    <t>João Pedro Junqueira de Jesus</t>
  </si>
  <si>
    <t>N.Jackson</t>
  </si>
  <si>
    <t>Nicolas Jackson</t>
  </si>
  <si>
    <t>Delap</t>
  </si>
  <si>
    <t>Liam Delap</t>
  </si>
  <si>
    <t>2025-06-04</t>
  </si>
  <si>
    <t>Marc Guiu</t>
  </si>
  <si>
    <t>Marc Guiu Paz</t>
  </si>
  <si>
    <t>Mheuka</t>
  </si>
  <si>
    <t>Shumaira Mheuka</t>
  </si>
  <si>
    <t>Emegha</t>
  </si>
  <si>
    <t>Emmanuel Emegha</t>
  </si>
  <si>
    <t>Hamstring injury - 75% chance of playing</t>
  </si>
  <si>
    <t>Lacroix</t>
  </si>
  <si>
    <t>Maxence Lacroix</t>
  </si>
  <si>
    <t>2026-07-30</t>
  </si>
  <si>
    <t>Penders</t>
  </si>
  <si>
    <t>Mike Penders</t>
  </si>
  <si>
    <t>Anselmino</t>
  </si>
  <si>
    <t>Aaron Anselmino</t>
  </si>
  <si>
    <t>2024-08-08</t>
  </si>
  <si>
    <t>Onyeka</t>
  </si>
  <si>
    <t>Frank Onyeka</t>
  </si>
  <si>
    <t>Frank Lampard</t>
  </si>
  <si>
    <t>2024-11-28</t>
  </si>
  <si>
    <t>Dovin</t>
  </si>
  <si>
    <t>Oliver Dovin</t>
  </si>
  <si>
    <t>2024-07-19</t>
  </si>
  <si>
    <t>Ben Wilson</t>
  </si>
  <si>
    <t>2019-07-01</t>
  </si>
  <si>
    <t>Thomas</t>
  </si>
  <si>
    <t>Bobby Thomas</t>
  </si>
  <si>
    <t>2023-07-22</t>
  </si>
  <si>
    <t>Kitching</t>
  </si>
  <si>
    <t>Liam Kitching</t>
  </si>
  <si>
    <t>van Ewijk</t>
  </si>
  <si>
    <t>Milan van Ewijk</t>
  </si>
  <si>
    <t>2023-07-27</t>
  </si>
  <si>
    <t>Jay Dasilva</t>
  </si>
  <si>
    <t>Kesler-Hayden</t>
  </si>
  <si>
    <t>Kaine Kesler-Hayden</t>
  </si>
  <si>
    <t>Bidwell</t>
  </si>
  <si>
    <t>Jake Bidwell</t>
  </si>
  <si>
    <t>2022-01-17</t>
  </si>
  <si>
    <t>Latibeaudiere</t>
  </si>
  <si>
    <t>Joel Latibeaudiere</t>
  </si>
  <si>
    <t>2023-07-18</t>
  </si>
  <si>
    <t>Woolfenden</t>
  </si>
  <si>
    <t>Luke Woolfenden</t>
  </si>
  <si>
    <t>Brau</t>
  </si>
  <si>
    <t>Miguel Brau</t>
  </si>
  <si>
    <t>Amenda</t>
  </si>
  <si>
    <t>Aurèle Amenda</t>
  </si>
  <si>
    <t>2026-07-16</t>
  </si>
  <si>
    <t>Rudoni</t>
  </si>
  <si>
    <t>Jack Rudoni</t>
  </si>
  <si>
    <t>2024-06-20</t>
  </si>
  <si>
    <t>Shoulder injury - 75% chance of playing</t>
  </si>
  <si>
    <t>Grimes</t>
  </si>
  <si>
    <t>Matt Grimes</t>
  </si>
  <si>
    <t>2025-01-31</t>
  </si>
  <si>
    <t>Sakamoto</t>
  </si>
  <si>
    <t>Tatsuhiro Sakamoto</t>
  </si>
  <si>
    <t>2023-07-10</t>
  </si>
  <si>
    <t>Mason-Clark</t>
  </si>
  <si>
    <t>Ephron Mason-Clark</t>
  </si>
  <si>
    <t>2024-02-01</t>
  </si>
  <si>
    <t>Eccles</t>
  </si>
  <si>
    <t>Josh Eccles</t>
  </si>
  <si>
    <t>Torp</t>
  </si>
  <si>
    <t>Victor Torp</t>
  </si>
  <si>
    <t>2024-01-11</t>
  </si>
  <si>
    <t>Shepherd</t>
  </si>
  <si>
    <t>George Shepherd</t>
  </si>
  <si>
    <t>Tchaouna</t>
  </si>
  <si>
    <t>Loum Tchaouna</t>
  </si>
  <si>
    <t>2026-07-11</t>
  </si>
  <si>
    <t>Borges Rodrigues</t>
  </si>
  <si>
    <t>Raphael Borges Rodrigues</t>
  </si>
  <si>
    <t>Andrews</t>
  </si>
  <si>
    <t>Kaine Andrews</t>
  </si>
  <si>
    <t>2023-08-11</t>
  </si>
  <si>
    <t>Wright</t>
  </si>
  <si>
    <t>Haji Wright</t>
  </si>
  <si>
    <t>Thomas-Asante</t>
  </si>
  <si>
    <t>Brandon Thomas-Asante</t>
  </si>
  <si>
    <t>2024-08-01</t>
  </si>
  <si>
    <t>Simms</t>
  </si>
  <si>
    <t>Ellis Simms</t>
  </si>
  <si>
    <t>2023-07-07</t>
  </si>
  <si>
    <t>Markelo</t>
  </si>
  <si>
    <t>Jahnoah Markelo</t>
  </si>
  <si>
    <t>Bassette</t>
  </si>
  <si>
    <t>Norman Bassette</t>
  </si>
  <si>
    <t>Has joined KVC Westerlo on loan for the rest of the season</t>
  </si>
  <si>
    <t>Dean Henderson</t>
  </si>
  <si>
    <t>2023-08-31</t>
  </si>
  <si>
    <t>Pierre Sage</t>
  </si>
  <si>
    <t>Benitez</t>
  </si>
  <si>
    <t>Walter Benítez</t>
  </si>
  <si>
    <t>Muñoz</t>
  </si>
  <si>
    <t>Daniel Muñoz Mejía</t>
  </si>
  <si>
    <t>2024-01-30</t>
  </si>
  <si>
    <t>Richards</t>
  </si>
  <si>
    <t>Chris Richards</t>
  </si>
  <si>
    <t>2022-07-27</t>
  </si>
  <si>
    <t>Canvot</t>
  </si>
  <si>
    <t>Jaydee Canvot</t>
  </si>
  <si>
    <t>Mitchell</t>
  </si>
  <si>
    <t>Tyrick Mitchell</t>
  </si>
  <si>
    <t>2019-12-15</t>
  </si>
  <si>
    <t>Sosa</t>
  </si>
  <si>
    <t>Borna Sosa</t>
  </si>
  <si>
    <t>2025-07-11</t>
  </si>
  <si>
    <t>Chadi Riad</t>
  </si>
  <si>
    <t>Chadi Riad Dnanou</t>
  </si>
  <si>
    <t>Mingueza</t>
  </si>
  <si>
    <t>Oscar Mingueza</t>
  </si>
  <si>
    <t>Sarr</t>
  </si>
  <si>
    <t>Ismaïla Sarr</t>
  </si>
  <si>
    <t>Johnson</t>
  </si>
  <si>
    <t>Brennan Johnson</t>
  </si>
  <si>
    <t>Wharton</t>
  </si>
  <si>
    <t>Adam Wharton</t>
  </si>
  <si>
    <t>Ankle injury - 75% chance of playing</t>
  </si>
  <si>
    <t>Yeremy</t>
  </si>
  <si>
    <t>Yéremy Pino Santos</t>
  </si>
  <si>
    <t>2025-08-29</t>
  </si>
  <si>
    <t>Hughes</t>
  </si>
  <si>
    <t>Will Hughes</t>
  </si>
  <si>
    <t>2021-08-28</t>
  </si>
  <si>
    <t>Lerma</t>
  </si>
  <si>
    <t>Jefferson Lerma Solís</t>
  </si>
  <si>
    <t>Kamada</t>
  </si>
  <si>
    <t>Daichi Kamada</t>
  </si>
  <si>
    <t>Devenny</t>
  </si>
  <si>
    <t>Justin Devenny</t>
  </si>
  <si>
    <t>2024-03-13</t>
  </si>
  <si>
    <t>Esse</t>
  </si>
  <si>
    <t>Romain Esse</t>
  </si>
  <si>
    <t>2025-01-18</t>
  </si>
  <si>
    <t>M.França</t>
  </si>
  <si>
    <t>Matheus França de Oliveira</t>
  </si>
  <si>
    <t>Doucouré</t>
  </si>
  <si>
    <t>Cheick Doucouré</t>
  </si>
  <si>
    <t>2022-07-11</t>
  </si>
  <si>
    <t>J.Rak-Sakyi</t>
  </si>
  <si>
    <t>Jesurun Rak-Sakyi</t>
  </si>
  <si>
    <t>2021-04-09</t>
  </si>
  <si>
    <t>Cardines</t>
  </si>
  <si>
    <t>Rio Cardines</t>
  </si>
  <si>
    <t>Drakes-Thomas</t>
  </si>
  <si>
    <t>Joél Drakes-Thomas</t>
  </si>
  <si>
    <t>2025-12-10</t>
  </si>
  <si>
    <t>Strand Larsen</t>
  </si>
  <si>
    <t>Jørgen Strand Larsen</t>
  </si>
  <si>
    <t>2026-02-02</t>
  </si>
  <si>
    <t>Mateta</t>
  </si>
  <si>
    <t>Jean-Philippe Mateta</t>
  </si>
  <si>
    <t>2022-01-31</t>
  </si>
  <si>
    <t>Nketiah</t>
  </si>
  <si>
    <t>Eddie Nketiah</t>
  </si>
  <si>
    <t>2024-08-30</t>
  </si>
  <si>
    <t>Uche</t>
  </si>
  <si>
    <t>Christantus Uche</t>
  </si>
  <si>
    <t>has returned to Getafe CF</t>
  </si>
  <si>
    <t>Matthews</t>
  </si>
  <si>
    <t>Remi Matthews</t>
  </si>
  <si>
    <t>2021-07-13</t>
  </si>
  <si>
    <t>Pickford</t>
  </si>
  <si>
    <t>Jordan Pickford</t>
  </si>
  <si>
    <t>2017-07-01</t>
  </si>
  <si>
    <t>David Moyes</t>
  </si>
  <si>
    <t>2025-01-11</t>
  </si>
  <si>
    <t>Travers</t>
  </si>
  <si>
    <t>Mark Travers</t>
  </si>
  <si>
    <t>King</t>
  </si>
  <si>
    <t>Tom King</t>
  </si>
  <si>
    <t>2025-08-15</t>
  </si>
  <si>
    <t>Tarkowski</t>
  </si>
  <si>
    <t>James Tarkowski</t>
  </si>
  <si>
    <t>Branthwaite</t>
  </si>
  <si>
    <t>Jarrad Branthwaite</t>
  </si>
  <si>
    <t>2020-06-20</t>
  </si>
  <si>
    <t>Keane</t>
  </si>
  <si>
    <t>Michael Keane</t>
  </si>
  <si>
    <t>2017-07-03</t>
  </si>
  <si>
    <t>O'Brien</t>
  </si>
  <si>
    <t>Jake O'Brien</t>
  </si>
  <si>
    <t>Mykolenko</t>
  </si>
  <si>
    <t>Vitalii Mykolenko</t>
  </si>
  <si>
    <t>2022-01-01</t>
  </si>
  <si>
    <t>Patterson</t>
  </si>
  <si>
    <t>Nathan Patterson</t>
  </si>
  <si>
    <t>2022-01-04</t>
  </si>
  <si>
    <t>Aznou</t>
  </si>
  <si>
    <t>Adam Aznou</t>
  </si>
  <si>
    <t>2025-07-29</t>
  </si>
  <si>
    <t>Dewsbury-Hall</t>
  </si>
  <si>
    <t>Kiernan Dewsbury-Hall</t>
  </si>
  <si>
    <t>2025-08-06</t>
  </si>
  <si>
    <t>Ndiaye</t>
  </si>
  <si>
    <t>Iliman Ndiaye</t>
  </si>
  <si>
    <t>2024-07-03</t>
  </si>
  <si>
    <t>Garner</t>
  </si>
  <si>
    <t>James Garner</t>
  </si>
  <si>
    <t>2022-09-01</t>
  </si>
  <si>
    <t>Groin injury - Expected back 22 Aug</t>
  </si>
  <si>
    <t>Iroegbunam</t>
  </si>
  <si>
    <t>Tim Iroegbunam</t>
  </si>
  <si>
    <t>2024-06-22</t>
  </si>
  <si>
    <t>McNeil</t>
  </si>
  <si>
    <t>Dwight McNeil</t>
  </si>
  <si>
    <t>2022-07-28</t>
  </si>
  <si>
    <t>George</t>
  </si>
  <si>
    <t>Tyrique George</t>
  </si>
  <si>
    <t>2026-07-06</t>
  </si>
  <si>
    <t>Alcaraz</t>
  </si>
  <si>
    <t>Carlos Alcaraz Durán</t>
  </si>
  <si>
    <t>Armstrong</t>
  </si>
  <si>
    <t>Harrison Armstrong</t>
  </si>
  <si>
    <t>2024-08-09</t>
  </si>
  <si>
    <t>Dibling</t>
  </si>
  <si>
    <t>Tyler Dibling</t>
  </si>
  <si>
    <t>2025-08-25</t>
  </si>
  <si>
    <t>Röhl</t>
  </si>
  <si>
    <t>Merlin Röhl</t>
  </si>
  <si>
    <t>Hackney</t>
  </si>
  <si>
    <t>Hayden Hackney</t>
  </si>
  <si>
    <t>Beto</t>
  </si>
  <si>
    <t>Norberto Bercique Gomes Betuncal</t>
  </si>
  <si>
    <t>Barry</t>
  </si>
  <si>
    <t>Thierno Barry</t>
  </si>
  <si>
    <t>2025-07-09</t>
  </si>
  <si>
    <t>Leno</t>
  </si>
  <si>
    <t>Bernd Leno</t>
  </si>
  <si>
    <t>2022-08-02</t>
  </si>
  <si>
    <t>Alvaro Arbeloa</t>
  </si>
  <si>
    <t>Lecomte</t>
  </si>
  <si>
    <t>Benjamin Lecomte</t>
  </si>
  <si>
    <t>McNally</t>
  </si>
  <si>
    <t>Alfie McNally</t>
  </si>
  <si>
    <t>Andersen</t>
  </si>
  <si>
    <t>Joachim Andersen</t>
  </si>
  <si>
    <t>2024-08-23</t>
  </si>
  <si>
    <t>Robinson</t>
  </si>
  <si>
    <t>Antonee Robinson</t>
  </si>
  <si>
    <t>2020-08-20</t>
  </si>
  <si>
    <t>J.Cuenca</t>
  </si>
  <si>
    <t>Jorge Cuenca Barreno</t>
  </si>
  <si>
    <t>2024-08-03</t>
  </si>
  <si>
    <t>Tete</t>
  </si>
  <si>
    <t>Kenny Tete</t>
  </si>
  <si>
    <t>2020-09-10</t>
  </si>
  <si>
    <t>Bassey</t>
  </si>
  <si>
    <t>Calvin Bassey</t>
  </si>
  <si>
    <t>2023-07-28</t>
  </si>
  <si>
    <t>Castagne</t>
  </si>
  <si>
    <t>Timothy Castagne</t>
  </si>
  <si>
    <t>Iwobi</t>
  </si>
  <si>
    <t>Alex Iwobi</t>
  </si>
  <si>
    <t>Smith Rowe</t>
  </si>
  <si>
    <t>Emile Smith Rowe</t>
  </si>
  <si>
    <t>2024-08-02</t>
  </si>
  <si>
    <t>Kevin</t>
  </si>
  <si>
    <t>Kevin Santos Lopes de Macedo</t>
  </si>
  <si>
    <t>Bobb</t>
  </si>
  <si>
    <t>Oscar Bobb</t>
  </si>
  <si>
    <t>2026-01-30</t>
  </si>
  <si>
    <t>Berge</t>
  </si>
  <si>
    <t>Sander Berge</t>
  </si>
  <si>
    <t>Cairney</t>
  </si>
  <si>
    <t>Tom Cairney</t>
  </si>
  <si>
    <t>2015-07-07</t>
  </si>
  <si>
    <t>Lukić</t>
  </si>
  <si>
    <t>Saša Lukić</t>
  </si>
  <si>
    <t>Josh King</t>
  </si>
  <si>
    <t>2024-02-02</t>
  </si>
  <si>
    <t>Sessegnon</t>
  </si>
  <si>
    <t>Ryan Sessegnon</t>
  </si>
  <si>
    <t>2024-07-26</t>
  </si>
  <si>
    <t>Reed</t>
  </si>
  <si>
    <t>Harrison Reed</t>
  </si>
  <si>
    <t>2020-08-30</t>
  </si>
  <si>
    <t>Muniz</t>
  </si>
  <si>
    <t>Rodrigo Muniz Carvalho</t>
  </si>
  <si>
    <t>Kusi-Asare</t>
  </si>
  <si>
    <t>Jonah Kusi-Asare</t>
  </si>
  <si>
    <t>2026-06-27</t>
  </si>
  <si>
    <t>Phillips</t>
  </si>
  <si>
    <t>Dillon Phillips</t>
  </si>
  <si>
    <t>Sergej Jakirovic</t>
  </si>
  <si>
    <t>2025-06-11</t>
  </si>
  <si>
    <t>Butland</t>
  </si>
  <si>
    <t>Jack Butland</t>
  </si>
  <si>
    <t>Cartwright</t>
  </si>
  <si>
    <t>Harvey Cartwright</t>
  </si>
  <si>
    <t>2020-07-01</t>
  </si>
  <si>
    <t>Has joined Grimsby Town on loan for the rest of the season</t>
  </si>
  <si>
    <t>Lo-Tutala</t>
  </si>
  <si>
    <t>Thimothée Lo-Tutala</t>
  </si>
  <si>
    <t>Egan</t>
  </si>
  <si>
    <t>John Egan</t>
  </si>
  <si>
    <t>Charlie Hughes</t>
  </si>
  <si>
    <t>Groin injury - Unknown return date</t>
  </si>
  <si>
    <t>Ajayi</t>
  </si>
  <si>
    <t>Semi Ajayi</t>
  </si>
  <si>
    <t>Coyle</t>
  </si>
  <si>
    <t>Lewie Coyle</t>
  </si>
  <si>
    <t>2020-08-07</t>
  </si>
  <si>
    <t>Drameh</t>
  </si>
  <si>
    <t>Cody Drameh</t>
  </si>
  <si>
    <t>2024-07-23</t>
  </si>
  <si>
    <t>Giles</t>
  </si>
  <si>
    <t>Ryan Giles</t>
  </si>
  <si>
    <t>2024-06-27</t>
  </si>
  <si>
    <t>Jacob</t>
  </si>
  <si>
    <t>Matty Jacob</t>
  </si>
  <si>
    <t>Hip injury - 75% chance of playing</t>
  </si>
  <si>
    <t>McCarthy</t>
  </si>
  <si>
    <t>Cathal McCarthy</t>
  </si>
  <si>
    <t>McNair</t>
  </si>
  <si>
    <t>Paddy McNair</t>
  </si>
  <si>
    <t>2026-01-28</t>
  </si>
  <si>
    <t>Belloumi</t>
  </si>
  <si>
    <t>Mohamed Belloumi</t>
  </si>
  <si>
    <t>Millar</t>
  </si>
  <si>
    <t>Liam Millar</t>
  </si>
  <si>
    <t>Dowell</t>
  </si>
  <si>
    <t>Kieran Dowell</t>
  </si>
  <si>
    <t>2026-01-23</t>
  </si>
  <si>
    <t>Crooks</t>
  </si>
  <si>
    <t>Matt Crooks</t>
  </si>
  <si>
    <t>2025-01-10</t>
  </si>
  <si>
    <t>Slater</t>
  </si>
  <si>
    <t>Regan Slater</t>
  </si>
  <si>
    <t>2022-01-27</t>
  </si>
  <si>
    <t>Matazo</t>
  </si>
  <si>
    <t>Eliot Matazo</t>
  </si>
  <si>
    <t>2025-01-23</t>
  </si>
  <si>
    <t>Ömür</t>
  </si>
  <si>
    <t>Abdülkadir Ömür</t>
  </si>
  <si>
    <t>Abu Kamara</t>
  </si>
  <si>
    <t>Zambrano</t>
  </si>
  <si>
    <t>Óscar Zambrano</t>
  </si>
  <si>
    <t>McBurnie</t>
  </si>
  <si>
    <t>Oli McBurnie</t>
  </si>
  <si>
    <t>Akintola</t>
  </si>
  <si>
    <t>David Akintola</t>
  </si>
  <si>
    <t>Gyabi</t>
  </si>
  <si>
    <t>Darko Gyabi</t>
  </si>
  <si>
    <t>Destan</t>
  </si>
  <si>
    <t>Enis Destan</t>
  </si>
  <si>
    <t>2025-08-01</t>
  </si>
  <si>
    <t>Burstow</t>
  </si>
  <si>
    <t>Mason Burstow</t>
  </si>
  <si>
    <t>Has joined Sheffield Wednesday on loan for the rest of the season</t>
  </si>
  <si>
    <t>Targett</t>
  </si>
  <si>
    <t>Matt Targett</t>
  </si>
  <si>
    <t>Morita</t>
  </si>
  <si>
    <t>Hidemasa Morita</t>
  </si>
  <si>
    <t>2026-07-24</t>
  </si>
  <si>
    <t>Diop</t>
  </si>
  <si>
    <t>Issa Diop</t>
  </si>
  <si>
    <t>2026-07-22</t>
  </si>
  <si>
    <t>Gary O'Neil</t>
  </si>
  <si>
    <t>2026-06-23</t>
  </si>
  <si>
    <t>Walton</t>
  </si>
  <si>
    <t>Christian Walton</t>
  </si>
  <si>
    <t>2022-01-19</t>
  </si>
  <si>
    <t>Alex Palmer</t>
  </si>
  <si>
    <t>Button</t>
  </si>
  <si>
    <t>David Button</t>
  </si>
  <si>
    <t>2025-07-04</t>
  </si>
  <si>
    <t>Kipré</t>
  </si>
  <si>
    <t>Cédric Kipré</t>
  </si>
  <si>
    <t>O'Shea</t>
  </si>
  <si>
    <t>Dara O'Shea</t>
  </si>
  <si>
    <t>2024-08-25</t>
  </si>
  <si>
    <t>Davis</t>
  </si>
  <si>
    <t>Leif Davis</t>
  </si>
  <si>
    <t>2022-07-25</t>
  </si>
  <si>
    <t>Greaves</t>
  </si>
  <si>
    <t>Jacob Greaves</t>
  </si>
  <si>
    <t>2024-07-12</t>
  </si>
  <si>
    <t>Ben Johnson</t>
  </si>
  <si>
    <t>Furlong</t>
  </si>
  <si>
    <t>Darnell Furlong</t>
  </si>
  <si>
    <t>2025-08-28</t>
  </si>
  <si>
    <t>Núñez</t>
  </si>
  <si>
    <t>Marcelino Núñez</t>
  </si>
  <si>
    <t>Matusiwa</t>
  </si>
  <si>
    <t>Azor Matusiwa</t>
  </si>
  <si>
    <t>2025-07-13</t>
  </si>
  <si>
    <t>Muscular injury - Unknown return date</t>
  </si>
  <si>
    <t>Burns</t>
  </si>
  <si>
    <t>Wes Burns</t>
  </si>
  <si>
    <t>2021-06-09</t>
  </si>
  <si>
    <t>Taylor</t>
  </si>
  <si>
    <t>Jack Taylor</t>
  </si>
  <si>
    <t>2023-06-26</t>
  </si>
  <si>
    <t>Clarke</t>
  </si>
  <si>
    <t>Jack Clarke</t>
  </si>
  <si>
    <t>2024-08-24</t>
  </si>
  <si>
    <t>Ogbene</t>
  </si>
  <si>
    <t>Chiedozie Ogbene</t>
  </si>
  <si>
    <t>2024-08-28</t>
  </si>
  <si>
    <t>Fatawu</t>
  </si>
  <si>
    <t>Abdul Fatawu</t>
  </si>
  <si>
    <t>Emersonn</t>
  </si>
  <si>
    <t>Emersonn Correia da Silva</t>
  </si>
  <si>
    <t>2026-07-08</t>
  </si>
  <si>
    <t>Hirst</t>
  </si>
  <si>
    <t>George Hirst</t>
  </si>
  <si>
    <t>2023-07-13</t>
  </si>
  <si>
    <t>Philogene</t>
  </si>
  <si>
    <t>Jaden Philogene</t>
  </si>
  <si>
    <t>2025-01-15</t>
  </si>
  <si>
    <t>Szmodics</t>
  </si>
  <si>
    <t>Sam Szmodics</t>
  </si>
  <si>
    <t>Akpom</t>
  </si>
  <si>
    <t>Chuba Akpom</t>
  </si>
  <si>
    <t>Walle Egeli</t>
  </si>
  <si>
    <t>Sindre Walle Egeli</t>
  </si>
  <si>
    <t>Al-Hamadi</t>
  </si>
  <si>
    <t>Ali Al-Hamadi</t>
  </si>
  <si>
    <t>2024-01-29</t>
  </si>
  <si>
    <t>McAteer</t>
  </si>
  <si>
    <t>Kasey McAteer</t>
  </si>
  <si>
    <t>2025-08-22</t>
  </si>
  <si>
    <t>Mehmeti</t>
  </si>
  <si>
    <t>Anis Mehmeti</t>
  </si>
  <si>
    <t>Van Oevelen</t>
  </si>
  <si>
    <t>Kayne van Oevelen</t>
  </si>
  <si>
    <t>Maeda</t>
  </si>
  <si>
    <t>Daizen Maeda</t>
  </si>
  <si>
    <t>2026-07-25</t>
  </si>
  <si>
    <t>Scherpen</t>
  </si>
  <si>
    <t>Kjell Scherpen</t>
  </si>
  <si>
    <t>2026-07-28</t>
  </si>
  <si>
    <t>Harry Wilson</t>
  </si>
  <si>
    <t>Daniel Farke</t>
  </si>
  <si>
    <t>Perri</t>
  </si>
  <si>
    <t>Lucas Estella Perri</t>
  </si>
  <si>
    <t>Bijol</t>
  </si>
  <si>
    <t>Jaka Bijol</t>
  </si>
  <si>
    <t>2025-06-23</t>
  </si>
  <si>
    <t>Rodon</t>
  </si>
  <si>
    <t>Joe Rodon</t>
  </si>
  <si>
    <t>2024-07-02</t>
  </si>
  <si>
    <t>Bogle</t>
  </si>
  <si>
    <t>Jayden Bogle</t>
  </si>
  <si>
    <t>2024-07-20</t>
  </si>
  <si>
    <t>Gudmundsson</t>
  </si>
  <si>
    <t>Gabriel Gudmundsson</t>
  </si>
  <si>
    <t>2025-07-08</t>
  </si>
  <si>
    <t>Justin</t>
  </si>
  <si>
    <t>James Justin</t>
  </si>
  <si>
    <t>Bornauw</t>
  </si>
  <si>
    <t>Sebastiaan Bornauw</t>
  </si>
  <si>
    <t>Muharemović</t>
  </si>
  <si>
    <t>Tarik Muharemović</t>
  </si>
  <si>
    <t>Stach</t>
  </si>
  <si>
    <t>Anton Stach</t>
  </si>
  <si>
    <t>2025-07-22</t>
  </si>
  <si>
    <t>Okafor</t>
  </si>
  <si>
    <t>Noah Okafor</t>
  </si>
  <si>
    <t>Aaronson</t>
  </si>
  <si>
    <t>Brenden Aaronson</t>
  </si>
  <si>
    <t>Ampadu</t>
  </si>
  <si>
    <t>Ethan Ampadu</t>
  </si>
  <si>
    <t>2023-07-19</t>
  </si>
  <si>
    <t>Longstaff</t>
  </si>
  <si>
    <t>Sean Longstaff</t>
  </si>
  <si>
    <t>Gelhardt</t>
  </si>
  <si>
    <t>Joe Gelhardt</t>
  </si>
  <si>
    <t>2021-02-07</t>
  </si>
  <si>
    <t>Gnonto</t>
  </si>
  <si>
    <t>Wilfried Gnonto</t>
  </si>
  <si>
    <t>Harrison</t>
  </si>
  <si>
    <t>Jack Harrison</t>
  </si>
  <si>
    <t>2021-07-02</t>
  </si>
  <si>
    <t>Has joined New England Revolution permanently</t>
  </si>
  <si>
    <t>Daniel James</t>
  </si>
  <si>
    <t>Gruev</t>
  </si>
  <si>
    <t>Ilia Gruev</t>
  </si>
  <si>
    <t>Tanaka</t>
  </si>
  <si>
    <t>Tanaka Ao</t>
  </si>
  <si>
    <t>Calvert-Lewin</t>
  </si>
  <si>
    <t>Dominic Calvert-Lewin</t>
  </si>
  <si>
    <t>Nmecha</t>
  </si>
  <si>
    <t>Lukas Nmecha</t>
  </si>
  <si>
    <t>Piroe</t>
  </si>
  <si>
    <t>Joël Piroe</t>
  </si>
  <si>
    <t>2023-08-24</t>
  </si>
  <si>
    <t>Mateo Joseph</t>
  </si>
  <si>
    <t>Mateo Joseph Fernández-Regatillo</t>
  </si>
  <si>
    <t>2022-11-04</t>
  </si>
  <si>
    <t>A.Becker</t>
  </si>
  <si>
    <t>Alisson Becker</t>
  </si>
  <si>
    <t>2018-07-19</t>
  </si>
  <si>
    <t>Andoni Iraola</t>
  </si>
  <si>
    <t>2026-06-04</t>
  </si>
  <si>
    <t>Mamardashvili</t>
  </si>
  <si>
    <t>Giorgi Mamardashvili</t>
  </si>
  <si>
    <t>Woodman</t>
  </si>
  <si>
    <t>Freddie Woodman</t>
  </si>
  <si>
    <t>Pecsi</t>
  </si>
  <si>
    <t>Armin Pecsi</t>
  </si>
  <si>
    <t>Jaros</t>
  </si>
  <si>
    <t>Vitezslav Jaros</t>
  </si>
  <si>
    <t>Davies</t>
  </si>
  <si>
    <t>Harvey Davies</t>
  </si>
  <si>
    <t>2021-03-09</t>
  </si>
  <si>
    <t>Virgil</t>
  </si>
  <si>
    <t>Virgil van Dijk</t>
  </si>
  <si>
    <t>2018-01-01</t>
  </si>
  <si>
    <t>Frimpong</t>
  </si>
  <si>
    <t>Jeremie Frimpong</t>
  </si>
  <si>
    <t>Kerkez</t>
  </si>
  <si>
    <t>Milos Kerkez</t>
  </si>
  <si>
    <t>2025-06-26</t>
  </si>
  <si>
    <t>Joe Gomez</t>
  </si>
  <si>
    <t>2015-06-20</t>
  </si>
  <si>
    <t>Bradley</t>
  </si>
  <si>
    <t>Conor Bradley</t>
  </si>
  <si>
    <t>2023-09-25</t>
  </si>
  <si>
    <t>Lucky</t>
  </si>
  <si>
    <t>Wellity Lucky</t>
  </si>
  <si>
    <t>Jacquet</t>
  </si>
  <si>
    <t>Jeremy Jacquet</t>
  </si>
  <si>
    <t>Leoni</t>
  </si>
  <si>
    <t>Giovanni Leoni</t>
  </si>
  <si>
    <t>Tsimikas</t>
  </si>
  <si>
    <t>Kostas Tsimikas</t>
  </si>
  <si>
    <t>2020-08-10</t>
  </si>
  <si>
    <t>Ramsay</t>
  </si>
  <si>
    <t>Calvin Ramsay</t>
  </si>
  <si>
    <t>2022-06-19</t>
  </si>
  <si>
    <t>Wirtz</t>
  </si>
  <si>
    <t>Florian Wirtz</t>
  </si>
  <si>
    <t>2025-06-20</t>
  </si>
  <si>
    <t>Gakpo</t>
  </si>
  <si>
    <t>Cody Gakpo</t>
  </si>
  <si>
    <t>Szoboszlai</t>
  </si>
  <si>
    <t>Dominik Szoboszlai</t>
  </si>
  <si>
    <t>2023-07-02</t>
  </si>
  <si>
    <t>Ngumoha</t>
  </si>
  <si>
    <t>Rio Ngumoha</t>
  </si>
  <si>
    <t>2024-12-17</t>
  </si>
  <si>
    <t>Chiesa</t>
  </si>
  <si>
    <t>Federico Chiesa</t>
  </si>
  <si>
    <t>2024-08-29</t>
  </si>
  <si>
    <t>Gravenberch</t>
  </si>
  <si>
    <t>Ryan Gravenberch</t>
  </si>
  <si>
    <t>Mac Allister</t>
  </si>
  <si>
    <t>Alexis Mac Allister</t>
  </si>
  <si>
    <t>2023-06-14</t>
  </si>
  <si>
    <t>C.Jones</t>
  </si>
  <si>
    <t>Curtis Jones</t>
  </si>
  <si>
    <t>2018-04-06</t>
  </si>
  <si>
    <t>Endo</t>
  </si>
  <si>
    <t>Endo Wataru</t>
  </si>
  <si>
    <t>Nyoni</t>
  </si>
  <si>
    <t>Trey Nyoni</t>
  </si>
  <si>
    <t>2023-11-11</t>
  </si>
  <si>
    <t>Bajcetic</t>
  </si>
  <si>
    <t>Stefan Bajčetić Maquieira</t>
  </si>
  <si>
    <t>Hamstring injury - Expected back 23 Aug</t>
  </si>
  <si>
    <t>Munoz</t>
  </si>
  <si>
    <t>Victor Munoz</t>
  </si>
  <si>
    <t>2026-06-18</t>
  </si>
  <si>
    <t>McConnell</t>
  </si>
  <si>
    <t>James McConnell</t>
  </si>
  <si>
    <t>Isak</t>
  </si>
  <si>
    <t>Alexander Isak</t>
  </si>
  <si>
    <t>Ekitiké</t>
  </si>
  <si>
    <t>Hugo Ekitiké</t>
  </si>
  <si>
    <t>2025-07-23</t>
  </si>
  <si>
    <t>Achilles injury - Unknown return date</t>
  </si>
  <si>
    <t>Koumas</t>
  </si>
  <si>
    <t>Lewis Koumas</t>
  </si>
  <si>
    <t>Danns</t>
  </si>
  <si>
    <t>Jayden Danns</t>
  </si>
  <si>
    <t>Unspecified injury - Unknown return date</t>
  </si>
  <si>
    <t>Elliott</t>
  </si>
  <si>
    <t>Harvey Elliott</t>
  </si>
  <si>
    <t>2019-07-28</t>
  </si>
  <si>
    <t>Grealish</t>
  </si>
  <si>
    <t>Jack Grealish</t>
  </si>
  <si>
    <t>2021-08-05</t>
  </si>
  <si>
    <t>Enzo Maresca</t>
  </si>
  <si>
    <t>2026-06-29</t>
  </si>
  <si>
    <t>Foot injury - 75% chance of playing</t>
  </si>
  <si>
    <t>Donnarumma</t>
  </si>
  <si>
    <t>Gianluigi Donnarumma</t>
  </si>
  <si>
    <t>Trafford</t>
  </si>
  <si>
    <t>James Trafford</t>
  </si>
  <si>
    <t>Bettinelli</t>
  </si>
  <si>
    <t>Marcus Bettinelli</t>
  </si>
  <si>
    <t>2025-06-10</t>
  </si>
  <si>
    <t>O'Reilly</t>
  </si>
  <si>
    <t>Nico O'Reilly</t>
  </si>
  <si>
    <t>2022-12-16</t>
  </si>
  <si>
    <t>Guéhi</t>
  </si>
  <si>
    <t>Marc Guéhi</t>
  </si>
  <si>
    <t>2026-01-19</t>
  </si>
  <si>
    <t>Matheus N.</t>
  </si>
  <si>
    <t>Matheus Nunes</t>
  </si>
  <si>
    <t>Rúben</t>
  </si>
  <si>
    <t>Rúben dos Santos Gato Alves Dias</t>
  </si>
  <si>
    <t>2020-09-29</t>
  </si>
  <si>
    <t>Gvardiol</t>
  </si>
  <si>
    <t>Joško Gvardiol</t>
  </si>
  <si>
    <t>Aït-Nouri</t>
  </si>
  <si>
    <t>Rayan Aït-Nouri</t>
  </si>
  <si>
    <t>Khusanov</t>
  </si>
  <si>
    <t>Abdukodir Khusanov</t>
  </si>
  <si>
    <t>2025-01-20</t>
  </si>
  <si>
    <t>Alleyne</t>
  </si>
  <si>
    <t>Max Alleyne</t>
  </si>
  <si>
    <t>Lewis</t>
  </si>
  <si>
    <t>Rico Lewis</t>
  </si>
  <si>
    <t>2022-07-16</t>
  </si>
  <si>
    <t>Vitor Reis</t>
  </si>
  <si>
    <t>Vitor de Oliveira Nunes dos Reis</t>
  </si>
  <si>
    <t>2025-01-21</t>
  </si>
  <si>
    <t>Semenyo</t>
  </si>
  <si>
    <t>Antoine Semenyo</t>
  </si>
  <si>
    <t>2026-01-09</t>
  </si>
  <si>
    <t>Foden</t>
  </si>
  <si>
    <t>Phil Foden</t>
  </si>
  <si>
    <t>2016-12-05</t>
  </si>
  <si>
    <t>Cherki</t>
  </si>
  <si>
    <t>Rayan Cherki</t>
  </si>
  <si>
    <t>Doku</t>
  </si>
  <si>
    <t>Jérémy Doku</t>
  </si>
  <si>
    <t>Marmoush</t>
  </si>
  <si>
    <t>Omar Marmoush</t>
  </si>
  <si>
    <t>Rodrigo</t>
  </si>
  <si>
    <t>Rodrigo 'Rodri' Hernandez Cascante</t>
  </si>
  <si>
    <t>2019-07-04</t>
  </si>
  <si>
    <t>Savinho</t>
  </si>
  <si>
    <t>Sávio Moreira de Oliveira</t>
  </si>
  <si>
    <t>2024-07-18</t>
  </si>
  <si>
    <t>Reijnders</t>
  </si>
  <si>
    <t>Tijjani Reijnders</t>
  </si>
  <si>
    <t>N.Gonzalez</t>
  </si>
  <si>
    <t>Nico González Iglesias</t>
  </si>
  <si>
    <t>Kovačić</t>
  </si>
  <si>
    <t>Mateo Kovačić</t>
  </si>
  <si>
    <t>2023-06-27</t>
  </si>
  <si>
    <t>Echeverri</t>
  </si>
  <si>
    <t>Claudio Echeverri</t>
  </si>
  <si>
    <t>2024-01-25</t>
  </si>
  <si>
    <t>Kalvin Phillips</t>
  </si>
  <si>
    <t>Mukasa</t>
  </si>
  <si>
    <t>Divine Mukasa</t>
  </si>
  <si>
    <t>Monga</t>
  </si>
  <si>
    <t>Jeremy Monga</t>
  </si>
  <si>
    <t>Haaland</t>
  </si>
  <si>
    <t>Erling Haaland</t>
  </si>
  <si>
    <t>Anderson</t>
  </si>
  <si>
    <t>Elliot Anderson</t>
  </si>
  <si>
    <t>Tielemans</t>
  </si>
  <si>
    <t>Youri Tielemans</t>
  </si>
  <si>
    <t>Michael Carrick</t>
  </si>
  <si>
    <t>2026-01-13</t>
  </si>
  <si>
    <t>Andrey Santos</t>
  </si>
  <si>
    <t>Andrey Nascimento dos Santos</t>
  </si>
  <si>
    <t>2026-07-13</t>
  </si>
  <si>
    <t>Darlow</t>
  </si>
  <si>
    <t>Karl Darlow</t>
  </si>
  <si>
    <t>2026-06-14</t>
  </si>
  <si>
    <t>Lammens</t>
  </si>
  <si>
    <t>Senne Lammens</t>
  </si>
  <si>
    <t>Bayindir</t>
  </si>
  <si>
    <t>Altay Bayındır</t>
  </si>
  <si>
    <t>Heaton</t>
  </si>
  <si>
    <t>Tom Heaton</t>
  </si>
  <si>
    <t>Dorgu</t>
  </si>
  <si>
    <t>Patrick Dorgu</t>
  </si>
  <si>
    <t>De Ligt</t>
  </si>
  <si>
    <t>Matthijs de Ligt</t>
  </si>
  <si>
    <t>Dalot</t>
  </si>
  <si>
    <t>Diogo Dalot Teixeira</t>
  </si>
  <si>
    <t>2018-06-08</t>
  </si>
  <si>
    <t>Maguire</t>
  </si>
  <si>
    <t>Harry Maguire</t>
  </si>
  <si>
    <t>2019-08-05</t>
  </si>
  <si>
    <t>Lisandro Martínez</t>
  </si>
  <si>
    <t>2022-07-17</t>
  </si>
  <si>
    <t>Thigh injury - 75% chance of playing</t>
  </si>
  <si>
    <t>Yoro</t>
  </si>
  <si>
    <t>Leny Yoro</t>
  </si>
  <si>
    <t>Heaven</t>
  </si>
  <si>
    <t>Ayden Heaven</t>
  </si>
  <si>
    <t>2025-02-01</t>
  </si>
  <si>
    <t>Mazraoui</t>
  </si>
  <si>
    <t>Noussair Mazraoui</t>
  </si>
  <si>
    <t>Shaw</t>
  </si>
  <si>
    <t>Luke Shaw</t>
  </si>
  <si>
    <t>2014-07-01</t>
  </si>
  <si>
    <t>Amass</t>
  </si>
  <si>
    <t>Harry Amass</t>
  </si>
  <si>
    <t>2024-04-06</t>
  </si>
  <si>
    <t>Fredricson</t>
  </si>
  <si>
    <t>Tyler Fredricson</t>
  </si>
  <si>
    <t>2022-09-07</t>
  </si>
  <si>
    <t>B.Fernandes</t>
  </si>
  <si>
    <t>Bruno Borges Fernandes</t>
  </si>
  <si>
    <t>2020-01-30</t>
  </si>
  <si>
    <t>Mbeumo</t>
  </si>
  <si>
    <t>Bryan Mbeumo</t>
  </si>
  <si>
    <t>2025-07-21</t>
  </si>
  <si>
    <t>Cunha</t>
  </si>
  <si>
    <t>Matheus Santos Carneiro da Cunha</t>
  </si>
  <si>
    <t>Rashford</t>
  </si>
  <si>
    <t>Marcus Rashford</t>
  </si>
  <si>
    <t>2015-07-01</t>
  </si>
  <si>
    <t>Mount</t>
  </si>
  <si>
    <t>Mason Mount</t>
  </si>
  <si>
    <t>2023-07-05</t>
  </si>
  <si>
    <t>Amad</t>
  </si>
  <si>
    <t>Amad Diallo</t>
  </si>
  <si>
    <t>Mainoo</t>
  </si>
  <si>
    <t>Kobbie Mainoo</t>
  </si>
  <si>
    <t>2022-10-15</t>
  </si>
  <si>
    <t>Ugarte</t>
  </si>
  <si>
    <t>Manuel Ugarte Ribeiro</t>
  </si>
  <si>
    <t>J.Fletcher</t>
  </si>
  <si>
    <t>Jack Fletcher</t>
  </si>
  <si>
    <t>Lacey</t>
  </si>
  <si>
    <t>Shea Lacey</t>
  </si>
  <si>
    <t>2025-05-26</t>
  </si>
  <si>
    <t>Collyer</t>
  </si>
  <si>
    <t>Toby Collyer</t>
  </si>
  <si>
    <t>Bendito Mantato</t>
  </si>
  <si>
    <t>Fletcher</t>
  </si>
  <si>
    <t>Tyler Fletcher</t>
  </si>
  <si>
    <t>Šeško</t>
  </si>
  <si>
    <t>Benjamin Sesko</t>
  </si>
  <si>
    <t>2025-08-09</t>
  </si>
  <si>
    <t>Shin injury - 75% chance of playing</t>
  </si>
  <si>
    <t>Zirkzee</t>
  </si>
  <si>
    <t>Joshua Zirkzee</t>
  </si>
  <si>
    <t>2024-07-17</t>
  </si>
  <si>
    <t>Obi</t>
  </si>
  <si>
    <t>Chido Obi</t>
  </si>
  <si>
    <t>2025-02-15</t>
  </si>
  <si>
    <t>Pope</t>
  </si>
  <si>
    <t>Nick Pope</t>
  </si>
  <si>
    <t>2022-06-23</t>
  </si>
  <si>
    <t>Matthias Jaissle</t>
  </si>
  <si>
    <t>2026-08-05</t>
  </si>
  <si>
    <t>Gillespie</t>
  </si>
  <si>
    <t>Mark Gillespie</t>
  </si>
  <si>
    <t>2020-07-27</t>
  </si>
  <si>
    <t>Jaouen</t>
  </si>
  <si>
    <t>Ewen Jaouen</t>
  </si>
  <si>
    <t>Thiaw</t>
  </si>
  <si>
    <t>Malick Thiaw</t>
  </si>
  <si>
    <t>2025-08-12</t>
  </si>
  <si>
    <t>Schär</t>
  </si>
  <si>
    <t>Fabian Schär</t>
  </si>
  <si>
    <t>2018-07-26</t>
  </si>
  <si>
    <t>Botman</t>
  </si>
  <si>
    <t>Sven Botman</t>
  </si>
  <si>
    <t>2022-06-28</t>
  </si>
  <si>
    <t>Burn</t>
  </si>
  <si>
    <t>Dan Burn</t>
  </si>
  <si>
    <t>Hall</t>
  </si>
  <si>
    <t>Lewis Hall</t>
  </si>
  <si>
    <t>Livramento</t>
  </si>
  <si>
    <t>Tino Livramento</t>
  </si>
  <si>
    <t>2023-08-08</t>
  </si>
  <si>
    <t>Calf injury - 75% chance of playing</t>
  </si>
  <si>
    <t>A.Murphy</t>
  </si>
  <si>
    <t>Alex Murphy</t>
  </si>
  <si>
    <t>Bruno G.</t>
  </si>
  <si>
    <t>Bruno Guimarães Rodriguez Moura</t>
  </si>
  <si>
    <t>2022-01-30</t>
  </si>
  <si>
    <t>Barnes</t>
  </si>
  <si>
    <t>Harvey Barnes</t>
  </si>
  <si>
    <t>2023-07-23</t>
  </si>
  <si>
    <t>Elanga</t>
  </si>
  <si>
    <t>Anthony Elanga</t>
  </si>
  <si>
    <t>J.Ramsey</t>
  </si>
  <si>
    <t>Jacob Ramsey</t>
  </si>
  <si>
    <t>2025-08-17</t>
  </si>
  <si>
    <t>J.Murphy</t>
  </si>
  <si>
    <t>Jacob Murphy</t>
  </si>
  <si>
    <t>2017-07-19</t>
  </si>
  <si>
    <t>Joelinton</t>
  </si>
  <si>
    <t>Joelinton Cássio Apolinário de Lira</t>
  </si>
  <si>
    <t>2019-07-24</t>
  </si>
  <si>
    <t>L.Miley</t>
  </si>
  <si>
    <t>Lewis Miley</t>
  </si>
  <si>
    <t>2023-02-01</t>
  </si>
  <si>
    <t>Leg injury - Expected back 30 Aug</t>
  </si>
  <si>
    <t>Willock</t>
  </si>
  <si>
    <t>Joe Willock</t>
  </si>
  <si>
    <t>2021-08-13</t>
  </si>
  <si>
    <t>Touré</t>
  </si>
  <si>
    <t>Bazoumana Touré</t>
  </si>
  <si>
    <t>2026-07-05</t>
  </si>
  <si>
    <t>Steur</t>
  </si>
  <si>
    <t>Sean Steur</t>
  </si>
  <si>
    <t>Woltemade</t>
  </si>
  <si>
    <t>Nick Woltemade</t>
  </si>
  <si>
    <t>2025-08-30</t>
  </si>
  <si>
    <t>Wissa</t>
  </si>
  <si>
    <t>Yoane Wissa</t>
  </si>
  <si>
    <t>Osula</t>
  </si>
  <si>
    <t>William Osula</t>
  </si>
  <si>
    <t>Neave</t>
  </si>
  <si>
    <t>Sean Neave</t>
  </si>
  <si>
    <t>2025-02-07</t>
  </si>
  <si>
    <t>Bamba</t>
  </si>
  <si>
    <t>Aladji Bamba</t>
  </si>
  <si>
    <t>Horníček</t>
  </si>
  <si>
    <t>Lukás Hornícek</t>
  </si>
  <si>
    <t>2026-08-03</t>
  </si>
  <si>
    <t>Sels</t>
  </si>
  <si>
    <t>Matz Sels</t>
  </si>
  <si>
    <t>Oliver Glasner</t>
  </si>
  <si>
    <t>John</t>
  </si>
  <si>
    <t>John Victor Maciel Furtado</t>
  </si>
  <si>
    <t>2025-08-31</t>
  </si>
  <si>
    <t>N.Williams</t>
  </si>
  <si>
    <t>Neco Williams</t>
  </si>
  <si>
    <t>Morato</t>
  </si>
  <si>
    <t>Felipe Rodrigues da Silva</t>
  </si>
  <si>
    <t>Milenković</t>
  </si>
  <si>
    <t>Nikola Milenković</t>
  </si>
  <si>
    <t>Murillo</t>
  </si>
  <si>
    <t>Murillo Costa dos Santos</t>
  </si>
  <si>
    <t>Muscle injury - 75% chance of playing</t>
  </si>
  <si>
    <t>Aina</t>
  </si>
  <si>
    <t>Ola Aina</t>
  </si>
  <si>
    <t>Jair Cunha</t>
  </si>
  <si>
    <t>Jair Paula da Cunha Filho</t>
  </si>
  <si>
    <t>Savona</t>
  </si>
  <si>
    <t>Nicolò Savona</t>
  </si>
  <si>
    <t>O.Richards</t>
  </si>
  <si>
    <t>Omar Richards</t>
  </si>
  <si>
    <t>2022-07-10</t>
  </si>
  <si>
    <t>Abbott</t>
  </si>
  <si>
    <t>Zach Abbott</t>
  </si>
  <si>
    <t>2022-08-22</t>
  </si>
  <si>
    <t>Netz</t>
  </si>
  <si>
    <t>Luca Netz</t>
  </si>
  <si>
    <t>Bindon</t>
  </si>
  <si>
    <t>Tyler Bindon</t>
  </si>
  <si>
    <t>Gibbs-White</t>
  </si>
  <si>
    <t>Morgan Gibbs-White</t>
  </si>
  <si>
    <t>2022-08-19</t>
  </si>
  <si>
    <t>Hudson-Odoi</t>
  </si>
  <si>
    <t>Callum Hudson-Odoi</t>
  </si>
  <si>
    <t>Ndoye</t>
  </si>
  <si>
    <t>Dan Ndoye</t>
  </si>
  <si>
    <t>2025-07-31</t>
  </si>
  <si>
    <t>Hutchinson</t>
  </si>
  <si>
    <t>Omari Hutchinson</t>
  </si>
  <si>
    <t>Bakwa</t>
  </si>
  <si>
    <t>Dilane Bakwa</t>
  </si>
  <si>
    <t>McAtee</t>
  </si>
  <si>
    <t>James McAtee</t>
  </si>
  <si>
    <t>Dominguez</t>
  </si>
  <si>
    <t>Nicolás Domínguez</t>
  </si>
  <si>
    <t>Ibrahim Sangaré</t>
  </si>
  <si>
    <t>Yates</t>
  </si>
  <si>
    <t>Ryan Yates</t>
  </si>
  <si>
    <t>2018-08-01</t>
  </si>
  <si>
    <t>Wood</t>
  </si>
  <si>
    <t>Chris Wood</t>
  </si>
  <si>
    <t>Igor Jesus</t>
  </si>
  <si>
    <t>Igor Jesus Maciel da Cruz</t>
  </si>
  <si>
    <t>Awoniyi</t>
  </si>
  <si>
    <t>Taiwo Awoniyi</t>
  </si>
  <si>
    <t>2022-06-25</t>
  </si>
  <si>
    <t>Kalimuendo</t>
  </si>
  <si>
    <t>Arnaud Kalimuendo</t>
  </si>
  <si>
    <t>Schlager</t>
  </si>
  <si>
    <t>Xaver Schlager</t>
  </si>
  <si>
    <t>Van Hecke</t>
  </si>
  <si>
    <t>Jan Paul van Hecke</t>
  </si>
  <si>
    <t>Roberto De Zerbi</t>
  </si>
  <si>
    <t>2026-03-31</t>
  </si>
  <si>
    <t>Tonali</t>
  </si>
  <si>
    <t>Sandro Tonali</t>
  </si>
  <si>
    <t>Vicario</t>
  </si>
  <si>
    <t>Guglielmo Vicario</t>
  </si>
  <si>
    <t>Austin</t>
  </si>
  <si>
    <t>Brandon Austin</t>
  </si>
  <si>
    <t>2017-07-22</t>
  </si>
  <si>
    <t>Kinsky</t>
  </si>
  <si>
    <t>Antonín Kinský</t>
  </si>
  <si>
    <t>2025-01-05</t>
  </si>
  <si>
    <t>Dubravka</t>
  </si>
  <si>
    <t>Martin Dubravka</t>
  </si>
  <si>
    <t>Senesi</t>
  </si>
  <si>
    <t>Marcos Senesi Barón</t>
  </si>
  <si>
    <t>Pedro Porro</t>
  </si>
  <si>
    <t>Pedro Porro Sauceda</t>
  </si>
  <si>
    <t>Romero</t>
  </si>
  <si>
    <t>Cristian Romero</t>
  </si>
  <si>
    <t>2022-08-30</t>
  </si>
  <si>
    <t>Danso</t>
  </si>
  <si>
    <t>Kevin Danso</t>
  </si>
  <si>
    <t>Robertson</t>
  </si>
  <si>
    <t>Andrew Robertson</t>
  </si>
  <si>
    <t>Van de Ven</t>
  </si>
  <si>
    <t>Micky van de Ven</t>
  </si>
  <si>
    <t>Spence</t>
  </si>
  <si>
    <t>Djed Spence</t>
  </si>
  <si>
    <t>2022-07-19</t>
  </si>
  <si>
    <t>Udogie</t>
  </si>
  <si>
    <t>Destiny Udogie</t>
  </si>
  <si>
    <t>2022-08-16</t>
  </si>
  <si>
    <t>Ashley Phillips</t>
  </si>
  <si>
    <t>Ben Davies</t>
  </si>
  <si>
    <t>2014-07-23</t>
  </si>
  <si>
    <t>Byfield</t>
  </si>
  <si>
    <t>Jun'ai Byfield</t>
  </si>
  <si>
    <t>Rowswell</t>
  </si>
  <si>
    <t>James Rowswell</t>
  </si>
  <si>
    <t>Souza</t>
  </si>
  <si>
    <t>João Victor de Souza Menezes</t>
  </si>
  <si>
    <t>2026-01-22</t>
  </si>
  <si>
    <t>Kudus</t>
  </si>
  <si>
    <t>Mohammed Kudus</t>
  </si>
  <si>
    <t>Xavi</t>
  </si>
  <si>
    <t>Xavi Simons</t>
  </si>
  <si>
    <t>Tel</t>
  </si>
  <si>
    <t>Mathys Tel</t>
  </si>
  <si>
    <t>Maddison</t>
  </si>
  <si>
    <t>James Maddison</t>
  </si>
  <si>
    <t>Bentancur</t>
  </si>
  <si>
    <t>Rodrigo Bentancur</t>
  </si>
  <si>
    <t>Odobert</t>
  </si>
  <si>
    <t>Wilson Odobert</t>
  </si>
  <si>
    <t>P.M.Sarr</t>
  </si>
  <si>
    <t>Pape Matar Sarr</t>
  </si>
  <si>
    <t>2021-08-27</t>
  </si>
  <si>
    <t>Gallagher</t>
  </si>
  <si>
    <t>Conor Gallagher</t>
  </si>
  <si>
    <t>2026-01-14</t>
  </si>
  <si>
    <t>Bergvall</t>
  </si>
  <si>
    <t>Lucas Bergvall</t>
  </si>
  <si>
    <t>Kulusevski</t>
  </si>
  <si>
    <t>Dejan Kulusevski</t>
  </si>
  <si>
    <t>Gray</t>
  </si>
  <si>
    <t>Archie Gray</t>
  </si>
  <si>
    <t>Moore</t>
  </si>
  <si>
    <t>Mikey Moore</t>
  </si>
  <si>
    <t>2024-05-01</t>
  </si>
  <si>
    <t>Olusesi</t>
  </si>
  <si>
    <t>Callum Olusesi</t>
  </si>
  <si>
    <t>Fernandes</t>
  </si>
  <si>
    <t>Mateus Fernandes</t>
  </si>
  <si>
    <t>Solanke</t>
  </si>
  <si>
    <t>Dominic Solanke-Mitchell</t>
  </si>
  <si>
    <t>2024-08-10</t>
  </si>
  <si>
    <t>Richarlison</t>
  </si>
  <si>
    <t>Richarlison de Andrade</t>
  </si>
  <si>
    <t>Scarlett</t>
  </si>
  <si>
    <t>Dane Scarlett</t>
  </si>
  <si>
    <t>2020-08-21</t>
  </si>
  <si>
    <t>Roefs</t>
  </si>
  <si>
    <t>Robin Roefs</t>
  </si>
  <si>
    <t>Regis Le Bris</t>
  </si>
  <si>
    <t>Anthony Patterson</t>
  </si>
  <si>
    <t>2018-10-09</t>
  </si>
  <si>
    <t>Ellborg</t>
  </si>
  <si>
    <t>Melker Ellborg</t>
  </si>
  <si>
    <t>2026-02-01</t>
  </si>
  <si>
    <t>Ballard</t>
  </si>
  <si>
    <t>Daniel Ballard</t>
  </si>
  <si>
    <t>Mukiele</t>
  </si>
  <si>
    <t>Nordi Mukiele</t>
  </si>
  <si>
    <t>Hume</t>
  </si>
  <si>
    <t>Trai Hume</t>
  </si>
  <si>
    <t>Alderete</t>
  </si>
  <si>
    <t>Omar Alderete</t>
  </si>
  <si>
    <t>Reinildo</t>
  </si>
  <si>
    <t>Reinildo Mandava</t>
  </si>
  <si>
    <t>Seelt</t>
  </si>
  <si>
    <t>Jenson Seelt</t>
  </si>
  <si>
    <t>Hjelde</t>
  </si>
  <si>
    <t>Leo Fuhr Hjelde</t>
  </si>
  <si>
    <t>O'Nien</t>
  </si>
  <si>
    <t>Luke O'Nien</t>
  </si>
  <si>
    <t>2018-07-30</t>
  </si>
  <si>
    <t>Masuaku</t>
  </si>
  <si>
    <t>Arthur Masuaku</t>
  </si>
  <si>
    <t>2025-08-10</t>
  </si>
  <si>
    <t>Meunier</t>
  </si>
  <si>
    <t>Thomas Meunier</t>
  </si>
  <si>
    <t>2026-07-15</t>
  </si>
  <si>
    <t>E.Le Fée</t>
  </si>
  <si>
    <t>Enzo Le Fée</t>
  </si>
  <si>
    <t>Diarra</t>
  </si>
  <si>
    <t>Habib Diarra</t>
  </si>
  <si>
    <t>Xhaka</t>
  </si>
  <si>
    <t>Granit Xhaka</t>
  </si>
  <si>
    <t>2025-07-30</t>
  </si>
  <si>
    <t>Sadiki</t>
  </si>
  <si>
    <t>Noah Sadiki</t>
  </si>
  <si>
    <t>Adingra</t>
  </si>
  <si>
    <t>Simon Adingra</t>
  </si>
  <si>
    <t>Mundle</t>
  </si>
  <si>
    <t>Romaine Mundle</t>
  </si>
  <si>
    <t>Rigg</t>
  </si>
  <si>
    <t>Chris Rigg</t>
  </si>
  <si>
    <t>2022-12-31</t>
  </si>
  <si>
    <t>Talbi</t>
  </si>
  <si>
    <t>Chemsdine Talbi</t>
  </si>
  <si>
    <t>Jocelin.T</t>
  </si>
  <si>
    <t>Djiamgone Jocelin Ta Bi</t>
  </si>
  <si>
    <t>2026-01-16</t>
  </si>
  <si>
    <t>Angulo</t>
  </si>
  <si>
    <t>Nilson Angulo</t>
  </si>
  <si>
    <t>Brobbey</t>
  </si>
  <si>
    <t>Brian Brobbey</t>
  </si>
  <si>
    <t>Isidor</t>
  </si>
  <si>
    <t>Wilson Isidor</t>
  </si>
  <si>
    <t>Hist League</t>
  </si>
  <si>
    <t>Hist Team</t>
  </si>
  <si>
    <t>Hist Mins</t>
  </si>
  <si>
    <t>Hist xG</t>
  </si>
  <si>
    <t>Hist xA</t>
  </si>
  <si>
    <t>Hist xG90</t>
  </si>
  <si>
    <t>Hist xA90</t>
  </si>
  <si>
    <t>Hist Team xG</t>
  </si>
  <si>
    <t>Hist Team xG/Match</t>
  </si>
  <si>
    <t>Hist xG Share</t>
  </si>
  <si>
    <t>Hist xA Share</t>
  </si>
  <si>
    <t>Base Min Weight</t>
  </si>
  <si>
    <t>League Reliability</t>
  </si>
  <si>
    <t>Team Changed?</t>
  </si>
  <si>
    <t>Transport Reliability</t>
  </si>
  <si>
    <t>Manager Reliability</t>
  </si>
  <si>
    <t>Effective Weight</t>
  </si>
  <si>
    <t>Pos xG Share Prior</t>
  </si>
  <si>
    <t>Pos xA Share Prior</t>
  </si>
  <si>
    <t>xG Share Prior</t>
  </si>
  <si>
    <t>xA Share Prior</t>
  </si>
  <si>
    <t>Role xG Share Adj</t>
  </si>
  <si>
    <t>Role xA Share Adj</t>
  </si>
  <si>
    <t>Current xG Share Prior</t>
  </si>
  <si>
    <t>Current xA Share Prior</t>
  </si>
  <si>
    <t>Uncertainty</t>
  </si>
  <si>
    <t>History Quality</t>
  </si>
  <si>
    <t>Manual Review?</t>
  </si>
  <si>
    <t>History Source</t>
  </si>
  <si>
    <t>Source URL</t>
  </si>
  <si>
    <t>Notes</t>
  </si>
  <si>
    <t>Hist Pens Order</t>
  </si>
  <si>
    <t>Hist Pens Missed</t>
  </si>
  <si>
    <t>Penalty Contamination?</t>
  </si>
  <si>
    <t>npxG Status</t>
  </si>
  <si>
    <t>Premier League</t>
  </si>
  <si>
    <t>PL history</t>
  </si>
  <si>
    <t>FPL Core Insights / official FPL historical feed</t>
  </si>
  <si>
    <t>https://github.com/olbauday/FPL-Core-Insights/tree/main/data/2025-2026</t>
  </si>
  <si>
    <t>Total xG retained; low penalty contamination</t>
  </si>
  <si>
    <t>Missing/non-PL</t>
  </si>
  <si>
    <t>No reliable 25/26 history loaded</t>
  </si>
  <si>
    <t>Total xG retained; penalty channel not decomposed</t>
  </si>
  <si>
    <t>No comparable 25/26 PL penalty history</t>
  </si>
  <si>
    <t>Wolves</t>
  </si>
  <si>
    <t>Burnley</t>
  </si>
  <si>
    <t>West Ham</t>
  </si>
  <si>
    <t>Championship</t>
  </si>
  <si>
    <t>Championship history</t>
  </si>
  <si>
    <t>FotMob 2025/26 Championship player stats</t>
  </si>
  <si>
    <t>https://www.fotmob.com/leagues/48/stats/season/27195/players/expected_goals/championship-players</t>
  </si>
  <si>
    <t>Matches 25/26</t>
  </si>
  <si>
    <t>Team xG 25/26</t>
  </si>
  <si>
    <t>Team xG / Match</t>
  </si>
  <si>
    <t>Current PL Team?</t>
  </si>
  <si>
    <t>Promoted 26/27?</t>
  </si>
  <si>
    <t>Current Manager</t>
  </si>
  <si>
    <t>26/27 Baseline Team xG/Match</t>
  </si>
  <si>
    <t>26/27 baseline intentionally blank until team-attack model.</t>
  </si>
  <si>
    <t>https://www.fotmob.com/leagues/47/stats/season/27110/teams/expected_goals_team/premier-league-teams</t>
  </si>
  <si>
    <t>https://www.fotmob.com/leagues/48/stats/season/27195/teams/expected_goals_team/championship-teams</t>
  </si>
  <si>
    <t>POSITION SHARE PRIORS</t>
  </si>
  <si>
    <t>SHRINKAGE / RELIABILITY</t>
  </si>
  <si>
    <t>PHILOSOPHY / CAVEATS</t>
  </si>
  <si>
    <t>Position</t>
  </si>
  <si>
    <t>PL Players</t>
  </si>
  <si>
    <t>Hist Minutes</t>
  </si>
  <si>
    <t>Assumption</t>
  </si>
  <si>
    <t>Value</t>
  </si>
  <si>
    <t>Minutes shrinkage k</t>
  </si>
  <si>
    <t>Attack remains team-xG-share based; v0.4 adds defensive player priors separately.</t>
  </si>
  <si>
    <t>PL history reliability</t>
  </si>
  <si>
    <t>npxG is preferred conceptually, but total xG is retained until a consistent penalty-xG source exists.</t>
  </si>
  <si>
    <t>Championship history reliability</t>
  </si>
  <si>
    <t>Penalty-contaminated historical attacking priors are explicitly flagged on Attack_Priors.</t>
  </si>
  <si>
    <t>Changed-team transport reliability</t>
  </si>
  <si>
    <t>DefCon prior = shrunk historical DC90; current workload adjustment is separate and editable.</t>
  </si>
  <si>
    <t>Summer new-manager reliability</t>
  </si>
  <si>
    <t>DefCon points are threshold events (10 DEF / 12 MID-FWD), so DC90 is NOT directly converted to FPL points yet.</t>
  </si>
  <si>
    <t>Missing history reliability</t>
  </si>
  <si>
    <t>GK save-rate proxy is shrunk separately from save volume.</t>
  </si>
  <si>
    <t>Save volume should later come from expected shots on target faced, not historical saves90 alone.</t>
  </si>
  <si>
    <t>Historical team xGA is environment evidence, not a 26/27 clean-sheet forecast.</t>
  </si>
  <si>
    <t>Promoted-team Championship xGA is shown league-relative and not treated as directly PL-comparable.</t>
  </si>
  <si>
    <t>Clean-sheet probability, save points and final xPts are deferred to the fixture engine.</t>
  </si>
  <si>
    <t>Role/lineup interactions remain future Python/UI work rather than hand-coded noise.</t>
  </si>
  <si>
    <t>DEFENSIVE PRIORS</t>
  </si>
  <si>
    <t>DEFENCE ASSUMPTIONS</t>
  </si>
  <si>
    <t>GOALKEEPER PRIORS</t>
  </si>
  <si>
    <t>DC90 Prior</t>
  </si>
  <si>
    <t>Players w/ PL hist</t>
  </si>
  <si>
    <t>DC Threshold</t>
  </si>
  <si>
    <t>Metric</t>
  </si>
  <si>
    <t>DefCon shrinkage minutes k</t>
  </si>
  <si>
    <t>PL GK Saves90</t>
  </si>
  <si>
    <t>PL defensive-history reliability</t>
  </si>
  <si>
    <t>PL GK Save% Proxy</t>
  </si>
  <si>
    <t>Changed-team reliability</t>
  </si>
  <si>
    <t>Save points conversion</t>
  </si>
  <si>
    <t>Deferred to fixture engine</t>
  </si>
  <si>
    <t>New-manager reliability</t>
  </si>
  <si>
    <t>GK save-rate note</t>
  </si>
  <si>
    <t>Proxy only until shot-on-target model</t>
  </si>
  <si>
    <t>FIXTURE / TEAM ENGINE</t>
  </si>
  <si>
    <t>STRUCTURAL MODEL NOTES</t>
  </si>
  <si>
    <t>Channel</t>
  </si>
  <si>
    <t>Treatment</t>
  </si>
  <si>
    <t>PL baseline xG / team / match</t>
  </si>
  <si>
    <t>Bookmaker market</t>
  </si>
  <si>
    <t>Primary near-term anchor; normalized to fair 1X2 first.</t>
  </si>
  <si>
    <t>Home scoring multiplier</t>
  </si>
  <si>
    <t>History</t>
  </si>
  <si>
    <t>Parallel structural estimate and long-horizon fallback.</t>
  </si>
  <si>
    <t>Away scoring multiplier</t>
  </si>
  <si>
    <t>Squad changes</t>
  </si>
  <si>
    <t>Editable team attack/defence multipliers; default 1.00.</t>
  </si>
  <si>
    <t>Default market weight when available</t>
  </si>
  <si>
    <t>Manager changes</t>
  </si>
  <si>
    <t>Market method</t>
  </si>
  <si>
    <t>De-vigged 1X2 -&gt; independent Poisson lambdas</t>
  </si>
  <si>
    <t>User view</t>
  </si>
  <si>
    <t>Override final team xG directly when desired; model value remains visible.</t>
  </si>
  <si>
    <t>Backsolve</t>
  </si>
  <si>
    <t>Future Python layer will compare forecast errors by channel.</t>
  </si>
  <si>
    <t>GW</t>
  </si>
  <si>
    <t>Fixture ID</t>
  </si>
  <si>
    <t>Kickoff UTC</t>
  </si>
  <si>
    <t>Opponent</t>
  </si>
  <si>
    <t>H/A</t>
  </si>
  <si>
    <t>Official FDR</t>
  </si>
  <si>
    <t>Market Team xG</t>
  </si>
  <si>
    <t>Market Opp xG</t>
  </si>
  <si>
    <t>CS Prob</t>
  </si>
  <si>
    <t>Attack Fixture Adj</t>
  </si>
  <si>
    <t>Def Fixture Adj</t>
  </si>
  <si>
    <t>A</t>
  </si>
  <si>
    <t>H</t>
  </si>
  <si>
    <t>Expected Mins</t>
  </si>
  <si>
    <t>Team xG</t>
  </si>
  <si>
    <t>xG Share</t>
  </si>
  <si>
    <t>xA Share</t>
  </si>
  <si>
    <t>Expected xG</t>
  </si>
  <si>
    <t>Expected xA</t>
  </si>
  <si>
    <t>Attacking xPts</t>
  </si>
  <si>
    <t>Total xPts</t>
  </si>
  <si>
    <t>Deferred: v0.3 deliberately stops at attacking priors; fixture/minutes/xPts comes later.</t>
  </si>
  <si>
    <t>Starter?</t>
  </si>
  <si>
    <t>Captain?</t>
  </si>
  <si>
    <t>6GW xPts</t>
  </si>
  <si>
    <t>VORP</t>
  </si>
  <si>
    <t>Marginal £ Value</t>
  </si>
  <si>
    <t>Teams</t>
  </si>
  <si>
    <t>Positions</t>
  </si>
  <si>
    <t>Role Change</t>
  </si>
  <si>
    <t>More goal-focused</t>
  </si>
  <si>
    <t>More creative</t>
  </si>
  <si>
    <t>Deeper</t>
  </si>
  <si>
    <t>Rotation/unclear</t>
  </si>
  <si>
    <t>xGA 25/26</t>
  </si>
  <si>
    <t>xGA / Match</t>
  </si>
  <si>
    <t>League Avg xGA / Match</t>
  </si>
  <si>
    <t>League-Relative Defence</t>
  </si>
  <si>
    <t>26/27 Baseline xGA / Match</t>
  </si>
  <si>
    <t>Championship relative strength is NOT treated as directly PL-comparable.</t>
  </si>
  <si>
    <t>https://www.fotmob.com/leagues/48/stats/season/27195/teams/expected_goals_conceded_team/championship-teams</t>
  </si>
  <si>
    <t>Historical defensive environment only; 26/27 baseline intentionally blank.</t>
  </si>
  <si>
    <t>https://www.fotmob.com/leagues/47/stats/season/27110/teams/expected_goals_conceded_team/premier-league-teams</t>
  </si>
  <si>
    <t>Hist DC Total</t>
  </si>
  <si>
    <t>Hist DC90</t>
  </si>
  <si>
    <t>Hist Saves</t>
  </si>
  <si>
    <t>Hist Saves90</t>
  </si>
  <si>
    <t>Hist Goals Conceded</t>
  </si>
  <si>
    <t>Hist Clean Sheets</t>
  </si>
  <si>
    <t>Hist Save % Proxy</t>
  </si>
  <si>
    <t>Hist Bonus</t>
  </si>
  <si>
    <t>Hist BPS</t>
  </si>
  <si>
    <t>Hist BPS90</t>
  </si>
  <si>
    <t>Pos DC90 Prior</t>
  </si>
  <si>
    <t>Def Workload Adj</t>
  </si>
  <si>
    <t>Current DC90 Prior</t>
  </si>
  <si>
    <t>GK Saves90 Pos Prior</t>
  </si>
  <si>
    <t>GK Saves90 Prior</t>
  </si>
  <si>
    <t>GK Save% Pos Prior</t>
  </si>
  <si>
    <t>GK Save% Prior</t>
  </si>
  <si>
    <t>DC Threshold Margin</t>
  </si>
  <si>
    <t>GK save % is a proxy = saves/(saves+goals conceded); save volume remains a later team/fixture input.</t>
  </si>
  <si>
    <t>No comparable FPL defensive history</t>
  </si>
  <si>
    <t>No reliable comparable defensive history loaded</t>
  </si>
  <si>
    <t>Hist xG/Match</t>
  </si>
  <si>
    <t>Hist xGA/Match</t>
  </si>
  <si>
    <t>Hist Attack Strength</t>
  </si>
  <si>
    <t>Hist Defence Weakness</t>
  </si>
  <si>
    <t>Promoted?</t>
  </si>
  <si>
    <t>Carryover Weight</t>
  </si>
  <si>
    <t>Promotion Attack Base</t>
  </si>
  <si>
    <t>Promotion Defence Weakness Base</t>
  </si>
  <si>
    <t>Model Attack Strength</t>
  </si>
  <si>
    <t>Model Defence Weakness</t>
  </si>
  <si>
    <t>Squad Attack Adj</t>
  </si>
  <si>
    <t>Squad Defence Adj</t>
  </si>
  <si>
    <t>Manager Attack Adj</t>
  </si>
  <si>
    <t>Manager Defence Adj</t>
  </si>
  <si>
    <t>User Attack Override</t>
  </si>
  <si>
    <t>User Defence Override</t>
  </si>
  <si>
    <t>Effective Attack Strength</t>
  </si>
  <si>
    <t>Effective Defence Weakness</t>
  </si>
  <si>
    <t>Attack Source URL</t>
  </si>
  <si>
    <t>Defence Source URL</t>
  </si>
  <si>
    <t>Structural estimate is diagnostic/long-horizon. Near-term market xG overrides by default.</t>
  </si>
  <si>
    <t>Fixture Seq</t>
  </si>
  <si>
    <t>Home</t>
  </si>
  <si>
    <t>Away</t>
  </si>
  <si>
    <t>H Odds</t>
  </si>
  <si>
    <t>D Odds</t>
  </si>
  <si>
    <t>A Odds</t>
  </si>
  <si>
    <t>H Decimal</t>
  </si>
  <si>
    <t>D Decimal</t>
  </si>
  <si>
    <t>A Decimal</t>
  </si>
  <si>
    <t>Raw H Prob</t>
  </si>
  <si>
    <t>Raw D Prob</t>
  </si>
  <si>
    <t>Raw A Prob</t>
  </si>
  <si>
    <t>Market Sum</t>
  </si>
  <si>
    <t>Fair H Prob</t>
  </si>
  <si>
    <t>Fair D Prob</t>
  </si>
  <si>
    <t>Fair A Prob</t>
  </si>
  <si>
    <t>Market Home xG</t>
  </si>
  <si>
    <t>Market Away xG</t>
  </si>
  <si>
    <t>Market Total xG</t>
  </si>
  <si>
    <t>Home CS Prob</t>
  </si>
  <si>
    <t>Away CS Prob</t>
  </si>
  <si>
    <t>Poisson Fit Error</t>
  </si>
  <si>
    <t>Method</t>
  </si>
  <si>
    <t>1/5</t>
  </si>
  <si>
    <t>7/1</t>
  </si>
  <si>
    <t>18/1</t>
  </si>
  <si>
    <t>Oddschecker best-price consensus; normalized to 100%; independent-Poisson fit to fair 1X2 probabilities.</t>
  </si>
  <si>
    <t>https://www.oddschecker.com/football/english/premier-league</t>
  </si>
  <si>
    <t>17/2</t>
  </si>
  <si>
    <t>4/1</t>
  </si>
  <si>
    <t>2/5</t>
  </si>
  <si>
    <t>9/5</t>
  </si>
  <si>
    <t>12/5</t>
  </si>
  <si>
    <t>17/10</t>
  </si>
  <si>
    <t>5/4</t>
  </si>
  <si>
    <t>5/2</t>
  </si>
  <si>
    <t>11/8</t>
  </si>
  <si>
    <t>11/5</t>
  </si>
  <si>
    <t>6/4</t>
  </si>
  <si>
    <t>11/4</t>
  </si>
  <si>
    <t>1/2</t>
  </si>
  <si>
    <t>11/2</t>
  </si>
  <si>
    <t>13/10</t>
  </si>
  <si>
    <t>14/5</t>
  </si>
  <si>
    <t>21/10</t>
  </si>
  <si>
    <t>27/10</t>
  </si>
  <si>
    <t>29/10</t>
  </si>
  <si>
    <t>1/1</t>
  </si>
  <si>
    <t>Structural Team xG</t>
  </si>
  <si>
    <t>Structural Opp xG</t>
  </si>
  <si>
    <t>Market Available?</t>
  </si>
  <si>
    <t>Market Weight</t>
  </si>
  <si>
    <t>User Team xG Override</t>
  </si>
  <si>
    <t>User Opp xG Override</t>
  </si>
  <si>
    <t>Final Team xG</t>
  </si>
  <si>
    <t>Final Opp xG</t>
  </si>
  <si>
    <t>Team CS Prob</t>
  </si>
  <si>
    <t>Opponent CS Prob</t>
  </si>
  <si>
    <t>Market-Structural Gap</t>
  </si>
  <si>
    <t>Market Source URL</t>
  </si>
  <si>
    <t>Market anchor if available; otherwise structural model.</t>
  </si>
  <si>
    <t>Attack Uncertainty</t>
  </si>
  <si>
    <t>Full-90 xG Allocation</t>
  </si>
  <si>
    <t>Full-90 xA Allocation</t>
  </si>
  <si>
    <t>Model Exp Mins</t>
  </si>
  <si>
    <t>User Mins Override</t>
  </si>
  <si>
    <t>Effective Mins</t>
  </si>
  <si>
    <t>Minute-Adjusted xG</t>
  </si>
  <si>
    <t>Minute-Adjusted xA</t>
  </si>
  <si>
    <t>Minutes intentionally blank in v0.5; enter an override to see minute-adjusted xG/xA.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</si>
</sst>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;[Red]\(0.0\);\-"/>
    <numFmt numFmtId="166" formatCode="0&quot;%&quot;"/>
    <numFmt numFmtId="167" formatCode="0.0%;[Red]\(0.0%\);\-"/>
    <numFmt numFmtId="168" formatCode="#,##0;[Red]\(#,##0\);\-"/>
    <numFmt numFmtId="169" formatCode="0.00;[Red]\(0.00\);\-"/>
    <numFmt numFmtId="170" formatCode="0.00%;[Red]\(0.00%\);\-"/>
    <numFmt numFmtId="171" formatCode="0.000;[Red]\(0.000\);\-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0" fontId="4" fillId="4" borderId="0" xfId="0" applyFont="1" applyFill="1"/>
    <xf numFmtId="0" fontId="5" fillId="0" borderId="0" xfId="0" applyFont="1"/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/>
    <xf numFmtId="0" fontId="5" fillId="4" borderId="0" xfId="0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70" fontId="5" fillId="0" borderId="0" xfId="0" applyNumberFormat="1" applyFont="1"/>
    <xf numFmtId="167" fontId="6" fillId="0" borderId="0" xfId="0" applyNumberFormat="1" applyFont="1"/>
    <xf numFmtId="167" fontId="7" fillId="0" borderId="0" xfId="0" applyNumberFormat="1" applyFont="1"/>
    <xf numFmtId="167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70" fontId="7" fillId="0" borderId="0" xfId="0" applyNumberFormat="1" applyFont="1"/>
    <xf numFmtId="170" fontId="5" fillId="4" borderId="0" xfId="0" applyNumberFormat="1" applyFont="1" applyFill="1"/>
    <xf numFmtId="170" fontId="6" fillId="0" borderId="0" xfId="0" applyNumberFormat="1" applyFont="1"/>
    <xf numFmtId="170" fontId="0" fillId="0" borderId="0" xfId="0" applyNumberFormat="1"/>
    <xf numFmtId="168" fontId="0" fillId="0" borderId="0" xfId="0" applyNumberFormat="1"/>
    <xf numFmtId="167" fontId="5" fillId="4" borderId="0" xfId="0" applyNumberFormat="1" applyFont="1" applyFill="1"/>
    <xf numFmtId="169" fontId="0" fillId="0" borderId="0" xfId="0" applyNumberFormat="1"/>
    <xf numFmtId="169" fontId="5" fillId="4" borderId="0" xfId="0" applyNumberFormat="1" applyFont="1" applyFill="1"/>
    <xf numFmtId="0" fontId="5" fillId="0" borderId="0" xfId="0" applyFont="1" applyAlignment="1">
      <alignment wrapText="1"/>
    </xf>
    <xf numFmtId="167" fontId="5" fillId="0" borderId="0" xfId="0" applyNumberFormat="1" applyFont="1" applyAlignment="1">
      <alignment wrapText="1"/>
    </xf>
    <xf numFmtId="0" fontId="5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5" fillId="7" borderId="0" xfId="0" applyFont="1" applyFill="1"/>
    <xf numFmtId="169" fontId="7" fillId="0" borderId="0" xfId="0" applyNumberFormat="1" applyFont="1"/>
    <xf numFmtId="169" fontId="6" fillId="0" borderId="0" xfId="0" applyNumberFormat="1" applyFont="1"/>
    <xf numFmtId="169" fontId="5" fillId="7" borderId="0" xfId="0" applyNumberFormat="1" applyFont="1" applyFill="1"/>
    <xf numFmtId="167" fontId="5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0" xfId="0" applyFont="1" applyFill="1"/>
    <xf numFmtId="0" fontId="4" fillId="7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/>
    </xf>
    <xf numFmtId="169" fontId="5" fillId="10" borderId="0" xfId="0" applyNumberFormat="1" applyFont="1" applyFill="1"/>
    <xf numFmtId="171" fontId="5" fillId="0" borderId="0" xfId="0" applyNumberFormat="1" applyFont="1"/>
    <xf numFmtId="169" fontId="5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1" borderId="0" xfId="0" applyFont="1" applyFill="1"/>
    <xf numFmtId="0" fontId="1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wrapText="1"/>
    </xf>
    <xf numFmtId="0" fontId="3" fillId="9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wrapText="1"/>
    </xf>
    <xf numFmtId="0" fontId="3" fillId="9" borderId="0" xfId="0" applyFont="1" applyFill="1"/>
    <xf numFmtId="0" fontId="4" fillId="10" borderId="0" xfId="0" applyFont="1" applyFill="1" applyAlignment="1">
      <alignment wrapText="1"/>
    </xf>
    <xf numFmtId="164" fontId="4" fillId="10" borderId="0" xfId="0" applyNumberFormat="1" applyFont="1" applyFill="1" applyAlignment="1">
      <alignment wrapText="1"/>
    </xf>
    <xf numFmtId="167" fontId="0" fillId="0" borderId="0" xfId="0" applyNumberFormat="1"/>
    <xf numFmtId="167" fontId="4" fillId="4" borderId="0" xfId="0" applyNumberFormat="1" applyFont="1" applyFill="1" applyAlignment="1">
      <alignment horizontal="left" vertical="center"/>
    </xf>
    <xf numFmtId="167" fontId="1" fillId="2" borderId="0" xfId="0" applyNumberFormat="1" applyFont="1" applyFill="1"/>
    <xf numFmtId="169" fontId="4" fillId="4" borderId="0" xfId="0" applyNumberFormat="1" applyFont="1" applyFill="1" applyAlignment="1">
      <alignment horizontal="left" vertical="center"/>
    </xf>
    <xf numFmtId="169" fontId="1" fillId="2" borderId="0" xfId="0" applyNumberFormat="1" applyFont="1" applyFill="1"/>
    <xf numFmtId="169" fontId="2" fillId="3" borderId="0" xfId="0" applyNumberFormat="1" applyFont="1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yersTable" displayName="PlayersTable" ref="A1:X568" totalsRowShown="0">
  <tableColumns count="24">
    <tableColumn id="1" xr3:uid="{00000000-0010-0000-0000-000001000000}" name="Player ID"/>
    <tableColumn id="2" xr3:uid="{00000000-0010-0000-0000-000002000000}" name="Code"/>
    <tableColumn id="3" xr3:uid="{00000000-0010-0000-0000-000003000000}" name="Player"/>
    <tableColumn id="4" xr3:uid="{00000000-0010-0000-0000-000004000000}" name="Full Name"/>
    <tableColumn id="5" xr3:uid="{00000000-0010-0000-0000-000005000000}" name="Team"/>
    <tableColumn id="6" xr3:uid="{00000000-0010-0000-0000-000006000000}" name="FPL Pos"/>
    <tableColumn id="7" xr3:uid="{00000000-0010-0000-0000-000007000000}" name="Start £m"/>
    <tableColumn id="8" xr3:uid="{00000000-0010-0000-0000-000008000000}" name="Current £m"/>
    <tableColumn id="9" xr3:uid="{00000000-0010-0000-0000-000009000000}" name="Pens Order"/>
    <tableColumn id="10" xr3:uid="{00000000-0010-0000-0000-00000A000000}" name="Direct FK Order"/>
    <tableColumn id="11" xr3:uid="{00000000-0010-0000-0000-00000B000000}" name="Corners/IFK Order"/>
    <tableColumn id="12" xr3:uid="{00000000-0010-0000-0000-00000C000000}" name="Team Join Date"/>
    <tableColumn id="13" xr3:uid="{00000000-0010-0000-0000-00000D000000}" name="New Club Summer?"/>
    <tableColumn id="14" xr3:uid="{00000000-0010-0000-0000-00000E000000}" name="Promoted Club?"/>
    <tableColumn id="15" xr3:uid="{00000000-0010-0000-0000-00000F000000}" name="Manager"/>
    <tableColumn id="16" xr3:uid="{00000000-0010-0000-0000-000010000000}" name="Manager Start"/>
    <tableColumn id="17" xr3:uid="{00000000-0010-0000-0000-000011000000}" name="New Manager Summer?"/>
    <tableColumn id="18" xr3:uid="{00000000-0010-0000-0000-000012000000}" name="Manager Shift Since Aug-25?"/>
    <tableColumn id="19" xr3:uid="{00000000-0010-0000-0000-000013000000}" name="Status"/>
    <tableColumn id="20" xr3:uid="{00000000-0010-0000-0000-000014000000}" name="Chance Play GW1"/>
    <tableColumn id="21" xr3:uid="{00000000-0010-0000-0000-000015000000}" name="News"/>
    <tableColumn id="22" xr3:uid="{00000000-0010-0000-0000-000016000000}" name="Ownership %"/>
    <tableColumn id="23" xr3:uid="{00000000-0010-0000-0000-000017000000}" name="Selectable?"/>
    <tableColumn id="24" xr3:uid="{00000000-0010-0000-0000-000018000000}" name="Current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ackPriorsTable" displayName="AttackPriorsTable" ref="A1:AM568" totalsRowShown="0">
  <tableColumns count="39">
    <tableColumn id="1" xr3:uid="{00000000-0010-0000-0100-000001000000}" name="Player ID"/>
    <tableColumn id="2" xr3:uid="{00000000-0010-0000-0100-000002000000}" name="Player"/>
    <tableColumn id="3" xr3:uid="{00000000-0010-0000-0100-000003000000}" name="Team"/>
    <tableColumn id="4" xr3:uid="{00000000-0010-0000-0100-000004000000}" name="FPL Pos"/>
    <tableColumn id="5" xr3:uid="{00000000-0010-0000-0100-000005000000}" name="Hist League"/>
    <tableColumn id="6" xr3:uid="{00000000-0010-0000-0100-000006000000}" name="Hist Team"/>
    <tableColumn id="7" xr3:uid="{00000000-0010-0000-0100-000007000000}" name="Hist Mins"/>
    <tableColumn id="8" xr3:uid="{00000000-0010-0000-0100-000008000000}" name="Hist xG"/>
    <tableColumn id="9" xr3:uid="{00000000-0010-0000-0100-000009000000}" name="Hist xA"/>
    <tableColumn id="10" xr3:uid="{00000000-0010-0000-0100-00000A000000}" name="Hist xG90"/>
    <tableColumn id="11" xr3:uid="{00000000-0010-0000-0100-00000B000000}" name="Hist xA90"/>
    <tableColumn id="12" xr3:uid="{00000000-0010-0000-0100-00000C000000}" name="Hist Team xG"/>
    <tableColumn id="13" xr3:uid="{00000000-0010-0000-0100-00000D000000}" name="Hist Team xG/Match"/>
    <tableColumn id="14" xr3:uid="{00000000-0010-0000-0100-00000E000000}" name="Hist xG Share"/>
    <tableColumn id="15" xr3:uid="{00000000-0010-0000-0100-00000F000000}" name="Hist xA Share"/>
    <tableColumn id="16" xr3:uid="{00000000-0010-0000-0100-000010000000}" name="Base Min Weight"/>
    <tableColumn id="17" xr3:uid="{00000000-0010-0000-0100-000011000000}" name="League Reliability"/>
    <tableColumn id="18" xr3:uid="{00000000-0010-0000-0100-000012000000}" name="Team Changed?"/>
    <tableColumn id="19" xr3:uid="{00000000-0010-0000-0100-000013000000}" name="Transport Reliability"/>
    <tableColumn id="20" xr3:uid="{00000000-0010-0000-0100-000014000000}" name="New Manager Summer?"/>
    <tableColumn id="21" xr3:uid="{00000000-0010-0000-0100-000015000000}" name="Manager Reliability"/>
    <tableColumn id="22" xr3:uid="{00000000-0010-0000-0100-000016000000}" name="Effective Weight"/>
    <tableColumn id="23" xr3:uid="{00000000-0010-0000-0100-000017000000}" name="Pos xG Share Prior"/>
    <tableColumn id="24" xr3:uid="{00000000-0010-0000-0100-000018000000}" name="Pos xA Share Prior"/>
    <tableColumn id="25" xr3:uid="{00000000-0010-0000-0100-000019000000}" name="xG Share Prior"/>
    <tableColumn id="26" xr3:uid="{00000000-0010-0000-0100-00001A000000}" name="xA Share Prior"/>
    <tableColumn id="27" xr3:uid="{00000000-0010-0000-0100-00001B000000}" name="Role xG Share Adj"/>
    <tableColumn id="28" xr3:uid="{00000000-0010-0000-0100-00001C000000}" name="Role xA Share Adj"/>
    <tableColumn id="29" xr3:uid="{00000000-0010-0000-0100-00001D000000}" name="Current xG Share Prior"/>
    <tableColumn id="30" xr3:uid="{00000000-0010-0000-0100-00001E000000}" name="Current xA Share Prior"/>
    <tableColumn id="31" xr3:uid="{00000000-0010-0000-0100-00001F000000}" name="Uncertainty"/>
    <tableColumn id="32" xr3:uid="{00000000-0010-0000-0100-000020000000}" name="History Quality"/>
    <tableColumn id="33" xr3:uid="{00000000-0010-0000-0100-000021000000}" name="Pens Order"/>
    <tableColumn id="34" xr3:uid="{00000000-0010-0000-0100-000022000000}" name="Direct FK Order"/>
    <tableColumn id="35" xr3:uid="{00000000-0010-0000-0100-000023000000}" name="Corners/IFK Order"/>
    <tableColumn id="36" xr3:uid="{00000000-0010-0000-0100-000024000000}" name="Manual Review?"/>
    <tableColumn id="37" xr3:uid="{00000000-0010-0000-0100-000025000000}" name="History Source"/>
    <tableColumn id="38" xr3:uid="{00000000-0010-0000-0100-000026000000}" name="Source URL"/>
    <tableColumn id="39" xr3:uid="{00000000-0010-0000-0100-00002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AttackTable" displayName="TeamAttackTable" ref="A1:M24" totalsRowShown="0">
  <tableColumns count="13">
    <tableColumn id="1" xr3:uid="{00000000-0010-0000-0200-000001000000}" name="Hist Team"/>
    <tableColumn id="2" xr3:uid="{00000000-0010-0000-0200-000002000000}" name="Hist League"/>
    <tableColumn id="3" xr3:uid="{00000000-0010-0000-0200-000003000000}" name="Matches 25/26"/>
    <tableColumn id="4" xr3:uid="{00000000-0010-0000-0200-000004000000}" name="Team xG 25/26"/>
    <tableColumn id="5" xr3:uid="{00000000-0010-0000-0200-000005000000}" name="Team xG / Match"/>
    <tableColumn id="6" xr3:uid="{00000000-0010-0000-0200-000006000000}" name="Current PL Team?"/>
    <tableColumn id="7" xr3:uid="{00000000-0010-0000-0200-000007000000}" name="Promoted 26/27?"/>
    <tableColumn id="8" xr3:uid="{00000000-0010-0000-0200-000008000000}" name="Current Manager"/>
    <tableColumn id="9" xr3:uid="{00000000-0010-0000-0200-000009000000}" name="Manager Start"/>
    <tableColumn id="10" xr3:uid="{00000000-0010-0000-0200-00000A000000}" name="New Manager Summer?"/>
    <tableColumn id="11" xr3:uid="{00000000-0010-0000-0200-00000B000000}" name="26/27 Baseline Team xG/Match"/>
    <tableColumn id="12" xr3:uid="{00000000-0010-0000-0200-00000C000000}" name="Notes"/>
    <tableColumn id="13" xr3:uid="{00000000-0010-0000-0200-00000D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xturesTable" displayName="FixturesTable" ref="A1:N761" totalsRowShown="0">
  <tableColumns count="14">
    <tableColumn id="1" xr3:uid="{00000000-0010-0000-0300-000001000000}" name="GW"/>
    <tableColumn id="2" xr3:uid="{00000000-0010-0000-0300-000002000000}" name="Fixture ID"/>
    <tableColumn id="3" xr3:uid="{00000000-0010-0000-0300-000003000000}" name="Kickoff UTC"/>
    <tableColumn id="4" xr3:uid="{00000000-0010-0000-0300-000004000000}" name="Team"/>
    <tableColumn id="5" xr3:uid="{00000000-0010-0000-0300-000005000000}" name="Opponent"/>
    <tableColumn id="6" xr3:uid="{00000000-0010-0000-0300-000006000000}" name="H/A"/>
    <tableColumn id="7" xr3:uid="{00000000-0010-0000-0300-000007000000}" name="Official FDR"/>
    <tableColumn id="8" xr3:uid="{00000000-0010-0000-0300-000008000000}" name="Market Team xG"/>
    <tableColumn id="9" xr3:uid="{00000000-0010-0000-0300-000009000000}" name="Market Opp xG"/>
    <tableColumn id="10" xr3:uid="{00000000-0010-0000-0300-00000A000000}" name="CS Prob"/>
    <tableColumn id="11" xr3:uid="{00000000-0010-0000-0300-00000B000000}" name="Attack Fixture Adj"/>
    <tableColumn id="12" xr3:uid="{00000000-0010-0000-0300-00000C000000}" name="Def Fixture Adj"/>
    <tableColumn id="13" xr3:uid="{00000000-0010-0000-0300-00000D000000}" name="Notes"/>
    <tableColumn id="14" xr3:uid="{00000000-0010-0000-0300-00000E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quadTable" displayName="SquadTable" ref="A1:J16" totalsRowShown="0">
  <tableColumns count="10">
    <tableColumn id="1" xr3:uid="{00000000-0010-0000-0400-000001000000}" name="Player"/>
    <tableColumn id="2" xr3:uid="{00000000-0010-0000-0400-000002000000}" name="Team"/>
    <tableColumn id="3" xr3:uid="{00000000-0010-0000-0400-000003000000}" name="FPL Pos"/>
    <tableColumn id="4" xr3:uid="{00000000-0010-0000-0400-000004000000}" name="Current £m"/>
    <tableColumn id="5" xr3:uid="{00000000-0010-0000-0400-000005000000}" name="Starter?"/>
    <tableColumn id="6" xr3:uid="{00000000-0010-0000-0400-000006000000}" name="Captain?"/>
    <tableColumn id="7" xr3:uid="{00000000-0010-0000-0400-000007000000}" name="6GW xPts"/>
    <tableColumn id="8" xr3:uid="{00000000-0010-0000-0400-000008000000}" name="VORP"/>
    <tableColumn id="9" xr3:uid="{00000000-0010-0000-0400-000009000000}" name="Marginal £ Value"/>
    <tableColumn id="10" xr3:uid="{00000000-0010-0000-0400-00000A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eamDefenceTable" displayName="TeamDefenceTable" ref="A1:N24" totalsRowShown="0">
  <tableColumns count="14">
    <tableColumn id="1" xr3:uid="{00000000-0010-0000-0500-000001000000}" name="Hist Team"/>
    <tableColumn id="2" xr3:uid="{00000000-0010-0000-0500-000002000000}" name="Hist League"/>
    <tableColumn id="3" xr3:uid="{00000000-0010-0000-0500-000003000000}" name="Matches 25/26"/>
    <tableColumn id="4" xr3:uid="{00000000-0010-0000-0500-000004000000}" name="xGA 25/26"/>
    <tableColumn id="5" xr3:uid="{00000000-0010-0000-0500-000005000000}" name="xGA / Match"/>
    <tableColumn id="6" xr3:uid="{00000000-0010-0000-0500-000006000000}" name="League Avg xGA / Match"/>
    <tableColumn id="7" xr3:uid="{00000000-0010-0000-0500-000007000000}" name="League-Relative Defence"/>
    <tableColumn id="8" xr3:uid="{00000000-0010-0000-0500-000008000000}" name="Current PL Team?"/>
    <tableColumn id="9" xr3:uid="{00000000-0010-0000-0500-000009000000}" name="Promoted 26/27?"/>
    <tableColumn id="10" xr3:uid="{00000000-0010-0000-0500-00000A000000}" name="Current Manager"/>
    <tableColumn id="11" xr3:uid="{00000000-0010-0000-0500-00000B000000}" name="New Manager Summer?"/>
    <tableColumn id="12" xr3:uid="{00000000-0010-0000-0500-00000C000000}" name="26/27 Baseline xGA / Match"/>
    <tableColumn id="13" xr3:uid="{00000000-0010-0000-0500-00000D000000}" name="Notes"/>
    <tableColumn id="14" xr3:uid="{00000000-0010-0000-0500-00000E000000}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DefPriorsTable" displayName="DefPriorsTable" ref="A1:AN568" totalsRowShown="0">
  <tableColumns count="40">
    <tableColumn id="1" xr3:uid="{00000000-0010-0000-0600-000001000000}" name="Player ID"/>
    <tableColumn id="2" xr3:uid="{00000000-0010-0000-0600-000002000000}" name="Player"/>
    <tableColumn id="3" xr3:uid="{00000000-0010-0000-0600-000003000000}" name="Team"/>
    <tableColumn id="4" xr3:uid="{00000000-0010-0000-0600-000004000000}" name="FPL Pos"/>
    <tableColumn id="5" xr3:uid="{00000000-0010-0000-0600-000005000000}" name="Hist League"/>
    <tableColumn id="6" xr3:uid="{00000000-0010-0000-0600-000006000000}" name="Hist Team"/>
    <tableColumn id="7" xr3:uid="{00000000-0010-0000-0600-000007000000}" name="Hist Mins"/>
    <tableColumn id="8" xr3:uid="{00000000-0010-0000-0600-000008000000}" name="Hist DC Total"/>
    <tableColumn id="9" xr3:uid="{00000000-0010-0000-0600-000009000000}" name="Hist DC90"/>
    <tableColumn id="10" xr3:uid="{00000000-0010-0000-0600-00000A000000}" name="Hist Saves"/>
    <tableColumn id="11" xr3:uid="{00000000-0010-0000-0600-00000B000000}" name="Hist Saves90"/>
    <tableColumn id="12" xr3:uid="{00000000-0010-0000-0600-00000C000000}" name="Hist Goals Conceded"/>
    <tableColumn id="13" xr3:uid="{00000000-0010-0000-0600-00000D000000}" name="Hist Clean Sheets"/>
    <tableColumn id="14" xr3:uid="{00000000-0010-0000-0600-00000E000000}" name="Hist Save % Proxy"/>
    <tableColumn id="15" xr3:uid="{00000000-0010-0000-0600-00000F000000}" name="Hist Bonus"/>
    <tableColumn id="16" xr3:uid="{00000000-0010-0000-0600-000010000000}" name="Hist BPS"/>
    <tableColumn id="17" xr3:uid="{00000000-0010-0000-0600-000011000000}" name="Hist BPS90"/>
    <tableColumn id="18" xr3:uid="{00000000-0010-0000-0600-000012000000}" name="Base Min Weight"/>
    <tableColumn id="19" xr3:uid="{00000000-0010-0000-0600-000013000000}" name="League Reliability"/>
    <tableColumn id="20" xr3:uid="{00000000-0010-0000-0600-000014000000}" name="Team Changed?"/>
    <tableColumn id="21" xr3:uid="{00000000-0010-0000-0600-000015000000}" name="Transport Reliability"/>
    <tableColumn id="22" xr3:uid="{00000000-0010-0000-0600-000016000000}" name="New Manager Summer?"/>
    <tableColumn id="23" xr3:uid="{00000000-0010-0000-0600-000017000000}" name="Manager Reliability"/>
    <tableColumn id="24" xr3:uid="{00000000-0010-0000-0600-000018000000}" name="Effective Weight"/>
    <tableColumn id="25" xr3:uid="{00000000-0010-0000-0600-000019000000}" name="Pos DC90 Prior"/>
    <tableColumn id="26" xr3:uid="{00000000-0010-0000-0600-00001A000000}" name="DC90 Prior"/>
    <tableColumn id="27" xr3:uid="{00000000-0010-0000-0600-00001B000000}" name="Def Workload Adj"/>
    <tableColumn id="28" xr3:uid="{00000000-0010-0000-0600-00001C000000}" name="Current DC90 Prior"/>
    <tableColumn id="29" xr3:uid="{00000000-0010-0000-0600-00001D000000}" name="GK Saves90 Pos Prior"/>
    <tableColumn id="30" xr3:uid="{00000000-0010-0000-0600-00001E000000}" name="GK Saves90 Prior"/>
    <tableColumn id="31" xr3:uid="{00000000-0010-0000-0600-00001F000000}" name="GK Save% Pos Prior"/>
    <tableColumn id="32" xr3:uid="{00000000-0010-0000-0600-000020000000}" name="GK Save% Prior"/>
    <tableColumn id="33" xr3:uid="{00000000-0010-0000-0600-000021000000}" name="Uncertainty"/>
    <tableColumn id="34" xr3:uid="{00000000-0010-0000-0600-000022000000}" name="History Quality"/>
    <tableColumn id="35" xr3:uid="{00000000-0010-0000-0600-000023000000}" name="DC Threshold"/>
    <tableColumn id="36" xr3:uid="{00000000-0010-0000-0600-000024000000}" name="DC Threshold Margin"/>
    <tableColumn id="37" xr3:uid="{00000000-0010-0000-0600-000025000000}" name="Manual Review?"/>
    <tableColumn id="38" xr3:uid="{00000000-0010-0000-0600-000026000000}" name="History Source"/>
    <tableColumn id="39" xr3:uid="{00000000-0010-0000-0600-000027000000}" name="Source URL"/>
    <tableColumn id="40" xr3:uid="{00000000-0010-0000-0600-000028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am2627Table" displayName="Team2627Table" ref="A1:X21" totalsRowShown="0">
  <tableColumns count="24">
    <tableColumn id="1" xr3:uid="{00000000-0010-0000-0700-000001000000}" name="Team"/>
    <tableColumn id="2" xr3:uid="{00000000-0010-0000-0700-000002000000}" name="Hist League"/>
    <tableColumn id="3" xr3:uid="{00000000-0010-0000-0700-000003000000}" name="Hist xG/Match"/>
    <tableColumn id="4" xr3:uid="{00000000-0010-0000-0700-000004000000}" name="Hist xGA/Match"/>
    <tableColumn id="5" xr3:uid="{00000000-0010-0000-0700-000005000000}" name="Hist Attack Strength"/>
    <tableColumn id="6" xr3:uid="{00000000-0010-0000-0700-000006000000}" name="Hist Defence Weakness"/>
    <tableColumn id="7" xr3:uid="{00000000-0010-0000-0700-000007000000}" name="Promoted?"/>
    <tableColumn id="8" xr3:uid="{00000000-0010-0000-0700-000008000000}" name="New Manager Summer?"/>
    <tableColumn id="9" xr3:uid="{00000000-0010-0000-0700-000009000000}" name="Carryover Weight"/>
    <tableColumn id="10" xr3:uid="{00000000-0010-0000-0700-00000A000000}" name="Promotion Attack Base"/>
    <tableColumn id="11" xr3:uid="{00000000-0010-0000-0700-00000B000000}" name="Promotion Defence Weakness Base"/>
    <tableColumn id="12" xr3:uid="{00000000-0010-0000-0700-00000C000000}" name="Model Attack Strength"/>
    <tableColumn id="13" xr3:uid="{00000000-0010-0000-0700-00000D000000}" name="Model Defence Weakness"/>
    <tableColumn id="14" xr3:uid="{00000000-0010-0000-0700-00000E000000}" name="Squad Attack Adj"/>
    <tableColumn id="15" xr3:uid="{00000000-0010-0000-0700-00000F000000}" name="Squad Defence Adj"/>
    <tableColumn id="16" xr3:uid="{00000000-0010-0000-0700-000010000000}" name="Manager Attack Adj"/>
    <tableColumn id="17" xr3:uid="{00000000-0010-0000-0700-000011000000}" name="Manager Defence Adj"/>
    <tableColumn id="18" xr3:uid="{00000000-0010-0000-0700-000012000000}" name="User Attack Override"/>
    <tableColumn id="19" xr3:uid="{00000000-0010-0000-0700-000013000000}" name="User Defence Override"/>
    <tableColumn id="20" xr3:uid="{00000000-0010-0000-0700-000014000000}" name="Effective Attack Strength"/>
    <tableColumn id="21" xr3:uid="{00000000-0010-0000-0700-000015000000}" name="Effective Defence Weakness"/>
    <tableColumn id="22" xr3:uid="{00000000-0010-0000-0700-000016000000}" name="Notes"/>
    <tableColumn id="23" xr3:uid="{00000000-0010-0000-0700-000017000000}" name="Attack Source URL"/>
    <tableColumn id="24" xr3:uid="{00000000-0010-0000-0700-000018000000}" name="Defence 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arketOddsTable" displayName="MarketOddsTable" ref="A1:Y11" totalsRowShown="0">
  <tableColumns count="25">
    <tableColumn id="1" xr3:uid="{00000000-0010-0000-0800-000001000000}" name="GW"/>
    <tableColumn id="2" xr3:uid="{00000000-0010-0000-0800-000002000000}" name="Fixture Seq"/>
    <tableColumn id="3" xr3:uid="{00000000-0010-0000-0800-000003000000}" name="Home"/>
    <tableColumn id="4" xr3:uid="{00000000-0010-0000-0800-000004000000}" name="Away"/>
    <tableColumn id="5" xr3:uid="{00000000-0010-0000-0800-000005000000}" name="H Odds"/>
    <tableColumn id="6" xr3:uid="{00000000-0010-0000-0800-000006000000}" name="D Odds"/>
    <tableColumn id="7" xr3:uid="{00000000-0010-0000-0800-000007000000}" name="A Odds"/>
    <tableColumn id="8" xr3:uid="{00000000-0010-0000-0800-000008000000}" name="H Decimal"/>
    <tableColumn id="9" xr3:uid="{00000000-0010-0000-0800-000009000000}" name="D Decimal"/>
    <tableColumn id="10" xr3:uid="{00000000-0010-0000-0800-00000A000000}" name="A Decimal"/>
    <tableColumn id="11" xr3:uid="{00000000-0010-0000-0800-00000B000000}" name="Raw H Prob"/>
    <tableColumn id="12" xr3:uid="{00000000-0010-0000-0800-00000C000000}" name="Raw D Prob"/>
    <tableColumn id="13" xr3:uid="{00000000-0010-0000-0800-00000D000000}" name="Raw A Prob"/>
    <tableColumn id="14" xr3:uid="{00000000-0010-0000-0800-00000E000000}" name="Market Sum"/>
    <tableColumn id="15" xr3:uid="{00000000-0010-0000-0800-00000F000000}" name="Fair H Prob"/>
    <tableColumn id="16" xr3:uid="{00000000-0010-0000-0800-000010000000}" name="Fair D Prob"/>
    <tableColumn id="17" xr3:uid="{00000000-0010-0000-0800-000011000000}" name="Fair A Prob"/>
    <tableColumn id="18" xr3:uid="{00000000-0010-0000-0800-000012000000}" name="Market Home xG"/>
    <tableColumn id="19" xr3:uid="{00000000-0010-0000-0800-000013000000}" name="Market Away xG"/>
    <tableColumn id="20" xr3:uid="{00000000-0010-0000-0800-000014000000}" name="Market Total xG"/>
    <tableColumn id="21" xr3:uid="{00000000-0010-0000-0800-000015000000}" name="Home CS Prob"/>
    <tableColumn id="22" xr3:uid="{00000000-0010-0000-0800-000016000000}" name="Away CS Prob"/>
    <tableColumn id="23" xr3:uid="{00000000-0010-0000-0800-000017000000}" name="Poisson Fit Error"/>
    <tableColumn id="24" xr3:uid="{00000000-0010-0000-0800-000018000000}" name="Method"/>
    <tableColumn id="25" xr3:uid="{00000000-0010-0000-0800-000019000000}" name="Source 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ixtureEngineTable" displayName="FixtureEngineTable" ref="A1:V761" totalsRowShown="0">
  <tableColumns count="22">
    <tableColumn id="1" xr3:uid="{00000000-0010-0000-0900-000001000000}" name="GW"/>
    <tableColumn id="2" xr3:uid="{00000000-0010-0000-0900-000002000000}" name="Fixture ID"/>
    <tableColumn id="3" xr3:uid="{00000000-0010-0000-0900-000003000000}" name="Kickoff UTC"/>
    <tableColumn id="4" xr3:uid="{00000000-0010-0000-0900-000004000000}" name="Team"/>
    <tableColumn id="5" xr3:uid="{00000000-0010-0000-0900-000005000000}" name="Opponent"/>
    <tableColumn id="6" xr3:uid="{00000000-0010-0000-0900-000006000000}" name="H/A"/>
    <tableColumn id="7" xr3:uid="{00000000-0010-0000-0900-000007000000}" name="Official FDR"/>
    <tableColumn id="8" xr3:uid="{00000000-0010-0000-0900-000008000000}" name="Structural Team xG"/>
    <tableColumn id="9" xr3:uid="{00000000-0010-0000-0900-000009000000}" name="Structural Opp xG"/>
    <tableColumn id="10" xr3:uid="{00000000-0010-0000-0900-00000A000000}" name="Market Team xG"/>
    <tableColumn id="11" xr3:uid="{00000000-0010-0000-0900-00000B000000}" name="Market Opp xG"/>
    <tableColumn id="12" xr3:uid="{00000000-0010-0000-0900-00000C000000}" name="Market Available?"/>
    <tableColumn id="13" xr3:uid="{00000000-0010-0000-0900-00000D000000}" name="Market Weight"/>
    <tableColumn id="14" xr3:uid="{00000000-0010-0000-0900-00000E000000}" name="User Team xG Override"/>
    <tableColumn id="15" xr3:uid="{00000000-0010-0000-0900-00000F000000}" name="User Opp xG Override"/>
    <tableColumn id="16" xr3:uid="{00000000-0010-0000-0900-000010000000}" name="Final Team xG"/>
    <tableColumn id="17" xr3:uid="{00000000-0010-0000-0900-000011000000}" name="Final Opp xG"/>
    <tableColumn id="18" xr3:uid="{00000000-0010-0000-0900-000012000000}" name="Team CS Prob"/>
    <tableColumn id="19" xr3:uid="{00000000-0010-0000-0900-000013000000}" name="Opponent CS Prob"/>
    <tableColumn id="20" xr3:uid="{00000000-0010-0000-0900-000014000000}" name="Market-Structural Gap"/>
    <tableColumn id="21" xr3:uid="{00000000-0010-0000-0900-000015000000}" name="Method"/>
    <tableColumn id="22" xr3:uid="{00000000-0010-0000-0900-000016000000}" name="Market 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/>
  </sheetViews>
  <sheetFormatPr baseColWidth="10" defaultColWidth="8.83203125" defaultRowHeight="14"/>
  <cols>
    <col min="1" max="1" width="28" customWidth="1"/>
    <col min="2" max="2" width="26" customWidth="1"/>
    <col min="3" max="3" width="10" customWidth="1"/>
    <col min="4" max="4" width="30" customWidth="1"/>
    <col min="5" max="9" width="15" customWidth="1"/>
    <col min="10" max="11" width="16" customWidth="1"/>
  </cols>
  <sheetData>
    <row r="1" spans="1:12" ht="66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3"/>
      <c r="L1" s="53"/>
    </row>
    <row r="3" spans="1:12" ht="15">
      <c r="A3" t="s">
        <v>1</v>
      </c>
      <c r="B3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</row>
    <row r="4" spans="1:12">
      <c r="A4" t="s">
        <v>9</v>
      </c>
      <c r="B4" t="s">
        <v>10</v>
      </c>
      <c r="D4" t="s">
        <v>11</v>
      </c>
      <c r="E4" s="56">
        <v>0.824295010845987</v>
      </c>
      <c r="F4">
        <v>0.12364425162689803</v>
      </c>
      <c r="G4">
        <v>5.2060737527114959E-2</v>
      </c>
      <c r="H4" s="26">
        <v>2.6529358272146251</v>
      </c>
      <c r="I4" s="26">
        <v>0.52865868671275384</v>
      </c>
    </row>
    <row r="5" spans="1:12">
      <c r="A5" t="s">
        <v>12</v>
      </c>
      <c r="B5" t="s">
        <v>13</v>
      </c>
      <c r="D5" t="s">
        <v>14</v>
      </c>
      <c r="E5" s="56">
        <v>0.10324483775811209</v>
      </c>
      <c r="F5">
        <v>0.196165191740413</v>
      </c>
      <c r="G5">
        <v>0.70058997050147498</v>
      </c>
      <c r="H5" s="26">
        <v>0.60545882999044243</v>
      </c>
      <c r="I5" s="26">
        <v>1.9843123696263989</v>
      </c>
    </row>
    <row r="6" spans="1:12">
      <c r="A6" t="s">
        <v>15</v>
      </c>
      <c r="B6" t="s">
        <v>16</v>
      </c>
      <c r="D6" t="s">
        <v>17</v>
      </c>
      <c r="E6" s="56">
        <v>0.34958111195734959</v>
      </c>
      <c r="F6">
        <v>0.28789032749428789</v>
      </c>
      <c r="G6">
        <v>0.36252856054836252</v>
      </c>
      <c r="H6" s="26">
        <v>1.1088256638526099</v>
      </c>
      <c r="I6" s="26">
        <v>1.1347601803060365</v>
      </c>
    </row>
    <row r="7" spans="1:12">
      <c r="A7" t="s">
        <v>18</v>
      </c>
      <c r="B7" t="s">
        <v>19</v>
      </c>
      <c r="D7" t="s">
        <v>20</v>
      </c>
      <c r="E7" s="56">
        <v>0.43391066545123064</v>
      </c>
      <c r="F7">
        <v>0.27894257064721972</v>
      </c>
      <c r="G7">
        <v>0.2871467639015497</v>
      </c>
      <c r="H7" s="26">
        <v>1.3042477689012788</v>
      </c>
      <c r="I7" s="26">
        <v>1.0054212185228999</v>
      </c>
    </row>
    <row r="8" spans="1:12">
      <c r="A8" t="s">
        <v>21</v>
      </c>
      <c r="B8" t="s">
        <v>22</v>
      </c>
      <c r="D8" t="s">
        <v>23</v>
      </c>
      <c r="E8" s="56">
        <v>0.41309359151682806</v>
      </c>
      <c r="F8">
        <v>0.28031350852927617</v>
      </c>
      <c r="G8">
        <v>0.30659289995389583</v>
      </c>
      <c r="H8" s="26">
        <v>1.2669809751991843</v>
      </c>
      <c r="I8" s="26">
        <v>1.0502506804949732</v>
      </c>
    </row>
    <row r="9" spans="1:12">
      <c r="A9" t="s">
        <v>24</v>
      </c>
      <c r="B9" t="s">
        <v>25</v>
      </c>
      <c r="D9" t="s">
        <v>26</v>
      </c>
      <c r="E9" s="56">
        <v>0.39069767441860465</v>
      </c>
      <c r="F9">
        <v>0.26046511627906971</v>
      </c>
      <c r="G9">
        <v>0.34883720930232553</v>
      </c>
      <c r="H9" s="26">
        <v>1.3720338233100562</v>
      </c>
      <c r="I9" s="26">
        <v>1.2818599603231151</v>
      </c>
    </row>
    <row r="10" spans="1:12" ht="15">
      <c r="A10" s="33" t="s">
        <v>27</v>
      </c>
      <c r="B10" s="33" t="s">
        <v>28</v>
      </c>
      <c r="C10" s="33"/>
      <c r="D10" s="33" t="s">
        <v>29</v>
      </c>
      <c r="E10" s="57">
        <v>0.65326633165829151</v>
      </c>
      <c r="F10" s="33">
        <v>0.19597989949748745</v>
      </c>
      <c r="G10" s="33">
        <v>0.15075376884422112</v>
      </c>
      <c r="H10" s="59">
        <v>2.1387927682342065</v>
      </c>
      <c r="I10" s="59">
        <v>0.9191782076853533</v>
      </c>
    </row>
    <row r="11" spans="1:12">
      <c r="D11" t="s">
        <v>30</v>
      </c>
      <c r="E11" s="56">
        <v>0.42603978300180834</v>
      </c>
      <c r="F11">
        <v>0.25786618444846293</v>
      </c>
      <c r="G11">
        <v>0.31609403254972873</v>
      </c>
      <c r="H11" s="26">
        <v>1.452548189055803</v>
      </c>
      <c r="I11" s="26">
        <v>1.2147039153583923</v>
      </c>
    </row>
    <row r="12" spans="1:12">
      <c r="D12" t="s">
        <v>31</v>
      </c>
      <c r="E12" s="56">
        <v>0.26324670941613226</v>
      </c>
      <c r="F12">
        <v>0.24974687816402302</v>
      </c>
      <c r="G12">
        <v>0.48700641241984483</v>
      </c>
      <c r="H12" s="26">
        <v>1.1006915106715305</v>
      </c>
      <c r="I12" s="26">
        <v>1.5903534900875227</v>
      </c>
    </row>
    <row r="13" spans="1:12" ht="15">
      <c r="A13" s="34"/>
      <c r="B13" s="34"/>
      <c r="C13" s="34"/>
      <c r="D13" s="34" t="s">
        <v>32</v>
      </c>
      <c r="E13" s="58">
        <v>0.25641025641025644</v>
      </c>
      <c r="F13" s="2">
        <v>0.25641025641025644</v>
      </c>
      <c r="G13" s="34">
        <v>0.48717948717948723</v>
      </c>
      <c r="H13" s="60">
        <v>1.0345389928276891</v>
      </c>
      <c r="I13" s="60">
        <v>1.529190937318446</v>
      </c>
      <c r="J13" s="34"/>
      <c r="K13" s="34"/>
    </row>
    <row r="14" spans="1:12" ht="15">
      <c r="A14" s="44" t="s">
        <v>33</v>
      </c>
      <c r="B14" s="44" t="s">
        <v>34</v>
      </c>
      <c r="C14" s="44" t="s">
        <v>35</v>
      </c>
      <c r="D14" s="44" t="s">
        <v>36</v>
      </c>
      <c r="E14" s="44" t="s">
        <v>37</v>
      </c>
      <c r="F14" s="44" t="s">
        <v>38</v>
      </c>
      <c r="G14" s="4"/>
      <c r="H14" s="4"/>
      <c r="I14" s="4"/>
    </row>
    <row r="15" spans="1:12">
      <c r="A15" t="s">
        <v>39</v>
      </c>
      <c r="B15" s="26">
        <f>VLOOKUP(A15,Team_26_27!$A$2:$U$21,20,FALSE)</f>
        <v>1.1646205987572962</v>
      </c>
      <c r="C15" s="26">
        <f>VLOOKUP(A15,Team_26_27!$A$2:$U$21,21,FALSE)</f>
        <v>0.6729643226960369</v>
      </c>
      <c r="D15" s="26">
        <f>IFERROR(VLOOKUP(A15,Fixture_Engine!$D$2:$J$21,7,FALSE),"")</f>
        <v>2.6529358272146251</v>
      </c>
      <c r="E15" s="26">
        <f>IFERROR(VLOOKUP(A15,Fixture_Engine!$D$2:$H$21,5,FALSE),"")</f>
        <v>2.2494559571363668</v>
      </c>
      <c r="F15" s="26">
        <f t="shared" ref="F15:F34" si="0">IF(OR(D15="",E15=""),"",D15-E15)</f>
        <v>0.40347987007825825</v>
      </c>
      <c r="I15" s="5"/>
    </row>
    <row r="16" spans="1:12">
      <c r="A16" t="s">
        <v>40</v>
      </c>
      <c r="B16" s="26">
        <f>VLOOKUP(A16,Team_26_27!$A$2:$U$21,20,FALSE)</f>
        <v>0.93528525701374521</v>
      </c>
      <c r="C16" s="26">
        <f>VLOOKUP(A16,Team_26_27!$A$2:$U$21,21,FALSE)</f>
        <v>1.0103454767956321</v>
      </c>
      <c r="D16" s="26">
        <f>IFERROR(VLOOKUP(A16,Fixture_Engine!$D$2:$J$21,7,FALSE),"")</f>
        <v>1.2147039153583923</v>
      </c>
      <c r="E16" s="26">
        <f>IFERROR(VLOOKUP(A16,Fixture_Engine!$D$2:$H$21,5,FALSE),"")</f>
        <v>1.1142148791599162</v>
      </c>
      <c r="F16" s="26">
        <f t="shared" si="0"/>
        <v>0.10048903619847604</v>
      </c>
      <c r="I16" s="5"/>
    </row>
    <row r="17" spans="1:9">
      <c r="A17" t="s">
        <v>41</v>
      </c>
      <c r="B17" s="26">
        <f>VLOOKUP(A17,Team_26_27!$A$2:$U$21,20,FALSE)</f>
        <v>1.0910280549802298</v>
      </c>
      <c r="C17" s="26">
        <f>VLOOKUP(A17,Team_26_27!$A$2:$U$21,21,FALSE)</f>
        <v>1.0381577708745175</v>
      </c>
      <c r="D17" s="26">
        <f>IFERROR(VLOOKUP(A17,Fixture_Engine!$D$2:$J$21,7,FALSE),"")</f>
        <v>0.9191782076853533</v>
      </c>
      <c r="E17" s="26">
        <f>IFERROR(VLOOKUP(A17,Fixture_Engine!$D$2:$H$21,5,FALSE),"")</f>
        <v>1.2456810064990564</v>
      </c>
      <c r="F17" s="26">
        <f t="shared" si="0"/>
        <v>-0.32650279881370314</v>
      </c>
      <c r="I17" s="5"/>
    </row>
    <row r="18" spans="1:9">
      <c r="A18" t="s">
        <v>42</v>
      </c>
      <c r="B18" s="26">
        <f>VLOOKUP(A18,Team_26_27!$A$2:$U$21,20,FALSE)</f>
        <v>1.0947655808698926</v>
      </c>
      <c r="C18" s="26">
        <f>VLOOKUP(A18,Team_26_27!$A$2:$U$21,21,FALSE)</f>
        <v>1.0169349524616398</v>
      </c>
      <c r="D18" s="26">
        <f>IFERROR(VLOOKUP(A18,Fixture_Engine!$D$2:$J$21,7,FALSE),"")</f>
        <v>1.3720338233100562</v>
      </c>
      <c r="E18" s="26">
        <f>IFERROR(VLOOKUP(A18,Fixture_Engine!$D$2:$H$21,5,FALSE),"")</f>
        <v>1.6650090666478392</v>
      </c>
      <c r="F18" s="26">
        <f t="shared" si="0"/>
        <v>-0.29297524333778302</v>
      </c>
      <c r="I18" s="5"/>
    </row>
    <row r="19" spans="1:9">
      <c r="A19" t="s">
        <v>43</v>
      </c>
      <c r="B19" s="26">
        <f>VLOOKUP(A19,Team_26_27!$A$2:$U$21,20,FALSE)</f>
        <v>1.0631331199397478</v>
      </c>
      <c r="C19" s="26">
        <f>VLOOKUP(A19,Team_26_27!$A$2:$U$21,21,FALSE)</f>
        <v>0.94708651040195801</v>
      </c>
      <c r="D19" s="26">
        <f>IFERROR(VLOOKUP(A19,Fixture_Engine!$D$2:$J$21,7,FALSE),"")</f>
        <v>1.452548189055803</v>
      </c>
      <c r="E19" s="26">
        <f>IFERROR(VLOOKUP(A19,Fixture_Engine!$D$2:$H$21,5,FALSE),"")</f>
        <v>1.6513644821563938</v>
      </c>
      <c r="F19" s="26">
        <f t="shared" si="0"/>
        <v>-0.19881629310059079</v>
      </c>
      <c r="I19" s="5"/>
    </row>
    <row r="20" spans="1:9">
      <c r="A20" t="s">
        <v>44</v>
      </c>
      <c r="B20" s="26">
        <f>VLOOKUP(A20,Team_26_27!$A$2:$U$21,20,FALSE)</f>
        <v>1.1386650348333647</v>
      </c>
      <c r="C20" s="26">
        <f>VLOOKUP(A20,Team_26_27!$A$2:$U$21,21,FALSE)</f>
        <v>0.99156076437917717</v>
      </c>
      <c r="D20" s="26">
        <f>IFERROR(VLOOKUP(A20,Fixture_Engine!$D$2:$J$21,7,FALSE),"")</f>
        <v>1.529190937318446</v>
      </c>
      <c r="E20" s="26">
        <f>IFERROR(VLOOKUP(A20,Fixture_Engine!$D$2:$H$21,5,FALSE),"")</f>
        <v>1.4365176854776378</v>
      </c>
      <c r="F20" s="26">
        <f t="shared" si="0"/>
        <v>9.2673251840808213E-2</v>
      </c>
      <c r="I20" s="5"/>
    </row>
    <row r="21" spans="1:9">
      <c r="A21" t="s">
        <v>45</v>
      </c>
      <c r="B21" s="26">
        <f>VLOOKUP(A21,Team_26_27!$A$2:$U$21,20,FALSE)</f>
        <v>0.78945623342175064</v>
      </c>
      <c r="C21" s="26">
        <f>VLOOKUP(A21,Team_26_27!$A$2:$U$21,21,FALSE)</f>
        <v>1.2563413014608233</v>
      </c>
      <c r="D21" s="26">
        <f>IFERROR(VLOOKUP(A21,Fixture_Engine!$D$2:$J$21,7,FALSE),"")</f>
        <v>0.52865868671275384</v>
      </c>
      <c r="E21" s="26">
        <f>IFERROR(VLOOKUP(A21,Fixture_Engine!$D$2:$H$21,5,FALSE),"")</f>
        <v>0.66827515159294693</v>
      </c>
      <c r="F21" s="26">
        <f t="shared" si="0"/>
        <v>-0.13961646488019308</v>
      </c>
      <c r="I21" s="5"/>
    </row>
    <row r="22" spans="1:9">
      <c r="A22" t="s">
        <v>46</v>
      </c>
      <c r="B22" s="26">
        <f>VLOOKUP(A22,Team_26_27!$A$2:$U$21,20,FALSE)</f>
        <v>1.0527113537940125</v>
      </c>
      <c r="C22" s="26">
        <f>VLOOKUP(A22,Team_26_27!$A$2:$U$21,21,FALSE)</f>
        <v>0.98741880824625805</v>
      </c>
      <c r="D22" s="26">
        <f>IFERROR(VLOOKUP(A22,Fixture_Engine!$D$2:$J$21,7,FALSE),"")</f>
        <v>1.0054212185228999</v>
      </c>
      <c r="E22" s="26">
        <f>IFERROR(VLOOKUP(A22,Fixture_Engine!$D$2:$H$21,5,FALSE),"")</f>
        <v>1.3832446912483833</v>
      </c>
      <c r="F22" s="26">
        <f t="shared" si="0"/>
        <v>-0.37782347272548344</v>
      </c>
      <c r="I22" s="5"/>
    </row>
    <row r="23" spans="1:9">
      <c r="A23" t="s">
        <v>47</v>
      </c>
      <c r="B23" s="26">
        <f>VLOOKUP(A23,Team_26_27!$A$2:$U$21,20,FALSE)</f>
        <v>0.91551496893240458</v>
      </c>
      <c r="C23" s="26">
        <f>VLOOKUP(A23,Team_26_27!$A$2:$U$21,21,FALSE)</f>
        <v>1.0446107502588722</v>
      </c>
      <c r="D23" s="26">
        <f>IFERROR(VLOOKUP(A23,Fixture_Engine!$D$2:$J$21,7,FALSE),"")</f>
        <v>1.3042477689012788</v>
      </c>
      <c r="E23" s="26">
        <f>IFERROR(VLOOKUP(A23,Fixture_Engine!$D$2:$H$21,5,FALSE),"")</f>
        <v>1.3897997680182523</v>
      </c>
      <c r="F23" s="26">
        <f t="shared" si="0"/>
        <v>-8.5551999116973532E-2</v>
      </c>
      <c r="I23" s="5"/>
    </row>
    <row r="24" spans="1:9">
      <c r="A24" t="s">
        <v>48</v>
      </c>
      <c r="B24" s="26">
        <f>VLOOKUP(A24,Team_26_27!$A$2:$U$21,20,FALSE)</f>
        <v>0.95122387497646388</v>
      </c>
      <c r="C24" s="26">
        <f>VLOOKUP(A24,Team_26_27!$A$2:$U$21,21,FALSE)</f>
        <v>1.0029511437447047</v>
      </c>
      <c r="D24" s="26">
        <f>IFERROR(VLOOKUP(A24,Fixture_Engine!$D$2:$J$21,7,FALSE),"")</f>
        <v>1.0345389928276891</v>
      </c>
      <c r="E24" s="26">
        <f>IFERROR(VLOOKUP(A24,Fixture_Engine!$D$2:$H$21,5,FALSE),"")</f>
        <v>1.4500649852541898</v>
      </c>
      <c r="F24" s="26">
        <f t="shared" si="0"/>
        <v>-0.41552599242650068</v>
      </c>
      <c r="I24" s="5"/>
    </row>
    <row r="25" spans="1:9">
      <c r="A25" t="s">
        <v>49</v>
      </c>
      <c r="B25" s="26">
        <f>VLOOKUP(A25,Team_26_27!$A$2:$U$21,20,FALSE)</f>
        <v>0.69794429708222816</v>
      </c>
      <c r="C25" s="26">
        <f>VLOOKUP(A25,Team_26_27!$A$2:$U$21,21,FALSE)</f>
        <v>1.3659592176446109</v>
      </c>
      <c r="D25" s="26">
        <f>IFERROR(VLOOKUP(A25,Fixture_Engine!$D$2:$J$21,7,FALSE),"")</f>
        <v>0.60545882999044243</v>
      </c>
      <c r="E25" s="26">
        <f>IFERROR(VLOOKUP(A25,Fixture_Engine!$D$2:$H$21,5,FALSE),"")</f>
        <v>1.0091682617756208</v>
      </c>
      <c r="F25" s="26">
        <f t="shared" si="0"/>
        <v>-0.40370943178517837</v>
      </c>
      <c r="I25" s="5"/>
    </row>
    <row r="26" spans="1:9">
      <c r="A26" t="s">
        <v>50</v>
      </c>
      <c r="B26" s="26">
        <f>VLOOKUP(A26,Team_26_27!$A$2:$U$21,20,FALSE)</f>
        <v>0.7625994694960212</v>
      </c>
      <c r="C26" s="26">
        <f>VLOOKUP(A26,Team_26_27!$A$2:$U$21,21,FALSE)</f>
        <v>1.2336552217453505</v>
      </c>
      <c r="D26" s="26">
        <f>IFERROR(VLOOKUP(A26,Fixture_Engine!$D$2:$J$21,7,FALSE),"")</f>
        <v>1.1088256638526099</v>
      </c>
      <c r="E26" s="26">
        <f>IFERROR(VLOOKUP(A26,Fixture_Engine!$D$2:$H$21,5,FALSE),"")</f>
        <v>1.1922712269025841</v>
      </c>
      <c r="F26" s="26">
        <f t="shared" si="0"/>
        <v>-8.3445563049974192E-2</v>
      </c>
      <c r="I26" s="5"/>
    </row>
    <row r="27" spans="1:9" ht="15">
      <c r="A27" s="34" t="s">
        <v>51</v>
      </c>
      <c r="B27" s="60">
        <f>VLOOKUP(A27,Team_26_27!$A$2:$U$21,20,FALSE)</f>
        <v>1.0143664093391074</v>
      </c>
      <c r="C27" s="60">
        <f>VLOOKUP(A27,Team_26_27!$A$2:$U$21,21,FALSE)</f>
        <v>1.0340675891932598</v>
      </c>
      <c r="D27" s="60">
        <f>IFERROR(VLOOKUP(A27,Fixture_Engine!$D$2:$J$21,7,FALSE),"")</f>
        <v>1.0502506804949732</v>
      </c>
      <c r="E27" s="60">
        <f>IFERROR(VLOOKUP(A27,Fixture_Engine!$D$2:$H$21,5,FALSE),"")</f>
        <v>1.3312325864311296</v>
      </c>
      <c r="F27" s="60">
        <f t="shared" si="0"/>
        <v>-0.28098190593615646</v>
      </c>
    </row>
    <row r="28" spans="1:9">
      <c r="A28" t="s">
        <v>52</v>
      </c>
      <c r="B28" s="26">
        <f>VLOOKUP(A28,Team_26_27!$A$2:$U$21,20,FALSE)</f>
        <v>1.0848145358689512</v>
      </c>
      <c r="C28" s="26">
        <f>VLOOKUP(A28,Team_26_27!$A$2:$U$21,21,FALSE)</f>
        <v>0.94082180175091779</v>
      </c>
      <c r="D28" s="26">
        <f>IFERROR(VLOOKUP(A28,Fixture_Engine!$D$2:$J$21,7,FALSE),"")</f>
        <v>1.5903534900875227</v>
      </c>
      <c r="E28" s="26">
        <f>IFERROR(VLOOKUP(A28,Fixture_Engine!$D$2:$H$21,5,FALSE),"")</f>
        <v>1.3389083486117508</v>
      </c>
      <c r="F28" s="26">
        <f t="shared" si="0"/>
        <v>0.2514451414757719</v>
      </c>
    </row>
    <row r="29" spans="1:9" ht="15">
      <c r="A29" s="2" t="s">
        <v>53</v>
      </c>
      <c r="B29" s="60">
        <f>VLOOKUP(A29,Team_26_27!$A$2:$U$21,20,FALSE)</f>
        <v>1.1914799472792317</v>
      </c>
      <c r="C29" s="60">
        <f>VLOOKUP(A29,Team_26_27!$A$2:$U$21,21,FALSE)</f>
        <v>0.9076861526875647</v>
      </c>
      <c r="D29" s="60">
        <f>IFERROR(VLOOKUP(A29,Fixture_Engine!$D$2:$J$21,7,FALSE),"")</f>
        <v>2.1387927682342065</v>
      </c>
      <c r="E29" s="26">
        <f>IFERROR(VLOOKUP(A29,Fixture_Engine!$D$2:$H$21,5,FALSE),"")</f>
        <v>1.9016714507436692</v>
      </c>
      <c r="F29" s="60">
        <f t="shared" si="0"/>
        <v>0.23712131749053733</v>
      </c>
      <c r="G29" s="2"/>
      <c r="H29" s="2"/>
      <c r="I29" s="2"/>
    </row>
    <row r="30" spans="1:9" ht="15">
      <c r="A30" s="4" t="s">
        <v>54</v>
      </c>
      <c r="B30" s="61">
        <f>VLOOKUP(A30,Team_26_27!$A$2:$U$21,20,FALSE)</f>
        <v>1.160666541141028</v>
      </c>
      <c r="C30" s="61">
        <f>VLOOKUP(A30,Team_26_27!$A$2:$U$21,21,FALSE)</f>
        <v>0.94049703473595025</v>
      </c>
      <c r="D30" s="61">
        <f>IFERROR(VLOOKUP(A30,Fixture_Engine!$D$2:$J$21,7,FALSE),"")</f>
        <v>1.9843123696263989</v>
      </c>
      <c r="E30" s="26">
        <f>IFERROR(VLOOKUP(A30,Fixture_Engine!$D$2:$H$21,5,FALSE),"")</f>
        <v>1.99425372757737</v>
      </c>
      <c r="F30" s="61">
        <f t="shared" si="0"/>
        <v>-9.9413579509710637E-3</v>
      </c>
      <c r="G30" s="4"/>
      <c r="H30" s="4"/>
      <c r="I30" s="4"/>
    </row>
    <row r="31" spans="1:9">
      <c r="A31" t="s">
        <v>55</v>
      </c>
      <c r="B31" s="26">
        <f>VLOOKUP(A31,Team_26_27!$A$2:$U$21,20,FALSE)</f>
        <v>1.0413199020900019</v>
      </c>
      <c r="C31" s="26">
        <f>VLOOKUP(A31,Team_26_27!$A$2:$U$21,21,FALSE)</f>
        <v>0.98120587404687931</v>
      </c>
      <c r="D31" s="26">
        <f>IFERROR(VLOOKUP(A31,Fixture_Engine!$D$2:$J$21,7,FALSE),"")</f>
        <v>1.1006915106715305</v>
      </c>
      <c r="E31" s="26">
        <f>IFERROR(VLOOKUP(A31,Fixture_Engine!$D$2:$H$21,5,FALSE),"")</f>
        <v>1.5061801912743946</v>
      </c>
      <c r="F31" s="26">
        <f t="shared" si="0"/>
        <v>-0.40548868060286414</v>
      </c>
      <c r="I31" s="5"/>
    </row>
    <row r="32" spans="1:9">
      <c r="A32" t="s">
        <v>56</v>
      </c>
      <c r="B32" s="26">
        <f>VLOOKUP(A32,Team_26_27!$A$2:$U$21,20,FALSE)</f>
        <v>0.92636979853135004</v>
      </c>
      <c r="C32" s="26">
        <f>VLOOKUP(A32,Team_26_27!$A$2:$U$21,21,FALSE)</f>
        <v>1.0433352160406664</v>
      </c>
      <c r="D32" s="26">
        <f>IFERROR(VLOOKUP(A32,Fixture_Engine!$D$2:$J$21,7,FALSE),"")</f>
        <v>1.2669809751991843</v>
      </c>
      <c r="E32" s="26">
        <f>IFERROR(VLOOKUP(A32,Fixture_Engine!$D$2:$H$21,5,FALSE),"")</f>
        <v>1.4727149786832938</v>
      </c>
      <c r="F32" s="26">
        <f t="shared" si="0"/>
        <v>-0.20573400348410953</v>
      </c>
      <c r="I32" s="5"/>
    </row>
    <row r="33" spans="1:12">
      <c r="A33" t="s">
        <v>57</v>
      </c>
      <c r="B33" s="26">
        <f>VLOOKUP(A33,Team_26_27!$A$2:$U$21,20,FALSE)</f>
        <v>0.82720768216908303</v>
      </c>
      <c r="C33" s="26">
        <f>VLOOKUP(A33,Team_26_27!$A$2:$U$21,21,FALSE)</f>
        <v>0.98925915466440728</v>
      </c>
      <c r="D33" s="26">
        <f>IFERROR(VLOOKUP(A33,Fixture_Engine!$D$2:$J$21,7,FALSE),"")</f>
        <v>1.2818599603231151</v>
      </c>
      <c r="E33" s="26">
        <f>IFERROR(VLOOKUP(A33,Fixture_Engine!$D$2:$H$21,5,FALSE),"")</f>
        <v>1.0581395510486182</v>
      </c>
      <c r="F33" s="26">
        <f t="shared" si="0"/>
        <v>0.22372040927449688</v>
      </c>
      <c r="I33" s="5"/>
    </row>
    <row r="34" spans="1:12">
      <c r="A34" t="s">
        <v>58</v>
      </c>
      <c r="B34" s="26">
        <f>VLOOKUP(A34,Team_26_27!$A$2:$U$21,20,FALSE)</f>
        <v>0.81270947090943335</v>
      </c>
      <c r="C34" s="26">
        <f>VLOOKUP(A34,Team_26_27!$A$2:$U$21,21,FALSE)</f>
        <v>1.0169349524616398</v>
      </c>
      <c r="D34" s="26">
        <f>IFERROR(VLOOKUP(A34,Fixture_Engine!$D$2:$J$21,7,FALSE),"")</f>
        <v>1.1347601803060365</v>
      </c>
      <c r="E34" s="26">
        <f>IFERROR(VLOOKUP(A34,Fixture_Engine!$D$2:$H$21,5,FALSE),"")</f>
        <v>1.261143007962503</v>
      </c>
      <c r="F34" s="26">
        <f t="shared" si="0"/>
        <v>-0.12638282765646647</v>
      </c>
      <c r="I34" s="5"/>
    </row>
    <row r="35" spans="1:12">
      <c r="D35" s="5"/>
      <c r="I35" s="5"/>
    </row>
    <row r="36" spans="1:12">
      <c r="D36" s="5"/>
      <c r="I36" s="5"/>
    </row>
    <row r="37" spans="1:12" ht="96">
      <c r="A37" s="54" t="s">
        <v>59</v>
      </c>
      <c r="B37" s="54"/>
      <c r="C37" s="54"/>
      <c r="D37" s="55"/>
      <c r="E37" s="54"/>
      <c r="F37" s="54"/>
      <c r="G37" s="54"/>
      <c r="H37" s="54"/>
      <c r="I37" s="55"/>
      <c r="J37" s="54"/>
      <c r="K37" s="54"/>
      <c r="L37" s="54"/>
    </row>
    <row r="38" spans="1:12">
      <c r="D38" s="5"/>
      <c r="I38" s="5"/>
    </row>
    <row r="39" spans="1:12">
      <c r="D39" s="5"/>
      <c r="I39" s="5"/>
    </row>
    <row r="40" spans="1:12">
      <c r="D40" s="5"/>
      <c r="I40" s="5"/>
    </row>
    <row r="41" spans="1:12">
      <c r="D41" s="5"/>
      <c r="I41" s="5"/>
    </row>
    <row r="42" spans="1:12">
      <c r="D42" s="5"/>
      <c r="I42" s="5"/>
    </row>
    <row r="45" spans="1:12" ht="15">
      <c r="A45" s="6"/>
      <c r="B45" s="6"/>
      <c r="C45" s="6"/>
      <c r="D45" s="6"/>
      <c r="E45" s="6"/>
      <c r="F45" s="6"/>
      <c r="G45" s="6"/>
      <c r="H45" s="6"/>
      <c r="I45" s="6"/>
      <c r="J45" s="6"/>
    </row>
    <row r="50" spans="1:12" ht="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8"/>
  <sheetViews>
    <sheetView workbookViewId="0"/>
  </sheetViews>
  <sheetFormatPr baseColWidth="10" defaultColWidth="8.83203125" defaultRowHeight="14"/>
  <cols>
    <col min="1" max="1" width="9" customWidth="1"/>
    <col min="2" max="2" width="10" customWidth="1"/>
    <col min="3" max="3" width="17" customWidth="1"/>
    <col min="4" max="4" width="24" customWidth="1"/>
    <col min="5" max="5" width="18" customWidth="1"/>
    <col min="6" max="6" width="9" customWidth="1"/>
    <col min="7" max="11" width="11" customWidth="1"/>
    <col min="12" max="12" width="14" customWidth="1"/>
    <col min="13" max="14" width="13" customWidth="1"/>
    <col min="15" max="16" width="15" customWidth="1"/>
    <col min="17" max="18" width="14" customWidth="1"/>
    <col min="19" max="19" width="10" customWidth="1"/>
    <col min="20" max="20" width="13" customWidth="1"/>
    <col min="21" max="21" width="40" customWidth="1"/>
    <col min="22" max="22" width="12" customWidth="1"/>
    <col min="23" max="23" width="11" customWidth="1"/>
    <col min="24" max="24" width="32" customWidth="1"/>
  </cols>
  <sheetData>
    <row r="1" spans="1:24" ht="15">
      <c r="A1" s="3" t="s">
        <v>60</v>
      </c>
      <c r="B1" s="3" t="s">
        <v>61</v>
      </c>
      <c r="C1" s="3" t="s">
        <v>62</v>
      </c>
      <c r="D1" s="3" t="s">
        <v>63</v>
      </c>
      <c r="E1" s="3" t="s">
        <v>33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78</v>
      </c>
      <c r="U1" s="3" t="s">
        <v>79</v>
      </c>
      <c r="V1" s="3" t="s">
        <v>80</v>
      </c>
      <c r="W1" s="3" t="s">
        <v>81</v>
      </c>
      <c r="X1" s="3" t="s">
        <v>82</v>
      </c>
    </row>
    <row r="2" spans="1:24" ht="15">
      <c r="A2" s="7">
        <v>1</v>
      </c>
      <c r="B2" s="7">
        <v>154561</v>
      </c>
      <c r="C2" s="7" t="s">
        <v>83</v>
      </c>
      <c r="D2" s="7" t="s">
        <v>84</v>
      </c>
      <c r="E2" s="7" t="s">
        <v>39</v>
      </c>
      <c r="F2" s="7" t="s">
        <v>85</v>
      </c>
      <c r="G2" s="11">
        <v>6</v>
      </c>
      <c r="H2" s="11">
        <v>6</v>
      </c>
      <c r="I2" s="7"/>
      <c r="J2" s="7"/>
      <c r="K2" s="7"/>
      <c r="L2" s="7" t="s">
        <v>86</v>
      </c>
      <c r="M2" s="8" t="b">
        <v>0</v>
      </c>
      <c r="N2" s="8" t="b">
        <v>0</v>
      </c>
      <c r="O2" s="7" t="s">
        <v>87</v>
      </c>
      <c r="P2" s="7" t="s">
        <v>88</v>
      </c>
      <c r="Q2" s="8" t="b">
        <v>0</v>
      </c>
      <c r="R2" s="8" t="b">
        <v>0</v>
      </c>
      <c r="S2" s="7" t="s">
        <v>89</v>
      </c>
      <c r="T2" s="12"/>
      <c r="U2" s="28"/>
      <c r="V2" s="29">
        <v>0.307</v>
      </c>
      <c r="W2" s="30" t="b">
        <v>1</v>
      </c>
      <c r="X2" s="28" t="s">
        <v>90</v>
      </c>
    </row>
    <row r="3" spans="1:24" ht="15">
      <c r="A3" s="7">
        <v>2</v>
      </c>
      <c r="B3" s="7">
        <v>109745</v>
      </c>
      <c r="C3" s="7" t="s">
        <v>91</v>
      </c>
      <c r="D3" s="7" t="s">
        <v>92</v>
      </c>
      <c r="E3" s="7" t="s">
        <v>39</v>
      </c>
      <c r="F3" s="7" t="s">
        <v>85</v>
      </c>
      <c r="G3" s="11">
        <v>5</v>
      </c>
      <c r="H3" s="11">
        <v>5</v>
      </c>
      <c r="I3" s="7"/>
      <c r="J3" s="7"/>
      <c r="K3" s="7"/>
      <c r="L3" s="7" t="s">
        <v>93</v>
      </c>
      <c r="M3" s="8" t="b">
        <v>0</v>
      </c>
      <c r="N3" s="8" t="b">
        <v>0</v>
      </c>
      <c r="O3" s="7" t="s">
        <v>87</v>
      </c>
      <c r="P3" s="7" t="s">
        <v>88</v>
      </c>
      <c r="Q3" s="8" t="b">
        <v>0</v>
      </c>
      <c r="R3" s="8" t="b">
        <v>0</v>
      </c>
      <c r="S3" s="7" t="s">
        <v>89</v>
      </c>
      <c r="T3" s="12"/>
      <c r="U3" s="28"/>
      <c r="V3" s="29">
        <v>2E-3</v>
      </c>
      <c r="W3" s="30" t="b">
        <v>1</v>
      </c>
      <c r="X3" s="28" t="s">
        <v>90</v>
      </c>
    </row>
    <row r="4" spans="1:24" ht="15">
      <c r="A4" s="7">
        <v>3</v>
      </c>
      <c r="B4" s="7">
        <v>437495</v>
      </c>
      <c r="C4" s="7" t="s">
        <v>94</v>
      </c>
      <c r="D4" s="7" t="s">
        <v>95</v>
      </c>
      <c r="E4" s="7" t="s">
        <v>39</v>
      </c>
      <c r="F4" s="7" t="s">
        <v>85</v>
      </c>
      <c r="G4" s="11">
        <v>5</v>
      </c>
      <c r="H4" s="11">
        <v>5</v>
      </c>
      <c r="I4" s="7"/>
      <c r="J4" s="7"/>
      <c r="K4" s="7"/>
      <c r="L4" s="7" t="s">
        <v>96</v>
      </c>
      <c r="M4" s="8" t="b">
        <v>1</v>
      </c>
      <c r="N4" s="8" t="b">
        <v>0</v>
      </c>
      <c r="O4" s="7" t="s">
        <v>87</v>
      </c>
      <c r="P4" s="7" t="s">
        <v>88</v>
      </c>
      <c r="Q4" s="8" t="b">
        <v>0</v>
      </c>
      <c r="R4" s="8" t="b">
        <v>0</v>
      </c>
      <c r="S4" s="7" t="s">
        <v>89</v>
      </c>
      <c r="T4" s="12"/>
      <c r="U4" s="28"/>
      <c r="V4" s="29">
        <v>1E-3</v>
      </c>
      <c r="W4" s="30" t="b">
        <v>1</v>
      </c>
      <c r="X4" s="28" t="s">
        <v>90</v>
      </c>
    </row>
    <row r="5" spans="1:24" ht="15">
      <c r="A5" s="7">
        <v>4</v>
      </c>
      <c r="B5" s="7">
        <v>226597</v>
      </c>
      <c r="C5" s="7" t="s">
        <v>97</v>
      </c>
      <c r="D5" s="7" t="s">
        <v>98</v>
      </c>
      <c r="E5" s="7" t="s">
        <v>39</v>
      </c>
      <c r="F5" s="7" t="s">
        <v>99</v>
      </c>
      <c r="G5" s="11">
        <v>8</v>
      </c>
      <c r="H5" s="11">
        <v>8</v>
      </c>
      <c r="I5" s="7"/>
      <c r="J5" s="7"/>
      <c r="K5" s="7"/>
      <c r="L5" s="7" t="s">
        <v>100</v>
      </c>
      <c r="M5" s="8" t="b">
        <v>0</v>
      </c>
      <c r="N5" s="8" t="b">
        <v>0</v>
      </c>
      <c r="O5" s="7" t="s">
        <v>87</v>
      </c>
      <c r="P5" s="7" t="s">
        <v>88</v>
      </c>
      <c r="Q5" s="8" t="b">
        <v>0</v>
      </c>
      <c r="R5" s="8" t="b">
        <v>0</v>
      </c>
      <c r="S5" s="7" t="s">
        <v>89</v>
      </c>
      <c r="T5" s="12"/>
      <c r="U5" s="28"/>
      <c r="V5" s="29">
        <v>0.25900000000000001</v>
      </c>
      <c r="W5" s="30" t="b">
        <v>1</v>
      </c>
      <c r="X5" s="28" t="s">
        <v>90</v>
      </c>
    </row>
    <row r="6" spans="1:24" ht="15">
      <c r="A6" s="7">
        <v>5</v>
      </c>
      <c r="B6" s="7">
        <v>445122</v>
      </c>
      <c r="C6" s="7" t="s">
        <v>101</v>
      </c>
      <c r="D6" s="7" t="s">
        <v>102</v>
      </c>
      <c r="E6" s="7" t="s">
        <v>39</v>
      </c>
      <c r="F6" s="7" t="s">
        <v>99</v>
      </c>
      <c r="G6" s="11">
        <v>6.5</v>
      </c>
      <c r="H6" s="11">
        <v>6.5</v>
      </c>
      <c r="I6" s="7"/>
      <c r="J6" s="7"/>
      <c r="K6" s="7"/>
      <c r="L6" s="7" t="s">
        <v>103</v>
      </c>
      <c r="M6" s="8" t="b">
        <v>0</v>
      </c>
      <c r="N6" s="8" t="b">
        <v>0</v>
      </c>
      <c r="O6" s="7" t="s">
        <v>87</v>
      </c>
      <c r="P6" s="7" t="s">
        <v>88</v>
      </c>
      <c r="Q6" s="8" t="b">
        <v>0</v>
      </c>
      <c r="R6" s="8" t="b">
        <v>0</v>
      </c>
      <c r="S6" s="7" t="s">
        <v>104</v>
      </c>
      <c r="T6" s="12">
        <v>0</v>
      </c>
      <c r="U6" s="28" t="s">
        <v>105</v>
      </c>
      <c r="V6" s="29">
        <v>5.0000000000000001E-3</v>
      </c>
      <c r="W6" s="30" t="b">
        <v>1</v>
      </c>
      <c r="X6" s="28" t="s">
        <v>90</v>
      </c>
    </row>
    <row r="7" spans="1:24" ht="15">
      <c r="A7" s="7">
        <v>6</v>
      </c>
      <c r="B7" s="7">
        <v>462424</v>
      </c>
      <c r="C7" s="7" t="s">
        <v>106</v>
      </c>
      <c r="D7" s="7" t="s">
        <v>107</v>
      </c>
      <c r="E7" s="7" t="s">
        <v>39</v>
      </c>
      <c r="F7" s="7" t="s">
        <v>99</v>
      </c>
      <c r="G7" s="11">
        <v>6</v>
      </c>
      <c r="H7" s="11">
        <v>6</v>
      </c>
      <c r="I7" s="7"/>
      <c r="J7" s="7"/>
      <c r="K7" s="7"/>
      <c r="L7" s="7" t="s">
        <v>108</v>
      </c>
      <c r="M7" s="8" t="b">
        <v>0</v>
      </c>
      <c r="N7" s="8" t="b">
        <v>0</v>
      </c>
      <c r="O7" s="7" t="s">
        <v>87</v>
      </c>
      <c r="P7" s="7" t="s">
        <v>88</v>
      </c>
      <c r="Q7" s="8" t="b">
        <v>0</v>
      </c>
      <c r="R7" s="8" t="b">
        <v>0</v>
      </c>
      <c r="S7" s="7" t="s">
        <v>104</v>
      </c>
      <c r="T7" s="12">
        <v>0</v>
      </c>
      <c r="U7" s="28" t="s">
        <v>109</v>
      </c>
      <c r="V7" s="29">
        <v>5.0000000000000001E-3</v>
      </c>
      <c r="W7" s="30" t="b">
        <v>1</v>
      </c>
      <c r="X7" s="28" t="s">
        <v>90</v>
      </c>
    </row>
    <row r="8" spans="1:24" ht="15">
      <c r="A8" s="7">
        <v>7</v>
      </c>
      <c r="B8" s="7">
        <v>499169</v>
      </c>
      <c r="C8" s="7" t="s">
        <v>110</v>
      </c>
      <c r="D8" s="7" t="s">
        <v>111</v>
      </c>
      <c r="E8" s="7" t="s">
        <v>39</v>
      </c>
      <c r="F8" s="7" t="s">
        <v>112</v>
      </c>
      <c r="G8" s="11">
        <v>5.5</v>
      </c>
      <c r="H8" s="11">
        <v>5.5</v>
      </c>
      <c r="I8" s="7"/>
      <c r="J8" s="7"/>
      <c r="K8" s="7"/>
      <c r="L8" s="7" t="s">
        <v>113</v>
      </c>
      <c r="M8" s="8" t="b">
        <v>0</v>
      </c>
      <c r="N8" s="8" t="b">
        <v>0</v>
      </c>
      <c r="O8" s="7" t="s">
        <v>87</v>
      </c>
      <c r="P8" s="7" t="s">
        <v>88</v>
      </c>
      <c r="Q8" s="8" t="b">
        <v>0</v>
      </c>
      <c r="R8" s="8" t="b">
        <v>0</v>
      </c>
      <c r="S8" s="7" t="s">
        <v>89</v>
      </c>
      <c r="T8" s="12"/>
      <c r="U8" s="28"/>
      <c r="V8" s="29">
        <v>3.0000000000000001E-3</v>
      </c>
      <c r="W8" s="30" t="b">
        <v>1</v>
      </c>
      <c r="X8" s="28" t="s">
        <v>90</v>
      </c>
    </row>
    <row r="9" spans="1:24" ht="15">
      <c r="A9" s="7">
        <v>8</v>
      </c>
      <c r="B9" s="7">
        <v>466075</v>
      </c>
      <c r="C9" s="7" t="s">
        <v>114</v>
      </c>
      <c r="D9" s="7" t="s">
        <v>115</v>
      </c>
      <c r="E9" s="7" t="s">
        <v>39</v>
      </c>
      <c r="F9" s="7" t="s">
        <v>99</v>
      </c>
      <c r="G9" s="11">
        <v>5.5</v>
      </c>
      <c r="H9" s="11">
        <v>5.5</v>
      </c>
      <c r="I9" s="7"/>
      <c r="J9" s="7"/>
      <c r="K9" s="7"/>
      <c r="L9" s="7" t="s">
        <v>116</v>
      </c>
      <c r="M9" s="8" t="b">
        <v>0</v>
      </c>
      <c r="N9" s="8" t="b">
        <v>0</v>
      </c>
      <c r="O9" s="7" t="s">
        <v>87</v>
      </c>
      <c r="P9" s="7" t="s">
        <v>88</v>
      </c>
      <c r="Q9" s="8" t="b">
        <v>0</v>
      </c>
      <c r="R9" s="8" t="b">
        <v>0</v>
      </c>
      <c r="S9" s="7" t="s">
        <v>89</v>
      </c>
      <c r="T9" s="12"/>
      <c r="U9" s="28"/>
      <c r="V9" s="29">
        <v>0.153</v>
      </c>
      <c r="W9" s="30" t="b">
        <v>1</v>
      </c>
      <c r="X9" s="28" t="s">
        <v>90</v>
      </c>
    </row>
    <row r="10" spans="1:24" ht="15">
      <c r="A10" s="7">
        <v>9</v>
      </c>
      <c r="B10" s="7">
        <v>448104</v>
      </c>
      <c r="C10" s="7" t="s">
        <v>117</v>
      </c>
      <c r="D10" s="7" t="s">
        <v>118</v>
      </c>
      <c r="E10" s="7" t="s">
        <v>39</v>
      </c>
      <c r="F10" s="7" t="s">
        <v>99</v>
      </c>
      <c r="G10" s="11">
        <v>5.5</v>
      </c>
      <c r="H10" s="11">
        <v>5.5</v>
      </c>
      <c r="I10" s="7"/>
      <c r="J10" s="7"/>
      <c r="K10" s="7"/>
      <c r="L10" s="7" t="s">
        <v>119</v>
      </c>
      <c r="M10" s="8" t="b">
        <v>1</v>
      </c>
      <c r="N10" s="8" t="b">
        <v>0</v>
      </c>
      <c r="O10" s="7" t="s">
        <v>87</v>
      </c>
      <c r="P10" s="7" t="s">
        <v>88</v>
      </c>
      <c r="Q10" s="8" t="b">
        <v>0</v>
      </c>
      <c r="R10" s="8" t="b">
        <v>0</v>
      </c>
      <c r="S10" s="7" t="s">
        <v>89</v>
      </c>
      <c r="T10" s="12"/>
      <c r="U10" s="28"/>
      <c r="V10" s="29">
        <v>4.4000000000000004E-2</v>
      </c>
      <c r="W10" s="30" t="b">
        <v>1</v>
      </c>
      <c r="X10" s="28" t="s">
        <v>90</v>
      </c>
    </row>
    <row r="11" spans="1:24" ht="15">
      <c r="A11" s="7">
        <v>10</v>
      </c>
      <c r="B11" s="7">
        <v>198869</v>
      </c>
      <c r="C11" s="7" t="s">
        <v>120</v>
      </c>
      <c r="D11" s="7" t="s">
        <v>121</v>
      </c>
      <c r="E11" s="7" t="s">
        <v>39</v>
      </c>
      <c r="F11" s="7" t="s">
        <v>99</v>
      </c>
      <c r="G11" s="11">
        <v>5.5</v>
      </c>
      <c r="H11" s="11">
        <v>5.5</v>
      </c>
      <c r="I11" s="7"/>
      <c r="J11" s="7"/>
      <c r="K11" s="7"/>
      <c r="L11" s="7" t="s">
        <v>122</v>
      </c>
      <c r="M11" s="8" t="b">
        <v>0</v>
      </c>
      <c r="N11" s="8" t="b">
        <v>0</v>
      </c>
      <c r="O11" s="7" t="s">
        <v>87</v>
      </c>
      <c r="P11" s="7" t="s">
        <v>88</v>
      </c>
      <c r="Q11" s="8" t="b">
        <v>0</v>
      </c>
      <c r="R11" s="8" t="b">
        <v>0</v>
      </c>
      <c r="S11" s="7" t="s">
        <v>89</v>
      </c>
      <c r="T11" s="12">
        <v>100</v>
      </c>
      <c r="U11" s="28"/>
      <c r="V11" s="29">
        <v>2E-3</v>
      </c>
      <c r="W11" s="30" t="b">
        <v>1</v>
      </c>
      <c r="X11" s="28" t="s">
        <v>90</v>
      </c>
    </row>
    <row r="12" spans="1:24" ht="15">
      <c r="A12" s="7">
        <v>11</v>
      </c>
      <c r="B12" s="7">
        <v>500040</v>
      </c>
      <c r="C12" s="7" t="s">
        <v>123</v>
      </c>
      <c r="D12" s="7" t="s">
        <v>124</v>
      </c>
      <c r="E12" s="7" t="s">
        <v>39</v>
      </c>
      <c r="F12" s="7" t="s">
        <v>99</v>
      </c>
      <c r="G12" s="11">
        <v>5.5</v>
      </c>
      <c r="H12" s="11">
        <v>5.5</v>
      </c>
      <c r="I12" s="7"/>
      <c r="J12" s="7"/>
      <c r="K12" s="7"/>
      <c r="L12" s="7" t="s">
        <v>125</v>
      </c>
      <c r="M12" s="8" t="b">
        <v>0</v>
      </c>
      <c r="N12" s="8" t="b">
        <v>0</v>
      </c>
      <c r="O12" s="7" t="s">
        <v>87</v>
      </c>
      <c r="P12" s="7" t="s">
        <v>88</v>
      </c>
      <c r="Q12" s="8" t="b">
        <v>0</v>
      </c>
      <c r="R12" s="8" t="b">
        <v>0</v>
      </c>
      <c r="S12" s="7" t="s">
        <v>89</v>
      </c>
      <c r="T12" s="12"/>
      <c r="U12" s="28"/>
      <c r="V12" s="29">
        <v>0.16899999999999998</v>
      </c>
      <c r="W12" s="30" t="b">
        <v>1</v>
      </c>
      <c r="X12" s="28" t="s">
        <v>90</v>
      </c>
    </row>
    <row r="13" spans="1:24" ht="15">
      <c r="A13" s="7">
        <v>12</v>
      </c>
      <c r="B13" s="7">
        <v>223340</v>
      </c>
      <c r="C13" s="7" t="s">
        <v>126</v>
      </c>
      <c r="D13" s="7" t="s">
        <v>127</v>
      </c>
      <c r="E13" s="7" t="s">
        <v>39</v>
      </c>
      <c r="F13" s="7" t="s">
        <v>112</v>
      </c>
      <c r="G13" s="11">
        <v>9.5</v>
      </c>
      <c r="H13" s="11">
        <v>9.5</v>
      </c>
      <c r="I13" s="7">
        <v>1</v>
      </c>
      <c r="J13" s="7">
        <v>2</v>
      </c>
      <c r="K13" s="7">
        <v>6</v>
      </c>
      <c r="L13" s="7" t="s">
        <v>128</v>
      </c>
      <c r="M13" s="8" t="b">
        <v>0</v>
      </c>
      <c r="N13" s="8" t="b">
        <v>0</v>
      </c>
      <c r="O13" s="7" t="s">
        <v>87</v>
      </c>
      <c r="P13" s="7" t="s">
        <v>88</v>
      </c>
      <c r="Q13" s="8" t="b">
        <v>0</v>
      </c>
      <c r="R13" s="8" t="b">
        <v>0</v>
      </c>
      <c r="S13" s="7" t="s">
        <v>89</v>
      </c>
      <c r="T13" s="12"/>
      <c r="U13" s="28"/>
      <c r="V13" s="29">
        <v>0.106</v>
      </c>
      <c r="W13" s="30" t="b">
        <v>1</v>
      </c>
      <c r="X13" s="28" t="s">
        <v>90</v>
      </c>
    </row>
    <row r="14" spans="1:24" ht="15">
      <c r="A14" s="7">
        <v>13</v>
      </c>
      <c r="B14" s="7">
        <v>204480</v>
      </c>
      <c r="C14" s="7" t="s">
        <v>129</v>
      </c>
      <c r="D14" s="7" t="s">
        <v>130</v>
      </c>
      <c r="E14" s="7" t="s">
        <v>39</v>
      </c>
      <c r="F14" s="7" t="s">
        <v>112</v>
      </c>
      <c r="G14" s="11">
        <v>7.5</v>
      </c>
      <c r="H14" s="11">
        <v>7.5</v>
      </c>
      <c r="I14" s="7"/>
      <c r="J14" s="7">
        <v>1</v>
      </c>
      <c r="K14" s="7">
        <v>5</v>
      </c>
      <c r="L14" s="7" t="s">
        <v>131</v>
      </c>
      <c r="M14" s="8" t="b">
        <v>0</v>
      </c>
      <c r="N14" s="8" t="b">
        <v>0</v>
      </c>
      <c r="O14" s="7" t="s">
        <v>87</v>
      </c>
      <c r="P14" s="7" t="s">
        <v>88</v>
      </c>
      <c r="Q14" s="8" t="b">
        <v>0</v>
      </c>
      <c r="R14" s="8" t="b">
        <v>0</v>
      </c>
      <c r="S14" s="7" t="s">
        <v>89</v>
      </c>
      <c r="T14" s="12"/>
      <c r="U14" s="28"/>
      <c r="V14" s="29">
        <v>0.223</v>
      </c>
      <c r="W14" s="30" t="b">
        <v>1</v>
      </c>
      <c r="X14" s="28" t="s">
        <v>90</v>
      </c>
    </row>
    <row r="15" spans="1:24" ht="15">
      <c r="A15" s="7">
        <v>14</v>
      </c>
      <c r="B15" s="7">
        <v>232413</v>
      </c>
      <c r="C15" s="7" t="s">
        <v>132</v>
      </c>
      <c r="D15" s="7" t="s">
        <v>133</v>
      </c>
      <c r="E15" s="7" t="s">
        <v>39</v>
      </c>
      <c r="F15" s="7" t="s">
        <v>112</v>
      </c>
      <c r="G15" s="11">
        <v>6.5</v>
      </c>
      <c r="H15" s="11">
        <v>6.5</v>
      </c>
      <c r="I15" s="7"/>
      <c r="J15" s="7">
        <v>3</v>
      </c>
      <c r="K15" s="7"/>
      <c r="L15" s="7" t="s">
        <v>134</v>
      </c>
      <c r="M15" s="8" t="b">
        <v>0</v>
      </c>
      <c r="N15" s="8" t="b">
        <v>0</v>
      </c>
      <c r="O15" s="7" t="s">
        <v>87</v>
      </c>
      <c r="P15" s="7" t="s">
        <v>88</v>
      </c>
      <c r="Q15" s="8" t="b">
        <v>0</v>
      </c>
      <c r="R15" s="8" t="b">
        <v>0</v>
      </c>
      <c r="S15" s="7" t="s">
        <v>89</v>
      </c>
      <c r="T15" s="12"/>
      <c r="U15" s="28"/>
      <c r="V15" s="29">
        <v>3.3000000000000002E-2</v>
      </c>
      <c r="W15" s="30" t="b">
        <v>1</v>
      </c>
      <c r="X15" s="28" t="s">
        <v>90</v>
      </c>
    </row>
    <row r="16" spans="1:24" ht="15">
      <c r="A16" s="7">
        <v>15</v>
      </c>
      <c r="B16" s="7">
        <v>184029</v>
      </c>
      <c r="C16" s="7" t="s">
        <v>135</v>
      </c>
      <c r="D16" s="7" t="s">
        <v>136</v>
      </c>
      <c r="E16" s="7" t="s">
        <v>39</v>
      </c>
      <c r="F16" s="7" t="s">
        <v>112</v>
      </c>
      <c r="G16" s="11">
        <v>6.5</v>
      </c>
      <c r="H16" s="11">
        <v>6.5</v>
      </c>
      <c r="I16" s="7">
        <v>3</v>
      </c>
      <c r="J16" s="7"/>
      <c r="K16" s="7">
        <v>8</v>
      </c>
      <c r="L16" s="7" t="s">
        <v>137</v>
      </c>
      <c r="M16" s="8" t="b">
        <v>0</v>
      </c>
      <c r="N16" s="8" t="b">
        <v>0</v>
      </c>
      <c r="O16" s="7" t="s">
        <v>87</v>
      </c>
      <c r="P16" s="7" t="s">
        <v>88</v>
      </c>
      <c r="Q16" s="8" t="b">
        <v>0</v>
      </c>
      <c r="R16" s="8" t="b">
        <v>0</v>
      </c>
      <c r="S16" s="7" t="s">
        <v>89</v>
      </c>
      <c r="T16" s="12"/>
      <c r="U16" s="28"/>
      <c r="V16" s="29">
        <v>0.03</v>
      </c>
      <c r="W16" s="30" t="b">
        <v>1</v>
      </c>
      <c r="X16" s="28" t="s">
        <v>90</v>
      </c>
    </row>
    <row r="17" spans="1:24" ht="15">
      <c r="A17" s="7">
        <v>16</v>
      </c>
      <c r="B17" s="7">
        <v>248857</v>
      </c>
      <c r="C17" s="7" t="s">
        <v>138</v>
      </c>
      <c r="D17" s="7" t="s">
        <v>139</v>
      </c>
      <c r="E17" s="7" t="s">
        <v>39</v>
      </c>
      <c r="F17" s="7" t="s">
        <v>112</v>
      </c>
      <c r="G17" s="11">
        <v>6.5</v>
      </c>
      <c r="H17" s="11">
        <v>6.5</v>
      </c>
      <c r="I17" s="7"/>
      <c r="J17" s="7"/>
      <c r="K17" s="7">
        <v>7</v>
      </c>
      <c r="L17" s="7" t="s">
        <v>140</v>
      </c>
      <c r="M17" s="8" t="b">
        <v>0</v>
      </c>
      <c r="N17" s="8" t="b">
        <v>0</v>
      </c>
      <c r="O17" s="7" t="s">
        <v>87</v>
      </c>
      <c r="P17" s="7" t="s">
        <v>88</v>
      </c>
      <c r="Q17" s="8" t="b">
        <v>0</v>
      </c>
      <c r="R17" s="8" t="b">
        <v>0</v>
      </c>
      <c r="S17" s="7" t="s">
        <v>89</v>
      </c>
      <c r="T17" s="12"/>
      <c r="U17" s="28"/>
      <c r="V17" s="29">
        <v>4.0000000000000001E-3</v>
      </c>
      <c r="W17" s="30" t="b">
        <v>1</v>
      </c>
      <c r="X17" s="28" t="s">
        <v>90</v>
      </c>
    </row>
    <row r="18" spans="1:24" ht="15">
      <c r="A18" s="7">
        <v>17</v>
      </c>
      <c r="B18" s="7">
        <v>195384</v>
      </c>
      <c r="C18" s="7" t="s">
        <v>141</v>
      </c>
      <c r="D18" s="7" t="s">
        <v>142</v>
      </c>
      <c r="E18" s="7" t="s">
        <v>39</v>
      </c>
      <c r="F18" s="7" t="s">
        <v>112</v>
      </c>
      <c r="G18" s="11">
        <v>6</v>
      </c>
      <c r="H18" s="11">
        <v>6</v>
      </c>
      <c r="I18" s="7"/>
      <c r="J18" s="7"/>
      <c r="K18" s="7"/>
      <c r="L18" s="7" t="s">
        <v>143</v>
      </c>
      <c r="M18" s="8" t="b">
        <v>0</v>
      </c>
      <c r="N18" s="8" t="b">
        <v>0</v>
      </c>
      <c r="O18" s="7" t="s">
        <v>87</v>
      </c>
      <c r="P18" s="7" t="s">
        <v>88</v>
      </c>
      <c r="Q18" s="8" t="b">
        <v>0</v>
      </c>
      <c r="R18" s="8" t="b">
        <v>0</v>
      </c>
      <c r="S18" s="7" t="s">
        <v>89</v>
      </c>
      <c r="T18" s="12"/>
      <c r="U18" s="28"/>
      <c r="V18" s="29">
        <v>1.2E-2</v>
      </c>
      <c r="W18" s="30" t="b">
        <v>1</v>
      </c>
      <c r="X18" s="28" t="s">
        <v>90</v>
      </c>
    </row>
    <row r="19" spans="1:24" ht="15">
      <c r="A19" s="7">
        <v>18</v>
      </c>
      <c r="B19" s="7">
        <v>444145</v>
      </c>
      <c r="C19" s="7" t="s">
        <v>144</v>
      </c>
      <c r="D19" s="7" t="s">
        <v>145</v>
      </c>
      <c r="E19" s="7" t="s">
        <v>39</v>
      </c>
      <c r="F19" s="7" t="s">
        <v>112</v>
      </c>
      <c r="G19" s="11">
        <v>6.5</v>
      </c>
      <c r="H19" s="11">
        <v>6.5</v>
      </c>
      <c r="I19" s="7"/>
      <c r="J19" s="7"/>
      <c r="K19" s="7"/>
      <c r="L19" s="7" t="s">
        <v>146</v>
      </c>
      <c r="M19" s="8" t="b">
        <v>0</v>
      </c>
      <c r="N19" s="8" t="b">
        <v>0</v>
      </c>
      <c r="O19" s="7" t="s">
        <v>87</v>
      </c>
      <c r="P19" s="7" t="s">
        <v>88</v>
      </c>
      <c r="Q19" s="8" t="b">
        <v>0</v>
      </c>
      <c r="R19" s="8" t="b">
        <v>0</v>
      </c>
      <c r="S19" s="7" t="s">
        <v>89</v>
      </c>
      <c r="T19" s="12"/>
      <c r="U19" s="28"/>
      <c r="V19" s="29">
        <v>3.0000000000000001E-3</v>
      </c>
      <c r="W19" s="30" t="b">
        <v>1</v>
      </c>
      <c r="X19" s="28" t="s">
        <v>90</v>
      </c>
    </row>
    <row r="20" spans="1:24" ht="15">
      <c r="A20" s="7">
        <v>19</v>
      </c>
      <c r="B20" s="7">
        <v>481655</v>
      </c>
      <c r="C20" s="7" t="s">
        <v>147</v>
      </c>
      <c r="D20" s="7" t="s">
        <v>148</v>
      </c>
      <c r="E20" s="7" t="s">
        <v>39</v>
      </c>
      <c r="F20" s="7" t="s">
        <v>112</v>
      </c>
      <c r="G20" s="11">
        <v>5.5</v>
      </c>
      <c r="H20" s="11">
        <v>5.5</v>
      </c>
      <c r="I20" s="7"/>
      <c r="J20" s="7"/>
      <c r="K20" s="7"/>
      <c r="L20" s="7" t="s">
        <v>149</v>
      </c>
      <c r="M20" s="8" t="b">
        <v>0</v>
      </c>
      <c r="N20" s="8" t="b">
        <v>0</v>
      </c>
      <c r="O20" s="7" t="s">
        <v>87</v>
      </c>
      <c r="P20" s="7" t="s">
        <v>88</v>
      </c>
      <c r="Q20" s="8" t="b">
        <v>0</v>
      </c>
      <c r="R20" s="8" t="b">
        <v>0</v>
      </c>
      <c r="S20" s="7" t="s">
        <v>89</v>
      </c>
      <c r="T20" s="12"/>
      <c r="U20" s="28"/>
      <c r="V20" s="29">
        <v>1.4999999999999999E-2</v>
      </c>
      <c r="W20" s="30" t="b">
        <v>1</v>
      </c>
      <c r="X20" s="28" t="s">
        <v>90</v>
      </c>
    </row>
    <row r="21" spans="1:24" ht="15">
      <c r="A21" s="7">
        <v>20</v>
      </c>
      <c r="B21" s="7">
        <v>616077</v>
      </c>
      <c r="C21" s="7" t="s">
        <v>150</v>
      </c>
      <c r="D21" s="7" t="s">
        <v>151</v>
      </c>
      <c r="E21" s="7" t="s">
        <v>39</v>
      </c>
      <c r="F21" s="7" t="s">
        <v>112</v>
      </c>
      <c r="G21" s="11">
        <v>5.5</v>
      </c>
      <c r="H21" s="11">
        <v>5.5</v>
      </c>
      <c r="I21" s="7"/>
      <c r="J21" s="7"/>
      <c r="K21" s="7"/>
      <c r="L21" s="7" t="s">
        <v>152</v>
      </c>
      <c r="M21" s="8" t="b">
        <v>1</v>
      </c>
      <c r="N21" s="8" t="b">
        <v>0</v>
      </c>
      <c r="O21" s="7" t="s">
        <v>87</v>
      </c>
      <c r="P21" s="7" t="s">
        <v>88</v>
      </c>
      <c r="Q21" s="8" t="b">
        <v>0</v>
      </c>
      <c r="R21" s="8" t="b">
        <v>0</v>
      </c>
      <c r="S21" s="7" t="s">
        <v>89</v>
      </c>
      <c r="T21" s="12"/>
      <c r="U21" s="28"/>
      <c r="V21" s="29">
        <v>2E-3</v>
      </c>
      <c r="W21" s="30" t="b">
        <v>1</v>
      </c>
      <c r="X21" s="28" t="s">
        <v>90</v>
      </c>
    </row>
    <row r="22" spans="1:24" ht="15">
      <c r="A22" s="7">
        <v>21</v>
      </c>
      <c r="B22" s="7">
        <v>128295</v>
      </c>
      <c r="C22" s="7" t="s">
        <v>153</v>
      </c>
      <c r="D22" s="7" t="s">
        <v>154</v>
      </c>
      <c r="E22" s="7" t="s">
        <v>39</v>
      </c>
      <c r="F22" s="7" t="s">
        <v>112</v>
      </c>
      <c r="G22" s="11">
        <v>5</v>
      </c>
      <c r="H22" s="11">
        <v>5</v>
      </c>
      <c r="I22" s="7"/>
      <c r="J22" s="7"/>
      <c r="K22" s="7"/>
      <c r="L22" s="7" t="s">
        <v>155</v>
      </c>
      <c r="M22" s="8" t="b">
        <v>0</v>
      </c>
      <c r="N22" s="8" t="b">
        <v>0</v>
      </c>
      <c r="O22" s="7" t="s">
        <v>87</v>
      </c>
      <c r="P22" s="7" t="s">
        <v>88</v>
      </c>
      <c r="Q22" s="8" t="b">
        <v>0</v>
      </c>
      <c r="R22" s="8" t="b">
        <v>0</v>
      </c>
      <c r="S22" s="7" t="s">
        <v>89</v>
      </c>
      <c r="T22" s="12"/>
      <c r="U22" s="28"/>
      <c r="V22" s="29">
        <v>3.0000000000000001E-3</v>
      </c>
      <c r="W22" s="30" t="b">
        <v>1</v>
      </c>
      <c r="X22" s="28" t="s">
        <v>90</v>
      </c>
    </row>
    <row r="23" spans="1:24" ht="15">
      <c r="A23" s="7">
        <v>22</v>
      </c>
      <c r="B23" s="7">
        <v>499175</v>
      </c>
      <c r="C23" s="7" t="s">
        <v>156</v>
      </c>
      <c r="D23" s="7" t="s">
        <v>157</v>
      </c>
      <c r="E23" s="7" t="s">
        <v>39</v>
      </c>
      <c r="F23" s="7" t="s">
        <v>112</v>
      </c>
      <c r="G23" s="11">
        <v>5.5</v>
      </c>
      <c r="H23" s="11">
        <v>5.5</v>
      </c>
      <c r="I23" s="7"/>
      <c r="J23" s="7"/>
      <c r="K23" s="7"/>
      <c r="L23" s="7" t="s">
        <v>158</v>
      </c>
      <c r="M23" s="8" t="b">
        <v>0</v>
      </c>
      <c r="N23" s="8" t="b">
        <v>0</v>
      </c>
      <c r="O23" s="7" t="s">
        <v>87</v>
      </c>
      <c r="P23" s="7" t="s">
        <v>88</v>
      </c>
      <c r="Q23" s="8" t="b">
        <v>0</v>
      </c>
      <c r="R23" s="8" t="b">
        <v>0</v>
      </c>
      <c r="S23" s="7" t="s">
        <v>89</v>
      </c>
      <c r="T23" s="12"/>
      <c r="U23" s="28"/>
      <c r="V23" s="29">
        <v>0</v>
      </c>
      <c r="W23" s="30" t="b">
        <v>1</v>
      </c>
      <c r="X23" s="28" t="s">
        <v>90</v>
      </c>
    </row>
    <row r="24" spans="1:24" ht="15">
      <c r="A24" s="7">
        <v>23</v>
      </c>
      <c r="B24" s="7">
        <v>438098</v>
      </c>
      <c r="C24" s="7" t="s">
        <v>159</v>
      </c>
      <c r="D24" s="7" t="s">
        <v>160</v>
      </c>
      <c r="E24" s="7" t="s">
        <v>39</v>
      </c>
      <c r="F24" s="7" t="s">
        <v>112</v>
      </c>
      <c r="G24" s="11">
        <v>5.5</v>
      </c>
      <c r="H24" s="11">
        <v>5.5</v>
      </c>
      <c r="I24" s="7"/>
      <c r="J24" s="7"/>
      <c r="K24" s="7"/>
      <c r="L24" s="7" t="s">
        <v>161</v>
      </c>
      <c r="M24" s="8" t="b">
        <v>0</v>
      </c>
      <c r="N24" s="8" t="b">
        <v>0</v>
      </c>
      <c r="O24" s="7" t="s">
        <v>87</v>
      </c>
      <c r="P24" s="7" t="s">
        <v>88</v>
      </c>
      <c r="Q24" s="8" t="b">
        <v>0</v>
      </c>
      <c r="R24" s="8" t="b">
        <v>0</v>
      </c>
      <c r="S24" s="7" t="s">
        <v>89</v>
      </c>
      <c r="T24" s="12"/>
      <c r="U24" s="28"/>
      <c r="V24" s="29">
        <v>0</v>
      </c>
      <c r="W24" s="30" t="b">
        <v>1</v>
      </c>
      <c r="X24" s="28" t="s">
        <v>90</v>
      </c>
    </row>
    <row r="25" spans="1:24" ht="15">
      <c r="A25" s="7">
        <v>24</v>
      </c>
      <c r="B25" s="7">
        <v>200641</v>
      </c>
      <c r="C25" s="7" t="s">
        <v>162</v>
      </c>
      <c r="D25" s="7" t="s">
        <v>163</v>
      </c>
      <c r="E25" s="7" t="s">
        <v>39</v>
      </c>
      <c r="F25" s="7" t="s">
        <v>112</v>
      </c>
      <c r="G25" s="11">
        <v>5.5</v>
      </c>
      <c r="H25" s="11">
        <v>5.5</v>
      </c>
      <c r="I25" s="7"/>
      <c r="J25" s="7"/>
      <c r="K25" s="7"/>
      <c r="L25" s="7" t="s">
        <v>164</v>
      </c>
      <c r="M25" s="8" t="b">
        <v>0</v>
      </c>
      <c r="N25" s="8" t="b">
        <v>0</v>
      </c>
      <c r="O25" s="7" t="s">
        <v>87</v>
      </c>
      <c r="P25" s="7" t="s">
        <v>88</v>
      </c>
      <c r="Q25" s="8" t="b">
        <v>0</v>
      </c>
      <c r="R25" s="8" t="b">
        <v>0</v>
      </c>
      <c r="S25" s="7" t="s">
        <v>89</v>
      </c>
      <c r="T25" s="12"/>
      <c r="U25" s="28"/>
      <c r="V25" s="29">
        <v>0</v>
      </c>
      <c r="W25" s="30" t="b">
        <v>1</v>
      </c>
      <c r="X25" s="28" t="s">
        <v>90</v>
      </c>
    </row>
    <row r="26" spans="1:24" ht="15">
      <c r="A26" s="7">
        <v>25</v>
      </c>
      <c r="B26" s="7">
        <v>224117</v>
      </c>
      <c r="C26" s="7" t="s">
        <v>165</v>
      </c>
      <c r="D26" s="7" t="s">
        <v>166</v>
      </c>
      <c r="E26" s="7" t="s">
        <v>39</v>
      </c>
      <c r="F26" s="7" t="s">
        <v>167</v>
      </c>
      <c r="G26" s="11">
        <v>7.5</v>
      </c>
      <c r="H26" s="11">
        <v>7.5</v>
      </c>
      <c r="I26" s="7">
        <v>2</v>
      </c>
      <c r="J26" s="7"/>
      <c r="K26" s="7"/>
      <c r="L26" s="7" t="s">
        <v>168</v>
      </c>
      <c r="M26" s="8" t="b">
        <v>0</v>
      </c>
      <c r="N26" s="8" t="b">
        <v>0</v>
      </c>
      <c r="O26" s="7" t="s">
        <v>87</v>
      </c>
      <c r="P26" s="7" t="s">
        <v>88</v>
      </c>
      <c r="Q26" s="8" t="b">
        <v>0</v>
      </c>
      <c r="R26" s="8" t="b">
        <v>0</v>
      </c>
      <c r="S26" s="7" t="s">
        <v>89</v>
      </c>
      <c r="T26" s="12"/>
      <c r="U26" s="28"/>
      <c r="V26" s="29">
        <v>0.13</v>
      </c>
      <c r="W26" s="30" t="b">
        <v>1</v>
      </c>
      <c r="X26" s="28" t="s">
        <v>90</v>
      </c>
    </row>
    <row r="27" spans="1:24" ht="15">
      <c r="A27" s="7">
        <v>26</v>
      </c>
      <c r="B27" s="7">
        <v>219847</v>
      </c>
      <c r="C27" s="7" t="s">
        <v>169</v>
      </c>
      <c r="D27" s="7" t="s">
        <v>170</v>
      </c>
      <c r="E27" s="7" t="s">
        <v>39</v>
      </c>
      <c r="F27" s="7" t="s">
        <v>167</v>
      </c>
      <c r="G27" s="11">
        <v>7.5</v>
      </c>
      <c r="H27" s="11">
        <v>7.5</v>
      </c>
      <c r="I27" s="7"/>
      <c r="J27" s="7"/>
      <c r="K27" s="7"/>
      <c r="L27" s="7" t="s">
        <v>171</v>
      </c>
      <c r="M27" s="8" t="b">
        <v>0</v>
      </c>
      <c r="N27" s="8" t="b">
        <v>0</v>
      </c>
      <c r="O27" s="7" t="s">
        <v>87</v>
      </c>
      <c r="P27" s="7" t="s">
        <v>88</v>
      </c>
      <c r="Q27" s="8" t="b">
        <v>0</v>
      </c>
      <c r="R27" s="8" t="b">
        <v>0</v>
      </c>
      <c r="S27" s="7" t="s">
        <v>89</v>
      </c>
      <c r="T27" s="12"/>
      <c r="U27" s="28"/>
      <c r="V27" s="29">
        <v>0.04</v>
      </c>
      <c r="W27" s="30" t="b">
        <v>1</v>
      </c>
      <c r="X27" s="28" t="s">
        <v>90</v>
      </c>
    </row>
    <row r="28" spans="1:24" ht="15">
      <c r="A28" s="7">
        <v>27</v>
      </c>
      <c r="B28" s="7">
        <v>205651</v>
      </c>
      <c r="C28" s="7" t="s">
        <v>172</v>
      </c>
      <c r="D28" s="7" t="s">
        <v>173</v>
      </c>
      <c r="E28" s="7" t="s">
        <v>39</v>
      </c>
      <c r="F28" s="7" t="s">
        <v>167</v>
      </c>
      <c r="G28" s="11">
        <v>6</v>
      </c>
      <c r="H28" s="11">
        <v>6</v>
      </c>
      <c r="I28" s="7"/>
      <c r="J28" s="7"/>
      <c r="K28" s="7"/>
      <c r="L28" s="7" t="s">
        <v>174</v>
      </c>
      <c r="M28" s="8" t="b">
        <v>0</v>
      </c>
      <c r="N28" s="8" t="b">
        <v>0</v>
      </c>
      <c r="O28" s="7" t="s">
        <v>87</v>
      </c>
      <c r="P28" s="7" t="s">
        <v>88</v>
      </c>
      <c r="Q28" s="8" t="b">
        <v>0</v>
      </c>
      <c r="R28" s="8" t="b">
        <v>0</v>
      </c>
      <c r="S28" s="7" t="s">
        <v>89</v>
      </c>
      <c r="T28" s="12"/>
      <c r="U28" s="28"/>
      <c r="V28" s="29">
        <v>4.0000000000000001E-3</v>
      </c>
      <c r="W28" s="30" t="b">
        <v>1</v>
      </c>
      <c r="X28" s="28" t="s">
        <v>90</v>
      </c>
    </row>
    <row r="29" spans="1:24" ht="15">
      <c r="A29" s="7">
        <v>557</v>
      </c>
      <c r="B29" s="7">
        <v>439509</v>
      </c>
      <c r="C29" s="7" t="s">
        <v>175</v>
      </c>
      <c r="D29" s="7" t="s">
        <v>176</v>
      </c>
      <c r="E29" s="7" t="s">
        <v>39</v>
      </c>
      <c r="F29" s="7" t="s">
        <v>112</v>
      </c>
      <c r="G29" s="11">
        <v>6.5</v>
      </c>
      <c r="H29" s="11">
        <v>6.5</v>
      </c>
      <c r="I29" s="7"/>
      <c r="J29" s="7"/>
      <c r="K29" s="7"/>
      <c r="L29" s="7" t="s">
        <v>177</v>
      </c>
      <c r="M29" s="8" t="b">
        <v>1</v>
      </c>
      <c r="N29" s="8" t="b">
        <v>0</v>
      </c>
      <c r="O29" s="7" t="s">
        <v>87</v>
      </c>
      <c r="P29" s="7" t="s">
        <v>88</v>
      </c>
      <c r="Q29" s="8" t="b">
        <v>0</v>
      </c>
      <c r="R29" s="8" t="b">
        <v>0</v>
      </c>
      <c r="S29" s="7" t="s">
        <v>89</v>
      </c>
      <c r="T29" s="12"/>
      <c r="U29" s="28"/>
      <c r="V29" s="29">
        <v>1.7000000000000001E-2</v>
      </c>
      <c r="W29" s="30" t="b">
        <v>1</v>
      </c>
      <c r="X29" s="28" t="s">
        <v>90</v>
      </c>
    </row>
    <row r="30" spans="1:24" ht="15">
      <c r="A30" s="7">
        <v>28</v>
      </c>
      <c r="B30" s="7">
        <v>98980</v>
      </c>
      <c r="C30" s="7" t="s">
        <v>178</v>
      </c>
      <c r="D30" s="7" t="s">
        <v>179</v>
      </c>
      <c r="E30" s="7" t="s">
        <v>40</v>
      </c>
      <c r="F30" s="7" t="s">
        <v>85</v>
      </c>
      <c r="G30" s="11">
        <v>5</v>
      </c>
      <c r="H30" s="11">
        <v>5</v>
      </c>
      <c r="I30" s="7"/>
      <c r="J30" s="7"/>
      <c r="K30" s="7"/>
      <c r="L30" s="7" t="s">
        <v>180</v>
      </c>
      <c r="M30" s="8" t="b">
        <v>0</v>
      </c>
      <c r="N30" s="8" t="b">
        <v>0</v>
      </c>
      <c r="O30" s="7" t="s">
        <v>181</v>
      </c>
      <c r="P30" s="7" t="s">
        <v>182</v>
      </c>
      <c r="Q30" s="8" t="b">
        <v>0</v>
      </c>
      <c r="R30" s="8" t="b">
        <v>0</v>
      </c>
      <c r="S30" s="7" t="s">
        <v>89</v>
      </c>
      <c r="T30" s="12"/>
      <c r="U30" s="28"/>
      <c r="V30" s="29">
        <v>4.5999999999999999E-2</v>
      </c>
      <c r="W30" s="30" t="b">
        <v>1</v>
      </c>
      <c r="X30" s="28" t="s">
        <v>90</v>
      </c>
    </row>
    <row r="31" spans="1:24" ht="15">
      <c r="A31" s="7">
        <v>29</v>
      </c>
      <c r="B31" s="7">
        <v>72147</v>
      </c>
      <c r="C31" s="7" t="s">
        <v>183</v>
      </c>
      <c r="D31" s="7" t="s">
        <v>184</v>
      </c>
      <c r="E31" s="7" t="s">
        <v>40</v>
      </c>
      <c r="F31" s="7" t="s">
        <v>85</v>
      </c>
      <c r="G31" s="11">
        <v>4.5</v>
      </c>
      <c r="H31" s="11">
        <v>4.5</v>
      </c>
      <c r="I31" s="7"/>
      <c r="J31" s="7"/>
      <c r="K31" s="7"/>
      <c r="L31" s="7" t="s">
        <v>185</v>
      </c>
      <c r="M31" s="8" t="b">
        <v>0</v>
      </c>
      <c r="N31" s="8" t="b">
        <v>0</v>
      </c>
      <c r="O31" s="7" t="s">
        <v>181</v>
      </c>
      <c r="P31" s="7" t="s">
        <v>182</v>
      </c>
      <c r="Q31" s="8" t="b">
        <v>0</v>
      </c>
      <c r="R31" s="8" t="b">
        <v>0</v>
      </c>
      <c r="S31" s="7" t="s">
        <v>89</v>
      </c>
      <c r="T31" s="12"/>
      <c r="U31" s="28"/>
      <c r="V31" s="29">
        <v>1E-3</v>
      </c>
      <c r="W31" s="30" t="b">
        <v>1</v>
      </c>
      <c r="X31" s="28" t="s">
        <v>90</v>
      </c>
    </row>
    <row r="32" spans="1:24" ht="15">
      <c r="A32" s="7">
        <v>30</v>
      </c>
      <c r="B32" s="7">
        <v>101188</v>
      </c>
      <c r="C32" s="7" t="s">
        <v>186</v>
      </c>
      <c r="D32" s="7" t="s">
        <v>187</v>
      </c>
      <c r="E32" s="7" t="s">
        <v>40</v>
      </c>
      <c r="F32" s="7" t="s">
        <v>99</v>
      </c>
      <c r="G32" s="11">
        <v>4.5</v>
      </c>
      <c r="H32" s="11">
        <v>4.5</v>
      </c>
      <c r="I32" s="7"/>
      <c r="J32" s="7"/>
      <c r="K32" s="7">
        <v>4</v>
      </c>
      <c r="L32" s="7" t="s">
        <v>188</v>
      </c>
      <c r="M32" s="8" t="b">
        <v>0</v>
      </c>
      <c r="N32" s="8" t="b">
        <v>0</v>
      </c>
      <c r="O32" s="7" t="s">
        <v>181</v>
      </c>
      <c r="P32" s="7" t="s">
        <v>182</v>
      </c>
      <c r="Q32" s="8" t="b">
        <v>0</v>
      </c>
      <c r="R32" s="8" t="b">
        <v>0</v>
      </c>
      <c r="S32" s="7" t="s">
        <v>89</v>
      </c>
      <c r="T32" s="12"/>
      <c r="U32" s="28"/>
      <c r="V32" s="29">
        <v>1.3999999999999999E-2</v>
      </c>
      <c r="W32" s="30" t="b">
        <v>1</v>
      </c>
      <c r="X32" s="28" t="s">
        <v>90</v>
      </c>
    </row>
    <row r="33" spans="1:24" ht="15">
      <c r="A33" s="7">
        <v>31</v>
      </c>
      <c r="B33" s="7">
        <v>199798</v>
      </c>
      <c r="C33" s="7" t="s">
        <v>189</v>
      </c>
      <c r="D33" s="7" t="s">
        <v>190</v>
      </c>
      <c r="E33" s="7" t="s">
        <v>40</v>
      </c>
      <c r="F33" s="7" t="s">
        <v>99</v>
      </c>
      <c r="G33" s="11">
        <v>4.5</v>
      </c>
      <c r="H33" s="11">
        <v>4.5</v>
      </c>
      <c r="I33" s="7"/>
      <c r="J33" s="7"/>
      <c r="K33" s="7"/>
      <c r="L33" s="7" t="s">
        <v>191</v>
      </c>
      <c r="M33" s="8" t="b">
        <v>0</v>
      </c>
      <c r="N33" s="8" t="b">
        <v>0</v>
      </c>
      <c r="O33" s="7" t="s">
        <v>181</v>
      </c>
      <c r="P33" s="7" t="s">
        <v>182</v>
      </c>
      <c r="Q33" s="8" t="b">
        <v>0</v>
      </c>
      <c r="R33" s="8" t="b">
        <v>0</v>
      </c>
      <c r="S33" s="7" t="s">
        <v>89</v>
      </c>
      <c r="T33" s="12"/>
      <c r="U33" s="28"/>
      <c r="V33" s="29">
        <v>0.17399999999999999</v>
      </c>
      <c r="W33" s="30" t="b">
        <v>1</v>
      </c>
      <c r="X33" s="28" t="s">
        <v>90</v>
      </c>
    </row>
    <row r="34" spans="1:24" ht="15">
      <c r="A34" s="7">
        <v>32</v>
      </c>
      <c r="B34" s="7">
        <v>199796</v>
      </c>
      <c r="C34" s="7" t="s">
        <v>192</v>
      </c>
      <c r="D34" s="7" t="s">
        <v>193</v>
      </c>
      <c r="E34" s="7" t="s">
        <v>40</v>
      </c>
      <c r="F34" s="7" t="s">
        <v>99</v>
      </c>
      <c r="G34" s="11">
        <v>4.5</v>
      </c>
      <c r="H34" s="11">
        <v>4.5</v>
      </c>
      <c r="I34" s="7"/>
      <c r="J34" s="7"/>
      <c r="K34" s="7">
        <v>5</v>
      </c>
      <c r="L34" s="7" t="s">
        <v>194</v>
      </c>
      <c r="M34" s="8" t="b">
        <v>0</v>
      </c>
      <c r="N34" s="8" t="b">
        <v>0</v>
      </c>
      <c r="O34" s="7" t="s">
        <v>181</v>
      </c>
      <c r="P34" s="7" t="s">
        <v>182</v>
      </c>
      <c r="Q34" s="8" t="b">
        <v>0</v>
      </c>
      <c r="R34" s="8" t="b">
        <v>0</v>
      </c>
      <c r="S34" s="7" t="s">
        <v>89</v>
      </c>
      <c r="T34" s="12"/>
      <c r="U34" s="28"/>
      <c r="V34" s="29">
        <v>7.8E-2</v>
      </c>
      <c r="W34" s="30" t="b">
        <v>1</v>
      </c>
      <c r="X34" s="28" t="s">
        <v>90</v>
      </c>
    </row>
    <row r="35" spans="1:24" ht="15">
      <c r="A35" s="7">
        <v>33</v>
      </c>
      <c r="B35" s="7">
        <v>149484</v>
      </c>
      <c r="C35" s="7" t="s">
        <v>195</v>
      </c>
      <c r="D35" s="7" t="s">
        <v>196</v>
      </c>
      <c r="E35" s="7" t="s">
        <v>40</v>
      </c>
      <c r="F35" s="7" t="s">
        <v>99</v>
      </c>
      <c r="G35" s="11">
        <v>4.5</v>
      </c>
      <c r="H35" s="11">
        <v>4.5</v>
      </c>
      <c r="I35" s="7"/>
      <c r="J35" s="7"/>
      <c r="K35" s="7"/>
      <c r="L35" s="7" t="s">
        <v>197</v>
      </c>
      <c r="M35" s="8" t="b">
        <v>0</v>
      </c>
      <c r="N35" s="8" t="b">
        <v>0</v>
      </c>
      <c r="O35" s="7" t="s">
        <v>181</v>
      </c>
      <c r="P35" s="7" t="s">
        <v>182</v>
      </c>
      <c r="Q35" s="8" t="b">
        <v>0</v>
      </c>
      <c r="R35" s="8" t="b">
        <v>0</v>
      </c>
      <c r="S35" s="7" t="s">
        <v>89</v>
      </c>
      <c r="T35" s="12"/>
      <c r="U35" s="28"/>
      <c r="V35" s="29">
        <v>2E-3</v>
      </c>
      <c r="W35" s="30" t="b">
        <v>1</v>
      </c>
      <c r="X35" s="28" t="s">
        <v>90</v>
      </c>
    </row>
    <row r="36" spans="1:24" ht="15">
      <c r="A36" s="7">
        <v>34</v>
      </c>
      <c r="B36" s="7">
        <v>244954</v>
      </c>
      <c r="C36" s="7" t="s">
        <v>198</v>
      </c>
      <c r="D36" s="7" t="s">
        <v>199</v>
      </c>
      <c r="E36" s="7" t="s">
        <v>40</v>
      </c>
      <c r="F36" s="7" t="s">
        <v>99</v>
      </c>
      <c r="G36" s="11">
        <v>4.5</v>
      </c>
      <c r="H36" s="11">
        <v>4.5</v>
      </c>
      <c r="I36" s="7"/>
      <c r="J36" s="7"/>
      <c r="K36" s="7"/>
      <c r="L36" s="7" t="s">
        <v>200</v>
      </c>
      <c r="M36" s="8" t="b">
        <v>0</v>
      </c>
      <c r="N36" s="8" t="b">
        <v>0</v>
      </c>
      <c r="O36" s="7" t="s">
        <v>181</v>
      </c>
      <c r="P36" s="7" t="s">
        <v>182</v>
      </c>
      <c r="Q36" s="8" t="b">
        <v>0</v>
      </c>
      <c r="R36" s="8" t="b">
        <v>0</v>
      </c>
      <c r="S36" s="7" t="s">
        <v>89</v>
      </c>
      <c r="T36" s="12"/>
      <c r="U36" s="28"/>
      <c r="V36" s="29">
        <v>2E-3</v>
      </c>
      <c r="W36" s="30" t="b">
        <v>1</v>
      </c>
      <c r="X36" s="28" t="s">
        <v>90</v>
      </c>
    </row>
    <row r="37" spans="1:24" ht="15">
      <c r="A37" s="7">
        <v>35</v>
      </c>
      <c r="B37" s="7">
        <v>515597</v>
      </c>
      <c r="C37" s="7" t="s">
        <v>201</v>
      </c>
      <c r="D37" s="7" t="s">
        <v>202</v>
      </c>
      <c r="E37" s="7" t="s">
        <v>40</v>
      </c>
      <c r="F37" s="7" t="s">
        <v>112</v>
      </c>
      <c r="G37" s="11">
        <v>5</v>
      </c>
      <c r="H37" s="11">
        <v>5</v>
      </c>
      <c r="I37" s="7"/>
      <c r="J37" s="7"/>
      <c r="K37" s="7"/>
      <c r="L37" s="7" t="s">
        <v>203</v>
      </c>
      <c r="M37" s="8" t="b">
        <v>0</v>
      </c>
      <c r="N37" s="8" t="b">
        <v>0</v>
      </c>
      <c r="O37" s="7" t="s">
        <v>181</v>
      </c>
      <c r="P37" s="7" t="s">
        <v>182</v>
      </c>
      <c r="Q37" s="8" t="b">
        <v>0</v>
      </c>
      <c r="R37" s="8" t="b">
        <v>0</v>
      </c>
      <c r="S37" s="7" t="s">
        <v>89</v>
      </c>
      <c r="T37" s="12"/>
      <c r="U37" s="28"/>
      <c r="V37" s="29">
        <v>1E-3</v>
      </c>
      <c r="W37" s="30" t="b">
        <v>1</v>
      </c>
      <c r="X37" s="28" t="s">
        <v>90</v>
      </c>
    </row>
    <row r="38" spans="1:24" ht="15">
      <c r="A38" s="7">
        <v>36</v>
      </c>
      <c r="B38" s="7">
        <v>441302</v>
      </c>
      <c r="C38" s="7" t="s">
        <v>204</v>
      </c>
      <c r="D38" s="7" t="s">
        <v>205</v>
      </c>
      <c r="E38" s="7" t="s">
        <v>40</v>
      </c>
      <c r="F38" s="7" t="s">
        <v>99</v>
      </c>
      <c r="G38" s="11">
        <v>4.5</v>
      </c>
      <c r="H38" s="11">
        <v>4.5</v>
      </c>
      <c r="I38" s="7"/>
      <c r="J38" s="7"/>
      <c r="K38" s="7"/>
      <c r="L38" s="7" t="s">
        <v>206</v>
      </c>
      <c r="M38" s="8" t="b">
        <v>0</v>
      </c>
      <c r="N38" s="8" t="b">
        <v>0</v>
      </c>
      <c r="O38" s="7" t="s">
        <v>181</v>
      </c>
      <c r="P38" s="7" t="s">
        <v>182</v>
      </c>
      <c r="Q38" s="8" t="b">
        <v>0</v>
      </c>
      <c r="R38" s="8" t="b">
        <v>0</v>
      </c>
      <c r="S38" s="7" t="s">
        <v>89</v>
      </c>
      <c r="T38" s="12"/>
      <c r="U38" s="28"/>
      <c r="V38" s="29">
        <v>6.0000000000000001E-3</v>
      </c>
      <c r="W38" s="30" t="b">
        <v>1</v>
      </c>
      <c r="X38" s="28" t="s">
        <v>90</v>
      </c>
    </row>
    <row r="39" spans="1:24" ht="15">
      <c r="A39" s="7">
        <v>37</v>
      </c>
      <c r="B39" s="7">
        <v>184667</v>
      </c>
      <c r="C39" s="7" t="s">
        <v>207</v>
      </c>
      <c r="D39" s="7" t="s">
        <v>208</v>
      </c>
      <c r="E39" s="7" t="s">
        <v>40</v>
      </c>
      <c r="F39" s="7" t="s">
        <v>99</v>
      </c>
      <c r="G39" s="11">
        <v>4.5</v>
      </c>
      <c r="H39" s="11">
        <v>4.5</v>
      </c>
      <c r="I39" s="7"/>
      <c r="J39" s="7"/>
      <c r="K39" s="7"/>
      <c r="L39" s="7" t="s">
        <v>209</v>
      </c>
      <c r="M39" s="8" t="b">
        <v>0</v>
      </c>
      <c r="N39" s="8" t="b">
        <v>0</v>
      </c>
      <c r="O39" s="7" t="s">
        <v>181</v>
      </c>
      <c r="P39" s="7" t="s">
        <v>182</v>
      </c>
      <c r="Q39" s="8" t="b">
        <v>0</v>
      </c>
      <c r="R39" s="8" t="b">
        <v>0</v>
      </c>
      <c r="S39" s="7" t="s">
        <v>89</v>
      </c>
      <c r="T39" s="12"/>
      <c r="U39" s="28"/>
      <c r="V39" s="29">
        <v>2E-3</v>
      </c>
      <c r="W39" s="30" t="b">
        <v>1</v>
      </c>
      <c r="X39" s="28" t="s">
        <v>90</v>
      </c>
    </row>
    <row r="40" spans="1:24" ht="15">
      <c r="A40" s="7">
        <v>38</v>
      </c>
      <c r="B40" s="7">
        <v>606798</v>
      </c>
      <c r="C40" s="7" t="s">
        <v>210</v>
      </c>
      <c r="D40" s="7" t="s">
        <v>211</v>
      </c>
      <c r="E40" s="7" t="s">
        <v>40</v>
      </c>
      <c r="F40" s="7" t="s">
        <v>99</v>
      </c>
      <c r="G40" s="11">
        <v>4</v>
      </c>
      <c r="H40" s="11">
        <v>4</v>
      </c>
      <c r="I40" s="7"/>
      <c r="J40" s="7"/>
      <c r="K40" s="7"/>
      <c r="L40" s="7" t="s">
        <v>152</v>
      </c>
      <c r="M40" s="8" t="b">
        <v>1</v>
      </c>
      <c r="N40" s="8" t="b">
        <v>0</v>
      </c>
      <c r="O40" s="7" t="s">
        <v>181</v>
      </c>
      <c r="P40" s="7" t="s">
        <v>182</v>
      </c>
      <c r="Q40" s="8" t="b">
        <v>0</v>
      </c>
      <c r="R40" s="8" t="b">
        <v>0</v>
      </c>
      <c r="S40" s="7" t="s">
        <v>89</v>
      </c>
      <c r="T40" s="12"/>
      <c r="U40" s="28"/>
      <c r="V40" s="29">
        <v>1.4999999999999999E-2</v>
      </c>
      <c r="W40" s="30" t="b">
        <v>1</v>
      </c>
      <c r="X40" s="28" t="s">
        <v>90</v>
      </c>
    </row>
    <row r="41" spans="1:24" ht="15">
      <c r="A41" s="7">
        <v>39</v>
      </c>
      <c r="B41" s="7">
        <v>578545</v>
      </c>
      <c r="C41" s="7" t="s">
        <v>212</v>
      </c>
      <c r="D41" s="7" t="s">
        <v>213</v>
      </c>
      <c r="E41" s="7" t="s">
        <v>40</v>
      </c>
      <c r="F41" s="7" t="s">
        <v>99</v>
      </c>
      <c r="G41" s="11">
        <v>4</v>
      </c>
      <c r="H41" s="11">
        <v>4</v>
      </c>
      <c r="I41" s="7"/>
      <c r="J41" s="7"/>
      <c r="K41" s="7"/>
      <c r="L41" s="7" t="s">
        <v>214</v>
      </c>
      <c r="M41" s="8" t="b">
        <v>0</v>
      </c>
      <c r="N41" s="8" t="b">
        <v>0</v>
      </c>
      <c r="O41" s="7" t="s">
        <v>181</v>
      </c>
      <c r="P41" s="7" t="s">
        <v>182</v>
      </c>
      <c r="Q41" s="8" t="b">
        <v>0</v>
      </c>
      <c r="R41" s="8" t="b">
        <v>0</v>
      </c>
      <c r="S41" s="7" t="s">
        <v>89</v>
      </c>
      <c r="T41" s="12"/>
      <c r="U41" s="28"/>
      <c r="V41" s="29">
        <v>4.0000000000000001E-3</v>
      </c>
      <c r="W41" s="30" t="b">
        <v>1</v>
      </c>
      <c r="X41" s="28" t="s">
        <v>90</v>
      </c>
    </row>
    <row r="42" spans="1:24" ht="15">
      <c r="A42" s="7">
        <v>41</v>
      </c>
      <c r="B42" s="7">
        <v>195546</v>
      </c>
      <c r="C42" s="7" t="s">
        <v>215</v>
      </c>
      <c r="D42" s="7" t="s">
        <v>216</v>
      </c>
      <c r="E42" s="7" t="s">
        <v>40</v>
      </c>
      <c r="F42" s="7" t="s">
        <v>112</v>
      </c>
      <c r="G42" s="11">
        <v>6</v>
      </c>
      <c r="H42" s="11">
        <v>6</v>
      </c>
      <c r="I42" s="7">
        <v>1</v>
      </c>
      <c r="J42" s="7">
        <v>1</v>
      </c>
      <c r="K42" s="7"/>
      <c r="L42" s="7" t="s">
        <v>217</v>
      </c>
      <c r="M42" s="8" t="b">
        <v>0</v>
      </c>
      <c r="N42" s="8" t="b">
        <v>0</v>
      </c>
      <c r="O42" s="7" t="s">
        <v>181</v>
      </c>
      <c r="P42" s="7" t="s">
        <v>182</v>
      </c>
      <c r="Q42" s="8" t="b">
        <v>0</v>
      </c>
      <c r="R42" s="8" t="b">
        <v>0</v>
      </c>
      <c r="S42" s="7" t="s">
        <v>89</v>
      </c>
      <c r="T42" s="12"/>
      <c r="U42" s="28"/>
      <c r="V42" s="29">
        <v>8.0000000000000002E-3</v>
      </c>
      <c r="W42" s="30" t="b">
        <v>1</v>
      </c>
      <c r="X42" s="28" t="s">
        <v>90</v>
      </c>
    </row>
    <row r="43" spans="1:24" ht="15">
      <c r="A43" s="7">
        <v>42</v>
      </c>
      <c r="B43" s="7">
        <v>485337</v>
      </c>
      <c r="C43" s="7" t="s">
        <v>218</v>
      </c>
      <c r="D43" s="7" t="s">
        <v>219</v>
      </c>
      <c r="E43" s="7" t="s">
        <v>40</v>
      </c>
      <c r="F43" s="7" t="s">
        <v>112</v>
      </c>
      <c r="G43" s="11">
        <v>5.5</v>
      </c>
      <c r="H43" s="11">
        <v>5.5</v>
      </c>
      <c r="I43" s="7"/>
      <c r="J43" s="7"/>
      <c r="K43" s="7"/>
      <c r="L43" s="7" t="s">
        <v>220</v>
      </c>
      <c r="M43" s="8" t="b">
        <v>0</v>
      </c>
      <c r="N43" s="8" t="b">
        <v>0</v>
      </c>
      <c r="O43" s="7" t="s">
        <v>181</v>
      </c>
      <c r="P43" s="7" t="s">
        <v>182</v>
      </c>
      <c r="Q43" s="8" t="b">
        <v>0</v>
      </c>
      <c r="R43" s="8" t="b">
        <v>0</v>
      </c>
      <c r="S43" s="7" t="s">
        <v>89</v>
      </c>
      <c r="T43" s="12"/>
      <c r="U43" s="28"/>
      <c r="V43" s="29">
        <v>0</v>
      </c>
      <c r="W43" s="30" t="b">
        <v>1</v>
      </c>
      <c r="X43" s="28" t="s">
        <v>90</v>
      </c>
    </row>
    <row r="44" spans="1:24" ht="15">
      <c r="A44" s="7">
        <v>44</v>
      </c>
      <c r="B44" s="7">
        <v>215711</v>
      </c>
      <c r="C44" s="7" t="s">
        <v>221</v>
      </c>
      <c r="D44" s="7" t="s">
        <v>222</v>
      </c>
      <c r="E44" s="7" t="s">
        <v>40</v>
      </c>
      <c r="F44" s="7" t="s">
        <v>112</v>
      </c>
      <c r="G44" s="11">
        <v>5.5</v>
      </c>
      <c r="H44" s="11">
        <v>5.5</v>
      </c>
      <c r="I44" s="7"/>
      <c r="J44" s="7"/>
      <c r="K44" s="7"/>
      <c r="L44" s="7" t="s">
        <v>223</v>
      </c>
      <c r="M44" s="8" t="b">
        <v>0</v>
      </c>
      <c r="N44" s="8" t="b">
        <v>0</v>
      </c>
      <c r="O44" s="7" t="s">
        <v>181</v>
      </c>
      <c r="P44" s="7" t="s">
        <v>182</v>
      </c>
      <c r="Q44" s="8" t="b">
        <v>0</v>
      </c>
      <c r="R44" s="8" t="b">
        <v>0</v>
      </c>
      <c r="S44" s="7" t="s">
        <v>89</v>
      </c>
      <c r="T44" s="12"/>
      <c r="U44" s="28"/>
      <c r="V44" s="29">
        <v>1E-3</v>
      </c>
      <c r="W44" s="30" t="b">
        <v>1</v>
      </c>
      <c r="X44" s="28" t="s">
        <v>90</v>
      </c>
    </row>
    <row r="45" spans="1:24" ht="15">
      <c r="A45" s="7">
        <v>45</v>
      </c>
      <c r="B45" s="7">
        <v>122806</v>
      </c>
      <c r="C45" s="7" t="s">
        <v>224</v>
      </c>
      <c r="D45" s="7" t="s">
        <v>225</v>
      </c>
      <c r="E45" s="7" t="s">
        <v>40</v>
      </c>
      <c r="F45" s="7" t="s">
        <v>112</v>
      </c>
      <c r="G45" s="11">
        <v>5.5</v>
      </c>
      <c r="H45" s="11">
        <v>5.5</v>
      </c>
      <c r="I45" s="7"/>
      <c r="J45" s="7"/>
      <c r="K45" s="7">
        <v>6</v>
      </c>
      <c r="L45" s="7" t="s">
        <v>226</v>
      </c>
      <c r="M45" s="8" t="b">
        <v>0</v>
      </c>
      <c r="N45" s="8" t="b">
        <v>0</v>
      </c>
      <c r="O45" s="7" t="s">
        <v>181</v>
      </c>
      <c r="P45" s="7" t="s">
        <v>182</v>
      </c>
      <c r="Q45" s="8" t="b">
        <v>0</v>
      </c>
      <c r="R45" s="8" t="b">
        <v>0</v>
      </c>
      <c r="S45" s="7" t="s">
        <v>89</v>
      </c>
      <c r="T45" s="12"/>
      <c r="U45" s="28"/>
      <c r="V45" s="29">
        <v>2.7000000000000003E-2</v>
      </c>
      <c r="W45" s="30" t="b">
        <v>1</v>
      </c>
      <c r="X45" s="28" t="s">
        <v>90</v>
      </c>
    </row>
    <row r="46" spans="1:24" ht="15">
      <c r="A46" s="7">
        <v>46</v>
      </c>
      <c r="B46" s="7">
        <v>88894</v>
      </c>
      <c r="C46" s="7" t="s">
        <v>227</v>
      </c>
      <c r="D46" s="7" t="s">
        <v>228</v>
      </c>
      <c r="E46" s="7" t="s">
        <v>40</v>
      </c>
      <c r="F46" s="7" t="s">
        <v>112</v>
      </c>
      <c r="G46" s="11">
        <v>5</v>
      </c>
      <c r="H46" s="11">
        <v>5</v>
      </c>
      <c r="I46" s="7"/>
      <c r="J46" s="7"/>
      <c r="K46" s="7"/>
      <c r="L46" s="7" t="s">
        <v>229</v>
      </c>
      <c r="M46" s="8" t="b">
        <v>0</v>
      </c>
      <c r="N46" s="8" t="b">
        <v>0</v>
      </c>
      <c r="O46" s="7" t="s">
        <v>181</v>
      </c>
      <c r="P46" s="7" t="s">
        <v>182</v>
      </c>
      <c r="Q46" s="8" t="b">
        <v>0</v>
      </c>
      <c r="R46" s="8" t="b">
        <v>0</v>
      </c>
      <c r="S46" s="7" t="s">
        <v>89</v>
      </c>
      <c r="T46" s="12"/>
      <c r="U46" s="28"/>
      <c r="V46" s="29">
        <v>2E-3</v>
      </c>
      <c r="W46" s="30" t="b">
        <v>1</v>
      </c>
      <c r="X46" s="28" t="s">
        <v>90</v>
      </c>
    </row>
    <row r="47" spans="1:24" ht="15">
      <c r="A47" s="7">
        <v>47</v>
      </c>
      <c r="B47" s="7">
        <v>226944</v>
      </c>
      <c r="C47" s="7" t="s">
        <v>230</v>
      </c>
      <c r="D47" s="7" t="s">
        <v>231</v>
      </c>
      <c r="E47" s="7" t="s">
        <v>40</v>
      </c>
      <c r="F47" s="7" t="s">
        <v>112</v>
      </c>
      <c r="G47" s="11">
        <v>5</v>
      </c>
      <c r="H47" s="11">
        <v>5</v>
      </c>
      <c r="I47" s="7"/>
      <c r="J47" s="7"/>
      <c r="K47" s="7"/>
      <c r="L47" s="7" t="s">
        <v>232</v>
      </c>
      <c r="M47" s="8" t="b">
        <v>0</v>
      </c>
      <c r="N47" s="8" t="b">
        <v>0</v>
      </c>
      <c r="O47" s="7" t="s">
        <v>181</v>
      </c>
      <c r="P47" s="7" t="s">
        <v>182</v>
      </c>
      <c r="Q47" s="8" t="b">
        <v>0</v>
      </c>
      <c r="R47" s="8" t="b">
        <v>0</v>
      </c>
      <c r="S47" s="7" t="s">
        <v>233</v>
      </c>
      <c r="T47" s="12">
        <v>75</v>
      </c>
      <c r="U47" s="28" t="s">
        <v>234</v>
      </c>
      <c r="V47" s="29">
        <v>1E-3</v>
      </c>
      <c r="W47" s="30" t="b">
        <v>1</v>
      </c>
      <c r="X47" s="28" t="s">
        <v>90</v>
      </c>
    </row>
    <row r="48" spans="1:24" ht="15">
      <c r="A48" s="7">
        <v>48</v>
      </c>
      <c r="B48" s="7">
        <v>449871</v>
      </c>
      <c r="C48" s="7" t="s">
        <v>235</v>
      </c>
      <c r="D48" s="7" t="s">
        <v>236</v>
      </c>
      <c r="E48" s="7" t="s">
        <v>40</v>
      </c>
      <c r="F48" s="7" t="s">
        <v>112</v>
      </c>
      <c r="G48" s="11">
        <v>5</v>
      </c>
      <c r="H48" s="11">
        <v>5</v>
      </c>
      <c r="I48" s="7"/>
      <c r="J48" s="7"/>
      <c r="K48" s="7"/>
      <c r="L48" s="7" t="s">
        <v>237</v>
      </c>
      <c r="M48" s="8" t="b">
        <v>0</v>
      </c>
      <c r="N48" s="8" t="b">
        <v>0</v>
      </c>
      <c r="O48" s="7" t="s">
        <v>181</v>
      </c>
      <c r="P48" s="7" t="s">
        <v>182</v>
      </c>
      <c r="Q48" s="8" t="b">
        <v>0</v>
      </c>
      <c r="R48" s="8" t="b">
        <v>0</v>
      </c>
      <c r="S48" s="7" t="s">
        <v>104</v>
      </c>
      <c r="T48" s="12">
        <v>0</v>
      </c>
      <c r="U48" s="28" t="s">
        <v>238</v>
      </c>
      <c r="V48" s="29">
        <v>0</v>
      </c>
      <c r="W48" s="30" t="b">
        <v>1</v>
      </c>
      <c r="X48" s="28" t="s">
        <v>90</v>
      </c>
    </row>
    <row r="49" spans="1:24" ht="15">
      <c r="A49" s="7">
        <v>49</v>
      </c>
      <c r="B49" s="7">
        <v>469247</v>
      </c>
      <c r="C49" s="7" t="s">
        <v>239</v>
      </c>
      <c r="D49" s="7" t="s">
        <v>240</v>
      </c>
      <c r="E49" s="7" t="s">
        <v>40</v>
      </c>
      <c r="F49" s="7" t="s">
        <v>112</v>
      </c>
      <c r="G49" s="11">
        <v>5</v>
      </c>
      <c r="H49" s="11">
        <v>5</v>
      </c>
      <c r="I49" s="7"/>
      <c r="J49" s="7"/>
      <c r="K49" s="7"/>
      <c r="L49" s="7" t="s">
        <v>229</v>
      </c>
      <c r="M49" s="8" t="b">
        <v>0</v>
      </c>
      <c r="N49" s="8" t="b">
        <v>0</v>
      </c>
      <c r="O49" s="7" t="s">
        <v>181</v>
      </c>
      <c r="P49" s="7" t="s">
        <v>182</v>
      </c>
      <c r="Q49" s="8" t="b">
        <v>0</v>
      </c>
      <c r="R49" s="8" t="b">
        <v>0</v>
      </c>
      <c r="S49" s="7" t="s">
        <v>89</v>
      </c>
      <c r="T49" s="12"/>
      <c r="U49" s="28"/>
      <c r="V49" s="29">
        <v>0</v>
      </c>
      <c r="W49" s="30" t="b">
        <v>1</v>
      </c>
      <c r="X49" s="28" t="s">
        <v>90</v>
      </c>
    </row>
    <row r="50" spans="1:24" ht="15">
      <c r="A50" s="7">
        <v>50</v>
      </c>
      <c r="B50" s="7">
        <v>645618</v>
      </c>
      <c r="C50" s="7" t="s">
        <v>241</v>
      </c>
      <c r="D50" s="7" t="s">
        <v>242</v>
      </c>
      <c r="E50" s="7" t="s">
        <v>40</v>
      </c>
      <c r="F50" s="7" t="s">
        <v>112</v>
      </c>
      <c r="G50" s="11">
        <v>4.5</v>
      </c>
      <c r="H50" s="11">
        <v>4.5</v>
      </c>
      <c r="I50" s="7"/>
      <c r="J50" s="7"/>
      <c r="K50" s="7"/>
      <c r="L50" s="7" t="s">
        <v>152</v>
      </c>
      <c r="M50" s="8" t="b">
        <v>1</v>
      </c>
      <c r="N50" s="8" t="b">
        <v>0</v>
      </c>
      <c r="O50" s="7" t="s">
        <v>181</v>
      </c>
      <c r="P50" s="7" t="s">
        <v>182</v>
      </c>
      <c r="Q50" s="8" t="b">
        <v>0</v>
      </c>
      <c r="R50" s="8" t="b">
        <v>0</v>
      </c>
      <c r="S50" s="7" t="s">
        <v>89</v>
      </c>
      <c r="T50" s="12"/>
      <c r="U50" s="28"/>
      <c r="V50" s="29">
        <v>9.0000000000000011E-3</v>
      </c>
      <c r="W50" s="30" t="b">
        <v>1</v>
      </c>
      <c r="X50" s="28" t="s">
        <v>90</v>
      </c>
    </row>
    <row r="51" spans="1:24" ht="15">
      <c r="A51" s="7">
        <v>51</v>
      </c>
      <c r="B51" s="7">
        <v>577285</v>
      </c>
      <c r="C51" s="7" t="s">
        <v>243</v>
      </c>
      <c r="D51" s="7" t="s">
        <v>243</v>
      </c>
      <c r="E51" s="7" t="s">
        <v>40</v>
      </c>
      <c r="F51" s="7" t="s">
        <v>112</v>
      </c>
      <c r="G51" s="11">
        <v>4.5</v>
      </c>
      <c r="H51" s="11">
        <v>4.5</v>
      </c>
      <c r="I51" s="7"/>
      <c r="J51" s="7"/>
      <c r="K51" s="7"/>
      <c r="L51" s="7" t="s">
        <v>152</v>
      </c>
      <c r="M51" s="8" t="b">
        <v>1</v>
      </c>
      <c r="N51" s="8" t="b">
        <v>0</v>
      </c>
      <c r="O51" s="7" t="s">
        <v>181</v>
      </c>
      <c r="P51" s="7" t="s">
        <v>182</v>
      </c>
      <c r="Q51" s="8" t="b">
        <v>0</v>
      </c>
      <c r="R51" s="8" t="b">
        <v>0</v>
      </c>
      <c r="S51" s="7" t="s">
        <v>89</v>
      </c>
      <c r="T51" s="12"/>
      <c r="U51" s="28"/>
      <c r="V51" s="29">
        <v>3.0000000000000001E-3</v>
      </c>
      <c r="W51" s="30" t="b">
        <v>1</v>
      </c>
      <c r="X51" s="28" t="s">
        <v>90</v>
      </c>
    </row>
    <row r="52" spans="1:24" ht="15">
      <c r="A52" s="7">
        <v>52</v>
      </c>
      <c r="B52" s="7">
        <v>653481</v>
      </c>
      <c r="C52" s="7" t="s">
        <v>244</v>
      </c>
      <c r="D52" s="7" t="s">
        <v>245</v>
      </c>
      <c r="E52" s="7" t="s">
        <v>40</v>
      </c>
      <c r="F52" s="7" t="s">
        <v>112</v>
      </c>
      <c r="G52" s="11">
        <v>5</v>
      </c>
      <c r="H52" s="11">
        <v>5</v>
      </c>
      <c r="I52" s="7"/>
      <c r="J52" s="7"/>
      <c r="K52" s="7"/>
      <c r="L52" s="7" t="s">
        <v>246</v>
      </c>
      <c r="M52" s="8" t="b">
        <v>0</v>
      </c>
      <c r="N52" s="8" t="b">
        <v>0</v>
      </c>
      <c r="O52" s="7" t="s">
        <v>181</v>
      </c>
      <c r="P52" s="7" t="s">
        <v>182</v>
      </c>
      <c r="Q52" s="8" t="b">
        <v>0</v>
      </c>
      <c r="R52" s="8" t="b">
        <v>0</v>
      </c>
      <c r="S52" s="7" t="s">
        <v>89</v>
      </c>
      <c r="T52" s="12"/>
      <c r="U52" s="28"/>
      <c r="V52" s="29">
        <v>0</v>
      </c>
      <c r="W52" s="30" t="b">
        <v>1</v>
      </c>
      <c r="X52" s="28" t="s">
        <v>90</v>
      </c>
    </row>
    <row r="53" spans="1:24" ht="15">
      <c r="A53" s="7">
        <v>53</v>
      </c>
      <c r="B53" s="7">
        <v>614071</v>
      </c>
      <c r="C53" s="7" t="s">
        <v>247</v>
      </c>
      <c r="D53" s="7" t="s">
        <v>248</v>
      </c>
      <c r="E53" s="7" t="s">
        <v>40</v>
      </c>
      <c r="F53" s="7" t="s">
        <v>112</v>
      </c>
      <c r="G53" s="11">
        <v>6</v>
      </c>
      <c r="H53" s="11">
        <v>6</v>
      </c>
      <c r="I53" s="7"/>
      <c r="J53" s="7"/>
      <c r="K53" s="7"/>
      <c r="L53" s="7" t="s">
        <v>249</v>
      </c>
      <c r="M53" s="8" t="b">
        <v>1</v>
      </c>
      <c r="N53" s="8" t="b">
        <v>0</v>
      </c>
      <c r="O53" s="7" t="s">
        <v>181</v>
      </c>
      <c r="P53" s="7" t="s">
        <v>182</v>
      </c>
      <c r="Q53" s="8" t="b">
        <v>0</v>
      </c>
      <c r="R53" s="8" t="b">
        <v>0</v>
      </c>
      <c r="S53" s="7" t="s">
        <v>89</v>
      </c>
      <c r="T53" s="12"/>
      <c r="U53" s="28"/>
      <c r="V53" s="29">
        <v>2.5000000000000001E-2</v>
      </c>
      <c r="W53" s="30" t="b">
        <v>1</v>
      </c>
      <c r="X53" s="28" t="s">
        <v>90</v>
      </c>
    </row>
    <row r="54" spans="1:24" ht="15">
      <c r="A54" s="7">
        <v>54</v>
      </c>
      <c r="B54" s="7">
        <v>448089</v>
      </c>
      <c r="C54" s="7" t="s">
        <v>250</v>
      </c>
      <c r="D54" s="7" t="s">
        <v>251</v>
      </c>
      <c r="E54" s="7" t="s">
        <v>40</v>
      </c>
      <c r="F54" s="7" t="s">
        <v>112</v>
      </c>
      <c r="G54" s="11">
        <v>5.5</v>
      </c>
      <c r="H54" s="11">
        <v>5.5</v>
      </c>
      <c r="I54" s="7"/>
      <c r="J54" s="7"/>
      <c r="K54" s="7"/>
      <c r="L54" s="7" t="s">
        <v>252</v>
      </c>
      <c r="M54" s="8" t="b">
        <v>1</v>
      </c>
      <c r="N54" s="8" t="b">
        <v>0</v>
      </c>
      <c r="O54" s="7" t="s">
        <v>181</v>
      </c>
      <c r="P54" s="7" t="s">
        <v>182</v>
      </c>
      <c r="Q54" s="8" t="b">
        <v>0</v>
      </c>
      <c r="R54" s="8" t="b">
        <v>0</v>
      </c>
      <c r="S54" s="7" t="s">
        <v>89</v>
      </c>
      <c r="T54" s="12"/>
      <c r="U54" s="28"/>
      <c r="V54" s="29">
        <v>3.0000000000000001E-3</v>
      </c>
      <c r="W54" s="30" t="b">
        <v>1</v>
      </c>
      <c r="X54" s="28" t="s">
        <v>90</v>
      </c>
    </row>
    <row r="55" spans="1:24" ht="15">
      <c r="A55" s="7">
        <v>55</v>
      </c>
      <c r="B55" s="7">
        <v>178301</v>
      </c>
      <c r="C55" s="7" t="s">
        <v>253</v>
      </c>
      <c r="D55" s="7" t="s">
        <v>254</v>
      </c>
      <c r="E55" s="7" t="s">
        <v>40</v>
      </c>
      <c r="F55" s="7" t="s">
        <v>167</v>
      </c>
      <c r="G55" s="11">
        <v>8</v>
      </c>
      <c r="H55" s="11">
        <v>8</v>
      </c>
      <c r="I55" s="7">
        <v>2</v>
      </c>
      <c r="J55" s="7"/>
      <c r="K55" s="7"/>
      <c r="L55" s="7" t="s">
        <v>255</v>
      </c>
      <c r="M55" s="8" t="b">
        <v>0</v>
      </c>
      <c r="N55" s="8" t="b">
        <v>0</v>
      </c>
      <c r="O55" s="7" t="s">
        <v>181</v>
      </c>
      <c r="P55" s="7" t="s">
        <v>182</v>
      </c>
      <c r="Q55" s="8" t="b">
        <v>0</v>
      </c>
      <c r="R55" s="8" t="b">
        <v>0</v>
      </c>
      <c r="S55" s="7" t="s">
        <v>89</v>
      </c>
      <c r="T55" s="12"/>
      <c r="U55" s="28"/>
      <c r="V55" s="29">
        <v>0.124</v>
      </c>
      <c r="W55" s="30" t="b">
        <v>1</v>
      </c>
      <c r="X55" s="28" t="s">
        <v>90</v>
      </c>
    </row>
    <row r="56" spans="1:24" ht="15">
      <c r="A56" s="7">
        <v>56</v>
      </c>
      <c r="B56" s="7">
        <v>173879</v>
      </c>
      <c r="C56" s="7" t="s">
        <v>256</v>
      </c>
      <c r="D56" s="7" t="s">
        <v>257</v>
      </c>
      <c r="E56" s="7" t="s">
        <v>40</v>
      </c>
      <c r="F56" s="7" t="s">
        <v>167</v>
      </c>
      <c r="G56" s="11">
        <v>5.5</v>
      </c>
      <c r="H56" s="11">
        <v>5.5</v>
      </c>
      <c r="I56" s="7"/>
      <c r="J56" s="7"/>
      <c r="K56" s="7"/>
      <c r="L56" s="7" t="s">
        <v>258</v>
      </c>
      <c r="M56" s="8" t="b">
        <v>0</v>
      </c>
      <c r="N56" s="8" t="b">
        <v>0</v>
      </c>
      <c r="O56" s="7" t="s">
        <v>181</v>
      </c>
      <c r="P56" s="7" t="s">
        <v>182</v>
      </c>
      <c r="Q56" s="8" t="b">
        <v>0</v>
      </c>
      <c r="R56" s="8" t="b">
        <v>0</v>
      </c>
      <c r="S56" s="7" t="s">
        <v>104</v>
      </c>
      <c r="T56" s="12">
        <v>0</v>
      </c>
      <c r="U56" s="28" t="s">
        <v>259</v>
      </c>
      <c r="V56" s="29">
        <v>0</v>
      </c>
      <c r="W56" s="30" t="b">
        <v>1</v>
      </c>
      <c r="X56" s="28" t="s">
        <v>90</v>
      </c>
    </row>
    <row r="57" spans="1:24" ht="15">
      <c r="A57" s="7">
        <v>160</v>
      </c>
      <c r="B57" s="7">
        <v>493105</v>
      </c>
      <c r="C57" s="7" t="s">
        <v>260</v>
      </c>
      <c r="D57" s="7" t="s">
        <v>261</v>
      </c>
      <c r="E57" s="7" t="s">
        <v>40</v>
      </c>
      <c r="F57" s="7" t="s">
        <v>112</v>
      </c>
      <c r="G57" s="11">
        <v>6</v>
      </c>
      <c r="H57" s="11">
        <v>6</v>
      </c>
      <c r="I57" s="7"/>
      <c r="J57" s="7"/>
      <c r="K57" s="7"/>
      <c r="L57" s="7" t="s">
        <v>177</v>
      </c>
      <c r="M57" s="8" t="b">
        <v>1</v>
      </c>
      <c r="N57" s="8" t="b">
        <v>0</v>
      </c>
      <c r="O57" s="7" t="s">
        <v>181</v>
      </c>
      <c r="P57" s="7" t="s">
        <v>182</v>
      </c>
      <c r="Q57" s="8" t="b">
        <v>0</v>
      </c>
      <c r="R57" s="8" t="b">
        <v>0</v>
      </c>
      <c r="S57" s="7" t="s">
        <v>89</v>
      </c>
      <c r="T57" s="12"/>
      <c r="U57" s="28"/>
      <c r="V57" s="29">
        <v>1.1000000000000001E-2</v>
      </c>
      <c r="W57" s="30" t="b">
        <v>1</v>
      </c>
      <c r="X57" s="28" t="s">
        <v>90</v>
      </c>
    </row>
    <row r="58" spans="1:24" ht="15">
      <c r="A58" s="7">
        <v>57</v>
      </c>
      <c r="B58" s="7">
        <v>457569</v>
      </c>
      <c r="C58" s="7" t="s">
        <v>262</v>
      </c>
      <c r="D58" s="7" t="s">
        <v>263</v>
      </c>
      <c r="E58" s="7" t="s">
        <v>41</v>
      </c>
      <c r="F58" s="7" t="s">
        <v>85</v>
      </c>
      <c r="G58" s="11">
        <v>4.5</v>
      </c>
      <c r="H58" s="11">
        <v>4.5</v>
      </c>
      <c r="I58" s="7"/>
      <c r="J58" s="7"/>
      <c r="K58" s="7"/>
      <c r="L58" s="7" t="s">
        <v>264</v>
      </c>
      <c r="M58" s="8" t="b">
        <v>0</v>
      </c>
      <c r="N58" s="8" t="b">
        <v>0</v>
      </c>
      <c r="O58" s="7" t="s">
        <v>265</v>
      </c>
      <c r="P58" s="7" t="s">
        <v>266</v>
      </c>
      <c r="Q58" s="8" t="b">
        <v>1</v>
      </c>
      <c r="R58" s="8" t="b">
        <v>1</v>
      </c>
      <c r="S58" s="7" t="s">
        <v>89</v>
      </c>
      <c r="T58" s="12"/>
      <c r="U58" s="28"/>
      <c r="V58" s="29">
        <v>3.6000000000000004E-2</v>
      </c>
      <c r="W58" s="30" t="b">
        <v>1</v>
      </c>
      <c r="X58" s="28" t="s">
        <v>90</v>
      </c>
    </row>
    <row r="59" spans="1:24" ht="15">
      <c r="A59" s="7">
        <v>58</v>
      </c>
      <c r="B59" s="7">
        <v>40383</v>
      </c>
      <c r="C59" s="7" t="s">
        <v>267</v>
      </c>
      <c r="D59" s="7" t="s">
        <v>268</v>
      </c>
      <c r="E59" s="7" t="s">
        <v>41</v>
      </c>
      <c r="F59" s="7" t="s">
        <v>85</v>
      </c>
      <c r="G59" s="11">
        <v>4</v>
      </c>
      <c r="H59" s="11">
        <v>4</v>
      </c>
      <c r="I59" s="7"/>
      <c r="J59" s="7"/>
      <c r="K59" s="7"/>
      <c r="L59" s="7" t="s">
        <v>269</v>
      </c>
      <c r="M59" s="8" t="b">
        <v>0</v>
      </c>
      <c r="N59" s="8" t="b">
        <v>0</v>
      </c>
      <c r="O59" s="7" t="s">
        <v>265</v>
      </c>
      <c r="P59" s="7" t="s">
        <v>266</v>
      </c>
      <c r="Q59" s="8" t="b">
        <v>1</v>
      </c>
      <c r="R59" s="8" t="b">
        <v>1</v>
      </c>
      <c r="S59" s="7" t="s">
        <v>89</v>
      </c>
      <c r="T59" s="12"/>
      <c r="U59" s="28"/>
      <c r="V59" s="29">
        <v>3.1E-2</v>
      </c>
      <c r="W59" s="30" t="b">
        <v>1</v>
      </c>
      <c r="X59" s="28" t="s">
        <v>90</v>
      </c>
    </row>
    <row r="60" spans="1:24" ht="15">
      <c r="A60" s="7">
        <v>59</v>
      </c>
      <c r="B60" s="7">
        <v>444172</v>
      </c>
      <c r="C60" s="7" t="s">
        <v>270</v>
      </c>
      <c r="D60" s="7" t="s">
        <v>271</v>
      </c>
      <c r="E60" s="7" t="s">
        <v>41</v>
      </c>
      <c r="F60" s="7" t="s">
        <v>85</v>
      </c>
      <c r="G60" s="11">
        <v>4</v>
      </c>
      <c r="H60" s="11">
        <v>4</v>
      </c>
      <c r="I60" s="7"/>
      <c r="J60" s="7"/>
      <c r="K60" s="7"/>
      <c r="L60" s="7" t="s">
        <v>272</v>
      </c>
      <c r="M60" s="8" t="b">
        <v>0</v>
      </c>
      <c r="N60" s="8" t="b">
        <v>0</v>
      </c>
      <c r="O60" s="7" t="s">
        <v>265</v>
      </c>
      <c r="P60" s="7" t="s">
        <v>266</v>
      </c>
      <c r="Q60" s="8" t="b">
        <v>1</v>
      </c>
      <c r="R60" s="8" t="b">
        <v>1</v>
      </c>
      <c r="S60" s="7" t="s">
        <v>89</v>
      </c>
      <c r="T60" s="12"/>
      <c r="U60" s="28"/>
      <c r="V60" s="29">
        <v>2E-3</v>
      </c>
      <c r="W60" s="30" t="b">
        <v>1</v>
      </c>
      <c r="X60" s="28" t="s">
        <v>90</v>
      </c>
    </row>
    <row r="61" spans="1:24" ht="15">
      <c r="A61" s="7">
        <v>60</v>
      </c>
      <c r="B61" s="7">
        <v>463981</v>
      </c>
      <c r="C61" s="7" t="s">
        <v>273</v>
      </c>
      <c r="D61" s="7" t="s">
        <v>274</v>
      </c>
      <c r="E61" s="7" t="s">
        <v>41</v>
      </c>
      <c r="F61" s="7" t="s">
        <v>99</v>
      </c>
      <c r="G61" s="11">
        <v>5.5</v>
      </c>
      <c r="H61" s="11">
        <v>5.5</v>
      </c>
      <c r="I61" s="7"/>
      <c r="J61" s="7"/>
      <c r="K61" s="7"/>
      <c r="L61" s="7" t="s">
        <v>275</v>
      </c>
      <c r="M61" s="8" t="b">
        <v>0</v>
      </c>
      <c r="N61" s="8" t="b">
        <v>0</v>
      </c>
      <c r="O61" s="7" t="s">
        <v>265</v>
      </c>
      <c r="P61" s="7" t="s">
        <v>266</v>
      </c>
      <c r="Q61" s="8" t="b">
        <v>1</v>
      </c>
      <c r="R61" s="8" t="b">
        <v>1</v>
      </c>
      <c r="S61" s="7" t="s">
        <v>89</v>
      </c>
      <c r="T61" s="12"/>
      <c r="U61" s="28"/>
      <c r="V61" s="29">
        <v>1.3000000000000001E-2</v>
      </c>
      <c r="W61" s="30" t="b">
        <v>1</v>
      </c>
      <c r="X61" s="28" t="s">
        <v>90</v>
      </c>
    </row>
    <row r="62" spans="1:24" ht="15">
      <c r="A62" s="7">
        <v>61</v>
      </c>
      <c r="B62" s="7">
        <v>494521</v>
      </c>
      <c r="C62" s="7" t="s">
        <v>276</v>
      </c>
      <c r="D62" s="7" t="s">
        <v>277</v>
      </c>
      <c r="E62" s="7" t="s">
        <v>41</v>
      </c>
      <c r="F62" s="7" t="s">
        <v>99</v>
      </c>
      <c r="G62" s="11">
        <v>5.5</v>
      </c>
      <c r="H62" s="11">
        <v>5.5</v>
      </c>
      <c r="I62" s="7"/>
      <c r="J62" s="7"/>
      <c r="K62" s="7"/>
      <c r="L62" s="7" t="s">
        <v>278</v>
      </c>
      <c r="M62" s="8" t="b">
        <v>0</v>
      </c>
      <c r="N62" s="8" t="b">
        <v>0</v>
      </c>
      <c r="O62" s="7" t="s">
        <v>265</v>
      </c>
      <c r="P62" s="7" t="s">
        <v>266</v>
      </c>
      <c r="Q62" s="8" t="b">
        <v>1</v>
      </c>
      <c r="R62" s="8" t="b">
        <v>1</v>
      </c>
      <c r="S62" s="7" t="s">
        <v>89</v>
      </c>
      <c r="T62" s="12"/>
      <c r="U62" s="28"/>
      <c r="V62" s="29">
        <v>4.5999999999999999E-2</v>
      </c>
      <c r="W62" s="30" t="b">
        <v>1</v>
      </c>
      <c r="X62" s="28" t="s">
        <v>90</v>
      </c>
    </row>
    <row r="63" spans="1:24" ht="15">
      <c r="A63" s="7">
        <v>62</v>
      </c>
      <c r="B63" s="7">
        <v>242882</v>
      </c>
      <c r="C63" s="7" t="s">
        <v>279</v>
      </c>
      <c r="D63" s="7" t="s">
        <v>280</v>
      </c>
      <c r="E63" s="7" t="s">
        <v>41</v>
      </c>
      <c r="F63" s="7" t="s">
        <v>99</v>
      </c>
      <c r="G63" s="11">
        <v>5</v>
      </c>
      <c r="H63" s="11">
        <v>5</v>
      </c>
      <c r="I63" s="7"/>
      <c r="J63" s="7"/>
      <c r="K63" s="7"/>
      <c r="L63" s="7" t="s">
        <v>281</v>
      </c>
      <c r="M63" s="8" t="b">
        <v>0</v>
      </c>
      <c r="N63" s="8" t="b">
        <v>0</v>
      </c>
      <c r="O63" s="7" t="s">
        <v>265</v>
      </c>
      <c r="P63" s="7" t="s">
        <v>266</v>
      </c>
      <c r="Q63" s="8" t="b">
        <v>1</v>
      </c>
      <c r="R63" s="8" t="b">
        <v>1</v>
      </c>
      <c r="S63" s="7" t="s">
        <v>89</v>
      </c>
      <c r="T63" s="12"/>
      <c r="U63" s="28"/>
      <c r="V63" s="29">
        <v>2E-3</v>
      </c>
      <c r="W63" s="30" t="b">
        <v>1</v>
      </c>
      <c r="X63" s="28" t="s">
        <v>90</v>
      </c>
    </row>
    <row r="64" spans="1:24" ht="15">
      <c r="A64" s="7">
        <v>63</v>
      </c>
      <c r="B64" s="7">
        <v>620487</v>
      </c>
      <c r="C64" s="7" t="s">
        <v>282</v>
      </c>
      <c r="D64" s="7" t="s">
        <v>283</v>
      </c>
      <c r="E64" s="7" t="s">
        <v>41</v>
      </c>
      <c r="F64" s="7" t="s">
        <v>99</v>
      </c>
      <c r="G64" s="11">
        <v>5</v>
      </c>
      <c r="H64" s="11">
        <v>5</v>
      </c>
      <c r="I64" s="7"/>
      <c r="J64" s="7"/>
      <c r="K64" s="7"/>
      <c r="L64" s="7" t="s">
        <v>209</v>
      </c>
      <c r="M64" s="8" t="b">
        <v>0</v>
      </c>
      <c r="N64" s="8" t="b">
        <v>0</v>
      </c>
      <c r="O64" s="7" t="s">
        <v>265</v>
      </c>
      <c r="P64" s="7" t="s">
        <v>266</v>
      </c>
      <c r="Q64" s="8" t="b">
        <v>1</v>
      </c>
      <c r="R64" s="8" t="b">
        <v>1</v>
      </c>
      <c r="S64" s="7" t="s">
        <v>89</v>
      </c>
      <c r="T64" s="12"/>
      <c r="U64" s="28"/>
      <c r="V64" s="29">
        <v>1E-3</v>
      </c>
      <c r="W64" s="30" t="b">
        <v>1</v>
      </c>
      <c r="X64" s="28" t="s">
        <v>90</v>
      </c>
    </row>
    <row r="65" spans="1:24" ht="15">
      <c r="A65" s="7">
        <v>64</v>
      </c>
      <c r="B65" s="7">
        <v>54469</v>
      </c>
      <c r="C65" s="7" t="s">
        <v>284</v>
      </c>
      <c r="D65" s="7" t="s">
        <v>285</v>
      </c>
      <c r="E65" s="7" t="s">
        <v>41</v>
      </c>
      <c r="F65" s="7" t="s">
        <v>99</v>
      </c>
      <c r="G65" s="11">
        <v>4.5</v>
      </c>
      <c r="H65" s="11">
        <v>4.5</v>
      </c>
      <c r="I65" s="7"/>
      <c r="J65" s="7"/>
      <c r="K65" s="7"/>
      <c r="L65" s="7" t="s">
        <v>286</v>
      </c>
      <c r="M65" s="8" t="b">
        <v>0</v>
      </c>
      <c r="N65" s="8" t="b">
        <v>0</v>
      </c>
      <c r="O65" s="7" t="s">
        <v>265</v>
      </c>
      <c r="P65" s="7" t="s">
        <v>266</v>
      </c>
      <c r="Q65" s="8" t="b">
        <v>1</v>
      </c>
      <c r="R65" s="8" t="b">
        <v>1</v>
      </c>
      <c r="S65" s="7" t="s">
        <v>89</v>
      </c>
      <c r="T65" s="12"/>
      <c r="U65" s="28"/>
      <c r="V65" s="29">
        <v>1E-3</v>
      </c>
      <c r="W65" s="30" t="b">
        <v>1</v>
      </c>
      <c r="X65" s="28" t="s">
        <v>90</v>
      </c>
    </row>
    <row r="66" spans="1:24" ht="15">
      <c r="A66" s="7">
        <v>65</v>
      </c>
      <c r="B66" s="7">
        <v>436893</v>
      </c>
      <c r="C66" s="7" t="s">
        <v>287</v>
      </c>
      <c r="D66" s="7" t="s">
        <v>288</v>
      </c>
      <c r="E66" s="7" t="s">
        <v>41</v>
      </c>
      <c r="F66" s="7" t="s">
        <v>99</v>
      </c>
      <c r="G66" s="11">
        <v>4.5</v>
      </c>
      <c r="H66" s="11">
        <v>4.5</v>
      </c>
      <c r="I66" s="7"/>
      <c r="J66" s="7"/>
      <c r="K66" s="7"/>
      <c r="L66" s="7" t="s">
        <v>289</v>
      </c>
      <c r="M66" s="8" t="b">
        <v>0</v>
      </c>
      <c r="N66" s="8" t="b">
        <v>0</v>
      </c>
      <c r="O66" s="7" t="s">
        <v>265</v>
      </c>
      <c r="P66" s="7" t="s">
        <v>266</v>
      </c>
      <c r="Q66" s="8" t="b">
        <v>1</v>
      </c>
      <c r="R66" s="8" t="b">
        <v>1</v>
      </c>
      <c r="S66" s="7" t="s">
        <v>89</v>
      </c>
      <c r="T66" s="12"/>
      <c r="U66" s="28"/>
      <c r="V66" s="29">
        <v>1E-3</v>
      </c>
      <c r="W66" s="30" t="b">
        <v>1</v>
      </c>
      <c r="X66" s="28" t="s">
        <v>90</v>
      </c>
    </row>
    <row r="67" spans="1:24" ht="15">
      <c r="A67" s="7">
        <v>66</v>
      </c>
      <c r="B67" s="7">
        <v>575901</v>
      </c>
      <c r="C67" s="7" t="s">
        <v>290</v>
      </c>
      <c r="D67" s="7" t="s">
        <v>291</v>
      </c>
      <c r="E67" s="7" t="s">
        <v>41</v>
      </c>
      <c r="F67" s="7" t="s">
        <v>99</v>
      </c>
      <c r="G67" s="11">
        <v>4</v>
      </c>
      <c r="H67" s="11">
        <v>4</v>
      </c>
      <c r="I67" s="7"/>
      <c r="J67" s="7"/>
      <c r="K67" s="7"/>
      <c r="L67" s="7" t="s">
        <v>292</v>
      </c>
      <c r="M67" s="8" t="b">
        <v>0</v>
      </c>
      <c r="N67" s="8" t="b">
        <v>0</v>
      </c>
      <c r="O67" s="7" t="s">
        <v>265</v>
      </c>
      <c r="P67" s="7" t="s">
        <v>266</v>
      </c>
      <c r="Q67" s="8" t="b">
        <v>1</v>
      </c>
      <c r="R67" s="8" t="b">
        <v>1</v>
      </c>
      <c r="S67" s="7" t="s">
        <v>89</v>
      </c>
      <c r="T67" s="12"/>
      <c r="U67" s="28"/>
      <c r="V67" s="29">
        <v>6.0000000000000001E-3</v>
      </c>
      <c r="W67" s="30" t="b">
        <v>1</v>
      </c>
      <c r="X67" s="28" t="s">
        <v>90</v>
      </c>
    </row>
    <row r="68" spans="1:24" ht="15">
      <c r="A68" s="7">
        <v>67</v>
      </c>
      <c r="B68" s="7">
        <v>499604</v>
      </c>
      <c r="C68" s="7" t="s">
        <v>293</v>
      </c>
      <c r="D68" s="7" t="s">
        <v>294</v>
      </c>
      <c r="E68" s="7" t="s">
        <v>41</v>
      </c>
      <c r="F68" s="7" t="s">
        <v>112</v>
      </c>
      <c r="G68" s="11">
        <v>6.5</v>
      </c>
      <c r="H68" s="11">
        <v>6.5</v>
      </c>
      <c r="I68" s="7"/>
      <c r="J68" s="7"/>
      <c r="K68" s="7"/>
      <c r="L68" s="7" t="s">
        <v>258</v>
      </c>
      <c r="M68" s="8" t="b">
        <v>0</v>
      </c>
      <c r="N68" s="8" t="b">
        <v>0</v>
      </c>
      <c r="O68" s="7" t="s">
        <v>265</v>
      </c>
      <c r="P68" s="7" t="s">
        <v>266</v>
      </c>
      <c r="Q68" s="8" t="b">
        <v>1</v>
      </c>
      <c r="R68" s="8" t="b">
        <v>1</v>
      </c>
      <c r="S68" s="7" t="s">
        <v>89</v>
      </c>
      <c r="T68" s="12"/>
      <c r="U68" s="28"/>
      <c r="V68" s="29">
        <v>3.4000000000000002E-2</v>
      </c>
      <c r="W68" s="30" t="b">
        <v>1</v>
      </c>
      <c r="X68" s="28" t="s">
        <v>90</v>
      </c>
    </row>
    <row r="69" spans="1:24" ht="15">
      <c r="A69" s="7">
        <v>68</v>
      </c>
      <c r="B69" s="7">
        <v>201658</v>
      </c>
      <c r="C69" s="7" t="s">
        <v>295</v>
      </c>
      <c r="D69" s="7" t="s">
        <v>296</v>
      </c>
      <c r="E69" s="7" t="s">
        <v>41</v>
      </c>
      <c r="F69" s="7" t="s">
        <v>112</v>
      </c>
      <c r="G69" s="11">
        <v>6</v>
      </c>
      <c r="H69" s="11">
        <v>6</v>
      </c>
      <c r="I69" s="7">
        <v>3</v>
      </c>
      <c r="J69" s="7">
        <v>1</v>
      </c>
      <c r="K69" s="7">
        <v>6</v>
      </c>
      <c r="L69" s="7" t="s">
        <v>297</v>
      </c>
      <c r="M69" s="8" t="b">
        <v>0</v>
      </c>
      <c r="N69" s="8" t="b">
        <v>0</v>
      </c>
      <c r="O69" s="7" t="s">
        <v>265</v>
      </c>
      <c r="P69" s="7" t="s">
        <v>266</v>
      </c>
      <c r="Q69" s="8" t="b">
        <v>1</v>
      </c>
      <c r="R69" s="8" t="b">
        <v>1</v>
      </c>
      <c r="S69" s="7" t="s">
        <v>89</v>
      </c>
      <c r="T69" s="12"/>
      <c r="U69" s="28"/>
      <c r="V69" s="29">
        <v>1.9E-2</v>
      </c>
      <c r="W69" s="30" t="b">
        <v>1</v>
      </c>
      <c r="X69" s="28" t="s">
        <v>90</v>
      </c>
    </row>
    <row r="70" spans="1:24" ht="15">
      <c r="A70" s="7">
        <v>69</v>
      </c>
      <c r="B70" s="7">
        <v>503139</v>
      </c>
      <c r="C70" s="7" t="s">
        <v>298</v>
      </c>
      <c r="D70" s="7" t="s">
        <v>299</v>
      </c>
      <c r="E70" s="7" t="s">
        <v>41</v>
      </c>
      <c r="F70" s="7" t="s">
        <v>112</v>
      </c>
      <c r="G70" s="11">
        <v>6</v>
      </c>
      <c r="H70" s="11">
        <v>6</v>
      </c>
      <c r="I70" s="7"/>
      <c r="J70" s="7">
        <v>4</v>
      </c>
      <c r="K70" s="7">
        <v>7</v>
      </c>
      <c r="L70" s="7" t="s">
        <v>300</v>
      </c>
      <c r="M70" s="8" t="b">
        <v>0</v>
      </c>
      <c r="N70" s="8" t="b">
        <v>0</v>
      </c>
      <c r="O70" s="7" t="s">
        <v>265</v>
      </c>
      <c r="P70" s="7" t="s">
        <v>266</v>
      </c>
      <c r="Q70" s="8" t="b">
        <v>1</v>
      </c>
      <c r="R70" s="8" t="b">
        <v>1</v>
      </c>
      <c r="S70" s="7" t="s">
        <v>89</v>
      </c>
      <c r="T70" s="12"/>
      <c r="U70" s="28"/>
      <c r="V70" s="29">
        <v>1.6E-2</v>
      </c>
      <c r="W70" s="30" t="b">
        <v>1</v>
      </c>
      <c r="X70" s="28" t="s">
        <v>90</v>
      </c>
    </row>
    <row r="71" spans="1:24" ht="15">
      <c r="A71" s="7">
        <v>70</v>
      </c>
      <c r="B71" s="7">
        <v>222683</v>
      </c>
      <c r="C71" s="7" t="s">
        <v>301</v>
      </c>
      <c r="D71" s="7" t="s">
        <v>302</v>
      </c>
      <c r="E71" s="7" t="s">
        <v>41</v>
      </c>
      <c r="F71" s="7" t="s">
        <v>112</v>
      </c>
      <c r="G71" s="11">
        <v>6</v>
      </c>
      <c r="H71" s="11">
        <v>6</v>
      </c>
      <c r="I71" s="7">
        <v>2</v>
      </c>
      <c r="J71" s="7">
        <v>2</v>
      </c>
      <c r="K71" s="7"/>
      <c r="L71" s="7" t="s">
        <v>303</v>
      </c>
      <c r="M71" s="8" t="b">
        <v>0</v>
      </c>
      <c r="N71" s="8" t="b">
        <v>0</v>
      </c>
      <c r="O71" s="7" t="s">
        <v>265</v>
      </c>
      <c r="P71" s="7" t="s">
        <v>266</v>
      </c>
      <c r="Q71" s="8" t="b">
        <v>1</v>
      </c>
      <c r="R71" s="8" t="b">
        <v>1</v>
      </c>
      <c r="S71" s="7" t="s">
        <v>89</v>
      </c>
      <c r="T71" s="12"/>
      <c r="U71" s="28"/>
      <c r="V71" s="29">
        <v>9.0000000000000011E-3</v>
      </c>
      <c r="W71" s="30" t="b">
        <v>1</v>
      </c>
      <c r="X71" s="28" t="s">
        <v>90</v>
      </c>
    </row>
    <row r="72" spans="1:24" ht="15">
      <c r="A72" s="7">
        <v>71</v>
      </c>
      <c r="B72" s="7">
        <v>155408</v>
      </c>
      <c r="C72" s="7" t="s">
        <v>304</v>
      </c>
      <c r="D72" s="7" t="s">
        <v>305</v>
      </c>
      <c r="E72" s="7" t="s">
        <v>41</v>
      </c>
      <c r="F72" s="7" t="s">
        <v>112</v>
      </c>
      <c r="G72" s="11">
        <v>5</v>
      </c>
      <c r="H72" s="11">
        <v>5</v>
      </c>
      <c r="I72" s="7"/>
      <c r="J72" s="7"/>
      <c r="K72" s="7">
        <v>8</v>
      </c>
      <c r="L72" s="7" t="s">
        <v>306</v>
      </c>
      <c r="M72" s="8" t="b">
        <v>0</v>
      </c>
      <c r="N72" s="8" t="b">
        <v>0</v>
      </c>
      <c r="O72" s="7" t="s">
        <v>265</v>
      </c>
      <c r="P72" s="7" t="s">
        <v>266</v>
      </c>
      <c r="Q72" s="8" t="b">
        <v>1</v>
      </c>
      <c r="R72" s="8" t="b">
        <v>1</v>
      </c>
      <c r="S72" s="7" t="s">
        <v>89</v>
      </c>
      <c r="T72" s="12"/>
      <c r="U72" s="28"/>
      <c r="V72" s="29">
        <v>1E-3</v>
      </c>
      <c r="W72" s="30" t="b">
        <v>1</v>
      </c>
      <c r="X72" s="28" t="s">
        <v>90</v>
      </c>
    </row>
    <row r="73" spans="1:24" ht="15">
      <c r="A73" s="7">
        <v>72</v>
      </c>
      <c r="B73" s="7">
        <v>496208</v>
      </c>
      <c r="C73" s="7" t="s">
        <v>307</v>
      </c>
      <c r="D73" s="7" t="s">
        <v>308</v>
      </c>
      <c r="E73" s="7" t="s">
        <v>41</v>
      </c>
      <c r="F73" s="7" t="s">
        <v>112</v>
      </c>
      <c r="G73" s="11">
        <v>5</v>
      </c>
      <c r="H73" s="11">
        <v>5</v>
      </c>
      <c r="I73" s="7"/>
      <c r="J73" s="7"/>
      <c r="K73" s="7"/>
      <c r="L73" s="7" t="s">
        <v>309</v>
      </c>
      <c r="M73" s="8" t="b">
        <v>0</v>
      </c>
      <c r="N73" s="8" t="b">
        <v>0</v>
      </c>
      <c r="O73" s="7" t="s">
        <v>265</v>
      </c>
      <c r="P73" s="7" t="s">
        <v>266</v>
      </c>
      <c r="Q73" s="8" t="b">
        <v>1</v>
      </c>
      <c r="R73" s="8" t="b">
        <v>1</v>
      </c>
      <c r="S73" s="7" t="s">
        <v>89</v>
      </c>
      <c r="T73" s="12"/>
      <c r="U73" s="28"/>
      <c r="V73" s="29">
        <v>1E-3</v>
      </c>
      <c r="W73" s="30" t="b">
        <v>1</v>
      </c>
      <c r="X73" s="28" t="s">
        <v>90</v>
      </c>
    </row>
    <row r="74" spans="1:24" ht="15">
      <c r="A74" s="7">
        <v>73</v>
      </c>
      <c r="B74" s="7">
        <v>200785</v>
      </c>
      <c r="C74" s="7" t="s">
        <v>310</v>
      </c>
      <c r="D74" s="7" t="s">
        <v>311</v>
      </c>
      <c r="E74" s="7" t="s">
        <v>41</v>
      </c>
      <c r="F74" s="7" t="s">
        <v>112</v>
      </c>
      <c r="G74" s="11">
        <v>5</v>
      </c>
      <c r="H74" s="11">
        <v>5</v>
      </c>
      <c r="I74" s="7"/>
      <c r="J74" s="7"/>
      <c r="K74" s="7"/>
      <c r="L74" s="7" t="s">
        <v>312</v>
      </c>
      <c r="M74" s="8" t="b">
        <v>0</v>
      </c>
      <c r="N74" s="8" t="b">
        <v>0</v>
      </c>
      <c r="O74" s="7" t="s">
        <v>265</v>
      </c>
      <c r="P74" s="7" t="s">
        <v>266</v>
      </c>
      <c r="Q74" s="8" t="b">
        <v>1</v>
      </c>
      <c r="R74" s="8" t="b">
        <v>1</v>
      </c>
      <c r="S74" s="7" t="s">
        <v>89</v>
      </c>
      <c r="T74" s="12"/>
      <c r="U74" s="28"/>
      <c r="V74" s="29">
        <v>6.9999999999999993E-3</v>
      </c>
      <c r="W74" s="30" t="b">
        <v>1</v>
      </c>
      <c r="X74" s="28" t="s">
        <v>90</v>
      </c>
    </row>
    <row r="75" spans="1:24" ht="15">
      <c r="A75" s="7">
        <v>74</v>
      </c>
      <c r="B75" s="7">
        <v>111317</v>
      </c>
      <c r="C75" s="7" t="s">
        <v>313</v>
      </c>
      <c r="D75" s="7" t="s">
        <v>314</v>
      </c>
      <c r="E75" s="7" t="s">
        <v>41</v>
      </c>
      <c r="F75" s="7" t="s">
        <v>112</v>
      </c>
      <c r="G75" s="11">
        <v>5</v>
      </c>
      <c r="H75" s="11">
        <v>5</v>
      </c>
      <c r="I75" s="7"/>
      <c r="J75" s="7">
        <v>3</v>
      </c>
      <c r="K75" s="7">
        <v>9</v>
      </c>
      <c r="L75" s="7" t="s">
        <v>315</v>
      </c>
      <c r="M75" s="8" t="b">
        <v>0</v>
      </c>
      <c r="N75" s="8" t="b">
        <v>0</v>
      </c>
      <c r="O75" s="7" t="s">
        <v>265</v>
      </c>
      <c r="P75" s="7" t="s">
        <v>266</v>
      </c>
      <c r="Q75" s="8" t="b">
        <v>1</v>
      </c>
      <c r="R75" s="8" t="b">
        <v>1</v>
      </c>
      <c r="S75" s="7" t="s">
        <v>89</v>
      </c>
      <c r="T75" s="12"/>
      <c r="U75" s="28"/>
      <c r="V75" s="29">
        <v>2E-3</v>
      </c>
      <c r="W75" s="30" t="b">
        <v>1</v>
      </c>
      <c r="X75" s="28" t="s">
        <v>90</v>
      </c>
    </row>
    <row r="76" spans="1:24" ht="15">
      <c r="A76" s="7">
        <v>75</v>
      </c>
      <c r="B76" s="7">
        <v>158499</v>
      </c>
      <c r="C76" s="7" t="s">
        <v>316</v>
      </c>
      <c r="D76" s="7" t="s">
        <v>317</v>
      </c>
      <c r="E76" s="7" t="s">
        <v>41</v>
      </c>
      <c r="F76" s="7" t="s">
        <v>112</v>
      </c>
      <c r="G76" s="11">
        <v>5</v>
      </c>
      <c r="H76" s="11">
        <v>5</v>
      </c>
      <c r="I76" s="7"/>
      <c r="J76" s="7"/>
      <c r="K76" s="7">
        <v>10</v>
      </c>
      <c r="L76" s="7" t="s">
        <v>318</v>
      </c>
      <c r="M76" s="8" t="b">
        <v>0</v>
      </c>
      <c r="N76" s="8" t="b">
        <v>0</v>
      </c>
      <c r="O76" s="7" t="s">
        <v>265</v>
      </c>
      <c r="P76" s="7" t="s">
        <v>266</v>
      </c>
      <c r="Q76" s="8" t="b">
        <v>1</v>
      </c>
      <c r="R76" s="8" t="b">
        <v>1</v>
      </c>
      <c r="S76" s="7" t="s">
        <v>319</v>
      </c>
      <c r="T76" s="12">
        <v>0</v>
      </c>
      <c r="U76" s="28" t="s">
        <v>320</v>
      </c>
      <c r="V76" s="29">
        <v>0</v>
      </c>
      <c r="W76" s="30" t="b">
        <v>1</v>
      </c>
      <c r="X76" s="28" t="s">
        <v>90</v>
      </c>
    </row>
    <row r="77" spans="1:24" ht="15">
      <c r="A77" s="7">
        <v>76</v>
      </c>
      <c r="B77" s="7">
        <v>614574</v>
      </c>
      <c r="C77" s="7" t="s">
        <v>321</v>
      </c>
      <c r="D77" s="7" t="s">
        <v>322</v>
      </c>
      <c r="E77" s="7" t="s">
        <v>41</v>
      </c>
      <c r="F77" s="7" t="s">
        <v>112</v>
      </c>
      <c r="G77" s="11">
        <v>5</v>
      </c>
      <c r="H77" s="11">
        <v>5</v>
      </c>
      <c r="I77" s="7"/>
      <c r="J77" s="7"/>
      <c r="K77" s="7"/>
      <c r="L77" s="7" t="s">
        <v>323</v>
      </c>
      <c r="M77" s="8" t="b">
        <v>0</v>
      </c>
      <c r="N77" s="8" t="b">
        <v>0</v>
      </c>
      <c r="O77" s="7" t="s">
        <v>265</v>
      </c>
      <c r="P77" s="7" t="s">
        <v>266</v>
      </c>
      <c r="Q77" s="8" t="b">
        <v>1</v>
      </c>
      <c r="R77" s="8" t="b">
        <v>1</v>
      </c>
      <c r="S77" s="7" t="s">
        <v>89</v>
      </c>
      <c r="T77" s="12"/>
      <c r="U77" s="28"/>
      <c r="V77" s="29">
        <v>0</v>
      </c>
      <c r="W77" s="30" t="b">
        <v>1</v>
      </c>
      <c r="X77" s="28" t="s">
        <v>90</v>
      </c>
    </row>
    <row r="78" spans="1:24" ht="15">
      <c r="A78" s="7">
        <v>77</v>
      </c>
      <c r="B78" s="7">
        <v>489888</v>
      </c>
      <c r="C78" s="7" t="s">
        <v>324</v>
      </c>
      <c r="D78" s="7" t="s">
        <v>325</v>
      </c>
      <c r="E78" s="7" t="s">
        <v>41</v>
      </c>
      <c r="F78" s="7" t="s">
        <v>112</v>
      </c>
      <c r="G78" s="11">
        <v>5</v>
      </c>
      <c r="H78" s="11">
        <v>5</v>
      </c>
      <c r="I78" s="7"/>
      <c r="J78" s="7"/>
      <c r="K78" s="7"/>
      <c r="L78" s="7" t="s">
        <v>326</v>
      </c>
      <c r="M78" s="8" t="b">
        <v>0</v>
      </c>
      <c r="N78" s="8" t="b">
        <v>0</v>
      </c>
      <c r="O78" s="7" t="s">
        <v>265</v>
      </c>
      <c r="P78" s="7" t="s">
        <v>266</v>
      </c>
      <c r="Q78" s="8" t="b">
        <v>1</v>
      </c>
      <c r="R78" s="8" t="b">
        <v>1</v>
      </c>
      <c r="S78" s="7" t="s">
        <v>89</v>
      </c>
      <c r="T78" s="12"/>
      <c r="U78" s="28"/>
      <c r="V78" s="29">
        <v>2E-3</v>
      </c>
      <c r="W78" s="30" t="b">
        <v>1</v>
      </c>
      <c r="X78" s="28" t="s">
        <v>90</v>
      </c>
    </row>
    <row r="79" spans="1:24" ht="15">
      <c r="A79" s="7">
        <v>78</v>
      </c>
      <c r="B79" s="7">
        <v>560262</v>
      </c>
      <c r="C79" s="7" t="s">
        <v>327</v>
      </c>
      <c r="D79" s="7" t="s">
        <v>328</v>
      </c>
      <c r="E79" s="7" t="s">
        <v>41</v>
      </c>
      <c r="F79" s="7" t="s">
        <v>112</v>
      </c>
      <c r="G79" s="11">
        <v>7.5</v>
      </c>
      <c r="H79" s="11">
        <v>7.5</v>
      </c>
      <c r="I79" s="7">
        <v>1</v>
      </c>
      <c r="J79" s="7"/>
      <c r="K79" s="7"/>
      <c r="L79" s="7" t="s">
        <v>329</v>
      </c>
      <c r="M79" s="8" t="b">
        <v>0</v>
      </c>
      <c r="N79" s="8" t="b">
        <v>0</v>
      </c>
      <c r="O79" s="7" t="s">
        <v>265</v>
      </c>
      <c r="P79" s="7" t="s">
        <v>266</v>
      </c>
      <c r="Q79" s="8" t="b">
        <v>1</v>
      </c>
      <c r="R79" s="8" t="b">
        <v>1</v>
      </c>
      <c r="S79" s="7" t="s">
        <v>104</v>
      </c>
      <c r="T79" s="12">
        <v>0</v>
      </c>
      <c r="U79" s="28" t="s">
        <v>330</v>
      </c>
      <c r="V79" s="29">
        <v>6.2E-2</v>
      </c>
      <c r="W79" s="30" t="b">
        <v>1</v>
      </c>
      <c r="X79" s="28" t="s">
        <v>90</v>
      </c>
    </row>
    <row r="80" spans="1:24" ht="15">
      <c r="A80" s="7">
        <v>79</v>
      </c>
      <c r="B80" s="7">
        <v>444102</v>
      </c>
      <c r="C80" s="7" t="s">
        <v>331</v>
      </c>
      <c r="D80" s="7" t="s">
        <v>332</v>
      </c>
      <c r="E80" s="7" t="s">
        <v>41</v>
      </c>
      <c r="F80" s="7" t="s">
        <v>167</v>
      </c>
      <c r="G80" s="11">
        <v>6</v>
      </c>
      <c r="H80" s="11">
        <v>6</v>
      </c>
      <c r="I80" s="7"/>
      <c r="J80" s="7"/>
      <c r="K80" s="7"/>
      <c r="L80" s="7" t="s">
        <v>333</v>
      </c>
      <c r="M80" s="8" t="b">
        <v>0</v>
      </c>
      <c r="N80" s="8" t="b">
        <v>0</v>
      </c>
      <c r="O80" s="7" t="s">
        <v>265</v>
      </c>
      <c r="P80" s="7" t="s">
        <v>266</v>
      </c>
      <c r="Q80" s="8" t="b">
        <v>1</v>
      </c>
      <c r="R80" s="8" t="b">
        <v>1</v>
      </c>
      <c r="S80" s="7" t="s">
        <v>89</v>
      </c>
      <c r="T80" s="12"/>
      <c r="U80" s="28"/>
      <c r="V80" s="29">
        <v>0.02</v>
      </c>
      <c r="W80" s="30" t="b">
        <v>1</v>
      </c>
      <c r="X80" s="28" t="s">
        <v>90</v>
      </c>
    </row>
    <row r="81" spans="1:24" ht="15">
      <c r="A81" s="7">
        <v>80</v>
      </c>
      <c r="B81" s="7">
        <v>168636</v>
      </c>
      <c r="C81" s="7" t="s">
        <v>334</v>
      </c>
      <c r="D81" s="7" t="s">
        <v>334</v>
      </c>
      <c r="E81" s="7" t="s">
        <v>41</v>
      </c>
      <c r="F81" s="7" t="s">
        <v>167</v>
      </c>
      <c r="G81" s="11">
        <v>5.5</v>
      </c>
      <c r="H81" s="11">
        <v>5.5</v>
      </c>
      <c r="I81" s="7"/>
      <c r="J81" s="7">
        <v>5</v>
      </c>
      <c r="K81" s="7"/>
      <c r="L81" s="7" t="s">
        <v>229</v>
      </c>
      <c r="M81" s="8" t="b">
        <v>0</v>
      </c>
      <c r="N81" s="8" t="b">
        <v>0</v>
      </c>
      <c r="O81" s="7" t="s">
        <v>265</v>
      </c>
      <c r="P81" s="7" t="s">
        <v>266</v>
      </c>
      <c r="Q81" s="8" t="b">
        <v>1</v>
      </c>
      <c r="R81" s="8" t="b">
        <v>1</v>
      </c>
      <c r="S81" s="7" t="s">
        <v>89</v>
      </c>
      <c r="T81" s="12"/>
      <c r="U81" s="28"/>
      <c r="V81" s="29">
        <v>2E-3</v>
      </c>
      <c r="W81" s="30" t="b">
        <v>1</v>
      </c>
      <c r="X81" s="28" t="s">
        <v>90</v>
      </c>
    </row>
    <row r="82" spans="1:24" ht="15">
      <c r="A82" s="7">
        <v>81</v>
      </c>
      <c r="B82" s="7">
        <v>561245</v>
      </c>
      <c r="C82" s="7" t="s">
        <v>335</v>
      </c>
      <c r="D82" s="7" t="s">
        <v>336</v>
      </c>
      <c r="E82" s="7" t="s">
        <v>41</v>
      </c>
      <c r="F82" s="7" t="s">
        <v>167</v>
      </c>
      <c r="G82" s="11">
        <v>6</v>
      </c>
      <c r="H82" s="11">
        <v>6</v>
      </c>
      <c r="I82" s="7"/>
      <c r="J82" s="7"/>
      <c r="K82" s="7"/>
      <c r="L82" s="7" t="s">
        <v>337</v>
      </c>
      <c r="M82" s="8" t="b">
        <v>1</v>
      </c>
      <c r="N82" s="8" t="b">
        <v>0</v>
      </c>
      <c r="O82" s="7" t="s">
        <v>265</v>
      </c>
      <c r="P82" s="7" t="s">
        <v>266</v>
      </c>
      <c r="Q82" s="8" t="b">
        <v>1</v>
      </c>
      <c r="R82" s="8" t="b">
        <v>1</v>
      </c>
      <c r="S82" s="7" t="s">
        <v>89</v>
      </c>
      <c r="T82" s="12"/>
      <c r="U82" s="28"/>
      <c r="V82" s="29">
        <v>3.0000000000000001E-3</v>
      </c>
      <c r="W82" s="30" t="b">
        <v>1</v>
      </c>
      <c r="X82" s="28" t="s">
        <v>90</v>
      </c>
    </row>
    <row r="83" spans="1:24" ht="15">
      <c r="A83" s="7">
        <v>566</v>
      </c>
      <c r="B83" s="7">
        <v>483067</v>
      </c>
      <c r="C83" s="7" t="s">
        <v>338</v>
      </c>
      <c r="D83" s="7" t="s">
        <v>339</v>
      </c>
      <c r="E83" s="7" t="s">
        <v>41</v>
      </c>
      <c r="F83" s="7" t="s">
        <v>99</v>
      </c>
      <c r="G83" s="11">
        <v>5</v>
      </c>
      <c r="H83" s="11">
        <v>5</v>
      </c>
      <c r="I83" s="7"/>
      <c r="J83" s="7"/>
      <c r="K83" s="7"/>
      <c r="L83" s="7" t="s">
        <v>340</v>
      </c>
      <c r="M83" s="8" t="b">
        <v>1</v>
      </c>
      <c r="N83" s="8" t="b">
        <v>0</v>
      </c>
      <c r="O83" s="7" t="s">
        <v>265</v>
      </c>
      <c r="P83" s="7" t="s">
        <v>266</v>
      </c>
      <c r="Q83" s="8" t="b">
        <v>1</v>
      </c>
      <c r="R83" s="8" t="b">
        <v>1</v>
      </c>
      <c r="S83" s="7" t="s">
        <v>89</v>
      </c>
      <c r="T83" s="12"/>
      <c r="U83" s="28"/>
      <c r="V83" s="29">
        <v>0</v>
      </c>
      <c r="W83" s="30" t="b">
        <v>1</v>
      </c>
      <c r="X83" s="28" t="s">
        <v>90</v>
      </c>
    </row>
    <row r="84" spans="1:24" ht="15">
      <c r="A84" s="7">
        <v>82</v>
      </c>
      <c r="B84" s="7">
        <v>200720</v>
      </c>
      <c r="C84" s="7" t="s">
        <v>341</v>
      </c>
      <c r="D84" s="7" t="s">
        <v>342</v>
      </c>
      <c r="E84" s="7" t="s">
        <v>42</v>
      </c>
      <c r="F84" s="7" t="s">
        <v>85</v>
      </c>
      <c r="G84" s="11">
        <v>5</v>
      </c>
      <c r="H84" s="11">
        <v>5</v>
      </c>
      <c r="I84" s="7"/>
      <c r="J84" s="7"/>
      <c r="K84" s="7"/>
      <c r="L84" s="7" t="s">
        <v>343</v>
      </c>
      <c r="M84" s="8" t="b">
        <v>0</v>
      </c>
      <c r="N84" s="8" t="b">
        <v>0</v>
      </c>
      <c r="O84" s="7" t="s">
        <v>344</v>
      </c>
      <c r="P84" s="7" t="s">
        <v>345</v>
      </c>
      <c r="Q84" s="8" t="b">
        <v>0</v>
      </c>
      <c r="R84" s="8" t="b">
        <v>0</v>
      </c>
      <c r="S84" s="7" t="s">
        <v>89</v>
      </c>
      <c r="T84" s="12"/>
      <c r="U84" s="28"/>
      <c r="V84" s="29">
        <v>5.5999999999999994E-2</v>
      </c>
      <c r="W84" s="30" t="b">
        <v>1</v>
      </c>
      <c r="X84" s="28" t="s">
        <v>90</v>
      </c>
    </row>
    <row r="85" spans="1:24" ht="15">
      <c r="A85" s="7">
        <v>83</v>
      </c>
      <c r="B85" s="7">
        <v>507433</v>
      </c>
      <c r="C85" s="7" t="s">
        <v>346</v>
      </c>
      <c r="D85" s="7" t="s">
        <v>347</v>
      </c>
      <c r="E85" s="7" t="s">
        <v>42</v>
      </c>
      <c r="F85" s="7" t="s">
        <v>85</v>
      </c>
      <c r="G85" s="11">
        <v>4.5</v>
      </c>
      <c r="H85" s="11">
        <v>4.5</v>
      </c>
      <c r="I85" s="7"/>
      <c r="J85" s="7"/>
      <c r="K85" s="7"/>
      <c r="L85" s="7" t="s">
        <v>348</v>
      </c>
      <c r="M85" s="8" t="b">
        <v>0</v>
      </c>
      <c r="N85" s="8" t="b">
        <v>0</v>
      </c>
      <c r="O85" s="7" t="s">
        <v>344</v>
      </c>
      <c r="P85" s="7" t="s">
        <v>345</v>
      </c>
      <c r="Q85" s="8" t="b">
        <v>0</v>
      </c>
      <c r="R85" s="8" t="b">
        <v>0</v>
      </c>
      <c r="S85" s="7" t="s">
        <v>89</v>
      </c>
      <c r="T85" s="12"/>
      <c r="U85" s="28"/>
      <c r="V85" s="29">
        <v>1E-3</v>
      </c>
      <c r="W85" s="30" t="b">
        <v>1</v>
      </c>
      <c r="X85" s="28" t="s">
        <v>90</v>
      </c>
    </row>
    <row r="86" spans="1:24" ht="15">
      <c r="A86" s="7">
        <v>84</v>
      </c>
      <c r="B86" s="7">
        <v>432830</v>
      </c>
      <c r="C86" s="7" t="s">
        <v>349</v>
      </c>
      <c r="D86" s="7" t="s">
        <v>350</v>
      </c>
      <c r="E86" s="7" t="s">
        <v>42</v>
      </c>
      <c r="F86" s="7" t="s">
        <v>99</v>
      </c>
      <c r="G86" s="11">
        <v>5.5</v>
      </c>
      <c r="H86" s="11">
        <v>5.5</v>
      </c>
      <c r="I86" s="7"/>
      <c r="J86" s="7"/>
      <c r="K86" s="7"/>
      <c r="L86" s="7" t="s">
        <v>351</v>
      </c>
      <c r="M86" s="8" t="b">
        <v>0</v>
      </c>
      <c r="N86" s="8" t="b">
        <v>0</v>
      </c>
      <c r="O86" s="7" t="s">
        <v>344</v>
      </c>
      <c r="P86" s="7" t="s">
        <v>345</v>
      </c>
      <c r="Q86" s="8" t="b">
        <v>0</v>
      </c>
      <c r="R86" s="8" t="b">
        <v>0</v>
      </c>
      <c r="S86" s="7" t="s">
        <v>89</v>
      </c>
      <c r="T86" s="12"/>
      <c r="U86" s="28"/>
      <c r="V86" s="29">
        <v>0.02</v>
      </c>
      <c r="W86" s="30" t="b">
        <v>1</v>
      </c>
      <c r="X86" s="28" t="s">
        <v>90</v>
      </c>
    </row>
    <row r="87" spans="1:24" ht="15">
      <c r="A87" s="7">
        <v>85</v>
      </c>
      <c r="B87" s="7">
        <v>444765</v>
      </c>
      <c r="C87" s="7" t="s">
        <v>352</v>
      </c>
      <c r="D87" s="7" t="s">
        <v>353</v>
      </c>
      <c r="E87" s="7" t="s">
        <v>42</v>
      </c>
      <c r="F87" s="7" t="s">
        <v>99</v>
      </c>
      <c r="G87" s="11">
        <v>5</v>
      </c>
      <c r="H87" s="11">
        <v>5</v>
      </c>
      <c r="I87" s="7"/>
      <c r="J87" s="7"/>
      <c r="K87" s="7"/>
      <c r="L87" s="7" t="s">
        <v>354</v>
      </c>
      <c r="M87" s="8" t="b">
        <v>0</v>
      </c>
      <c r="N87" s="8" t="b">
        <v>0</v>
      </c>
      <c r="O87" s="7" t="s">
        <v>344</v>
      </c>
      <c r="P87" s="7" t="s">
        <v>345</v>
      </c>
      <c r="Q87" s="8" t="b">
        <v>0</v>
      </c>
      <c r="R87" s="8" t="b">
        <v>0</v>
      </c>
      <c r="S87" s="7" t="s">
        <v>89</v>
      </c>
      <c r="T87" s="12"/>
      <c r="U87" s="28"/>
      <c r="V87" s="29">
        <v>6.9999999999999993E-3</v>
      </c>
      <c r="W87" s="30" t="b">
        <v>1</v>
      </c>
      <c r="X87" s="28" t="s">
        <v>90</v>
      </c>
    </row>
    <row r="88" spans="1:24" ht="15">
      <c r="A88" s="7">
        <v>86</v>
      </c>
      <c r="B88" s="7">
        <v>249231</v>
      </c>
      <c r="C88" s="7" t="s">
        <v>355</v>
      </c>
      <c r="D88" s="7" t="s">
        <v>356</v>
      </c>
      <c r="E88" s="7" t="s">
        <v>42</v>
      </c>
      <c r="F88" s="7" t="s">
        <v>112</v>
      </c>
      <c r="G88" s="11">
        <v>5.5</v>
      </c>
      <c r="H88" s="11">
        <v>5.5</v>
      </c>
      <c r="I88" s="7"/>
      <c r="J88" s="7">
        <v>1</v>
      </c>
      <c r="K88" s="7"/>
      <c r="L88" s="7" t="s">
        <v>357</v>
      </c>
      <c r="M88" s="8" t="b">
        <v>0</v>
      </c>
      <c r="N88" s="8" t="b">
        <v>0</v>
      </c>
      <c r="O88" s="7" t="s">
        <v>344</v>
      </c>
      <c r="P88" s="7" t="s">
        <v>345</v>
      </c>
      <c r="Q88" s="8" t="b">
        <v>0</v>
      </c>
      <c r="R88" s="8" t="b">
        <v>0</v>
      </c>
      <c r="S88" s="7" t="s">
        <v>89</v>
      </c>
      <c r="T88" s="12"/>
      <c r="U88" s="28"/>
      <c r="V88" s="29">
        <v>5.0000000000000001E-3</v>
      </c>
      <c r="W88" s="30" t="b">
        <v>1</v>
      </c>
      <c r="X88" s="28" t="s">
        <v>90</v>
      </c>
    </row>
    <row r="89" spans="1:24" ht="15">
      <c r="A89" s="7">
        <v>87</v>
      </c>
      <c r="B89" s="7">
        <v>191866</v>
      </c>
      <c r="C89" s="7" t="s">
        <v>358</v>
      </c>
      <c r="D89" s="7" t="s">
        <v>359</v>
      </c>
      <c r="E89" s="7" t="s">
        <v>42</v>
      </c>
      <c r="F89" s="7" t="s">
        <v>99</v>
      </c>
      <c r="G89" s="11">
        <v>4.5</v>
      </c>
      <c r="H89" s="11">
        <v>4.5</v>
      </c>
      <c r="I89" s="7"/>
      <c r="J89" s="7"/>
      <c r="K89" s="7"/>
      <c r="L89" s="7" t="s">
        <v>360</v>
      </c>
      <c r="M89" s="8" t="b">
        <v>0</v>
      </c>
      <c r="N89" s="8" t="b">
        <v>0</v>
      </c>
      <c r="O89" s="7" t="s">
        <v>344</v>
      </c>
      <c r="P89" s="7" t="s">
        <v>345</v>
      </c>
      <c r="Q89" s="8" t="b">
        <v>0</v>
      </c>
      <c r="R89" s="8" t="b">
        <v>0</v>
      </c>
      <c r="S89" s="7" t="s">
        <v>89</v>
      </c>
      <c r="T89" s="12"/>
      <c r="U89" s="28"/>
      <c r="V89" s="29">
        <v>1.2E-2</v>
      </c>
      <c r="W89" s="30" t="b">
        <v>1</v>
      </c>
      <c r="X89" s="28" t="s">
        <v>90</v>
      </c>
    </row>
    <row r="90" spans="1:24" ht="15">
      <c r="A90" s="7">
        <v>88</v>
      </c>
      <c r="B90" s="7">
        <v>607464</v>
      </c>
      <c r="C90" s="7" t="s">
        <v>361</v>
      </c>
      <c r="D90" s="7" t="s">
        <v>362</v>
      </c>
      <c r="E90" s="7" t="s">
        <v>42</v>
      </c>
      <c r="F90" s="7" t="s">
        <v>99</v>
      </c>
      <c r="G90" s="11">
        <v>4.5</v>
      </c>
      <c r="H90" s="11">
        <v>4.5</v>
      </c>
      <c r="I90" s="7"/>
      <c r="J90" s="7"/>
      <c r="K90" s="7"/>
      <c r="L90" s="7" t="s">
        <v>93</v>
      </c>
      <c r="M90" s="8" t="b">
        <v>0</v>
      </c>
      <c r="N90" s="8" t="b">
        <v>0</v>
      </c>
      <c r="O90" s="7" t="s">
        <v>344</v>
      </c>
      <c r="P90" s="7" t="s">
        <v>345</v>
      </c>
      <c r="Q90" s="8" t="b">
        <v>0</v>
      </c>
      <c r="R90" s="8" t="b">
        <v>0</v>
      </c>
      <c r="S90" s="7" t="s">
        <v>89</v>
      </c>
      <c r="T90" s="12"/>
      <c r="U90" s="28"/>
      <c r="V90" s="29">
        <v>4.0999999999999995E-2</v>
      </c>
      <c r="W90" s="30" t="b">
        <v>1</v>
      </c>
      <c r="X90" s="28" t="s">
        <v>90</v>
      </c>
    </row>
    <row r="91" spans="1:24" ht="15">
      <c r="A91" s="7">
        <v>89</v>
      </c>
      <c r="B91" s="7">
        <v>194010</v>
      </c>
      <c r="C91" s="7" t="s">
        <v>363</v>
      </c>
      <c r="D91" s="7" t="s">
        <v>364</v>
      </c>
      <c r="E91" s="7" t="s">
        <v>42</v>
      </c>
      <c r="F91" s="7" t="s">
        <v>99</v>
      </c>
      <c r="G91" s="11">
        <v>4.5</v>
      </c>
      <c r="H91" s="11">
        <v>4.5</v>
      </c>
      <c r="I91" s="7"/>
      <c r="J91" s="7"/>
      <c r="K91" s="7"/>
      <c r="L91" s="7" t="s">
        <v>365</v>
      </c>
      <c r="M91" s="8" t="b">
        <v>0</v>
      </c>
      <c r="N91" s="8" t="b">
        <v>0</v>
      </c>
      <c r="O91" s="7" t="s">
        <v>344</v>
      </c>
      <c r="P91" s="7" t="s">
        <v>345</v>
      </c>
      <c r="Q91" s="8" t="b">
        <v>0</v>
      </c>
      <c r="R91" s="8" t="b">
        <v>0</v>
      </c>
      <c r="S91" s="7" t="s">
        <v>89</v>
      </c>
      <c r="T91" s="12"/>
      <c r="U91" s="28"/>
      <c r="V91" s="29">
        <v>2E-3</v>
      </c>
      <c r="W91" s="30" t="b">
        <v>1</v>
      </c>
      <c r="X91" s="28" t="s">
        <v>90</v>
      </c>
    </row>
    <row r="92" spans="1:24" ht="15">
      <c r="A92" s="7">
        <v>90</v>
      </c>
      <c r="B92" s="7">
        <v>472713</v>
      </c>
      <c r="C92" s="7" t="s">
        <v>366</v>
      </c>
      <c r="D92" s="7" t="s">
        <v>367</v>
      </c>
      <c r="E92" s="7" t="s">
        <v>42</v>
      </c>
      <c r="F92" s="7" t="s">
        <v>99</v>
      </c>
      <c r="G92" s="11">
        <v>4.5</v>
      </c>
      <c r="H92" s="11">
        <v>4.5</v>
      </c>
      <c r="I92" s="7"/>
      <c r="J92" s="7"/>
      <c r="K92" s="7"/>
      <c r="L92" s="7" t="s">
        <v>368</v>
      </c>
      <c r="M92" s="8" t="b">
        <v>0</v>
      </c>
      <c r="N92" s="8" t="b">
        <v>0</v>
      </c>
      <c r="O92" s="7" t="s">
        <v>344</v>
      </c>
      <c r="P92" s="7" t="s">
        <v>345</v>
      </c>
      <c r="Q92" s="8" t="b">
        <v>0</v>
      </c>
      <c r="R92" s="8" t="b">
        <v>0</v>
      </c>
      <c r="S92" s="7" t="s">
        <v>89</v>
      </c>
      <c r="T92" s="12"/>
      <c r="U92" s="28"/>
      <c r="V92" s="29">
        <v>1E-3</v>
      </c>
      <c r="W92" s="30" t="b">
        <v>1</v>
      </c>
      <c r="X92" s="28" t="s">
        <v>90</v>
      </c>
    </row>
    <row r="93" spans="1:24" ht="15">
      <c r="A93" s="7">
        <v>91</v>
      </c>
      <c r="B93" s="7">
        <v>231065</v>
      </c>
      <c r="C93" s="7" t="s">
        <v>369</v>
      </c>
      <c r="D93" s="7" t="s">
        <v>370</v>
      </c>
      <c r="E93" s="7" t="s">
        <v>42</v>
      </c>
      <c r="F93" s="7" t="s">
        <v>99</v>
      </c>
      <c r="G93" s="11">
        <v>4.5</v>
      </c>
      <c r="H93" s="11">
        <v>4.5</v>
      </c>
      <c r="I93" s="7"/>
      <c r="J93" s="7"/>
      <c r="K93" s="7"/>
      <c r="L93" s="7" t="s">
        <v>371</v>
      </c>
      <c r="M93" s="8" t="b">
        <v>0</v>
      </c>
      <c r="N93" s="8" t="b">
        <v>0</v>
      </c>
      <c r="O93" s="7" t="s">
        <v>344</v>
      </c>
      <c r="P93" s="7" t="s">
        <v>345</v>
      </c>
      <c r="Q93" s="8" t="b">
        <v>0</v>
      </c>
      <c r="R93" s="8" t="b">
        <v>0</v>
      </c>
      <c r="S93" s="7" t="s">
        <v>89</v>
      </c>
      <c r="T93" s="12"/>
      <c r="U93" s="28"/>
      <c r="V93" s="29">
        <v>1E-3</v>
      </c>
      <c r="W93" s="30" t="b">
        <v>1</v>
      </c>
      <c r="X93" s="28" t="s">
        <v>90</v>
      </c>
    </row>
    <row r="94" spans="1:24" ht="15">
      <c r="A94" s="7">
        <v>92</v>
      </c>
      <c r="B94" s="7">
        <v>570241</v>
      </c>
      <c r="C94" s="7" t="s">
        <v>372</v>
      </c>
      <c r="D94" s="7" t="s">
        <v>373</v>
      </c>
      <c r="E94" s="7" t="s">
        <v>42</v>
      </c>
      <c r="F94" s="7" t="s">
        <v>99</v>
      </c>
      <c r="G94" s="11">
        <v>4.5</v>
      </c>
      <c r="H94" s="11">
        <v>4.5</v>
      </c>
      <c r="I94" s="7"/>
      <c r="J94" s="7"/>
      <c r="K94" s="7"/>
      <c r="L94" s="7" t="s">
        <v>374</v>
      </c>
      <c r="M94" s="8" t="b">
        <v>0</v>
      </c>
      <c r="N94" s="8" t="b">
        <v>0</v>
      </c>
      <c r="O94" s="7" t="s">
        <v>344</v>
      </c>
      <c r="P94" s="7" t="s">
        <v>345</v>
      </c>
      <c r="Q94" s="8" t="b">
        <v>0</v>
      </c>
      <c r="R94" s="8" t="b">
        <v>0</v>
      </c>
      <c r="S94" s="7" t="s">
        <v>89</v>
      </c>
      <c r="T94" s="12"/>
      <c r="U94" s="28"/>
      <c r="V94" s="29">
        <v>0</v>
      </c>
      <c r="W94" s="30" t="b">
        <v>1</v>
      </c>
      <c r="X94" s="28" t="s">
        <v>90</v>
      </c>
    </row>
    <row r="95" spans="1:24" ht="15">
      <c r="A95" s="7">
        <v>93</v>
      </c>
      <c r="B95" s="7">
        <v>513086</v>
      </c>
      <c r="C95" s="7" t="s">
        <v>375</v>
      </c>
      <c r="D95" s="7" t="s">
        <v>376</v>
      </c>
      <c r="E95" s="7" t="s">
        <v>42</v>
      </c>
      <c r="F95" s="7" t="s">
        <v>99</v>
      </c>
      <c r="G95" s="11">
        <v>4.5</v>
      </c>
      <c r="H95" s="11">
        <v>4.5</v>
      </c>
      <c r="I95" s="7"/>
      <c r="J95" s="7"/>
      <c r="K95" s="7"/>
      <c r="L95" s="7" t="s">
        <v>377</v>
      </c>
      <c r="M95" s="8" t="b">
        <v>1</v>
      </c>
      <c r="N95" s="8" t="b">
        <v>0</v>
      </c>
      <c r="O95" s="7" t="s">
        <v>344</v>
      </c>
      <c r="P95" s="7" t="s">
        <v>345</v>
      </c>
      <c r="Q95" s="8" t="b">
        <v>0</v>
      </c>
      <c r="R95" s="8" t="b">
        <v>0</v>
      </c>
      <c r="S95" s="7" t="s">
        <v>89</v>
      </c>
      <c r="T95" s="12"/>
      <c r="U95" s="28"/>
      <c r="V95" s="29">
        <v>1E-3</v>
      </c>
      <c r="W95" s="30" t="b">
        <v>1</v>
      </c>
      <c r="X95" s="28" t="s">
        <v>90</v>
      </c>
    </row>
    <row r="96" spans="1:24" ht="15">
      <c r="A96" s="7">
        <v>94</v>
      </c>
      <c r="B96" s="7">
        <v>513418</v>
      </c>
      <c r="C96" s="7" t="s">
        <v>378</v>
      </c>
      <c r="D96" s="7" t="s">
        <v>379</v>
      </c>
      <c r="E96" s="7" t="s">
        <v>42</v>
      </c>
      <c r="F96" s="7" t="s">
        <v>112</v>
      </c>
      <c r="G96" s="11">
        <v>6</v>
      </c>
      <c r="H96" s="11">
        <v>6</v>
      </c>
      <c r="I96" s="7">
        <v>2</v>
      </c>
      <c r="J96" s="7"/>
      <c r="K96" s="7"/>
      <c r="L96" s="7" t="s">
        <v>303</v>
      </c>
      <c r="M96" s="8" t="b">
        <v>0</v>
      </c>
      <c r="N96" s="8" t="b">
        <v>0</v>
      </c>
      <c r="O96" s="7" t="s">
        <v>344</v>
      </c>
      <c r="P96" s="7" t="s">
        <v>345</v>
      </c>
      <c r="Q96" s="8" t="b">
        <v>0</v>
      </c>
      <c r="R96" s="8" t="b">
        <v>0</v>
      </c>
      <c r="S96" s="7" t="s">
        <v>89</v>
      </c>
      <c r="T96" s="12"/>
      <c r="U96" s="28"/>
      <c r="V96" s="29">
        <v>2.3E-2</v>
      </c>
      <c r="W96" s="30" t="b">
        <v>1</v>
      </c>
      <c r="X96" s="28" t="s">
        <v>90</v>
      </c>
    </row>
    <row r="97" spans="1:24" ht="15">
      <c r="A97" s="7">
        <v>95</v>
      </c>
      <c r="B97" s="7">
        <v>533463</v>
      </c>
      <c r="C97" s="7" t="s">
        <v>380</v>
      </c>
      <c r="D97" s="7" t="s">
        <v>381</v>
      </c>
      <c r="E97" s="7" t="s">
        <v>42</v>
      </c>
      <c r="F97" s="7" t="s">
        <v>112</v>
      </c>
      <c r="G97" s="11">
        <v>6.5</v>
      </c>
      <c r="H97" s="11">
        <v>6.5</v>
      </c>
      <c r="I97" s="7"/>
      <c r="J97" s="7"/>
      <c r="K97" s="7">
        <v>8</v>
      </c>
      <c r="L97" s="7" t="s">
        <v>382</v>
      </c>
      <c r="M97" s="8" t="b">
        <v>0</v>
      </c>
      <c r="N97" s="8" t="b">
        <v>0</v>
      </c>
      <c r="O97" s="7" t="s">
        <v>344</v>
      </c>
      <c r="P97" s="7" t="s">
        <v>345</v>
      </c>
      <c r="Q97" s="8" t="b">
        <v>0</v>
      </c>
      <c r="R97" s="8" t="b">
        <v>0</v>
      </c>
      <c r="S97" s="7" t="s">
        <v>89</v>
      </c>
      <c r="T97" s="12"/>
      <c r="U97" s="28"/>
      <c r="V97" s="29">
        <v>1.3000000000000001E-2</v>
      </c>
      <c r="W97" s="30" t="b">
        <v>1</v>
      </c>
      <c r="X97" s="28" t="s">
        <v>90</v>
      </c>
    </row>
    <row r="98" spans="1:24" ht="15">
      <c r="A98" s="7">
        <v>96</v>
      </c>
      <c r="B98" s="7">
        <v>440089</v>
      </c>
      <c r="C98" s="7" t="s">
        <v>383</v>
      </c>
      <c r="D98" s="7" t="s">
        <v>384</v>
      </c>
      <c r="E98" s="7" t="s">
        <v>42</v>
      </c>
      <c r="F98" s="7" t="s">
        <v>112</v>
      </c>
      <c r="G98" s="11">
        <v>5.5</v>
      </c>
      <c r="H98" s="11">
        <v>5.5</v>
      </c>
      <c r="I98" s="7"/>
      <c r="J98" s="7">
        <v>3</v>
      </c>
      <c r="K98" s="7">
        <v>6</v>
      </c>
      <c r="L98" s="7" t="s">
        <v>385</v>
      </c>
      <c r="M98" s="8" t="b">
        <v>0</v>
      </c>
      <c r="N98" s="8" t="b">
        <v>0</v>
      </c>
      <c r="O98" s="7" t="s">
        <v>344</v>
      </c>
      <c r="P98" s="7" t="s">
        <v>345</v>
      </c>
      <c r="Q98" s="8" t="b">
        <v>0</v>
      </c>
      <c r="R98" s="8" t="b">
        <v>0</v>
      </c>
      <c r="S98" s="7" t="s">
        <v>89</v>
      </c>
      <c r="T98" s="12"/>
      <c r="U98" s="28"/>
      <c r="V98" s="29">
        <v>6.9999999999999993E-3</v>
      </c>
      <c r="W98" s="30" t="b">
        <v>1</v>
      </c>
      <c r="X98" s="28" t="s">
        <v>90</v>
      </c>
    </row>
    <row r="99" spans="1:24" ht="15">
      <c r="A99" s="7">
        <v>97</v>
      </c>
      <c r="B99" s="7">
        <v>207283</v>
      </c>
      <c r="C99" s="7" t="s">
        <v>386</v>
      </c>
      <c r="D99" s="7" t="s">
        <v>387</v>
      </c>
      <c r="E99" s="7" t="s">
        <v>42</v>
      </c>
      <c r="F99" s="7" t="s">
        <v>112</v>
      </c>
      <c r="G99" s="11">
        <v>5.5</v>
      </c>
      <c r="H99" s="11">
        <v>5.5</v>
      </c>
      <c r="I99" s="7">
        <v>3</v>
      </c>
      <c r="J99" s="7">
        <v>2</v>
      </c>
      <c r="K99" s="7">
        <v>5</v>
      </c>
      <c r="L99" s="7" t="s">
        <v>388</v>
      </c>
      <c r="M99" s="8" t="b">
        <v>0</v>
      </c>
      <c r="N99" s="8" t="b">
        <v>0</v>
      </c>
      <c r="O99" s="7" t="s">
        <v>344</v>
      </c>
      <c r="P99" s="7" t="s">
        <v>345</v>
      </c>
      <c r="Q99" s="8" t="b">
        <v>0</v>
      </c>
      <c r="R99" s="8" t="b">
        <v>0</v>
      </c>
      <c r="S99" s="7" t="s">
        <v>89</v>
      </c>
      <c r="T99" s="12"/>
      <c r="U99" s="28"/>
      <c r="V99" s="29">
        <v>1E-3</v>
      </c>
      <c r="W99" s="30" t="b">
        <v>1</v>
      </c>
      <c r="X99" s="28" t="s">
        <v>90</v>
      </c>
    </row>
    <row r="100" spans="1:24" ht="15">
      <c r="A100" s="7">
        <v>98</v>
      </c>
      <c r="B100" s="7">
        <v>204580</v>
      </c>
      <c r="C100" s="7" t="s">
        <v>389</v>
      </c>
      <c r="D100" s="7" t="s">
        <v>390</v>
      </c>
      <c r="E100" s="7" t="s">
        <v>42</v>
      </c>
      <c r="F100" s="7" t="s">
        <v>112</v>
      </c>
      <c r="G100" s="11">
        <v>5</v>
      </c>
      <c r="H100" s="11">
        <v>5</v>
      </c>
      <c r="I100" s="7"/>
      <c r="J100" s="7"/>
      <c r="K100" s="7">
        <v>7</v>
      </c>
      <c r="L100" s="7" t="s">
        <v>391</v>
      </c>
      <c r="M100" s="8" t="b">
        <v>0</v>
      </c>
      <c r="N100" s="8" t="b">
        <v>0</v>
      </c>
      <c r="O100" s="7" t="s">
        <v>344</v>
      </c>
      <c r="P100" s="7" t="s">
        <v>345</v>
      </c>
      <c r="Q100" s="8" t="b">
        <v>0</v>
      </c>
      <c r="R100" s="8" t="b">
        <v>0</v>
      </c>
      <c r="S100" s="7" t="s">
        <v>89</v>
      </c>
      <c r="T100" s="12"/>
      <c r="U100" s="28"/>
      <c r="V100" s="29">
        <v>1E-3</v>
      </c>
      <c r="W100" s="30" t="b">
        <v>1</v>
      </c>
      <c r="X100" s="28" t="s">
        <v>90</v>
      </c>
    </row>
    <row r="101" spans="1:24" ht="15">
      <c r="A101" s="7">
        <v>99</v>
      </c>
      <c r="B101" s="7">
        <v>543295</v>
      </c>
      <c r="C101" s="7" t="s">
        <v>392</v>
      </c>
      <c r="D101" s="7" t="s">
        <v>393</v>
      </c>
      <c r="E101" s="7" t="s">
        <v>42</v>
      </c>
      <c r="F101" s="7" t="s">
        <v>112</v>
      </c>
      <c r="G101" s="11">
        <v>5</v>
      </c>
      <c r="H101" s="11">
        <v>5</v>
      </c>
      <c r="I101" s="7"/>
      <c r="J101" s="7"/>
      <c r="K101" s="7"/>
      <c r="L101" s="7" t="s">
        <v>394</v>
      </c>
      <c r="M101" s="8" t="b">
        <v>0</v>
      </c>
      <c r="N101" s="8" t="b">
        <v>0</v>
      </c>
      <c r="O101" s="7" t="s">
        <v>344</v>
      </c>
      <c r="P101" s="7" t="s">
        <v>345</v>
      </c>
      <c r="Q101" s="8" t="b">
        <v>0</v>
      </c>
      <c r="R101" s="8" t="b">
        <v>0</v>
      </c>
      <c r="S101" s="7" t="s">
        <v>233</v>
      </c>
      <c r="T101" s="12">
        <v>75</v>
      </c>
      <c r="U101" s="28" t="s">
        <v>234</v>
      </c>
      <c r="V101" s="29">
        <v>0</v>
      </c>
      <c r="W101" s="30" t="b">
        <v>1</v>
      </c>
      <c r="X101" s="28" t="s">
        <v>90</v>
      </c>
    </row>
    <row r="102" spans="1:24" ht="15">
      <c r="A102" s="7">
        <v>100</v>
      </c>
      <c r="B102" s="7">
        <v>244858</v>
      </c>
      <c r="C102" s="7" t="s">
        <v>395</v>
      </c>
      <c r="D102" s="7" t="s">
        <v>396</v>
      </c>
      <c r="E102" s="7" t="s">
        <v>42</v>
      </c>
      <c r="F102" s="7" t="s">
        <v>112</v>
      </c>
      <c r="G102" s="11">
        <v>5</v>
      </c>
      <c r="H102" s="11">
        <v>5</v>
      </c>
      <c r="I102" s="7"/>
      <c r="J102" s="7"/>
      <c r="K102" s="7"/>
      <c r="L102" s="7" t="s">
        <v>397</v>
      </c>
      <c r="M102" s="8" t="b">
        <v>0</v>
      </c>
      <c r="N102" s="8" t="b">
        <v>0</v>
      </c>
      <c r="O102" s="7" t="s">
        <v>344</v>
      </c>
      <c r="P102" s="7" t="s">
        <v>345</v>
      </c>
      <c r="Q102" s="8" t="b">
        <v>0</v>
      </c>
      <c r="R102" s="8" t="b">
        <v>0</v>
      </c>
      <c r="S102" s="7" t="s">
        <v>104</v>
      </c>
      <c r="T102" s="12">
        <v>0</v>
      </c>
      <c r="U102" s="28" t="s">
        <v>238</v>
      </c>
      <c r="V102" s="29">
        <v>0</v>
      </c>
      <c r="W102" s="30" t="b">
        <v>1</v>
      </c>
      <c r="X102" s="28" t="s">
        <v>90</v>
      </c>
    </row>
    <row r="103" spans="1:24" ht="15">
      <c r="A103" s="7">
        <v>101</v>
      </c>
      <c r="B103" s="7">
        <v>56979</v>
      </c>
      <c r="C103" s="7" t="s">
        <v>398</v>
      </c>
      <c r="D103" s="7" t="s">
        <v>399</v>
      </c>
      <c r="E103" s="7" t="s">
        <v>42</v>
      </c>
      <c r="F103" s="7" t="s">
        <v>112</v>
      </c>
      <c r="G103" s="11">
        <v>5</v>
      </c>
      <c r="H103" s="11">
        <v>5</v>
      </c>
      <c r="I103" s="7"/>
      <c r="J103" s="7"/>
      <c r="K103" s="7"/>
      <c r="L103" s="7" t="s">
        <v>185</v>
      </c>
      <c r="M103" s="8" t="b">
        <v>0</v>
      </c>
      <c r="N103" s="8" t="b">
        <v>0</v>
      </c>
      <c r="O103" s="7" t="s">
        <v>344</v>
      </c>
      <c r="P103" s="7" t="s">
        <v>345</v>
      </c>
      <c r="Q103" s="8" t="b">
        <v>0</v>
      </c>
      <c r="R103" s="8" t="b">
        <v>0</v>
      </c>
      <c r="S103" s="7" t="s">
        <v>400</v>
      </c>
      <c r="T103" s="12">
        <v>0</v>
      </c>
      <c r="U103" s="28" t="s">
        <v>401</v>
      </c>
      <c r="V103" s="29">
        <v>0</v>
      </c>
      <c r="W103" s="30" t="b">
        <v>0</v>
      </c>
      <c r="X103" s="28" t="s">
        <v>90</v>
      </c>
    </row>
    <row r="104" spans="1:24" ht="15">
      <c r="A104" s="7">
        <v>102</v>
      </c>
      <c r="B104" s="7">
        <v>508395</v>
      </c>
      <c r="C104" s="7" t="s">
        <v>402</v>
      </c>
      <c r="D104" s="7" t="s">
        <v>403</v>
      </c>
      <c r="E104" s="7" t="s">
        <v>42</v>
      </c>
      <c r="F104" s="7" t="s">
        <v>112</v>
      </c>
      <c r="G104" s="11">
        <v>5</v>
      </c>
      <c r="H104" s="11">
        <v>5</v>
      </c>
      <c r="I104" s="7"/>
      <c r="J104" s="7"/>
      <c r="K104" s="7"/>
      <c r="L104" s="7" t="s">
        <v>404</v>
      </c>
      <c r="M104" s="8" t="b">
        <v>0</v>
      </c>
      <c r="N104" s="8" t="b">
        <v>0</v>
      </c>
      <c r="O104" s="7" t="s">
        <v>344</v>
      </c>
      <c r="P104" s="7" t="s">
        <v>345</v>
      </c>
      <c r="Q104" s="8" t="b">
        <v>0</v>
      </c>
      <c r="R104" s="8" t="b">
        <v>0</v>
      </c>
      <c r="S104" s="7" t="s">
        <v>89</v>
      </c>
      <c r="T104" s="12"/>
      <c r="U104" s="28"/>
      <c r="V104" s="29">
        <v>1.4999999999999999E-2</v>
      </c>
      <c r="W104" s="30" t="b">
        <v>1</v>
      </c>
      <c r="X104" s="28" t="s">
        <v>90</v>
      </c>
    </row>
    <row r="105" spans="1:24" ht="15">
      <c r="A105" s="7">
        <v>103</v>
      </c>
      <c r="B105" s="7">
        <v>183656</v>
      </c>
      <c r="C105" s="7" t="s">
        <v>405</v>
      </c>
      <c r="D105" s="7" t="s">
        <v>406</v>
      </c>
      <c r="E105" s="7" t="s">
        <v>42</v>
      </c>
      <c r="F105" s="7" t="s">
        <v>112</v>
      </c>
      <c r="G105" s="11">
        <v>5</v>
      </c>
      <c r="H105" s="11">
        <v>5</v>
      </c>
      <c r="I105" s="7"/>
      <c r="J105" s="7"/>
      <c r="K105" s="7"/>
      <c r="L105" s="7" t="s">
        <v>407</v>
      </c>
      <c r="M105" s="8" t="b">
        <v>0</v>
      </c>
      <c r="N105" s="8" t="b">
        <v>0</v>
      </c>
      <c r="O105" s="7" t="s">
        <v>344</v>
      </c>
      <c r="P105" s="7" t="s">
        <v>345</v>
      </c>
      <c r="Q105" s="8" t="b">
        <v>0</v>
      </c>
      <c r="R105" s="8" t="b">
        <v>0</v>
      </c>
      <c r="S105" s="7" t="s">
        <v>89</v>
      </c>
      <c r="T105" s="12"/>
      <c r="U105" s="28"/>
      <c r="V105" s="29">
        <v>0</v>
      </c>
      <c r="W105" s="30" t="b">
        <v>1</v>
      </c>
      <c r="X105" s="28" t="s">
        <v>90</v>
      </c>
    </row>
    <row r="106" spans="1:24" ht="15">
      <c r="A106" s="7">
        <v>105</v>
      </c>
      <c r="B106" s="7">
        <v>444180</v>
      </c>
      <c r="C106" s="7" t="s">
        <v>408</v>
      </c>
      <c r="D106" s="7" t="s">
        <v>409</v>
      </c>
      <c r="E106" s="7" t="s">
        <v>42</v>
      </c>
      <c r="F106" s="7" t="s">
        <v>112</v>
      </c>
      <c r="G106" s="11">
        <v>6</v>
      </c>
      <c r="H106" s="11">
        <v>6</v>
      </c>
      <c r="I106" s="7"/>
      <c r="J106" s="7"/>
      <c r="K106" s="7"/>
      <c r="L106" s="7" t="s">
        <v>410</v>
      </c>
      <c r="M106" s="8" t="b">
        <v>1</v>
      </c>
      <c r="N106" s="8" t="b">
        <v>0</v>
      </c>
      <c r="O106" s="7" t="s">
        <v>344</v>
      </c>
      <c r="P106" s="7" t="s">
        <v>345</v>
      </c>
      <c r="Q106" s="8" t="b">
        <v>0</v>
      </c>
      <c r="R106" s="8" t="b">
        <v>0</v>
      </c>
      <c r="S106" s="7" t="s">
        <v>89</v>
      </c>
      <c r="T106" s="12"/>
      <c r="U106" s="28"/>
      <c r="V106" s="29">
        <v>2E-3</v>
      </c>
      <c r="W106" s="30" t="b">
        <v>1</v>
      </c>
      <c r="X106" s="28" t="s">
        <v>90</v>
      </c>
    </row>
    <row r="107" spans="1:24" ht="15">
      <c r="A107" s="7">
        <v>106</v>
      </c>
      <c r="B107" s="7">
        <v>502500</v>
      </c>
      <c r="C107" s="7" t="s">
        <v>411</v>
      </c>
      <c r="D107" s="7" t="s">
        <v>412</v>
      </c>
      <c r="E107" s="7" t="s">
        <v>42</v>
      </c>
      <c r="F107" s="7" t="s">
        <v>167</v>
      </c>
      <c r="G107" s="11">
        <v>8</v>
      </c>
      <c r="H107" s="11">
        <v>8</v>
      </c>
      <c r="I107" s="7">
        <v>1</v>
      </c>
      <c r="J107" s="7"/>
      <c r="K107" s="7"/>
      <c r="L107" s="7" t="s">
        <v>229</v>
      </c>
      <c r="M107" s="8" t="b">
        <v>0</v>
      </c>
      <c r="N107" s="8" t="b">
        <v>0</v>
      </c>
      <c r="O107" s="7" t="s">
        <v>344</v>
      </c>
      <c r="P107" s="7" t="s">
        <v>345</v>
      </c>
      <c r="Q107" s="8" t="b">
        <v>0</v>
      </c>
      <c r="R107" s="8" t="b">
        <v>0</v>
      </c>
      <c r="S107" s="7" t="s">
        <v>89</v>
      </c>
      <c r="T107" s="12"/>
      <c r="U107" s="28"/>
      <c r="V107" s="29">
        <v>0.158</v>
      </c>
      <c r="W107" s="30" t="b">
        <v>1</v>
      </c>
      <c r="X107" s="28" t="s">
        <v>90</v>
      </c>
    </row>
    <row r="108" spans="1:24" ht="15">
      <c r="A108" s="7">
        <v>107</v>
      </c>
      <c r="B108" s="7">
        <v>593174</v>
      </c>
      <c r="C108" s="7" t="s">
        <v>413</v>
      </c>
      <c r="D108" s="7" t="s">
        <v>414</v>
      </c>
      <c r="E108" s="7" t="s">
        <v>42</v>
      </c>
      <c r="F108" s="7" t="s">
        <v>167</v>
      </c>
      <c r="G108" s="11">
        <v>4.5</v>
      </c>
      <c r="H108" s="11">
        <v>4.5</v>
      </c>
      <c r="I108" s="7"/>
      <c r="J108" s="7"/>
      <c r="K108" s="7"/>
      <c r="L108" s="7" t="s">
        <v>415</v>
      </c>
      <c r="M108" s="8" t="b">
        <v>0</v>
      </c>
      <c r="N108" s="8" t="b">
        <v>0</v>
      </c>
      <c r="O108" s="7" t="s">
        <v>344</v>
      </c>
      <c r="P108" s="7" t="s">
        <v>345</v>
      </c>
      <c r="Q108" s="8" t="b">
        <v>0</v>
      </c>
      <c r="R108" s="8" t="b">
        <v>0</v>
      </c>
      <c r="S108" s="7" t="s">
        <v>89</v>
      </c>
      <c r="T108" s="12"/>
      <c r="U108" s="28"/>
      <c r="V108" s="29">
        <v>9.0000000000000011E-3</v>
      </c>
      <c r="W108" s="30" t="b">
        <v>1</v>
      </c>
      <c r="X108" s="28" t="s">
        <v>90</v>
      </c>
    </row>
    <row r="109" spans="1:24" ht="15">
      <c r="A109" s="7">
        <v>108</v>
      </c>
      <c r="B109" s="7">
        <v>75115</v>
      </c>
      <c r="C109" s="7" t="s">
        <v>416</v>
      </c>
      <c r="D109" s="7" t="s">
        <v>417</v>
      </c>
      <c r="E109" s="7" t="s">
        <v>42</v>
      </c>
      <c r="F109" s="7" t="s">
        <v>167</v>
      </c>
      <c r="G109" s="11">
        <v>5.5</v>
      </c>
      <c r="H109" s="11">
        <v>5.5</v>
      </c>
      <c r="I109" s="7"/>
      <c r="J109" s="7"/>
      <c r="K109" s="7"/>
      <c r="L109" s="7" t="s">
        <v>96</v>
      </c>
      <c r="M109" s="8" t="b">
        <v>1</v>
      </c>
      <c r="N109" s="8" t="b">
        <v>0</v>
      </c>
      <c r="O109" s="7" t="s">
        <v>344</v>
      </c>
      <c r="P109" s="7" t="s">
        <v>345</v>
      </c>
      <c r="Q109" s="8" t="b">
        <v>0</v>
      </c>
      <c r="R109" s="8" t="b">
        <v>0</v>
      </c>
      <c r="S109" s="7" t="s">
        <v>89</v>
      </c>
      <c r="T109" s="12"/>
      <c r="U109" s="28"/>
      <c r="V109" s="29">
        <v>4.0000000000000001E-3</v>
      </c>
      <c r="W109" s="30" t="b">
        <v>1</v>
      </c>
      <c r="X109" s="28" t="s">
        <v>90</v>
      </c>
    </row>
    <row r="110" spans="1:24" ht="15">
      <c r="A110" s="7">
        <v>565</v>
      </c>
      <c r="B110" s="7">
        <v>513545</v>
      </c>
      <c r="C110" s="7" t="s">
        <v>418</v>
      </c>
      <c r="D110" s="7" t="s">
        <v>419</v>
      </c>
      <c r="E110" s="7" t="s">
        <v>42</v>
      </c>
      <c r="F110" s="7" t="s">
        <v>112</v>
      </c>
      <c r="G110" s="11">
        <v>5.5</v>
      </c>
      <c r="H110" s="11">
        <v>5.5</v>
      </c>
      <c r="I110" s="7"/>
      <c r="J110" s="7"/>
      <c r="K110" s="7"/>
      <c r="L110" s="7" t="s">
        <v>340</v>
      </c>
      <c r="M110" s="8" t="b">
        <v>1</v>
      </c>
      <c r="N110" s="8" t="b">
        <v>0</v>
      </c>
      <c r="O110" s="7" t="s">
        <v>344</v>
      </c>
      <c r="P110" s="7" t="s">
        <v>345</v>
      </c>
      <c r="Q110" s="8" t="b">
        <v>0</v>
      </c>
      <c r="R110" s="8" t="b">
        <v>0</v>
      </c>
      <c r="S110" s="7" t="s">
        <v>89</v>
      </c>
      <c r="T110" s="12"/>
      <c r="U110" s="28"/>
      <c r="V110" s="29">
        <v>4.0000000000000001E-3</v>
      </c>
      <c r="W110" s="30" t="b">
        <v>1</v>
      </c>
      <c r="X110" s="28" t="s">
        <v>90</v>
      </c>
    </row>
    <row r="111" spans="1:24" ht="15">
      <c r="A111" s="7">
        <v>109</v>
      </c>
      <c r="B111" s="7">
        <v>489639</v>
      </c>
      <c r="C111" s="7" t="s">
        <v>420</v>
      </c>
      <c r="D111" s="7" t="s">
        <v>421</v>
      </c>
      <c r="E111" s="7" t="s">
        <v>43</v>
      </c>
      <c r="F111" s="7" t="s">
        <v>85</v>
      </c>
      <c r="G111" s="11">
        <v>4.5</v>
      </c>
      <c r="H111" s="11">
        <v>4.5</v>
      </c>
      <c r="I111" s="7"/>
      <c r="J111" s="7"/>
      <c r="K111" s="7"/>
      <c r="L111" s="7" t="s">
        <v>422</v>
      </c>
      <c r="M111" s="8" t="b">
        <v>0</v>
      </c>
      <c r="N111" s="8" t="b">
        <v>0</v>
      </c>
      <c r="O111" s="7" t="s">
        <v>423</v>
      </c>
      <c r="P111" s="7" t="s">
        <v>424</v>
      </c>
      <c r="Q111" s="8" t="b">
        <v>0</v>
      </c>
      <c r="R111" s="8" t="b">
        <v>0</v>
      </c>
      <c r="S111" s="7" t="s">
        <v>89</v>
      </c>
      <c r="T111" s="12"/>
      <c r="U111" s="28"/>
      <c r="V111" s="29">
        <v>0.16699999999999998</v>
      </c>
      <c r="W111" s="30" t="b">
        <v>1</v>
      </c>
      <c r="X111" s="28" t="s">
        <v>90</v>
      </c>
    </row>
    <row r="112" spans="1:24" ht="15">
      <c r="A112" s="7">
        <v>110</v>
      </c>
      <c r="B112" s="7">
        <v>472739</v>
      </c>
      <c r="C112" s="7" t="s">
        <v>425</v>
      </c>
      <c r="D112" s="7" t="s">
        <v>426</v>
      </c>
      <c r="E112" s="7" t="s">
        <v>43</v>
      </c>
      <c r="F112" s="7" t="s">
        <v>85</v>
      </c>
      <c r="G112" s="11">
        <v>4.5</v>
      </c>
      <c r="H112" s="11">
        <v>4.5</v>
      </c>
      <c r="I112" s="7"/>
      <c r="J112" s="7"/>
      <c r="K112" s="7"/>
      <c r="L112" s="7" t="s">
        <v>303</v>
      </c>
      <c r="M112" s="8" t="b">
        <v>0</v>
      </c>
      <c r="N112" s="8" t="b">
        <v>0</v>
      </c>
      <c r="O112" s="7" t="s">
        <v>423</v>
      </c>
      <c r="P112" s="7" t="s">
        <v>424</v>
      </c>
      <c r="Q112" s="8" t="b">
        <v>0</v>
      </c>
      <c r="R112" s="8" t="b">
        <v>0</v>
      </c>
      <c r="S112" s="7" t="s">
        <v>89</v>
      </c>
      <c r="T112" s="12"/>
      <c r="U112" s="28"/>
      <c r="V112" s="29">
        <v>6.0000000000000001E-3</v>
      </c>
      <c r="W112" s="30" t="b">
        <v>1</v>
      </c>
      <c r="X112" s="28" t="s">
        <v>90</v>
      </c>
    </row>
    <row r="113" spans="1:24" ht="15">
      <c r="A113" s="7">
        <v>111</v>
      </c>
      <c r="B113" s="7">
        <v>49262</v>
      </c>
      <c r="C113" s="7" t="s">
        <v>427</v>
      </c>
      <c r="D113" s="7" t="s">
        <v>428</v>
      </c>
      <c r="E113" s="7" t="s">
        <v>43</v>
      </c>
      <c r="F113" s="7" t="s">
        <v>85</v>
      </c>
      <c r="G113" s="11">
        <v>4</v>
      </c>
      <c r="H113" s="11">
        <v>4</v>
      </c>
      <c r="I113" s="7"/>
      <c r="J113" s="7"/>
      <c r="K113" s="7"/>
      <c r="L113" s="7" t="s">
        <v>315</v>
      </c>
      <c r="M113" s="8" t="b">
        <v>0</v>
      </c>
      <c r="N113" s="8" t="b">
        <v>0</v>
      </c>
      <c r="O113" s="7" t="s">
        <v>423</v>
      </c>
      <c r="P113" s="7" t="s">
        <v>424</v>
      </c>
      <c r="Q113" s="8" t="b">
        <v>0</v>
      </c>
      <c r="R113" s="8" t="b">
        <v>0</v>
      </c>
      <c r="S113" s="7" t="s">
        <v>89</v>
      </c>
      <c r="T113" s="12"/>
      <c r="U113" s="28"/>
      <c r="V113" s="29">
        <v>4.7E-2</v>
      </c>
      <c r="W113" s="30" t="b">
        <v>1</v>
      </c>
      <c r="X113" s="28" t="s">
        <v>90</v>
      </c>
    </row>
    <row r="114" spans="1:24" ht="15">
      <c r="A114" s="7">
        <v>113</v>
      </c>
      <c r="B114" s="7">
        <v>231416</v>
      </c>
      <c r="C114" s="7" t="s">
        <v>429</v>
      </c>
      <c r="D114" s="7" t="s">
        <v>430</v>
      </c>
      <c r="E114" s="7" t="s">
        <v>43</v>
      </c>
      <c r="F114" s="7" t="s">
        <v>99</v>
      </c>
      <c r="G114" s="11">
        <v>4.5</v>
      </c>
      <c r="H114" s="11">
        <v>4.5</v>
      </c>
      <c r="I114" s="7"/>
      <c r="J114" s="7"/>
      <c r="K114" s="7">
        <v>7</v>
      </c>
      <c r="L114" s="7" t="s">
        <v>143</v>
      </c>
      <c r="M114" s="8" t="b">
        <v>0</v>
      </c>
      <c r="N114" s="8" t="b">
        <v>0</v>
      </c>
      <c r="O114" s="7" t="s">
        <v>423</v>
      </c>
      <c r="P114" s="7" t="s">
        <v>424</v>
      </c>
      <c r="Q114" s="8" t="b">
        <v>0</v>
      </c>
      <c r="R114" s="8" t="b">
        <v>0</v>
      </c>
      <c r="S114" s="7" t="s">
        <v>89</v>
      </c>
      <c r="T114" s="12"/>
      <c r="U114" s="28"/>
      <c r="V114" s="29">
        <v>0.03</v>
      </c>
      <c r="W114" s="30" t="b">
        <v>1</v>
      </c>
      <c r="X114" s="28" t="s">
        <v>90</v>
      </c>
    </row>
    <row r="115" spans="1:24" ht="15">
      <c r="A115" s="7">
        <v>114</v>
      </c>
      <c r="B115" s="7">
        <v>204120</v>
      </c>
      <c r="C115" s="7" t="s">
        <v>431</v>
      </c>
      <c r="D115" s="7" t="s">
        <v>432</v>
      </c>
      <c r="E115" s="7" t="s">
        <v>43</v>
      </c>
      <c r="F115" s="7" t="s">
        <v>99</v>
      </c>
      <c r="G115" s="11">
        <v>4.5</v>
      </c>
      <c r="H115" s="11">
        <v>4.5</v>
      </c>
      <c r="I115" s="7"/>
      <c r="J115" s="7"/>
      <c r="K115" s="7"/>
      <c r="L115" s="7" t="s">
        <v>433</v>
      </c>
      <c r="M115" s="8" t="b">
        <v>0</v>
      </c>
      <c r="N115" s="8" t="b">
        <v>0</v>
      </c>
      <c r="O115" s="7" t="s">
        <v>423</v>
      </c>
      <c r="P115" s="7" t="s">
        <v>424</v>
      </c>
      <c r="Q115" s="8" t="b">
        <v>0</v>
      </c>
      <c r="R115" s="8" t="b">
        <v>0</v>
      </c>
      <c r="S115" s="7" t="s">
        <v>89</v>
      </c>
      <c r="T115" s="12"/>
      <c r="U115" s="28"/>
      <c r="V115" s="29">
        <v>1E-3</v>
      </c>
      <c r="W115" s="30" t="b">
        <v>1</v>
      </c>
      <c r="X115" s="28" t="s">
        <v>90</v>
      </c>
    </row>
    <row r="116" spans="1:24" ht="15">
      <c r="A116" s="7">
        <v>115</v>
      </c>
      <c r="B116" s="7">
        <v>465730</v>
      </c>
      <c r="C116" s="7" t="s">
        <v>434</v>
      </c>
      <c r="D116" s="7" t="s">
        <v>435</v>
      </c>
      <c r="E116" s="7" t="s">
        <v>43</v>
      </c>
      <c r="F116" s="7" t="s">
        <v>99</v>
      </c>
      <c r="G116" s="11">
        <v>4.5</v>
      </c>
      <c r="H116" s="11">
        <v>4.5</v>
      </c>
      <c r="I116" s="7"/>
      <c r="J116" s="7">
        <v>3</v>
      </c>
      <c r="K116" s="7"/>
      <c r="L116" s="7" t="s">
        <v>436</v>
      </c>
      <c r="M116" s="8" t="b">
        <v>0</v>
      </c>
      <c r="N116" s="8" t="b">
        <v>0</v>
      </c>
      <c r="O116" s="7" t="s">
        <v>423</v>
      </c>
      <c r="P116" s="7" t="s">
        <v>424</v>
      </c>
      <c r="Q116" s="8" t="b">
        <v>0</v>
      </c>
      <c r="R116" s="8" t="b">
        <v>0</v>
      </c>
      <c r="S116" s="7" t="s">
        <v>89</v>
      </c>
      <c r="T116" s="12"/>
      <c r="U116" s="28"/>
      <c r="V116" s="29">
        <v>1.4999999999999999E-2</v>
      </c>
      <c r="W116" s="30" t="b">
        <v>1</v>
      </c>
      <c r="X116" s="28" t="s">
        <v>90</v>
      </c>
    </row>
    <row r="117" spans="1:24" ht="15">
      <c r="A117" s="7">
        <v>116</v>
      </c>
      <c r="B117" s="7">
        <v>83299</v>
      </c>
      <c r="C117" s="7" t="s">
        <v>437</v>
      </c>
      <c r="D117" s="7" t="s">
        <v>438</v>
      </c>
      <c r="E117" s="7" t="s">
        <v>43</v>
      </c>
      <c r="F117" s="7" t="s">
        <v>99</v>
      </c>
      <c r="G117" s="11">
        <v>4.5</v>
      </c>
      <c r="H117" s="11">
        <v>4.5</v>
      </c>
      <c r="I117" s="7"/>
      <c r="J117" s="7">
        <v>2</v>
      </c>
      <c r="K117" s="7"/>
      <c r="L117" s="7" t="s">
        <v>439</v>
      </c>
      <c r="M117" s="8" t="b">
        <v>0</v>
      </c>
      <c r="N117" s="8" t="b">
        <v>0</v>
      </c>
      <c r="O117" s="7" t="s">
        <v>423</v>
      </c>
      <c r="P117" s="7" t="s">
        <v>424</v>
      </c>
      <c r="Q117" s="8" t="b">
        <v>0</v>
      </c>
      <c r="R117" s="8" t="b">
        <v>0</v>
      </c>
      <c r="S117" s="7" t="s">
        <v>89</v>
      </c>
      <c r="T117" s="12"/>
      <c r="U117" s="28"/>
      <c r="V117" s="29">
        <v>6.9999999999999993E-3</v>
      </c>
      <c r="W117" s="30" t="b">
        <v>1</v>
      </c>
      <c r="X117" s="28" t="s">
        <v>90</v>
      </c>
    </row>
    <row r="118" spans="1:24" ht="15">
      <c r="A118" s="7">
        <v>117</v>
      </c>
      <c r="B118" s="7">
        <v>550090</v>
      </c>
      <c r="C118" s="7" t="s">
        <v>440</v>
      </c>
      <c r="D118" s="7" t="s">
        <v>441</v>
      </c>
      <c r="E118" s="7" t="s">
        <v>43</v>
      </c>
      <c r="F118" s="7" t="s">
        <v>99</v>
      </c>
      <c r="G118" s="11">
        <v>4.5</v>
      </c>
      <c r="H118" s="11">
        <v>4.5</v>
      </c>
      <c r="I118" s="7"/>
      <c r="J118" s="7"/>
      <c r="K118" s="7"/>
      <c r="L118" s="7" t="s">
        <v>152</v>
      </c>
      <c r="M118" s="8" t="b">
        <v>1</v>
      </c>
      <c r="N118" s="8" t="b">
        <v>0</v>
      </c>
      <c r="O118" s="7" t="s">
        <v>423</v>
      </c>
      <c r="P118" s="7" t="s">
        <v>424</v>
      </c>
      <c r="Q118" s="8" t="b">
        <v>0</v>
      </c>
      <c r="R118" s="8" t="b">
        <v>0</v>
      </c>
      <c r="S118" s="7" t="s">
        <v>89</v>
      </c>
      <c r="T118" s="12"/>
      <c r="U118" s="28"/>
      <c r="V118" s="29">
        <v>0</v>
      </c>
      <c r="W118" s="30" t="b">
        <v>1</v>
      </c>
      <c r="X118" s="28" t="s">
        <v>90</v>
      </c>
    </row>
    <row r="119" spans="1:24" ht="15">
      <c r="A119" s="7">
        <v>118</v>
      </c>
      <c r="B119" s="7">
        <v>223434</v>
      </c>
      <c r="C119" s="7" t="s">
        <v>442</v>
      </c>
      <c r="D119" s="7" t="s">
        <v>443</v>
      </c>
      <c r="E119" s="7" t="s">
        <v>43</v>
      </c>
      <c r="F119" s="7" t="s">
        <v>99</v>
      </c>
      <c r="G119" s="11">
        <v>4.5</v>
      </c>
      <c r="H119" s="11">
        <v>4.5</v>
      </c>
      <c r="I119" s="7"/>
      <c r="J119" s="7"/>
      <c r="K119" s="7"/>
      <c r="L119" s="7" t="s">
        <v>444</v>
      </c>
      <c r="M119" s="8" t="b">
        <v>0</v>
      </c>
      <c r="N119" s="8" t="b">
        <v>0</v>
      </c>
      <c r="O119" s="7" t="s">
        <v>423</v>
      </c>
      <c r="P119" s="7" t="s">
        <v>424</v>
      </c>
      <c r="Q119" s="8" t="b">
        <v>0</v>
      </c>
      <c r="R119" s="8" t="b">
        <v>0</v>
      </c>
      <c r="S119" s="7" t="s">
        <v>89</v>
      </c>
      <c r="T119" s="12"/>
      <c r="U119" s="28"/>
      <c r="V119" s="29">
        <v>1E-3</v>
      </c>
      <c r="W119" s="30" t="b">
        <v>1</v>
      </c>
      <c r="X119" s="28" t="s">
        <v>90</v>
      </c>
    </row>
    <row r="120" spans="1:24" ht="15">
      <c r="A120" s="7">
        <v>119</v>
      </c>
      <c r="B120" s="7">
        <v>451490</v>
      </c>
      <c r="C120" s="7" t="s">
        <v>445</v>
      </c>
      <c r="D120" s="7" t="s">
        <v>446</v>
      </c>
      <c r="E120" s="7" t="s">
        <v>43</v>
      </c>
      <c r="F120" s="7" t="s">
        <v>99</v>
      </c>
      <c r="G120" s="11">
        <v>4.5</v>
      </c>
      <c r="H120" s="11">
        <v>4.5</v>
      </c>
      <c r="I120" s="7"/>
      <c r="J120" s="7"/>
      <c r="K120" s="7"/>
      <c r="L120" s="7" t="s">
        <v>377</v>
      </c>
      <c r="M120" s="8" t="b">
        <v>1</v>
      </c>
      <c r="N120" s="8" t="b">
        <v>0</v>
      </c>
      <c r="O120" s="7" t="s">
        <v>423</v>
      </c>
      <c r="P120" s="7" t="s">
        <v>424</v>
      </c>
      <c r="Q120" s="8" t="b">
        <v>0</v>
      </c>
      <c r="R120" s="8" t="b">
        <v>0</v>
      </c>
      <c r="S120" s="7" t="s">
        <v>89</v>
      </c>
      <c r="T120" s="12"/>
      <c r="U120" s="28"/>
      <c r="V120" s="29">
        <v>0</v>
      </c>
      <c r="W120" s="30" t="b">
        <v>1</v>
      </c>
      <c r="X120" s="28" t="s">
        <v>90</v>
      </c>
    </row>
    <row r="121" spans="1:24" ht="15">
      <c r="A121" s="7">
        <v>120</v>
      </c>
      <c r="B121" s="7">
        <v>454490</v>
      </c>
      <c r="C121" s="7" t="s">
        <v>447</v>
      </c>
      <c r="D121" s="7" t="s">
        <v>448</v>
      </c>
      <c r="E121" s="7" t="s">
        <v>43</v>
      </c>
      <c r="F121" s="7" t="s">
        <v>99</v>
      </c>
      <c r="G121" s="11">
        <v>5</v>
      </c>
      <c r="H121" s="11">
        <v>5</v>
      </c>
      <c r="I121" s="7"/>
      <c r="J121" s="7"/>
      <c r="K121" s="7"/>
      <c r="L121" s="7" t="s">
        <v>449</v>
      </c>
      <c r="M121" s="8" t="b">
        <v>1</v>
      </c>
      <c r="N121" s="8" t="b">
        <v>0</v>
      </c>
      <c r="O121" s="7" t="s">
        <v>423</v>
      </c>
      <c r="P121" s="7" t="s">
        <v>424</v>
      </c>
      <c r="Q121" s="8" t="b">
        <v>0</v>
      </c>
      <c r="R121" s="8" t="b">
        <v>0</v>
      </c>
      <c r="S121" s="7" t="s">
        <v>89</v>
      </c>
      <c r="T121" s="12"/>
      <c r="U121" s="28"/>
      <c r="V121" s="29">
        <v>1E-3</v>
      </c>
      <c r="W121" s="30" t="b">
        <v>1</v>
      </c>
      <c r="X121" s="28" t="s">
        <v>90</v>
      </c>
    </row>
    <row r="122" spans="1:24" ht="15">
      <c r="A122" s="7">
        <v>121</v>
      </c>
      <c r="B122" s="7">
        <v>451340</v>
      </c>
      <c r="C122" s="7" t="s">
        <v>450</v>
      </c>
      <c r="D122" s="7" t="s">
        <v>451</v>
      </c>
      <c r="E122" s="7" t="s">
        <v>43</v>
      </c>
      <c r="F122" s="7" t="s">
        <v>112</v>
      </c>
      <c r="G122" s="11">
        <v>6</v>
      </c>
      <c r="H122" s="11">
        <v>6</v>
      </c>
      <c r="I122" s="7"/>
      <c r="J122" s="7"/>
      <c r="K122" s="7"/>
      <c r="L122" s="7" t="s">
        <v>452</v>
      </c>
      <c r="M122" s="8" t="b">
        <v>0</v>
      </c>
      <c r="N122" s="8" t="b">
        <v>0</v>
      </c>
      <c r="O122" s="7" t="s">
        <v>423</v>
      </c>
      <c r="P122" s="7" t="s">
        <v>424</v>
      </c>
      <c r="Q122" s="8" t="b">
        <v>0</v>
      </c>
      <c r="R122" s="8" t="b">
        <v>0</v>
      </c>
      <c r="S122" s="7" t="s">
        <v>104</v>
      </c>
      <c r="T122" s="12">
        <v>0</v>
      </c>
      <c r="U122" s="28" t="s">
        <v>453</v>
      </c>
      <c r="V122" s="29">
        <v>2E-3</v>
      </c>
      <c r="W122" s="30" t="b">
        <v>1</v>
      </c>
      <c r="X122" s="28" t="s">
        <v>90</v>
      </c>
    </row>
    <row r="123" spans="1:24" ht="15">
      <c r="A123" s="7">
        <v>122</v>
      </c>
      <c r="B123" s="7">
        <v>592031</v>
      </c>
      <c r="C123" s="7" t="s">
        <v>454</v>
      </c>
      <c r="D123" s="7" t="s">
        <v>455</v>
      </c>
      <c r="E123" s="7" t="s">
        <v>43</v>
      </c>
      <c r="F123" s="7" t="s">
        <v>112</v>
      </c>
      <c r="G123" s="11">
        <v>6</v>
      </c>
      <c r="H123" s="11">
        <v>6</v>
      </c>
      <c r="I123" s="7"/>
      <c r="J123" s="7"/>
      <c r="K123" s="7">
        <v>6</v>
      </c>
      <c r="L123" s="7" t="s">
        <v>229</v>
      </c>
      <c r="M123" s="8" t="b">
        <v>0</v>
      </c>
      <c r="N123" s="8" t="b">
        <v>0</v>
      </c>
      <c r="O123" s="7" t="s">
        <v>423</v>
      </c>
      <c r="P123" s="7" t="s">
        <v>424</v>
      </c>
      <c r="Q123" s="8" t="b">
        <v>0</v>
      </c>
      <c r="R123" s="8" t="b">
        <v>0</v>
      </c>
      <c r="S123" s="7" t="s">
        <v>89</v>
      </c>
      <c r="T123" s="12"/>
      <c r="U123" s="28"/>
      <c r="V123" s="29">
        <v>6.9999999999999993E-3</v>
      </c>
      <c r="W123" s="30" t="b">
        <v>1</v>
      </c>
      <c r="X123" s="28" t="s">
        <v>90</v>
      </c>
    </row>
    <row r="124" spans="1:24" ht="15">
      <c r="A124" s="7">
        <v>123</v>
      </c>
      <c r="B124" s="7">
        <v>532529</v>
      </c>
      <c r="C124" s="7" t="s">
        <v>456</v>
      </c>
      <c r="D124" s="7" t="s">
        <v>457</v>
      </c>
      <c r="E124" s="7" t="s">
        <v>43</v>
      </c>
      <c r="F124" s="7" t="s">
        <v>112</v>
      </c>
      <c r="G124" s="11">
        <v>6</v>
      </c>
      <c r="H124" s="11">
        <v>6</v>
      </c>
      <c r="I124" s="7"/>
      <c r="J124" s="7"/>
      <c r="K124" s="7"/>
      <c r="L124" s="7" t="s">
        <v>458</v>
      </c>
      <c r="M124" s="8" t="b">
        <v>0</v>
      </c>
      <c r="N124" s="8" t="b">
        <v>0</v>
      </c>
      <c r="O124" s="7" t="s">
        <v>423</v>
      </c>
      <c r="P124" s="7" t="s">
        <v>424</v>
      </c>
      <c r="Q124" s="8" t="b">
        <v>0</v>
      </c>
      <c r="R124" s="8" t="b">
        <v>0</v>
      </c>
      <c r="S124" s="7" t="s">
        <v>89</v>
      </c>
      <c r="T124" s="12"/>
      <c r="U124" s="28"/>
      <c r="V124" s="29">
        <v>3.0000000000000001E-3</v>
      </c>
      <c r="W124" s="30" t="b">
        <v>1</v>
      </c>
      <c r="X124" s="28" t="s">
        <v>90</v>
      </c>
    </row>
    <row r="125" spans="1:24" ht="15">
      <c r="A125" s="7">
        <v>124</v>
      </c>
      <c r="B125" s="7">
        <v>60307</v>
      </c>
      <c r="C125" s="7" t="s">
        <v>459</v>
      </c>
      <c r="D125" s="7" t="s">
        <v>460</v>
      </c>
      <c r="E125" s="7" t="s">
        <v>43</v>
      </c>
      <c r="F125" s="7" t="s">
        <v>112</v>
      </c>
      <c r="G125" s="11">
        <v>5.5</v>
      </c>
      <c r="H125" s="11">
        <v>5.5</v>
      </c>
      <c r="I125" s="7">
        <v>1</v>
      </c>
      <c r="J125" s="7"/>
      <c r="K125" s="7">
        <v>5</v>
      </c>
      <c r="L125" s="7" t="s">
        <v>269</v>
      </c>
      <c r="M125" s="8" t="b">
        <v>0</v>
      </c>
      <c r="N125" s="8" t="b">
        <v>0</v>
      </c>
      <c r="O125" s="7" t="s">
        <v>423</v>
      </c>
      <c r="P125" s="7" t="s">
        <v>424</v>
      </c>
      <c r="Q125" s="8" t="b">
        <v>0</v>
      </c>
      <c r="R125" s="8" t="b">
        <v>0</v>
      </c>
      <c r="S125" s="7" t="s">
        <v>89</v>
      </c>
      <c r="T125" s="12"/>
      <c r="U125" s="28"/>
      <c r="V125" s="29">
        <v>7.2000000000000008E-2</v>
      </c>
      <c r="W125" s="30" t="b">
        <v>1</v>
      </c>
      <c r="X125" s="28" t="s">
        <v>90</v>
      </c>
    </row>
    <row r="126" spans="1:24" ht="15">
      <c r="A126" s="7">
        <v>125</v>
      </c>
      <c r="B126" s="7">
        <v>463067</v>
      </c>
      <c r="C126" s="7" t="s">
        <v>461</v>
      </c>
      <c r="D126" s="7" t="s">
        <v>462</v>
      </c>
      <c r="E126" s="7" t="s">
        <v>43</v>
      </c>
      <c r="F126" s="7" t="s">
        <v>167</v>
      </c>
      <c r="G126" s="11">
        <v>5.5</v>
      </c>
      <c r="H126" s="11">
        <v>5.5</v>
      </c>
      <c r="I126" s="7"/>
      <c r="J126" s="7"/>
      <c r="K126" s="7"/>
      <c r="L126" s="7" t="s">
        <v>463</v>
      </c>
      <c r="M126" s="8" t="b">
        <v>0</v>
      </c>
      <c r="N126" s="8" t="b">
        <v>0</v>
      </c>
      <c r="O126" s="7" t="s">
        <v>423</v>
      </c>
      <c r="P126" s="7" t="s">
        <v>424</v>
      </c>
      <c r="Q126" s="8" t="b">
        <v>0</v>
      </c>
      <c r="R126" s="8" t="b">
        <v>0</v>
      </c>
      <c r="S126" s="7" t="s">
        <v>89</v>
      </c>
      <c r="T126" s="12"/>
      <c r="U126" s="28"/>
      <c r="V126" s="29">
        <v>6.9999999999999993E-3</v>
      </c>
      <c r="W126" s="30" t="b">
        <v>1</v>
      </c>
      <c r="X126" s="28" t="s">
        <v>90</v>
      </c>
    </row>
    <row r="127" spans="1:24" ht="15">
      <c r="A127" s="7">
        <v>126</v>
      </c>
      <c r="B127" s="7">
        <v>219249</v>
      </c>
      <c r="C127" s="7" t="s">
        <v>464</v>
      </c>
      <c r="D127" s="7" t="s">
        <v>465</v>
      </c>
      <c r="E127" s="7" t="s">
        <v>43</v>
      </c>
      <c r="F127" s="7" t="s">
        <v>112</v>
      </c>
      <c r="G127" s="11">
        <v>5.5</v>
      </c>
      <c r="H127" s="11">
        <v>5.5</v>
      </c>
      <c r="I127" s="7">
        <v>2</v>
      </c>
      <c r="J127" s="7"/>
      <c r="K127" s="7"/>
      <c r="L127" s="7" t="s">
        <v>466</v>
      </c>
      <c r="M127" s="8" t="b">
        <v>0</v>
      </c>
      <c r="N127" s="8" t="b">
        <v>0</v>
      </c>
      <c r="O127" s="7" t="s">
        <v>423</v>
      </c>
      <c r="P127" s="7" t="s">
        <v>424</v>
      </c>
      <c r="Q127" s="8" t="b">
        <v>0</v>
      </c>
      <c r="R127" s="8" t="b">
        <v>0</v>
      </c>
      <c r="S127" s="7" t="s">
        <v>89</v>
      </c>
      <c r="T127" s="12"/>
      <c r="U127" s="28"/>
      <c r="V127" s="29">
        <v>1E-3</v>
      </c>
      <c r="W127" s="30" t="b">
        <v>1</v>
      </c>
      <c r="X127" s="28" t="s">
        <v>90</v>
      </c>
    </row>
    <row r="128" spans="1:24" ht="15">
      <c r="A128" s="7">
        <v>127</v>
      </c>
      <c r="B128" s="7">
        <v>514254</v>
      </c>
      <c r="C128" s="7" t="s">
        <v>467</v>
      </c>
      <c r="D128" s="7" t="s">
        <v>468</v>
      </c>
      <c r="E128" s="7" t="s">
        <v>43</v>
      </c>
      <c r="F128" s="7" t="s">
        <v>112</v>
      </c>
      <c r="G128" s="11">
        <v>5</v>
      </c>
      <c r="H128" s="11">
        <v>5</v>
      </c>
      <c r="I128" s="7"/>
      <c r="J128" s="7">
        <v>4</v>
      </c>
      <c r="K128" s="7"/>
      <c r="L128" s="7" t="s">
        <v>469</v>
      </c>
      <c r="M128" s="8" t="b">
        <v>0</v>
      </c>
      <c r="N128" s="8" t="b">
        <v>0</v>
      </c>
      <c r="O128" s="7" t="s">
        <v>423</v>
      </c>
      <c r="P128" s="7" t="s">
        <v>424</v>
      </c>
      <c r="Q128" s="8" t="b">
        <v>0</v>
      </c>
      <c r="R128" s="8" t="b">
        <v>0</v>
      </c>
      <c r="S128" s="7" t="s">
        <v>89</v>
      </c>
      <c r="T128" s="12"/>
      <c r="U128" s="28"/>
      <c r="V128" s="29">
        <v>1.8000000000000002E-2</v>
      </c>
      <c r="W128" s="30" t="b">
        <v>1</v>
      </c>
      <c r="X128" s="28" t="s">
        <v>90</v>
      </c>
    </row>
    <row r="129" spans="1:24" ht="15">
      <c r="A129" s="7">
        <v>128</v>
      </c>
      <c r="B129" s="7">
        <v>536916</v>
      </c>
      <c r="C129" s="7" t="s">
        <v>470</v>
      </c>
      <c r="D129" s="7" t="s">
        <v>471</v>
      </c>
      <c r="E129" s="7" t="s">
        <v>43</v>
      </c>
      <c r="F129" s="7" t="s">
        <v>112</v>
      </c>
      <c r="G129" s="11">
        <v>5</v>
      </c>
      <c r="H129" s="11">
        <v>5</v>
      </c>
      <c r="I129" s="7"/>
      <c r="J129" s="7"/>
      <c r="K129" s="7"/>
      <c r="L129" s="7" t="s">
        <v>472</v>
      </c>
      <c r="M129" s="8" t="b">
        <v>0</v>
      </c>
      <c r="N129" s="8" t="b">
        <v>0</v>
      </c>
      <c r="O129" s="7" t="s">
        <v>423</v>
      </c>
      <c r="P129" s="7" t="s">
        <v>424</v>
      </c>
      <c r="Q129" s="8" t="b">
        <v>0</v>
      </c>
      <c r="R129" s="8" t="b">
        <v>0</v>
      </c>
      <c r="S129" s="7" t="s">
        <v>89</v>
      </c>
      <c r="T129" s="12"/>
      <c r="U129" s="28"/>
      <c r="V129" s="29">
        <v>1E-3</v>
      </c>
      <c r="W129" s="30" t="b">
        <v>1</v>
      </c>
      <c r="X129" s="28" t="s">
        <v>90</v>
      </c>
    </row>
    <row r="130" spans="1:24" ht="15">
      <c r="A130" s="7">
        <v>129</v>
      </c>
      <c r="B130" s="7">
        <v>509416</v>
      </c>
      <c r="C130" s="7" t="s">
        <v>473</v>
      </c>
      <c r="D130" s="7" t="s">
        <v>474</v>
      </c>
      <c r="E130" s="7" t="s">
        <v>43</v>
      </c>
      <c r="F130" s="7" t="s">
        <v>112</v>
      </c>
      <c r="G130" s="11">
        <v>5.5</v>
      </c>
      <c r="H130" s="11">
        <v>5.5</v>
      </c>
      <c r="I130" s="7"/>
      <c r="J130" s="7">
        <v>1</v>
      </c>
      <c r="K130" s="7">
        <v>8</v>
      </c>
      <c r="L130" s="7" t="s">
        <v>475</v>
      </c>
      <c r="M130" s="8" t="b">
        <v>0</v>
      </c>
      <c r="N130" s="8" t="b">
        <v>0</v>
      </c>
      <c r="O130" s="7" t="s">
        <v>423</v>
      </c>
      <c r="P130" s="7" t="s">
        <v>424</v>
      </c>
      <c r="Q130" s="8" t="b">
        <v>0</v>
      </c>
      <c r="R130" s="8" t="b">
        <v>0</v>
      </c>
      <c r="S130" s="7" t="s">
        <v>89</v>
      </c>
      <c r="T130" s="12"/>
      <c r="U130" s="28"/>
      <c r="V130" s="29">
        <v>5.0000000000000001E-3</v>
      </c>
      <c r="W130" s="30" t="b">
        <v>1</v>
      </c>
      <c r="X130" s="28" t="s">
        <v>90</v>
      </c>
    </row>
    <row r="131" spans="1:24" ht="15">
      <c r="A131" s="7">
        <v>130</v>
      </c>
      <c r="B131" s="7">
        <v>467779</v>
      </c>
      <c r="C131" s="7" t="s">
        <v>476</v>
      </c>
      <c r="D131" s="7" t="s">
        <v>477</v>
      </c>
      <c r="E131" s="7" t="s">
        <v>43</v>
      </c>
      <c r="F131" s="7" t="s">
        <v>99</v>
      </c>
      <c r="G131" s="11">
        <v>5</v>
      </c>
      <c r="H131" s="11">
        <v>5</v>
      </c>
      <c r="I131" s="7"/>
      <c r="J131" s="7"/>
      <c r="K131" s="7"/>
      <c r="L131" s="7" t="s">
        <v>478</v>
      </c>
      <c r="M131" s="8" t="b">
        <v>0</v>
      </c>
      <c r="N131" s="8" t="b">
        <v>0</v>
      </c>
      <c r="O131" s="7" t="s">
        <v>423</v>
      </c>
      <c r="P131" s="7" t="s">
        <v>424</v>
      </c>
      <c r="Q131" s="8" t="b">
        <v>0</v>
      </c>
      <c r="R131" s="8" t="b">
        <v>0</v>
      </c>
      <c r="S131" s="7" t="s">
        <v>89</v>
      </c>
      <c r="T131" s="12"/>
      <c r="U131" s="28"/>
      <c r="V131" s="29">
        <v>3.0000000000000001E-3</v>
      </c>
      <c r="W131" s="30" t="b">
        <v>1</v>
      </c>
      <c r="X131" s="28" t="s">
        <v>90</v>
      </c>
    </row>
    <row r="132" spans="1:24" ht="15">
      <c r="A132" s="7">
        <v>131</v>
      </c>
      <c r="B132" s="7">
        <v>535301</v>
      </c>
      <c r="C132" s="7" t="s">
        <v>479</v>
      </c>
      <c r="D132" s="7" t="s">
        <v>480</v>
      </c>
      <c r="E132" s="7" t="s">
        <v>43</v>
      </c>
      <c r="F132" s="7" t="s">
        <v>112</v>
      </c>
      <c r="G132" s="11">
        <v>5</v>
      </c>
      <c r="H132" s="11">
        <v>5</v>
      </c>
      <c r="I132" s="7"/>
      <c r="J132" s="7"/>
      <c r="K132" s="7"/>
      <c r="L132" s="7" t="s">
        <v>481</v>
      </c>
      <c r="M132" s="8" t="b">
        <v>0</v>
      </c>
      <c r="N132" s="8" t="b">
        <v>0</v>
      </c>
      <c r="O132" s="7" t="s">
        <v>423</v>
      </c>
      <c r="P132" s="7" t="s">
        <v>424</v>
      </c>
      <c r="Q132" s="8" t="b">
        <v>0</v>
      </c>
      <c r="R132" s="8" t="b">
        <v>0</v>
      </c>
      <c r="S132" s="7" t="s">
        <v>89</v>
      </c>
      <c r="T132" s="12"/>
      <c r="U132" s="28"/>
      <c r="V132" s="29">
        <v>6.0000000000000001E-3</v>
      </c>
      <c r="W132" s="30" t="b">
        <v>1</v>
      </c>
      <c r="X132" s="28" t="s">
        <v>90</v>
      </c>
    </row>
    <row r="133" spans="1:24" ht="15">
      <c r="A133" s="7">
        <v>132</v>
      </c>
      <c r="B133" s="7">
        <v>597320</v>
      </c>
      <c r="C133" s="7" t="s">
        <v>482</v>
      </c>
      <c r="D133" s="7" t="s">
        <v>483</v>
      </c>
      <c r="E133" s="7" t="s">
        <v>43</v>
      </c>
      <c r="F133" s="7" t="s">
        <v>112</v>
      </c>
      <c r="G133" s="11">
        <v>4.5</v>
      </c>
      <c r="H133" s="11">
        <v>4.5</v>
      </c>
      <c r="I133" s="7"/>
      <c r="J133" s="7"/>
      <c r="K133" s="7"/>
      <c r="L133" s="7" t="s">
        <v>152</v>
      </c>
      <c r="M133" s="8" t="b">
        <v>1</v>
      </c>
      <c r="N133" s="8" t="b">
        <v>0</v>
      </c>
      <c r="O133" s="7" t="s">
        <v>423</v>
      </c>
      <c r="P133" s="7" t="s">
        <v>424</v>
      </c>
      <c r="Q133" s="8" t="b">
        <v>0</v>
      </c>
      <c r="R133" s="8" t="b">
        <v>0</v>
      </c>
      <c r="S133" s="7" t="s">
        <v>89</v>
      </c>
      <c r="T133" s="12"/>
      <c r="U133" s="28"/>
      <c r="V133" s="29">
        <v>3.0000000000000001E-3</v>
      </c>
      <c r="W133" s="30" t="b">
        <v>1</v>
      </c>
      <c r="X133" s="28" t="s">
        <v>90</v>
      </c>
    </row>
    <row r="134" spans="1:24" ht="30">
      <c r="A134" s="7">
        <v>133</v>
      </c>
      <c r="B134" s="7">
        <v>549074</v>
      </c>
      <c r="C134" s="7" t="s">
        <v>484</v>
      </c>
      <c r="D134" s="7" t="s">
        <v>485</v>
      </c>
      <c r="E134" s="7" t="s">
        <v>43</v>
      </c>
      <c r="F134" s="7" t="s">
        <v>112</v>
      </c>
      <c r="G134" s="11">
        <v>5</v>
      </c>
      <c r="H134" s="11">
        <v>5</v>
      </c>
      <c r="I134" s="7"/>
      <c r="J134" s="7"/>
      <c r="K134" s="7"/>
      <c r="L134" s="7" t="s">
        <v>486</v>
      </c>
      <c r="M134" s="8" t="b">
        <v>0</v>
      </c>
      <c r="N134" s="8" t="b">
        <v>0</v>
      </c>
      <c r="O134" s="7" t="s">
        <v>423</v>
      </c>
      <c r="P134" s="7" t="s">
        <v>424</v>
      </c>
      <c r="Q134" s="8" t="b">
        <v>0</v>
      </c>
      <c r="R134" s="8" t="b">
        <v>0</v>
      </c>
      <c r="S134" s="7" t="s">
        <v>400</v>
      </c>
      <c r="T134" s="12">
        <v>0</v>
      </c>
      <c r="U134" s="28" t="s">
        <v>487</v>
      </c>
      <c r="V134" s="29">
        <v>0</v>
      </c>
      <c r="W134" s="30" t="b">
        <v>0</v>
      </c>
      <c r="X134" s="28" t="s">
        <v>90</v>
      </c>
    </row>
    <row r="135" spans="1:24" ht="15">
      <c r="A135" s="7">
        <v>134</v>
      </c>
      <c r="B135" s="7">
        <v>556637</v>
      </c>
      <c r="C135" s="7" t="s">
        <v>488</v>
      </c>
      <c r="D135" s="7" t="s">
        <v>489</v>
      </c>
      <c r="E135" s="7" t="s">
        <v>43</v>
      </c>
      <c r="F135" s="7" t="s">
        <v>112</v>
      </c>
      <c r="G135" s="11">
        <v>4.5</v>
      </c>
      <c r="H135" s="11">
        <v>4.5</v>
      </c>
      <c r="I135" s="7"/>
      <c r="J135" s="7"/>
      <c r="K135" s="7"/>
      <c r="L135" s="7" t="s">
        <v>152</v>
      </c>
      <c r="M135" s="8" t="b">
        <v>1</v>
      </c>
      <c r="N135" s="8" t="b">
        <v>0</v>
      </c>
      <c r="O135" s="7" t="s">
        <v>423</v>
      </c>
      <c r="P135" s="7" t="s">
        <v>424</v>
      </c>
      <c r="Q135" s="8" t="b">
        <v>0</v>
      </c>
      <c r="R135" s="8" t="b">
        <v>0</v>
      </c>
      <c r="S135" s="7" t="s">
        <v>89</v>
      </c>
      <c r="T135" s="12"/>
      <c r="U135" s="28"/>
      <c r="V135" s="29">
        <v>2E-3</v>
      </c>
      <c r="W135" s="30" t="b">
        <v>1</v>
      </c>
      <c r="X135" s="28" t="s">
        <v>90</v>
      </c>
    </row>
    <row r="136" spans="1:24" ht="15">
      <c r="A136" s="7">
        <v>135</v>
      </c>
      <c r="B136" s="7">
        <v>700308</v>
      </c>
      <c r="C136" s="7" t="s">
        <v>490</v>
      </c>
      <c r="D136" s="7" t="s">
        <v>491</v>
      </c>
      <c r="E136" s="7" t="s">
        <v>43</v>
      </c>
      <c r="F136" s="7" t="s">
        <v>112</v>
      </c>
      <c r="G136" s="11">
        <v>5</v>
      </c>
      <c r="H136" s="11">
        <v>5</v>
      </c>
      <c r="I136" s="7"/>
      <c r="J136" s="7"/>
      <c r="K136" s="7"/>
      <c r="L136" s="7" t="s">
        <v>377</v>
      </c>
      <c r="M136" s="8" t="b">
        <v>1</v>
      </c>
      <c r="N136" s="8" t="b">
        <v>0</v>
      </c>
      <c r="O136" s="7" t="s">
        <v>423</v>
      </c>
      <c r="P136" s="7" t="s">
        <v>424</v>
      </c>
      <c r="Q136" s="8" t="b">
        <v>0</v>
      </c>
      <c r="R136" s="8" t="b">
        <v>0</v>
      </c>
      <c r="S136" s="7" t="s">
        <v>89</v>
      </c>
      <c r="T136" s="12"/>
      <c r="U136" s="28"/>
      <c r="V136" s="29">
        <v>1E-3</v>
      </c>
      <c r="W136" s="30" t="b">
        <v>1</v>
      </c>
      <c r="X136" s="28" t="s">
        <v>90</v>
      </c>
    </row>
    <row r="137" spans="1:24" ht="15">
      <c r="A137" s="7">
        <v>137</v>
      </c>
      <c r="B137" s="7">
        <v>608181</v>
      </c>
      <c r="C137" s="7" t="s">
        <v>492</v>
      </c>
      <c r="D137" s="7" t="s">
        <v>493</v>
      </c>
      <c r="E137" s="7" t="s">
        <v>43</v>
      </c>
      <c r="F137" s="7" t="s">
        <v>167</v>
      </c>
      <c r="G137" s="11">
        <v>5.5</v>
      </c>
      <c r="H137" s="11">
        <v>5.5</v>
      </c>
      <c r="I137" s="7"/>
      <c r="J137" s="7"/>
      <c r="K137" s="7"/>
      <c r="L137" s="7" t="s">
        <v>494</v>
      </c>
      <c r="M137" s="8" t="b">
        <v>0</v>
      </c>
      <c r="N137" s="8" t="b">
        <v>0</v>
      </c>
      <c r="O137" s="7" t="s">
        <v>423</v>
      </c>
      <c r="P137" s="7" t="s">
        <v>424</v>
      </c>
      <c r="Q137" s="8" t="b">
        <v>0</v>
      </c>
      <c r="R137" s="8" t="b">
        <v>0</v>
      </c>
      <c r="S137" s="7" t="s">
        <v>233</v>
      </c>
      <c r="T137" s="12">
        <v>75</v>
      </c>
      <c r="U137" s="28" t="s">
        <v>234</v>
      </c>
      <c r="V137" s="29">
        <v>0</v>
      </c>
      <c r="W137" s="30" t="b">
        <v>1</v>
      </c>
      <c r="X137" s="28" t="s">
        <v>90</v>
      </c>
    </row>
    <row r="138" spans="1:24" ht="15">
      <c r="A138" s="7">
        <v>138</v>
      </c>
      <c r="B138" s="7">
        <v>647850</v>
      </c>
      <c r="C138" s="7" t="s">
        <v>495</v>
      </c>
      <c r="D138" s="7" t="s">
        <v>496</v>
      </c>
      <c r="E138" s="7" t="s">
        <v>43</v>
      </c>
      <c r="F138" s="7" t="s">
        <v>167</v>
      </c>
      <c r="G138" s="11">
        <v>5.5</v>
      </c>
      <c r="H138" s="11">
        <v>5.5</v>
      </c>
      <c r="I138" s="7"/>
      <c r="J138" s="7"/>
      <c r="K138" s="7"/>
      <c r="L138" s="7" t="s">
        <v>93</v>
      </c>
      <c r="M138" s="8" t="b">
        <v>0</v>
      </c>
      <c r="N138" s="8" t="b">
        <v>0</v>
      </c>
      <c r="O138" s="7" t="s">
        <v>423</v>
      </c>
      <c r="P138" s="7" t="s">
        <v>424</v>
      </c>
      <c r="Q138" s="8" t="b">
        <v>0</v>
      </c>
      <c r="R138" s="8" t="b">
        <v>0</v>
      </c>
      <c r="S138" s="7" t="s">
        <v>89</v>
      </c>
      <c r="T138" s="12"/>
      <c r="U138" s="28"/>
      <c r="V138" s="29">
        <v>3.0000000000000001E-3</v>
      </c>
      <c r="W138" s="30" t="b">
        <v>1</v>
      </c>
      <c r="X138" s="28" t="s">
        <v>90</v>
      </c>
    </row>
    <row r="139" spans="1:24" ht="15">
      <c r="A139" s="7">
        <v>139</v>
      </c>
      <c r="B139" s="7">
        <v>487117</v>
      </c>
      <c r="C139" s="7" t="s">
        <v>497</v>
      </c>
      <c r="D139" s="7" t="s">
        <v>498</v>
      </c>
      <c r="E139" s="7" t="s">
        <v>43</v>
      </c>
      <c r="F139" s="7" t="s">
        <v>167</v>
      </c>
      <c r="G139" s="11">
        <v>5</v>
      </c>
      <c r="H139" s="11">
        <v>5</v>
      </c>
      <c r="I139" s="7"/>
      <c r="J139" s="7"/>
      <c r="K139" s="7"/>
      <c r="L139" s="7" t="s">
        <v>499</v>
      </c>
      <c r="M139" s="8" t="b">
        <v>0</v>
      </c>
      <c r="N139" s="8" t="b">
        <v>0</v>
      </c>
      <c r="O139" s="7" t="s">
        <v>423</v>
      </c>
      <c r="P139" s="7" t="s">
        <v>424</v>
      </c>
      <c r="Q139" s="8" t="b">
        <v>0</v>
      </c>
      <c r="R139" s="8" t="b">
        <v>0</v>
      </c>
      <c r="S139" s="7" t="s">
        <v>104</v>
      </c>
      <c r="T139" s="12">
        <v>0</v>
      </c>
      <c r="U139" s="28" t="s">
        <v>500</v>
      </c>
      <c r="V139" s="29">
        <v>0</v>
      </c>
      <c r="W139" s="30" t="b">
        <v>1</v>
      </c>
      <c r="X139" s="28" t="s">
        <v>90</v>
      </c>
    </row>
    <row r="140" spans="1:24" ht="15">
      <c r="A140" s="7">
        <v>328</v>
      </c>
      <c r="B140" s="7">
        <v>222694</v>
      </c>
      <c r="C140" s="7" t="s">
        <v>501</v>
      </c>
      <c r="D140" s="7" t="s">
        <v>502</v>
      </c>
      <c r="E140" s="7" t="s">
        <v>43</v>
      </c>
      <c r="F140" s="7" t="s">
        <v>99</v>
      </c>
      <c r="G140" s="11">
        <v>5</v>
      </c>
      <c r="H140" s="11">
        <v>5</v>
      </c>
      <c r="I140" s="7"/>
      <c r="J140" s="7"/>
      <c r="K140" s="7"/>
      <c r="L140" s="7" t="s">
        <v>503</v>
      </c>
      <c r="M140" s="8" t="b">
        <v>1</v>
      </c>
      <c r="N140" s="8" t="b">
        <v>0</v>
      </c>
      <c r="O140" s="7" t="s">
        <v>423</v>
      </c>
      <c r="P140" s="7" t="s">
        <v>424</v>
      </c>
      <c r="Q140" s="8" t="b">
        <v>0</v>
      </c>
      <c r="R140" s="8" t="b">
        <v>0</v>
      </c>
      <c r="S140" s="7" t="s">
        <v>89</v>
      </c>
      <c r="T140" s="12"/>
      <c r="U140" s="28"/>
      <c r="V140" s="29">
        <v>5.0000000000000001E-3</v>
      </c>
      <c r="W140" s="30" t="b">
        <v>1</v>
      </c>
      <c r="X140" s="28" t="s">
        <v>90</v>
      </c>
    </row>
    <row r="141" spans="1:24" ht="15">
      <c r="A141" s="7">
        <v>504</v>
      </c>
      <c r="B141" s="7">
        <v>610799</v>
      </c>
      <c r="C141" s="7" t="s">
        <v>504</v>
      </c>
      <c r="D141" s="7" t="s">
        <v>505</v>
      </c>
      <c r="E141" s="7" t="s">
        <v>43</v>
      </c>
      <c r="F141" s="7" t="s">
        <v>99</v>
      </c>
      <c r="G141" s="11">
        <v>5</v>
      </c>
      <c r="H141" s="11">
        <v>5</v>
      </c>
      <c r="I141" s="7"/>
      <c r="J141" s="7"/>
      <c r="K141" s="7"/>
      <c r="L141" s="7" t="s">
        <v>337</v>
      </c>
      <c r="M141" s="8" t="b">
        <v>1</v>
      </c>
      <c r="N141" s="8" t="b">
        <v>0</v>
      </c>
      <c r="O141" s="7" t="s">
        <v>423</v>
      </c>
      <c r="P141" s="7" t="s">
        <v>424</v>
      </c>
      <c r="Q141" s="8" t="b">
        <v>0</v>
      </c>
      <c r="R141" s="8" t="b">
        <v>0</v>
      </c>
      <c r="S141" s="7" t="s">
        <v>89</v>
      </c>
      <c r="T141" s="12"/>
      <c r="U141" s="28"/>
      <c r="V141" s="29">
        <v>0.03</v>
      </c>
      <c r="W141" s="30" t="b">
        <v>1</v>
      </c>
      <c r="X141" s="28" t="s">
        <v>90</v>
      </c>
    </row>
    <row r="142" spans="1:24" ht="15">
      <c r="A142" s="7">
        <v>40</v>
      </c>
      <c r="B142" s="7">
        <v>244850</v>
      </c>
      <c r="C142" s="7" t="s">
        <v>506</v>
      </c>
      <c r="D142" s="7" t="s">
        <v>507</v>
      </c>
      <c r="E142" s="7" t="s">
        <v>44</v>
      </c>
      <c r="F142" s="7" t="s">
        <v>112</v>
      </c>
      <c r="G142" s="11">
        <v>7.5</v>
      </c>
      <c r="H142" s="11">
        <v>7.5</v>
      </c>
      <c r="I142" s="7"/>
      <c r="J142" s="7"/>
      <c r="K142" s="7"/>
      <c r="L142" s="7" t="s">
        <v>508</v>
      </c>
      <c r="M142" s="8" t="b">
        <v>1</v>
      </c>
      <c r="N142" s="8" t="b">
        <v>0</v>
      </c>
      <c r="O142" s="7" t="s">
        <v>509</v>
      </c>
      <c r="P142" s="7" t="s">
        <v>119</v>
      </c>
      <c r="Q142" s="8" t="b">
        <v>1</v>
      </c>
      <c r="R142" s="8" t="b">
        <v>1</v>
      </c>
      <c r="S142" s="7" t="s">
        <v>89</v>
      </c>
      <c r="T142" s="12"/>
      <c r="U142" s="28"/>
      <c r="V142" s="29">
        <v>0.307</v>
      </c>
      <c r="W142" s="30" t="b">
        <v>1</v>
      </c>
      <c r="X142" s="28" t="s">
        <v>90</v>
      </c>
    </row>
    <row r="143" spans="1:24" ht="15">
      <c r="A143" s="7">
        <v>136</v>
      </c>
      <c r="B143" s="7">
        <v>50175</v>
      </c>
      <c r="C143" s="7" t="s">
        <v>510</v>
      </c>
      <c r="D143" s="7" t="s">
        <v>511</v>
      </c>
      <c r="E143" s="7" t="s">
        <v>44</v>
      </c>
      <c r="F143" s="7" t="s">
        <v>167</v>
      </c>
      <c r="G143" s="11">
        <v>6</v>
      </c>
      <c r="H143" s="11">
        <v>6</v>
      </c>
      <c r="I143" s="7"/>
      <c r="J143" s="7"/>
      <c r="K143" s="7"/>
      <c r="L143" s="7" t="s">
        <v>340</v>
      </c>
      <c r="M143" s="8" t="b">
        <v>1</v>
      </c>
      <c r="N143" s="8" t="b">
        <v>0</v>
      </c>
      <c r="O143" s="7" t="s">
        <v>509</v>
      </c>
      <c r="P143" s="7" t="s">
        <v>119</v>
      </c>
      <c r="Q143" s="8" t="b">
        <v>1</v>
      </c>
      <c r="R143" s="8" t="b">
        <v>1</v>
      </c>
      <c r="S143" s="7" t="s">
        <v>89</v>
      </c>
      <c r="T143" s="12"/>
      <c r="U143" s="28"/>
      <c r="V143" s="29">
        <v>2.7999999999999997E-2</v>
      </c>
      <c r="W143" s="30" t="b">
        <v>1</v>
      </c>
      <c r="X143" s="28" t="s">
        <v>90</v>
      </c>
    </row>
    <row r="144" spans="1:24" ht="15">
      <c r="A144" s="7">
        <v>140</v>
      </c>
      <c r="B144" s="7">
        <v>215059</v>
      </c>
      <c r="C144" s="7" t="s">
        <v>512</v>
      </c>
      <c r="D144" s="7" t="s">
        <v>513</v>
      </c>
      <c r="E144" s="7" t="s">
        <v>44</v>
      </c>
      <c r="F144" s="7" t="s">
        <v>85</v>
      </c>
      <c r="G144" s="11">
        <v>5</v>
      </c>
      <c r="H144" s="11">
        <v>5</v>
      </c>
      <c r="I144" s="7"/>
      <c r="J144" s="7"/>
      <c r="K144" s="7"/>
      <c r="L144" s="7" t="s">
        <v>514</v>
      </c>
      <c r="M144" s="8" t="b">
        <v>0</v>
      </c>
      <c r="N144" s="8" t="b">
        <v>0</v>
      </c>
      <c r="O144" s="7" t="s">
        <v>509</v>
      </c>
      <c r="P144" s="7" t="s">
        <v>119</v>
      </c>
      <c r="Q144" s="8" t="b">
        <v>1</v>
      </c>
      <c r="R144" s="8" t="b">
        <v>1</v>
      </c>
      <c r="S144" s="7" t="s">
        <v>89</v>
      </c>
      <c r="T144" s="12"/>
      <c r="U144" s="28"/>
      <c r="V144" s="29">
        <v>0.02</v>
      </c>
      <c r="W144" s="30" t="b">
        <v>1</v>
      </c>
      <c r="X144" s="28" t="s">
        <v>90</v>
      </c>
    </row>
    <row r="145" spans="1:24" ht="15">
      <c r="A145" s="7">
        <v>141</v>
      </c>
      <c r="B145" s="7">
        <v>508479</v>
      </c>
      <c r="C145" s="7" t="s">
        <v>515</v>
      </c>
      <c r="D145" s="7" t="s">
        <v>516</v>
      </c>
      <c r="E145" s="7" t="s">
        <v>44</v>
      </c>
      <c r="F145" s="7" t="s">
        <v>85</v>
      </c>
      <c r="G145" s="11">
        <v>5</v>
      </c>
      <c r="H145" s="11">
        <v>5</v>
      </c>
      <c r="I145" s="7"/>
      <c r="J145" s="7"/>
      <c r="K145" s="7"/>
      <c r="L145" s="7" t="s">
        <v>517</v>
      </c>
      <c r="M145" s="8" t="b">
        <v>0</v>
      </c>
      <c r="N145" s="8" t="b">
        <v>0</v>
      </c>
      <c r="O145" s="7" t="s">
        <v>509</v>
      </c>
      <c r="P145" s="7" t="s">
        <v>119</v>
      </c>
      <c r="Q145" s="8" t="b">
        <v>1</v>
      </c>
      <c r="R145" s="8" t="b">
        <v>1</v>
      </c>
      <c r="S145" s="7" t="s">
        <v>89</v>
      </c>
      <c r="T145" s="12"/>
      <c r="U145" s="28"/>
      <c r="V145" s="29">
        <v>1E-3</v>
      </c>
      <c r="W145" s="30" t="b">
        <v>1</v>
      </c>
      <c r="X145" s="28" t="s">
        <v>90</v>
      </c>
    </row>
    <row r="146" spans="1:24" ht="15">
      <c r="A146" s="7">
        <v>142</v>
      </c>
      <c r="B146" s="7">
        <v>225796</v>
      </c>
      <c r="C146" s="7" t="s">
        <v>518</v>
      </c>
      <c r="D146" s="7" t="s">
        <v>519</v>
      </c>
      <c r="E146" s="7" t="s">
        <v>44</v>
      </c>
      <c r="F146" s="7" t="s">
        <v>99</v>
      </c>
      <c r="G146" s="11">
        <v>5.5</v>
      </c>
      <c r="H146" s="11">
        <v>5.5</v>
      </c>
      <c r="I146" s="7"/>
      <c r="J146" s="7">
        <v>1</v>
      </c>
      <c r="K146" s="7">
        <v>5</v>
      </c>
      <c r="L146" s="7" t="s">
        <v>520</v>
      </c>
      <c r="M146" s="8" t="b">
        <v>0</v>
      </c>
      <c r="N146" s="8" t="b">
        <v>0</v>
      </c>
      <c r="O146" s="7" t="s">
        <v>509</v>
      </c>
      <c r="P146" s="7" t="s">
        <v>119</v>
      </c>
      <c r="Q146" s="8" t="b">
        <v>1</v>
      </c>
      <c r="R146" s="8" t="b">
        <v>1</v>
      </c>
      <c r="S146" s="7" t="s">
        <v>89</v>
      </c>
      <c r="T146" s="12"/>
      <c r="U146" s="28"/>
      <c r="V146" s="29">
        <v>0.08</v>
      </c>
      <c r="W146" s="30" t="b">
        <v>1</v>
      </c>
      <c r="X146" s="28" t="s">
        <v>90</v>
      </c>
    </row>
    <row r="147" spans="1:24" ht="15">
      <c r="A147" s="7">
        <v>143</v>
      </c>
      <c r="B147" s="7">
        <v>180736</v>
      </c>
      <c r="C147" s="7" t="s">
        <v>521</v>
      </c>
      <c r="D147" s="7" t="s">
        <v>522</v>
      </c>
      <c r="E147" s="7" t="s">
        <v>44</v>
      </c>
      <c r="F147" s="7" t="s">
        <v>99</v>
      </c>
      <c r="G147" s="11">
        <v>5.5</v>
      </c>
      <c r="H147" s="11">
        <v>5.5</v>
      </c>
      <c r="I147" s="7"/>
      <c r="J147" s="7"/>
      <c r="K147" s="7"/>
      <c r="L147" s="7" t="s">
        <v>523</v>
      </c>
      <c r="M147" s="8" t="b">
        <v>0</v>
      </c>
      <c r="N147" s="8" t="b">
        <v>0</v>
      </c>
      <c r="O147" s="7" t="s">
        <v>509</v>
      </c>
      <c r="P147" s="7" t="s">
        <v>119</v>
      </c>
      <c r="Q147" s="8" t="b">
        <v>1</v>
      </c>
      <c r="R147" s="8" t="b">
        <v>1</v>
      </c>
      <c r="S147" s="7" t="s">
        <v>89</v>
      </c>
      <c r="T147" s="12"/>
      <c r="U147" s="28"/>
      <c r="V147" s="29">
        <v>0.02</v>
      </c>
      <c r="W147" s="30" t="b">
        <v>1</v>
      </c>
      <c r="X147" s="28" t="s">
        <v>90</v>
      </c>
    </row>
    <row r="148" spans="1:24" ht="15">
      <c r="A148" s="7">
        <v>144</v>
      </c>
      <c r="B148" s="7">
        <v>482609</v>
      </c>
      <c r="C148" s="7" t="s">
        <v>524</v>
      </c>
      <c r="D148" s="7" t="s">
        <v>525</v>
      </c>
      <c r="E148" s="7" t="s">
        <v>44</v>
      </c>
      <c r="F148" s="7" t="s">
        <v>99</v>
      </c>
      <c r="G148" s="11">
        <v>5</v>
      </c>
      <c r="H148" s="11">
        <v>5</v>
      </c>
      <c r="I148" s="7"/>
      <c r="J148" s="7"/>
      <c r="K148" s="7"/>
      <c r="L148" s="7" t="s">
        <v>526</v>
      </c>
      <c r="M148" s="8" t="b">
        <v>0</v>
      </c>
      <c r="N148" s="8" t="b">
        <v>0</v>
      </c>
      <c r="O148" s="7" t="s">
        <v>509</v>
      </c>
      <c r="P148" s="7" t="s">
        <v>119</v>
      </c>
      <c r="Q148" s="8" t="b">
        <v>1</v>
      </c>
      <c r="R148" s="8" t="b">
        <v>1</v>
      </c>
      <c r="S148" s="7" t="s">
        <v>89</v>
      </c>
      <c r="T148" s="12"/>
      <c r="U148" s="28"/>
      <c r="V148" s="29">
        <v>1.2E-2</v>
      </c>
      <c r="W148" s="30" t="b">
        <v>1</v>
      </c>
      <c r="X148" s="28" t="s">
        <v>90</v>
      </c>
    </row>
    <row r="149" spans="1:24" ht="15">
      <c r="A149" s="7">
        <v>145</v>
      </c>
      <c r="B149" s="7">
        <v>444463</v>
      </c>
      <c r="C149" s="7" t="s">
        <v>527</v>
      </c>
      <c r="D149" s="7" t="s">
        <v>528</v>
      </c>
      <c r="E149" s="7" t="s">
        <v>44</v>
      </c>
      <c r="F149" s="7" t="s">
        <v>99</v>
      </c>
      <c r="G149" s="11">
        <v>5</v>
      </c>
      <c r="H149" s="11">
        <v>5</v>
      </c>
      <c r="I149" s="7"/>
      <c r="J149" s="7"/>
      <c r="K149" s="7"/>
      <c r="L149" s="7" t="s">
        <v>529</v>
      </c>
      <c r="M149" s="8" t="b">
        <v>0</v>
      </c>
      <c r="N149" s="8" t="b">
        <v>0</v>
      </c>
      <c r="O149" s="7" t="s">
        <v>509</v>
      </c>
      <c r="P149" s="7" t="s">
        <v>119</v>
      </c>
      <c r="Q149" s="8" t="b">
        <v>1</v>
      </c>
      <c r="R149" s="8" t="b">
        <v>1</v>
      </c>
      <c r="S149" s="7" t="s">
        <v>319</v>
      </c>
      <c r="T149" s="12">
        <v>0</v>
      </c>
      <c r="U149" s="28" t="s">
        <v>530</v>
      </c>
      <c r="V149" s="29">
        <v>0</v>
      </c>
      <c r="W149" s="30" t="b">
        <v>1</v>
      </c>
      <c r="X149" s="28" t="s">
        <v>90</v>
      </c>
    </row>
    <row r="150" spans="1:24" ht="15">
      <c r="A150" s="7">
        <v>146</v>
      </c>
      <c r="B150" s="7">
        <v>242880</v>
      </c>
      <c r="C150" s="7" t="s">
        <v>531</v>
      </c>
      <c r="D150" s="7" t="s">
        <v>532</v>
      </c>
      <c r="E150" s="7" t="s">
        <v>44</v>
      </c>
      <c r="F150" s="7" t="s">
        <v>99</v>
      </c>
      <c r="G150" s="11">
        <v>4.5</v>
      </c>
      <c r="H150" s="11">
        <v>4.5</v>
      </c>
      <c r="I150" s="7"/>
      <c r="J150" s="7"/>
      <c r="K150" s="7"/>
      <c r="L150" s="7" t="s">
        <v>533</v>
      </c>
      <c r="M150" s="8" t="b">
        <v>0</v>
      </c>
      <c r="N150" s="8" t="b">
        <v>0</v>
      </c>
      <c r="O150" s="7" t="s">
        <v>509</v>
      </c>
      <c r="P150" s="7" t="s">
        <v>119</v>
      </c>
      <c r="Q150" s="8" t="b">
        <v>1</v>
      </c>
      <c r="R150" s="8" t="b">
        <v>1</v>
      </c>
      <c r="S150" s="7" t="s">
        <v>89</v>
      </c>
      <c r="T150" s="12"/>
      <c r="U150" s="28"/>
      <c r="V150" s="29">
        <v>0</v>
      </c>
      <c r="W150" s="30" t="b">
        <v>1</v>
      </c>
      <c r="X150" s="28" t="s">
        <v>90</v>
      </c>
    </row>
    <row r="151" spans="1:24" ht="15">
      <c r="A151" s="7">
        <v>147</v>
      </c>
      <c r="B151" s="7">
        <v>109646</v>
      </c>
      <c r="C151" s="7" t="s">
        <v>534</v>
      </c>
      <c r="D151" s="7" t="s">
        <v>535</v>
      </c>
      <c r="E151" s="7" t="s">
        <v>44</v>
      </c>
      <c r="F151" s="7" t="s">
        <v>99</v>
      </c>
      <c r="G151" s="11">
        <v>4.5</v>
      </c>
      <c r="H151" s="11">
        <v>4.5</v>
      </c>
      <c r="I151" s="7"/>
      <c r="J151" s="7"/>
      <c r="K151" s="7"/>
      <c r="L151" s="7" t="s">
        <v>229</v>
      </c>
      <c r="M151" s="8" t="b">
        <v>0</v>
      </c>
      <c r="N151" s="8" t="b">
        <v>0</v>
      </c>
      <c r="O151" s="7" t="s">
        <v>509</v>
      </c>
      <c r="P151" s="7" t="s">
        <v>119</v>
      </c>
      <c r="Q151" s="8" t="b">
        <v>1</v>
      </c>
      <c r="R151" s="8" t="b">
        <v>1</v>
      </c>
      <c r="S151" s="7" t="s">
        <v>89</v>
      </c>
      <c r="T151" s="12"/>
      <c r="U151" s="28"/>
      <c r="V151" s="29">
        <v>1E-3</v>
      </c>
      <c r="W151" s="30" t="b">
        <v>1</v>
      </c>
      <c r="X151" s="28" t="s">
        <v>90</v>
      </c>
    </row>
    <row r="152" spans="1:24" ht="15">
      <c r="A152" s="7">
        <v>148</v>
      </c>
      <c r="B152" s="7">
        <v>551210</v>
      </c>
      <c r="C152" s="7" t="s">
        <v>536</v>
      </c>
      <c r="D152" s="7" t="s">
        <v>537</v>
      </c>
      <c r="E152" s="7" t="s">
        <v>44</v>
      </c>
      <c r="F152" s="7" t="s">
        <v>99</v>
      </c>
      <c r="G152" s="11">
        <v>4.5</v>
      </c>
      <c r="H152" s="11">
        <v>4.5</v>
      </c>
      <c r="I152" s="7"/>
      <c r="J152" s="7"/>
      <c r="K152" s="7"/>
      <c r="L152" s="7" t="s">
        <v>538</v>
      </c>
      <c r="M152" s="8" t="b">
        <v>0</v>
      </c>
      <c r="N152" s="8" t="b">
        <v>0</v>
      </c>
      <c r="O152" s="7" t="s">
        <v>509</v>
      </c>
      <c r="P152" s="7" t="s">
        <v>119</v>
      </c>
      <c r="Q152" s="8" t="b">
        <v>1</v>
      </c>
      <c r="R152" s="8" t="b">
        <v>1</v>
      </c>
      <c r="S152" s="7" t="s">
        <v>89</v>
      </c>
      <c r="T152" s="12"/>
      <c r="U152" s="28"/>
      <c r="V152" s="29">
        <v>1.2E-2</v>
      </c>
      <c r="W152" s="30" t="b">
        <v>1</v>
      </c>
      <c r="X152" s="28" t="s">
        <v>90</v>
      </c>
    </row>
    <row r="153" spans="1:24" ht="15">
      <c r="A153" s="7">
        <v>149</v>
      </c>
      <c r="B153" s="7">
        <v>460028</v>
      </c>
      <c r="C153" s="7" t="s">
        <v>539</v>
      </c>
      <c r="D153" s="7" t="s">
        <v>540</v>
      </c>
      <c r="E153" s="7" t="s">
        <v>44</v>
      </c>
      <c r="F153" s="7" t="s">
        <v>99</v>
      </c>
      <c r="G153" s="11">
        <v>5</v>
      </c>
      <c r="H153" s="11">
        <v>5</v>
      </c>
      <c r="I153" s="7"/>
      <c r="J153" s="7"/>
      <c r="K153" s="7"/>
      <c r="L153" s="7" t="s">
        <v>541</v>
      </c>
      <c r="M153" s="8" t="b">
        <v>0</v>
      </c>
      <c r="N153" s="8" t="b">
        <v>0</v>
      </c>
      <c r="O153" s="7" t="s">
        <v>509</v>
      </c>
      <c r="P153" s="7" t="s">
        <v>119</v>
      </c>
      <c r="Q153" s="8" t="b">
        <v>1</v>
      </c>
      <c r="R153" s="8" t="b">
        <v>1</v>
      </c>
      <c r="S153" s="7" t="s">
        <v>89</v>
      </c>
      <c r="T153" s="12"/>
      <c r="U153" s="28"/>
      <c r="V153" s="29">
        <v>1.9E-2</v>
      </c>
      <c r="W153" s="30" t="b">
        <v>1</v>
      </c>
      <c r="X153" s="28" t="s">
        <v>90</v>
      </c>
    </row>
    <row r="154" spans="1:24" ht="15">
      <c r="A154" s="7">
        <v>150</v>
      </c>
      <c r="B154" s="7">
        <v>574458</v>
      </c>
      <c r="C154" s="7" t="s">
        <v>542</v>
      </c>
      <c r="D154" s="7" t="s">
        <v>543</v>
      </c>
      <c r="E154" s="7" t="s">
        <v>44</v>
      </c>
      <c r="F154" s="7" t="s">
        <v>99</v>
      </c>
      <c r="G154" s="11">
        <v>4.5</v>
      </c>
      <c r="H154" s="11">
        <v>4.5</v>
      </c>
      <c r="I154" s="7"/>
      <c r="J154" s="7"/>
      <c r="K154" s="7"/>
      <c r="L154" s="7" t="s">
        <v>544</v>
      </c>
      <c r="M154" s="8" t="b">
        <v>0</v>
      </c>
      <c r="N154" s="8" t="b">
        <v>0</v>
      </c>
      <c r="O154" s="7" t="s">
        <v>509</v>
      </c>
      <c r="P154" s="7" t="s">
        <v>119</v>
      </c>
      <c r="Q154" s="8" t="b">
        <v>1</v>
      </c>
      <c r="R154" s="8" t="b">
        <v>1</v>
      </c>
      <c r="S154" s="7" t="s">
        <v>89</v>
      </c>
      <c r="T154" s="12"/>
      <c r="U154" s="28"/>
      <c r="V154" s="29">
        <v>1E-3</v>
      </c>
      <c r="W154" s="30" t="b">
        <v>1</v>
      </c>
      <c r="X154" s="28" t="s">
        <v>90</v>
      </c>
    </row>
    <row r="155" spans="1:24" ht="15">
      <c r="A155" s="7">
        <v>151</v>
      </c>
      <c r="B155" s="7">
        <v>577016</v>
      </c>
      <c r="C155" s="7" t="s">
        <v>545</v>
      </c>
      <c r="D155" s="7" t="s">
        <v>546</v>
      </c>
      <c r="E155" s="7" t="s">
        <v>44</v>
      </c>
      <c r="F155" s="7" t="s">
        <v>99</v>
      </c>
      <c r="G155" s="11">
        <v>4.5</v>
      </c>
      <c r="H155" s="11">
        <v>4.5</v>
      </c>
      <c r="I155" s="7"/>
      <c r="J155" s="7"/>
      <c r="K155" s="7"/>
      <c r="L155" s="7" t="s">
        <v>547</v>
      </c>
      <c r="M155" s="8" t="b">
        <v>0</v>
      </c>
      <c r="N155" s="8" t="b">
        <v>0</v>
      </c>
      <c r="O155" s="7" t="s">
        <v>509</v>
      </c>
      <c r="P155" s="7" t="s">
        <v>119</v>
      </c>
      <c r="Q155" s="8" t="b">
        <v>1</v>
      </c>
      <c r="R155" s="8" t="b">
        <v>1</v>
      </c>
      <c r="S155" s="7" t="s">
        <v>89</v>
      </c>
      <c r="T155" s="12"/>
      <c r="U155" s="28"/>
      <c r="V155" s="29">
        <v>2E-3</v>
      </c>
      <c r="W155" s="30" t="b">
        <v>1</v>
      </c>
      <c r="X155" s="28" t="s">
        <v>90</v>
      </c>
    </row>
    <row r="156" spans="1:24" ht="15">
      <c r="A156" s="7">
        <v>152</v>
      </c>
      <c r="B156" s="7">
        <v>620109</v>
      </c>
      <c r="C156" s="7" t="s">
        <v>548</v>
      </c>
      <c r="D156" s="7" t="s">
        <v>549</v>
      </c>
      <c r="E156" s="7" t="s">
        <v>44</v>
      </c>
      <c r="F156" s="7" t="s">
        <v>99</v>
      </c>
      <c r="G156" s="11">
        <v>5.5</v>
      </c>
      <c r="H156" s="11">
        <v>5.5</v>
      </c>
      <c r="I156" s="7"/>
      <c r="J156" s="7"/>
      <c r="K156" s="7"/>
      <c r="L156" s="7" t="s">
        <v>119</v>
      </c>
      <c r="M156" s="8" t="b">
        <v>1</v>
      </c>
      <c r="N156" s="8" t="b">
        <v>0</v>
      </c>
      <c r="O156" s="7" t="s">
        <v>509</v>
      </c>
      <c r="P156" s="7" t="s">
        <v>119</v>
      </c>
      <c r="Q156" s="8" t="b">
        <v>1</v>
      </c>
      <c r="R156" s="8" t="b">
        <v>1</v>
      </c>
      <c r="S156" s="7" t="s">
        <v>89</v>
      </c>
      <c r="T156" s="12"/>
      <c r="U156" s="28"/>
      <c r="V156" s="29">
        <v>1.4999999999999999E-2</v>
      </c>
      <c r="W156" s="30" t="b">
        <v>1</v>
      </c>
      <c r="X156" s="28" t="s">
        <v>90</v>
      </c>
    </row>
    <row r="157" spans="1:24" ht="15">
      <c r="A157" s="7">
        <v>153</v>
      </c>
      <c r="B157" s="7">
        <v>220362</v>
      </c>
      <c r="C157" s="7" t="s">
        <v>550</v>
      </c>
      <c r="D157" s="7" t="s">
        <v>551</v>
      </c>
      <c r="E157" s="7" t="s">
        <v>44</v>
      </c>
      <c r="F157" s="7" t="s">
        <v>99</v>
      </c>
      <c r="G157" s="11">
        <v>4.5</v>
      </c>
      <c r="H157" s="11">
        <v>4.5</v>
      </c>
      <c r="I157" s="7"/>
      <c r="J157" s="7"/>
      <c r="K157" s="7"/>
      <c r="L157" s="7" t="s">
        <v>552</v>
      </c>
      <c r="M157" s="8" t="b">
        <v>0</v>
      </c>
      <c r="N157" s="8" t="b">
        <v>0</v>
      </c>
      <c r="O157" s="7" t="s">
        <v>509</v>
      </c>
      <c r="P157" s="7" t="s">
        <v>119</v>
      </c>
      <c r="Q157" s="8" t="b">
        <v>1</v>
      </c>
      <c r="R157" s="8" t="b">
        <v>1</v>
      </c>
      <c r="S157" s="7" t="s">
        <v>89</v>
      </c>
      <c r="T157" s="12"/>
      <c r="U157" s="28"/>
      <c r="V157" s="29">
        <v>1E-3</v>
      </c>
      <c r="W157" s="30" t="b">
        <v>1</v>
      </c>
      <c r="X157" s="28" t="s">
        <v>90</v>
      </c>
    </row>
    <row r="158" spans="1:24" ht="15">
      <c r="A158" s="7">
        <v>154</v>
      </c>
      <c r="B158" s="7">
        <v>244851</v>
      </c>
      <c r="C158" s="7" t="s">
        <v>553</v>
      </c>
      <c r="D158" s="7" t="s">
        <v>554</v>
      </c>
      <c r="E158" s="7" t="s">
        <v>44</v>
      </c>
      <c r="F158" s="7" t="s">
        <v>112</v>
      </c>
      <c r="G158" s="11">
        <v>9.5</v>
      </c>
      <c r="H158" s="11">
        <v>9.5</v>
      </c>
      <c r="I158" s="7">
        <v>1</v>
      </c>
      <c r="J158" s="7">
        <v>3</v>
      </c>
      <c r="K158" s="7"/>
      <c r="L158" s="7" t="s">
        <v>555</v>
      </c>
      <c r="M158" s="8" t="b">
        <v>0</v>
      </c>
      <c r="N158" s="8" t="b">
        <v>0</v>
      </c>
      <c r="O158" s="7" t="s">
        <v>509</v>
      </c>
      <c r="P158" s="7" t="s">
        <v>119</v>
      </c>
      <c r="Q158" s="8" t="b">
        <v>1</v>
      </c>
      <c r="R158" s="8" t="b">
        <v>1</v>
      </c>
      <c r="S158" s="7" t="s">
        <v>89</v>
      </c>
      <c r="T158" s="12"/>
      <c r="U158" s="28"/>
      <c r="V158" s="29">
        <v>0.127</v>
      </c>
      <c r="W158" s="30" t="b">
        <v>1</v>
      </c>
      <c r="X158" s="28" t="s">
        <v>90</v>
      </c>
    </row>
    <row r="159" spans="1:24" ht="15">
      <c r="A159" s="7">
        <v>155</v>
      </c>
      <c r="B159" s="7">
        <v>448047</v>
      </c>
      <c r="C159" s="7" t="s">
        <v>556</v>
      </c>
      <c r="D159" s="7" t="s">
        <v>557</v>
      </c>
      <c r="E159" s="7" t="s">
        <v>44</v>
      </c>
      <c r="F159" s="7" t="s">
        <v>112</v>
      </c>
      <c r="G159" s="11">
        <v>7</v>
      </c>
      <c r="H159" s="11">
        <v>7</v>
      </c>
      <c r="I159" s="7">
        <v>2</v>
      </c>
      <c r="J159" s="7">
        <v>2</v>
      </c>
      <c r="K159" s="7">
        <v>7</v>
      </c>
      <c r="L159" s="7" t="s">
        <v>558</v>
      </c>
      <c r="M159" s="8" t="b">
        <v>0</v>
      </c>
      <c r="N159" s="8" t="b">
        <v>0</v>
      </c>
      <c r="O159" s="7" t="s">
        <v>509</v>
      </c>
      <c r="P159" s="7" t="s">
        <v>119</v>
      </c>
      <c r="Q159" s="8" t="b">
        <v>1</v>
      </c>
      <c r="R159" s="8" t="b">
        <v>1</v>
      </c>
      <c r="S159" s="7" t="s">
        <v>89</v>
      </c>
      <c r="T159" s="12"/>
      <c r="U159" s="28"/>
      <c r="V159" s="29">
        <v>5.4000000000000006E-2</v>
      </c>
      <c r="W159" s="30" t="b">
        <v>1</v>
      </c>
      <c r="X159" s="28" t="s">
        <v>90</v>
      </c>
    </row>
    <row r="160" spans="1:24" ht="15">
      <c r="A160" s="7">
        <v>156</v>
      </c>
      <c r="B160" s="7">
        <v>247632</v>
      </c>
      <c r="C160" s="7" t="s">
        <v>559</v>
      </c>
      <c r="D160" s="7" t="s">
        <v>560</v>
      </c>
      <c r="E160" s="7" t="s">
        <v>44</v>
      </c>
      <c r="F160" s="7" t="s">
        <v>112</v>
      </c>
      <c r="G160" s="11">
        <v>6.5</v>
      </c>
      <c r="H160" s="11">
        <v>6.5</v>
      </c>
      <c r="I160" s="7"/>
      <c r="J160" s="7">
        <v>4</v>
      </c>
      <c r="K160" s="7">
        <v>6</v>
      </c>
      <c r="L160" s="7" t="s">
        <v>561</v>
      </c>
      <c r="M160" s="8" t="b">
        <v>0</v>
      </c>
      <c r="N160" s="8" t="b">
        <v>0</v>
      </c>
      <c r="O160" s="7" t="s">
        <v>509</v>
      </c>
      <c r="P160" s="7" t="s">
        <v>119</v>
      </c>
      <c r="Q160" s="8" t="b">
        <v>1</v>
      </c>
      <c r="R160" s="8" t="b">
        <v>1</v>
      </c>
      <c r="S160" s="7" t="s">
        <v>89</v>
      </c>
      <c r="T160" s="12"/>
      <c r="U160" s="28"/>
      <c r="V160" s="29">
        <v>1.3000000000000001E-2</v>
      </c>
      <c r="W160" s="30" t="b">
        <v>1</v>
      </c>
      <c r="X160" s="28" t="s">
        <v>90</v>
      </c>
    </row>
    <row r="161" spans="1:24" ht="15">
      <c r="A161" s="7">
        <v>157</v>
      </c>
      <c r="B161" s="7">
        <v>624773</v>
      </c>
      <c r="C161" s="7" t="s">
        <v>562</v>
      </c>
      <c r="D161" s="7" t="s">
        <v>563</v>
      </c>
      <c r="E161" s="7" t="s">
        <v>44</v>
      </c>
      <c r="F161" s="7" t="s">
        <v>112</v>
      </c>
      <c r="G161" s="11">
        <v>6.5</v>
      </c>
      <c r="H161" s="11">
        <v>6.5</v>
      </c>
      <c r="I161" s="7">
        <v>3</v>
      </c>
      <c r="J161" s="7"/>
      <c r="K161" s="7">
        <v>8</v>
      </c>
      <c r="L161" s="7" t="s">
        <v>564</v>
      </c>
      <c r="M161" s="8" t="b">
        <v>0</v>
      </c>
      <c r="N161" s="8" t="b">
        <v>0</v>
      </c>
      <c r="O161" s="7" t="s">
        <v>509</v>
      </c>
      <c r="P161" s="7" t="s">
        <v>119</v>
      </c>
      <c r="Q161" s="8" t="b">
        <v>1</v>
      </c>
      <c r="R161" s="8" t="b">
        <v>1</v>
      </c>
      <c r="S161" s="7" t="s">
        <v>89</v>
      </c>
      <c r="T161" s="12"/>
      <c r="U161" s="28"/>
      <c r="V161" s="29">
        <v>1.7000000000000001E-2</v>
      </c>
      <c r="W161" s="30" t="b">
        <v>1</v>
      </c>
      <c r="X161" s="28" t="s">
        <v>90</v>
      </c>
    </row>
    <row r="162" spans="1:24" ht="15">
      <c r="A162" s="7">
        <v>158</v>
      </c>
      <c r="B162" s="7">
        <v>463936</v>
      </c>
      <c r="C162" s="7" t="s">
        <v>565</v>
      </c>
      <c r="D162" s="7" t="s">
        <v>566</v>
      </c>
      <c r="E162" s="7" t="s">
        <v>44</v>
      </c>
      <c r="F162" s="7" t="s">
        <v>112</v>
      </c>
      <c r="G162" s="11">
        <v>6</v>
      </c>
      <c r="H162" s="11">
        <v>6</v>
      </c>
      <c r="I162" s="7"/>
      <c r="J162" s="7"/>
      <c r="K162" s="7"/>
      <c r="L162" s="7" t="s">
        <v>436</v>
      </c>
      <c r="M162" s="8" t="b">
        <v>0</v>
      </c>
      <c r="N162" s="8" t="b">
        <v>0</v>
      </c>
      <c r="O162" s="7" t="s">
        <v>509</v>
      </c>
      <c r="P162" s="7" t="s">
        <v>119</v>
      </c>
      <c r="Q162" s="8" t="b">
        <v>1</v>
      </c>
      <c r="R162" s="8" t="b">
        <v>1</v>
      </c>
      <c r="S162" s="7" t="s">
        <v>89</v>
      </c>
      <c r="T162" s="12"/>
      <c r="U162" s="28"/>
      <c r="V162" s="29">
        <v>1E-3</v>
      </c>
      <c r="W162" s="30" t="b">
        <v>1</v>
      </c>
      <c r="X162" s="28" t="s">
        <v>90</v>
      </c>
    </row>
    <row r="163" spans="1:24" ht="15">
      <c r="A163" s="7">
        <v>159</v>
      </c>
      <c r="B163" s="7">
        <v>486672</v>
      </c>
      <c r="C163" s="7" t="s">
        <v>567</v>
      </c>
      <c r="D163" s="7" t="s">
        <v>568</v>
      </c>
      <c r="E163" s="7" t="s">
        <v>44</v>
      </c>
      <c r="F163" s="7" t="s">
        <v>112</v>
      </c>
      <c r="G163" s="11">
        <v>5.5</v>
      </c>
      <c r="H163" s="11">
        <v>5.5</v>
      </c>
      <c r="I163" s="7"/>
      <c r="J163" s="7"/>
      <c r="K163" s="7"/>
      <c r="L163" s="7" t="s">
        <v>569</v>
      </c>
      <c r="M163" s="8" t="b">
        <v>0</v>
      </c>
      <c r="N163" s="8" t="b">
        <v>0</v>
      </c>
      <c r="O163" s="7" t="s">
        <v>509</v>
      </c>
      <c r="P163" s="7" t="s">
        <v>119</v>
      </c>
      <c r="Q163" s="8" t="b">
        <v>1</v>
      </c>
      <c r="R163" s="8" t="b">
        <v>1</v>
      </c>
      <c r="S163" s="7" t="s">
        <v>89</v>
      </c>
      <c r="T163" s="12"/>
      <c r="U163" s="28"/>
      <c r="V163" s="29">
        <v>3.7000000000000005E-2</v>
      </c>
      <c r="W163" s="30" t="b">
        <v>1</v>
      </c>
      <c r="X163" s="28" t="s">
        <v>90</v>
      </c>
    </row>
    <row r="164" spans="1:24" ht="15">
      <c r="A164" s="7">
        <v>161</v>
      </c>
      <c r="B164" s="7">
        <v>514356</v>
      </c>
      <c r="C164" s="7" t="s">
        <v>570</v>
      </c>
      <c r="D164" s="7" t="s">
        <v>571</v>
      </c>
      <c r="E164" s="7" t="s">
        <v>44</v>
      </c>
      <c r="F164" s="7" t="s">
        <v>112</v>
      </c>
      <c r="G164" s="11">
        <v>5</v>
      </c>
      <c r="H164" s="11">
        <v>5</v>
      </c>
      <c r="I164" s="7"/>
      <c r="J164" s="7"/>
      <c r="K164" s="7"/>
      <c r="L164" s="7" t="s">
        <v>572</v>
      </c>
      <c r="M164" s="8" t="b">
        <v>0</v>
      </c>
      <c r="N164" s="8" t="b">
        <v>0</v>
      </c>
      <c r="O164" s="7" t="s">
        <v>509</v>
      </c>
      <c r="P164" s="7" t="s">
        <v>119</v>
      </c>
      <c r="Q164" s="8" t="b">
        <v>1</v>
      </c>
      <c r="R164" s="8" t="b">
        <v>1</v>
      </c>
      <c r="S164" s="7" t="s">
        <v>89</v>
      </c>
      <c r="T164" s="12"/>
      <c r="U164" s="28"/>
      <c r="V164" s="29">
        <v>0</v>
      </c>
      <c r="W164" s="30" t="b">
        <v>1</v>
      </c>
      <c r="X164" s="28" t="s">
        <v>90</v>
      </c>
    </row>
    <row r="165" spans="1:24" ht="15">
      <c r="A165" s="7">
        <v>163</v>
      </c>
      <c r="B165" s="7">
        <v>491007</v>
      </c>
      <c r="C165" s="7" t="s">
        <v>573</v>
      </c>
      <c r="D165" s="7" t="s">
        <v>574</v>
      </c>
      <c r="E165" s="7" t="s">
        <v>44</v>
      </c>
      <c r="F165" s="7" t="s">
        <v>112</v>
      </c>
      <c r="G165" s="11">
        <v>4.5</v>
      </c>
      <c r="H165" s="11">
        <v>4.5</v>
      </c>
      <c r="I165" s="7"/>
      <c r="J165" s="7"/>
      <c r="K165" s="7"/>
      <c r="L165" s="7" t="s">
        <v>575</v>
      </c>
      <c r="M165" s="8" t="b">
        <v>0</v>
      </c>
      <c r="N165" s="8" t="b">
        <v>0</v>
      </c>
      <c r="O165" s="7" t="s">
        <v>509</v>
      </c>
      <c r="P165" s="7" t="s">
        <v>119</v>
      </c>
      <c r="Q165" s="8" t="b">
        <v>1</v>
      </c>
      <c r="R165" s="8" t="b">
        <v>1</v>
      </c>
      <c r="S165" s="7" t="s">
        <v>89</v>
      </c>
      <c r="T165" s="12"/>
      <c r="U165" s="28"/>
      <c r="V165" s="29">
        <v>2E-3</v>
      </c>
      <c r="W165" s="30" t="b">
        <v>1</v>
      </c>
      <c r="X165" s="28" t="s">
        <v>90</v>
      </c>
    </row>
    <row r="166" spans="1:24" ht="15">
      <c r="A166" s="7">
        <v>164</v>
      </c>
      <c r="B166" s="7">
        <v>593117</v>
      </c>
      <c r="C166" s="7" t="s">
        <v>576</v>
      </c>
      <c r="D166" s="7" t="s">
        <v>577</v>
      </c>
      <c r="E166" s="7" t="s">
        <v>44</v>
      </c>
      <c r="F166" s="7" t="s">
        <v>112</v>
      </c>
      <c r="G166" s="11">
        <v>5.5</v>
      </c>
      <c r="H166" s="11">
        <v>5.5</v>
      </c>
      <c r="I166" s="7"/>
      <c r="J166" s="7"/>
      <c r="K166" s="7"/>
      <c r="L166" s="7" t="s">
        <v>377</v>
      </c>
      <c r="M166" s="8" t="b">
        <v>1</v>
      </c>
      <c r="N166" s="8" t="b">
        <v>0</v>
      </c>
      <c r="O166" s="7" t="s">
        <v>509</v>
      </c>
      <c r="P166" s="7" t="s">
        <v>119</v>
      </c>
      <c r="Q166" s="8" t="b">
        <v>1</v>
      </c>
      <c r="R166" s="8" t="b">
        <v>1</v>
      </c>
      <c r="S166" s="7" t="s">
        <v>233</v>
      </c>
      <c r="T166" s="12">
        <v>75</v>
      </c>
      <c r="U166" s="28" t="s">
        <v>578</v>
      </c>
      <c r="V166" s="29">
        <v>0</v>
      </c>
      <c r="W166" s="30" t="b">
        <v>1</v>
      </c>
      <c r="X166" s="28" t="s">
        <v>90</v>
      </c>
    </row>
    <row r="167" spans="1:24" ht="15">
      <c r="A167" s="7">
        <v>165</v>
      </c>
      <c r="B167" s="7">
        <v>475168</v>
      </c>
      <c r="C167" s="7" t="s">
        <v>579</v>
      </c>
      <c r="D167" s="7" t="s">
        <v>580</v>
      </c>
      <c r="E167" s="7" t="s">
        <v>44</v>
      </c>
      <c r="F167" s="7" t="s">
        <v>167</v>
      </c>
      <c r="G167" s="11">
        <v>7.5</v>
      </c>
      <c r="H167" s="11">
        <v>7.5</v>
      </c>
      <c r="I167" s="7"/>
      <c r="J167" s="7"/>
      <c r="K167" s="7"/>
      <c r="L167" s="7" t="s">
        <v>433</v>
      </c>
      <c r="M167" s="8" t="b">
        <v>0</v>
      </c>
      <c r="N167" s="8" t="b">
        <v>0</v>
      </c>
      <c r="O167" s="7" t="s">
        <v>509</v>
      </c>
      <c r="P167" s="7" t="s">
        <v>119</v>
      </c>
      <c r="Q167" s="8" t="b">
        <v>1</v>
      </c>
      <c r="R167" s="8" t="b">
        <v>1</v>
      </c>
      <c r="S167" s="7" t="s">
        <v>89</v>
      </c>
      <c r="T167" s="12"/>
      <c r="U167" s="28"/>
      <c r="V167" s="29">
        <v>0.54700000000000004</v>
      </c>
      <c r="W167" s="30" t="b">
        <v>1</v>
      </c>
      <c r="X167" s="28" t="s">
        <v>90</v>
      </c>
    </row>
    <row r="168" spans="1:24" ht="15">
      <c r="A168" s="7">
        <v>166</v>
      </c>
      <c r="B168" s="7">
        <v>517052</v>
      </c>
      <c r="C168" s="7" t="s">
        <v>581</v>
      </c>
      <c r="D168" s="7" t="s">
        <v>582</v>
      </c>
      <c r="E168" s="7" t="s">
        <v>44</v>
      </c>
      <c r="F168" s="7" t="s">
        <v>167</v>
      </c>
      <c r="G168" s="11">
        <v>6.5</v>
      </c>
      <c r="H168" s="11">
        <v>6.5</v>
      </c>
      <c r="I168" s="7"/>
      <c r="J168" s="7"/>
      <c r="K168" s="7"/>
      <c r="L168" s="7" t="s">
        <v>303</v>
      </c>
      <c r="M168" s="8" t="b">
        <v>0</v>
      </c>
      <c r="N168" s="8" t="b">
        <v>0</v>
      </c>
      <c r="O168" s="7" t="s">
        <v>509</v>
      </c>
      <c r="P168" s="7" t="s">
        <v>119</v>
      </c>
      <c r="Q168" s="8" t="b">
        <v>1</v>
      </c>
      <c r="R168" s="8" t="b">
        <v>1</v>
      </c>
      <c r="S168" s="7" t="s">
        <v>89</v>
      </c>
      <c r="T168" s="12"/>
      <c r="U168" s="28"/>
      <c r="V168" s="29">
        <v>4.0000000000000001E-3</v>
      </c>
      <c r="W168" s="30" t="b">
        <v>1</v>
      </c>
      <c r="X168" s="28" t="s">
        <v>90</v>
      </c>
    </row>
    <row r="169" spans="1:24" ht="15">
      <c r="A169" s="7">
        <v>167</v>
      </c>
      <c r="B169" s="7">
        <v>463034</v>
      </c>
      <c r="C169" s="7" t="s">
        <v>583</v>
      </c>
      <c r="D169" s="7" t="s">
        <v>584</v>
      </c>
      <c r="E169" s="7" t="s">
        <v>44</v>
      </c>
      <c r="F169" s="7" t="s">
        <v>167</v>
      </c>
      <c r="G169" s="11">
        <v>5.5</v>
      </c>
      <c r="H169" s="11">
        <v>5.5</v>
      </c>
      <c r="I169" s="7">
        <v>4</v>
      </c>
      <c r="J169" s="7"/>
      <c r="K169" s="7"/>
      <c r="L169" s="7" t="s">
        <v>585</v>
      </c>
      <c r="M169" s="8" t="b">
        <v>0</v>
      </c>
      <c r="N169" s="8" t="b">
        <v>0</v>
      </c>
      <c r="O169" s="7" t="s">
        <v>509</v>
      </c>
      <c r="P169" s="7" t="s">
        <v>119</v>
      </c>
      <c r="Q169" s="8" t="b">
        <v>1</v>
      </c>
      <c r="R169" s="8" t="b">
        <v>1</v>
      </c>
      <c r="S169" s="7" t="s">
        <v>89</v>
      </c>
      <c r="T169" s="12"/>
      <c r="U169" s="28"/>
      <c r="V169" s="29">
        <v>5.0000000000000001E-3</v>
      </c>
      <c r="W169" s="30" t="b">
        <v>1</v>
      </c>
      <c r="X169" s="28" t="s">
        <v>90</v>
      </c>
    </row>
    <row r="170" spans="1:24" ht="15">
      <c r="A170" s="7">
        <v>168</v>
      </c>
      <c r="B170" s="7">
        <v>499309</v>
      </c>
      <c r="C170" s="7" t="s">
        <v>586</v>
      </c>
      <c r="D170" s="7" t="s">
        <v>587</v>
      </c>
      <c r="E170" s="7" t="s">
        <v>44</v>
      </c>
      <c r="F170" s="7" t="s">
        <v>167</v>
      </c>
      <c r="G170" s="11">
        <v>5</v>
      </c>
      <c r="H170" s="11">
        <v>5</v>
      </c>
      <c r="I170" s="7"/>
      <c r="J170" s="7"/>
      <c r="K170" s="7"/>
      <c r="L170" s="7" t="s">
        <v>229</v>
      </c>
      <c r="M170" s="8" t="b">
        <v>0</v>
      </c>
      <c r="N170" s="8" t="b">
        <v>0</v>
      </c>
      <c r="O170" s="7" t="s">
        <v>509</v>
      </c>
      <c r="P170" s="7" t="s">
        <v>119</v>
      </c>
      <c r="Q170" s="8" t="b">
        <v>1</v>
      </c>
      <c r="R170" s="8" t="b">
        <v>1</v>
      </c>
      <c r="S170" s="7" t="s">
        <v>89</v>
      </c>
      <c r="T170" s="12"/>
      <c r="U170" s="28"/>
      <c r="V170" s="29">
        <v>4.0000000000000001E-3</v>
      </c>
      <c r="W170" s="30" t="b">
        <v>1</v>
      </c>
      <c r="X170" s="28" t="s">
        <v>90</v>
      </c>
    </row>
    <row r="171" spans="1:24" ht="15">
      <c r="A171" s="7">
        <v>169</v>
      </c>
      <c r="B171" s="7">
        <v>567119</v>
      </c>
      <c r="C171" s="7" t="s">
        <v>588</v>
      </c>
      <c r="D171" s="7" t="s">
        <v>589</v>
      </c>
      <c r="E171" s="7" t="s">
        <v>44</v>
      </c>
      <c r="F171" s="7" t="s">
        <v>167</v>
      </c>
      <c r="G171" s="11">
        <v>4.5</v>
      </c>
      <c r="H171" s="11">
        <v>4.5</v>
      </c>
      <c r="I171" s="7"/>
      <c r="J171" s="7"/>
      <c r="K171" s="7"/>
      <c r="L171" s="7" t="s">
        <v>152</v>
      </c>
      <c r="M171" s="8" t="b">
        <v>1</v>
      </c>
      <c r="N171" s="8" t="b">
        <v>0</v>
      </c>
      <c r="O171" s="7" t="s">
        <v>509</v>
      </c>
      <c r="P171" s="7" t="s">
        <v>119</v>
      </c>
      <c r="Q171" s="8" t="b">
        <v>1</v>
      </c>
      <c r="R171" s="8" t="b">
        <v>1</v>
      </c>
      <c r="S171" s="7" t="s">
        <v>89</v>
      </c>
      <c r="T171" s="12"/>
      <c r="U171" s="28"/>
      <c r="V171" s="29">
        <v>4.0000000000000001E-3</v>
      </c>
      <c r="W171" s="30" t="b">
        <v>1</v>
      </c>
      <c r="X171" s="28" t="s">
        <v>90</v>
      </c>
    </row>
    <row r="172" spans="1:24" ht="15">
      <c r="A172" s="7">
        <v>170</v>
      </c>
      <c r="B172" s="7">
        <v>503037</v>
      </c>
      <c r="C172" s="7" t="s">
        <v>590</v>
      </c>
      <c r="D172" s="7" t="s">
        <v>591</v>
      </c>
      <c r="E172" s="7" t="s">
        <v>44</v>
      </c>
      <c r="F172" s="7" t="s">
        <v>167</v>
      </c>
      <c r="G172" s="11">
        <v>5</v>
      </c>
      <c r="H172" s="11">
        <v>5</v>
      </c>
      <c r="I172" s="7"/>
      <c r="J172" s="7"/>
      <c r="K172" s="7"/>
      <c r="L172" s="7" t="s">
        <v>377</v>
      </c>
      <c r="M172" s="8" t="b">
        <v>1</v>
      </c>
      <c r="N172" s="8" t="b">
        <v>0</v>
      </c>
      <c r="O172" s="7" t="s">
        <v>509</v>
      </c>
      <c r="P172" s="7" t="s">
        <v>119</v>
      </c>
      <c r="Q172" s="8" t="b">
        <v>1</v>
      </c>
      <c r="R172" s="8" t="b">
        <v>1</v>
      </c>
      <c r="S172" s="7" t="s">
        <v>233</v>
      </c>
      <c r="T172" s="12">
        <v>75</v>
      </c>
      <c r="U172" s="28" t="s">
        <v>592</v>
      </c>
      <c r="V172" s="29">
        <v>2E-3</v>
      </c>
      <c r="W172" s="30" t="b">
        <v>1</v>
      </c>
      <c r="X172" s="28" t="s">
        <v>90</v>
      </c>
    </row>
    <row r="173" spans="1:24" ht="15">
      <c r="A173" s="7">
        <v>200</v>
      </c>
      <c r="B173" s="7">
        <v>437499</v>
      </c>
      <c r="C173" s="7" t="s">
        <v>593</v>
      </c>
      <c r="D173" s="7" t="s">
        <v>594</v>
      </c>
      <c r="E173" s="7" t="s">
        <v>44</v>
      </c>
      <c r="F173" s="7" t="s">
        <v>99</v>
      </c>
      <c r="G173" s="11">
        <v>6</v>
      </c>
      <c r="H173" s="11">
        <v>6</v>
      </c>
      <c r="I173" s="7"/>
      <c r="J173" s="7"/>
      <c r="K173" s="7"/>
      <c r="L173" s="7" t="s">
        <v>595</v>
      </c>
      <c r="M173" s="8" t="b">
        <v>1</v>
      </c>
      <c r="N173" s="8" t="b">
        <v>0</v>
      </c>
      <c r="O173" s="7" t="s">
        <v>509</v>
      </c>
      <c r="P173" s="7" t="s">
        <v>119</v>
      </c>
      <c r="Q173" s="8" t="b">
        <v>1</v>
      </c>
      <c r="R173" s="8" t="b">
        <v>1</v>
      </c>
      <c r="S173" s="7" t="s">
        <v>89</v>
      </c>
      <c r="T173" s="12"/>
      <c r="U173" s="28"/>
      <c r="V173" s="29">
        <v>0.12</v>
      </c>
      <c r="W173" s="30" t="b">
        <v>1</v>
      </c>
      <c r="X173" s="28" t="s">
        <v>90</v>
      </c>
    </row>
    <row r="174" spans="1:24" ht="15">
      <c r="A174" s="7">
        <v>560</v>
      </c>
      <c r="B174" s="7">
        <v>549939</v>
      </c>
      <c r="C174" s="7" t="s">
        <v>596</v>
      </c>
      <c r="D174" s="7" t="s">
        <v>597</v>
      </c>
      <c r="E174" s="7" t="s">
        <v>44</v>
      </c>
      <c r="F174" s="7" t="s">
        <v>85</v>
      </c>
      <c r="G174" s="11">
        <v>4.5</v>
      </c>
      <c r="H174" s="11">
        <v>4.5</v>
      </c>
      <c r="I174" s="7"/>
      <c r="J174" s="7"/>
      <c r="K174" s="7"/>
      <c r="L174" s="7" t="s">
        <v>143</v>
      </c>
      <c r="M174" s="8" t="b">
        <v>0</v>
      </c>
      <c r="N174" s="8" t="b">
        <v>0</v>
      </c>
      <c r="O174" s="7" t="s">
        <v>509</v>
      </c>
      <c r="P174" s="7" t="s">
        <v>119</v>
      </c>
      <c r="Q174" s="8" t="b">
        <v>1</v>
      </c>
      <c r="R174" s="8" t="b">
        <v>1</v>
      </c>
      <c r="S174" s="7" t="s">
        <v>89</v>
      </c>
      <c r="T174" s="12"/>
      <c r="U174" s="28"/>
      <c r="V174" s="29">
        <v>1E-3</v>
      </c>
      <c r="W174" s="30" t="b">
        <v>1</v>
      </c>
      <c r="X174" s="28" t="s">
        <v>90</v>
      </c>
    </row>
    <row r="175" spans="1:24" ht="15">
      <c r="A175" s="7">
        <v>561</v>
      </c>
      <c r="B175" s="7">
        <v>622758</v>
      </c>
      <c r="C175" s="7" t="s">
        <v>598</v>
      </c>
      <c r="D175" s="7" t="s">
        <v>599</v>
      </c>
      <c r="E175" s="7" t="s">
        <v>44</v>
      </c>
      <c r="F175" s="7" t="s">
        <v>99</v>
      </c>
      <c r="G175" s="11">
        <v>4.5</v>
      </c>
      <c r="H175" s="11">
        <v>4.5</v>
      </c>
      <c r="I175" s="7"/>
      <c r="J175" s="7"/>
      <c r="K175" s="7"/>
      <c r="L175" s="7" t="s">
        <v>600</v>
      </c>
      <c r="M175" s="8" t="b">
        <v>0</v>
      </c>
      <c r="N175" s="8" t="b">
        <v>0</v>
      </c>
      <c r="O175" s="7" t="s">
        <v>509</v>
      </c>
      <c r="P175" s="7" t="s">
        <v>119</v>
      </c>
      <c r="Q175" s="8" t="b">
        <v>1</v>
      </c>
      <c r="R175" s="8" t="b">
        <v>1</v>
      </c>
      <c r="S175" s="7" t="s">
        <v>89</v>
      </c>
      <c r="T175" s="12"/>
      <c r="U175" s="28"/>
      <c r="V175" s="29">
        <v>0</v>
      </c>
      <c r="W175" s="30" t="b">
        <v>1</v>
      </c>
      <c r="X175" s="28" t="s">
        <v>90</v>
      </c>
    </row>
    <row r="176" spans="1:24" ht="15">
      <c r="A176" s="7">
        <v>104</v>
      </c>
      <c r="B176" s="7">
        <v>428580</v>
      </c>
      <c r="C176" s="7" t="s">
        <v>601</v>
      </c>
      <c r="D176" s="7" t="s">
        <v>602</v>
      </c>
      <c r="E176" s="7" t="s">
        <v>45</v>
      </c>
      <c r="F176" s="7" t="s">
        <v>112</v>
      </c>
      <c r="G176" s="11">
        <v>5</v>
      </c>
      <c r="H176" s="11">
        <v>5</v>
      </c>
      <c r="I176" s="7"/>
      <c r="J176" s="7"/>
      <c r="K176" s="7"/>
      <c r="L176" s="7" t="s">
        <v>119</v>
      </c>
      <c r="M176" s="8" t="b">
        <v>1</v>
      </c>
      <c r="N176" s="8" t="b">
        <v>1</v>
      </c>
      <c r="O176" s="7" t="s">
        <v>603</v>
      </c>
      <c r="P176" s="7" t="s">
        <v>604</v>
      </c>
      <c r="Q176" s="8" t="b">
        <v>0</v>
      </c>
      <c r="R176" s="8" t="b">
        <v>0</v>
      </c>
      <c r="S176" s="7" t="s">
        <v>89</v>
      </c>
      <c r="T176" s="12"/>
      <c r="U176" s="28"/>
      <c r="V176" s="29">
        <v>2E-3</v>
      </c>
      <c r="W176" s="30" t="b">
        <v>1</v>
      </c>
      <c r="X176" s="28" t="s">
        <v>90</v>
      </c>
    </row>
    <row r="177" spans="1:24" ht="15">
      <c r="A177" s="7">
        <v>171</v>
      </c>
      <c r="B177" s="7">
        <v>484389</v>
      </c>
      <c r="C177" s="7" t="s">
        <v>605</v>
      </c>
      <c r="D177" s="7" t="s">
        <v>606</v>
      </c>
      <c r="E177" s="7" t="s">
        <v>45</v>
      </c>
      <c r="F177" s="7" t="s">
        <v>85</v>
      </c>
      <c r="G177" s="11">
        <v>4</v>
      </c>
      <c r="H177" s="11">
        <v>4</v>
      </c>
      <c r="I177" s="7"/>
      <c r="J177" s="7"/>
      <c r="K177" s="7"/>
      <c r="L177" s="7" t="s">
        <v>607</v>
      </c>
      <c r="M177" s="8" t="b">
        <v>0</v>
      </c>
      <c r="N177" s="8" t="b">
        <v>1</v>
      </c>
      <c r="O177" s="7" t="s">
        <v>603</v>
      </c>
      <c r="P177" s="7" t="s">
        <v>604</v>
      </c>
      <c r="Q177" s="8" t="b">
        <v>0</v>
      </c>
      <c r="R177" s="8" t="b">
        <v>0</v>
      </c>
      <c r="S177" s="7" t="s">
        <v>89</v>
      </c>
      <c r="T177" s="12"/>
      <c r="U177" s="28"/>
      <c r="V177" s="29">
        <v>0.03</v>
      </c>
      <c r="W177" s="30" t="b">
        <v>1</v>
      </c>
      <c r="X177" s="28" t="s">
        <v>90</v>
      </c>
    </row>
    <row r="178" spans="1:24" ht="15">
      <c r="A178" s="7">
        <v>172</v>
      </c>
      <c r="B178" s="7">
        <v>110690</v>
      </c>
      <c r="C178" s="7" t="s">
        <v>416</v>
      </c>
      <c r="D178" s="7" t="s">
        <v>608</v>
      </c>
      <c r="E178" s="7" t="s">
        <v>45</v>
      </c>
      <c r="F178" s="7" t="s">
        <v>85</v>
      </c>
      <c r="G178" s="11">
        <v>4.5</v>
      </c>
      <c r="H178" s="11">
        <v>4.5</v>
      </c>
      <c r="I178" s="7"/>
      <c r="J178" s="7"/>
      <c r="K178" s="7"/>
      <c r="L178" s="7" t="s">
        <v>609</v>
      </c>
      <c r="M178" s="8" t="b">
        <v>0</v>
      </c>
      <c r="N178" s="8" t="b">
        <v>1</v>
      </c>
      <c r="O178" s="7" t="s">
        <v>603</v>
      </c>
      <c r="P178" s="7" t="s">
        <v>604</v>
      </c>
      <c r="Q178" s="8" t="b">
        <v>0</v>
      </c>
      <c r="R178" s="8" t="b">
        <v>0</v>
      </c>
      <c r="S178" s="7" t="s">
        <v>89</v>
      </c>
      <c r="T178" s="12"/>
      <c r="U178" s="28"/>
      <c r="V178" s="29">
        <v>6.9999999999999993E-3</v>
      </c>
      <c r="W178" s="30" t="b">
        <v>1</v>
      </c>
      <c r="X178" s="28" t="s">
        <v>90</v>
      </c>
    </row>
    <row r="179" spans="1:24" ht="15">
      <c r="A179" s="7">
        <v>173</v>
      </c>
      <c r="B179" s="7">
        <v>461102</v>
      </c>
      <c r="C179" s="7" t="s">
        <v>610</v>
      </c>
      <c r="D179" s="7" t="s">
        <v>611</v>
      </c>
      <c r="E179" s="7" t="s">
        <v>45</v>
      </c>
      <c r="F179" s="7" t="s">
        <v>99</v>
      </c>
      <c r="G179" s="11">
        <v>4</v>
      </c>
      <c r="H179" s="11">
        <v>4</v>
      </c>
      <c r="I179" s="7"/>
      <c r="J179" s="7"/>
      <c r="K179" s="7"/>
      <c r="L179" s="7" t="s">
        <v>612</v>
      </c>
      <c r="M179" s="8" t="b">
        <v>0</v>
      </c>
      <c r="N179" s="8" t="b">
        <v>1</v>
      </c>
      <c r="O179" s="7" t="s">
        <v>603</v>
      </c>
      <c r="P179" s="7" t="s">
        <v>604</v>
      </c>
      <c r="Q179" s="8" t="b">
        <v>0</v>
      </c>
      <c r="R179" s="8" t="b">
        <v>0</v>
      </c>
      <c r="S179" s="7" t="s">
        <v>89</v>
      </c>
      <c r="T179" s="12"/>
      <c r="U179" s="28"/>
      <c r="V179" s="29">
        <v>8.6999999999999994E-2</v>
      </c>
      <c r="W179" s="30" t="b">
        <v>1</v>
      </c>
      <c r="X179" s="28" t="s">
        <v>90</v>
      </c>
    </row>
    <row r="180" spans="1:24" ht="15">
      <c r="A180" s="7">
        <v>174</v>
      </c>
      <c r="B180" s="7">
        <v>436761</v>
      </c>
      <c r="C180" s="7" t="s">
        <v>613</v>
      </c>
      <c r="D180" s="7" t="s">
        <v>614</v>
      </c>
      <c r="E180" s="7" t="s">
        <v>45</v>
      </c>
      <c r="F180" s="7" t="s">
        <v>99</v>
      </c>
      <c r="G180" s="11">
        <v>4</v>
      </c>
      <c r="H180" s="11">
        <v>4</v>
      </c>
      <c r="I180" s="7"/>
      <c r="J180" s="7"/>
      <c r="K180" s="7"/>
      <c r="L180" s="7" t="s">
        <v>555</v>
      </c>
      <c r="M180" s="8" t="b">
        <v>0</v>
      </c>
      <c r="N180" s="8" t="b">
        <v>1</v>
      </c>
      <c r="O180" s="7" t="s">
        <v>603</v>
      </c>
      <c r="P180" s="7" t="s">
        <v>604</v>
      </c>
      <c r="Q180" s="8" t="b">
        <v>0</v>
      </c>
      <c r="R180" s="8" t="b">
        <v>0</v>
      </c>
      <c r="S180" s="7" t="s">
        <v>89</v>
      </c>
      <c r="T180" s="12"/>
      <c r="U180" s="28"/>
      <c r="V180" s="29">
        <v>4.0000000000000001E-3</v>
      </c>
      <c r="W180" s="30" t="b">
        <v>1</v>
      </c>
      <c r="X180" s="28" t="s">
        <v>90</v>
      </c>
    </row>
    <row r="181" spans="1:24" ht="15">
      <c r="A181" s="7">
        <v>175</v>
      </c>
      <c r="B181" s="7">
        <v>451284</v>
      </c>
      <c r="C181" s="7" t="s">
        <v>615</v>
      </c>
      <c r="D181" s="7" t="s">
        <v>616</v>
      </c>
      <c r="E181" s="7" t="s">
        <v>45</v>
      </c>
      <c r="F181" s="7" t="s">
        <v>99</v>
      </c>
      <c r="G181" s="11">
        <v>4</v>
      </c>
      <c r="H181" s="11">
        <v>4</v>
      </c>
      <c r="I181" s="7"/>
      <c r="J181" s="7"/>
      <c r="K181" s="7"/>
      <c r="L181" s="7" t="s">
        <v>617</v>
      </c>
      <c r="M181" s="8" t="b">
        <v>0</v>
      </c>
      <c r="N181" s="8" t="b">
        <v>1</v>
      </c>
      <c r="O181" s="7" t="s">
        <v>603</v>
      </c>
      <c r="P181" s="7" t="s">
        <v>604</v>
      </c>
      <c r="Q181" s="8" t="b">
        <v>0</v>
      </c>
      <c r="R181" s="8" t="b">
        <v>0</v>
      </c>
      <c r="S181" s="7" t="s">
        <v>89</v>
      </c>
      <c r="T181" s="12"/>
      <c r="U181" s="28"/>
      <c r="V181" s="29">
        <v>0.16699999999999998</v>
      </c>
      <c r="W181" s="30" t="b">
        <v>1</v>
      </c>
      <c r="X181" s="28" t="s">
        <v>90</v>
      </c>
    </row>
    <row r="182" spans="1:24" ht="15">
      <c r="A182" s="7">
        <v>176</v>
      </c>
      <c r="B182" s="7">
        <v>173878</v>
      </c>
      <c r="C182" s="7" t="s">
        <v>405</v>
      </c>
      <c r="D182" s="7" t="s">
        <v>618</v>
      </c>
      <c r="E182" s="7" t="s">
        <v>45</v>
      </c>
      <c r="F182" s="7" t="s">
        <v>99</v>
      </c>
      <c r="G182" s="11">
        <v>4</v>
      </c>
      <c r="H182" s="11">
        <v>4</v>
      </c>
      <c r="I182" s="7"/>
      <c r="J182" s="7"/>
      <c r="K182" s="7"/>
      <c r="L182" s="7" t="s">
        <v>303</v>
      </c>
      <c r="M182" s="8" t="b">
        <v>0</v>
      </c>
      <c r="N182" s="8" t="b">
        <v>1</v>
      </c>
      <c r="O182" s="7" t="s">
        <v>603</v>
      </c>
      <c r="P182" s="7" t="s">
        <v>604</v>
      </c>
      <c r="Q182" s="8" t="b">
        <v>0</v>
      </c>
      <c r="R182" s="8" t="b">
        <v>0</v>
      </c>
      <c r="S182" s="7" t="s">
        <v>89</v>
      </c>
      <c r="T182" s="12"/>
      <c r="U182" s="28"/>
      <c r="V182" s="29">
        <v>4.0000000000000001E-3</v>
      </c>
      <c r="W182" s="30" t="b">
        <v>1</v>
      </c>
      <c r="X182" s="28" t="s">
        <v>90</v>
      </c>
    </row>
    <row r="183" spans="1:24" ht="15">
      <c r="A183" s="7">
        <v>177</v>
      </c>
      <c r="B183" s="7">
        <v>465390</v>
      </c>
      <c r="C183" s="7" t="s">
        <v>619</v>
      </c>
      <c r="D183" s="7" t="s">
        <v>620</v>
      </c>
      <c r="E183" s="7" t="s">
        <v>45</v>
      </c>
      <c r="F183" s="7" t="s">
        <v>99</v>
      </c>
      <c r="G183" s="11">
        <v>4</v>
      </c>
      <c r="H183" s="11">
        <v>4</v>
      </c>
      <c r="I183" s="7"/>
      <c r="J183" s="7"/>
      <c r="K183" s="7"/>
      <c r="L183" s="7" t="s">
        <v>93</v>
      </c>
      <c r="M183" s="8" t="b">
        <v>0</v>
      </c>
      <c r="N183" s="8" t="b">
        <v>1</v>
      </c>
      <c r="O183" s="7" t="s">
        <v>603</v>
      </c>
      <c r="P183" s="7" t="s">
        <v>604</v>
      </c>
      <c r="Q183" s="8" t="b">
        <v>0</v>
      </c>
      <c r="R183" s="8" t="b">
        <v>0</v>
      </c>
      <c r="S183" s="7" t="s">
        <v>89</v>
      </c>
      <c r="T183" s="12"/>
      <c r="U183" s="28"/>
      <c r="V183" s="29">
        <v>1E-3</v>
      </c>
      <c r="W183" s="30" t="b">
        <v>1</v>
      </c>
      <c r="X183" s="28" t="s">
        <v>90</v>
      </c>
    </row>
    <row r="184" spans="1:24" ht="15">
      <c r="A184" s="7">
        <v>178</v>
      </c>
      <c r="B184" s="7">
        <v>80178</v>
      </c>
      <c r="C184" s="7" t="s">
        <v>621</v>
      </c>
      <c r="D184" s="7" t="s">
        <v>622</v>
      </c>
      <c r="E184" s="7" t="s">
        <v>45</v>
      </c>
      <c r="F184" s="7" t="s">
        <v>99</v>
      </c>
      <c r="G184" s="11">
        <v>4</v>
      </c>
      <c r="H184" s="11">
        <v>4</v>
      </c>
      <c r="I184" s="7"/>
      <c r="J184" s="7"/>
      <c r="K184" s="7"/>
      <c r="L184" s="7" t="s">
        <v>623</v>
      </c>
      <c r="M184" s="8" t="b">
        <v>0</v>
      </c>
      <c r="N184" s="8" t="b">
        <v>1</v>
      </c>
      <c r="O184" s="7" t="s">
        <v>603</v>
      </c>
      <c r="P184" s="7" t="s">
        <v>604</v>
      </c>
      <c r="Q184" s="8" t="b">
        <v>0</v>
      </c>
      <c r="R184" s="8" t="b">
        <v>0</v>
      </c>
      <c r="S184" s="7" t="s">
        <v>89</v>
      </c>
      <c r="T184" s="12"/>
      <c r="U184" s="28"/>
      <c r="V184" s="29">
        <v>1E-3</v>
      </c>
      <c r="W184" s="30" t="b">
        <v>1</v>
      </c>
      <c r="X184" s="28" t="s">
        <v>90</v>
      </c>
    </row>
    <row r="185" spans="1:24" ht="15">
      <c r="A185" s="7">
        <v>179</v>
      </c>
      <c r="B185" s="7">
        <v>204813</v>
      </c>
      <c r="C185" s="7" t="s">
        <v>624</v>
      </c>
      <c r="D185" s="7" t="s">
        <v>625</v>
      </c>
      <c r="E185" s="7" t="s">
        <v>45</v>
      </c>
      <c r="F185" s="7" t="s">
        <v>99</v>
      </c>
      <c r="G185" s="11">
        <v>4</v>
      </c>
      <c r="H185" s="11">
        <v>4</v>
      </c>
      <c r="I185" s="7"/>
      <c r="J185" s="7"/>
      <c r="K185" s="7"/>
      <c r="L185" s="7" t="s">
        <v>626</v>
      </c>
      <c r="M185" s="8" t="b">
        <v>0</v>
      </c>
      <c r="N185" s="8" t="b">
        <v>1</v>
      </c>
      <c r="O185" s="7" t="s">
        <v>603</v>
      </c>
      <c r="P185" s="7" t="s">
        <v>604</v>
      </c>
      <c r="Q185" s="8" t="b">
        <v>0</v>
      </c>
      <c r="R185" s="8" t="b">
        <v>0</v>
      </c>
      <c r="S185" s="7" t="s">
        <v>89</v>
      </c>
      <c r="T185" s="12"/>
      <c r="U185" s="28"/>
      <c r="V185" s="29">
        <v>1E-3</v>
      </c>
      <c r="W185" s="30" t="b">
        <v>1</v>
      </c>
      <c r="X185" s="28" t="s">
        <v>90</v>
      </c>
    </row>
    <row r="186" spans="1:24" ht="15">
      <c r="A186" s="7">
        <v>180</v>
      </c>
      <c r="B186" s="7">
        <v>220583</v>
      </c>
      <c r="C186" s="7" t="s">
        <v>627</v>
      </c>
      <c r="D186" s="7" t="s">
        <v>628</v>
      </c>
      <c r="E186" s="7" t="s">
        <v>45</v>
      </c>
      <c r="F186" s="7" t="s">
        <v>99</v>
      </c>
      <c r="G186" s="11">
        <v>4</v>
      </c>
      <c r="H186" s="11">
        <v>4</v>
      </c>
      <c r="I186" s="7"/>
      <c r="J186" s="7"/>
      <c r="K186" s="7"/>
      <c r="L186" s="7" t="s">
        <v>209</v>
      </c>
      <c r="M186" s="8" t="b">
        <v>0</v>
      </c>
      <c r="N186" s="8" t="b">
        <v>1</v>
      </c>
      <c r="O186" s="7" t="s">
        <v>603</v>
      </c>
      <c r="P186" s="7" t="s">
        <v>604</v>
      </c>
      <c r="Q186" s="8" t="b">
        <v>0</v>
      </c>
      <c r="R186" s="8" t="b">
        <v>0</v>
      </c>
      <c r="S186" s="7" t="s">
        <v>89</v>
      </c>
      <c r="T186" s="12"/>
      <c r="U186" s="28"/>
      <c r="V186" s="29">
        <v>3.0000000000000001E-3</v>
      </c>
      <c r="W186" s="30" t="b">
        <v>1</v>
      </c>
      <c r="X186" s="28" t="s">
        <v>90</v>
      </c>
    </row>
    <row r="187" spans="1:24" ht="15">
      <c r="A187" s="7">
        <v>181</v>
      </c>
      <c r="B187" s="7">
        <v>577411</v>
      </c>
      <c r="C187" s="7" t="s">
        <v>629</v>
      </c>
      <c r="D187" s="7" t="s">
        <v>630</v>
      </c>
      <c r="E187" s="7" t="s">
        <v>45</v>
      </c>
      <c r="F187" s="7" t="s">
        <v>99</v>
      </c>
      <c r="G187" s="11">
        <v>4</v>
      </c>
      <c r="H187" s="11">
        <v>4</v>
      </c>
      <c r="I187" s="7"/>
      <c r="J187" s="7"/>
      <c r="K187" s="7"/>
      <c r="L187" s="7" t="s">
        <v>93</v>
      </c>
      <c r="M187" s="8" t="b">
        <v>0</v>
      </c>
      <c r="N187" s="8" t="b">
        <v>1</v>
      </c>
      <c r="O187" s="7" t="s">
        <v>603</v>
      </c>
      <c r="P187" s="7" t="s">
        <v>604</v>
      </c>
      <c r="Q187" s="8" t="b">
        <v>0</v>
      </c>
      <c r="R187" s="8" t="b">
        <v>0</v>
      </c>
      <c r="S187" s="7" t="s">
        <v>89</v>
      </c>
      <c r="T187" s="12"/>
      <c r="U187" s="28"/>
      <c r="V187" s="29">
        <v>1E-3</v>
      </c>
      <c r="W187" s="30" t="b">
        <v>1</v>
      </c>
      <c r="X187" s="28" t="s">
        <v>90</v>
      </c>
    </row>
    <row r="188" spans="1:24" ht="15">
      <c r="A188" s="7">
        <v>182</v>
      </c>
      <c r="B188" s="7">
        <v>539142</v>
      </c>
      <c r="C188" s="7" t="s">
        <v>631</v>
      </c>
      <c r="D188" s="7" t="s">
        <v>632</v>
      </c>
      <c r="E188" s="7" t="s">
        <v>45</v>
      </c>
      <c r="F188" s="7" t="s">
        <v>99</v>
      </c>
      <c r="G188" s="11">
        <v>4</v>
      </c>
      <c r="H188" s="11">
        <v>4</v>
      </c>
      <c r="I188" s="7"/>
      <c r="J188" s="7"/>
      <c r="K188" s="7"/>
      <c r="L188" s="7" t="s">
        <v>633</v>
      </c>
      <c r="M188" s="8" t="b">
        <v>1</v>
      </c>
      <c r="N188" s="8" t="b">
        <v>1</v>
      </c>
      <c r="O188" s="7" t="s">
        <v>603</v>
      </c>
      <c r="P188" s="7" t="s">
        <v>604</v>
      </c>
      <c r="Q188" s="8" t="b">
        <v>0</v>
      </c>
      <c r="R188" s="8" t="b">
        <v>0</v>
      </c>
      <c r="S188" s="7" t="s">
        <v>89</v>
      </c>
      <c r="T188" s="12"/>
      <c r="U188" s="28"/>
      <c r="V188" s="29">
        <v>5.0000000000000001E-3</v>
      </c>
      <c r="W188" s="30" t="b">
        <v>1</v>
      </c>
      <c r="X188" s="28" t="s">
        <v>90</v>
      </c>
    </row>
    <row r="189" spans="1:24" ht="15">
      <c r="A189" s="7">
        <v>183</v>
      </c>
      <c r="B189" s="7">
        <v>480457</v>
      </c>
      <c r="C189" s="7" t="s">
        <v>634</v>
      </c>
      <c r="D189" s="7" t="s">
        <v>635</v>
      </c>
      <c r="E189" s="7" t="s">
        <v>45</v>
      </c>
      <c r="F189" s="7" t="s">
        <v>112</v>
      </c>
      <c r="G189" s="11">
        <v>5</v>
      </c>
      <c r="H189" s="11">
        <v>5</v>
      </c>
      <c r="I189" s="7"/>
      <c r="J189" s="7">
        <v>1</v>
      </c>
      <c r="K189" s="7">
        <v>5</v>
      </c>
      <c r="L189" s="7" t="s">
        <v>636</v>
      </c>
      <c r="M189" s="8" t="b">
        <v>0</v>
      </c>
      <c r="N189" s="8" t="b">
        <v>1</v>
      </c>
      <c r="O189" s="7" t="s">
        <v>603</v>
      </c>
      <c r="P189" s="7" t="s">
        <v>604</v>
      </c>
      <c r="Q189" s="8" t="b">
        <v>0</v>
      </c>
      <c r="R189" s="8" t="b">
        <v>0</v>
      </c>
      <c r="S189" s="7" t="s">
        <v>233</v>
      </c>
      <c r="T189" s="12">
        <v>75</v>
      </c>
      <c r="U189" s="28" t="s">
        <v>637</v>
      </c>
      <c r="V189" s="29">
        <v>3.0000000000000001E-3</v>
      </c>
      <c r="W189" s="30" t="b">
        <v>1</v>
      </c>
      <c r="X189" s="28" t="s">
        <v>90</v>
      </c>
    </row>
    <row r="190" spans="1:24" ht="15">
      <c r="A190" s="7">
        <v>184</v>
      </c>
      <c r="B190" s="7">
        <v>168144</v>
      </c>
      <c r="C190" s="7" t="s">
        <v>638</v>
      </c>
      <c r="D190" s="7" t="s">
        <v>639</v>
      </c>
      <c r="E190" s="7" t="s">
        <v>45</v>
      </c>
      <c r="F190" s="7" t="s">
        <v>112</v>
      </c>
      <c r="G190" s="11">
        <v>5</v>
      </c>
      <c r="H190" s="11">
        <v>5</v>
      </c>
      <c r="I190" s="7">
        <v>3</v>
      </c>
      <c r="J190" s="7"/>
      <c r="K190" s="7">
        <v>4</v>
      </c>
      <c r="L190" s="7" t="s">
        <v>640</v>
      </c>
      <c r="M190" s="8" t="b">
        <v>0</v>
      </c>
      <c r="N190" s="8" t="b">
        <v>1</v>
      </c>
      <c r="O190" s="7" t="s">
        <v>603</v>
      </c>
      <c r="P190" s="7" t="s">
        <v>604</v>
      </c>
      <c r="Q190" s="8" t="b">
        <v>0</v>
      </c>
      <c r="R190" s="8" t="b">
        <v>0</v>
      </c>
      <c r="S190" s="7" t="s">
        <v>89</v>
      </c>
      <c r="T190" s="12"/>
      <c r="U190" s="28"/>
      <c r="V190" s="29">
        <v>2E-3</v>
      </c>
      <c r="W190" s="30" t="b">
        <v>1</v>
      </c>
      <c r="X190" s="28" t="s">
        <v>90</v>
      </c>
    </row>
    <row r="191" spans="1:24" ht="15">
      <c r="A191" s="7">
        <v>185</v>
      </c>
      <c r="B191" s="7">
        <v>501459</v>
      </c>
      <c r="C191" s="7" t="s">
        <v>641</v>
      </c>
      <c r="D191" s="7" t="s">
        <v>642</v>
      </c>
      <c r="E191" s="7" t="s">
        <v>45</v>
      </c>
      <c r="F191" s="7" t="s">
        <v>112</v>
      </c>
      <c r="G191" s="11">
        <v>5</v>
      </c>
      <c r="H191" s="11">
        <v>5</v>
      </c>
      <c r="I191" s="7"/>
      <c r="J191" s="7"/>
      <c r="K191" s="7"/>
      <c r="L191" s="7" t="s">
        <v>643</v>
      </c>
      <c r="M191" s="8" t="b">
        <v>0</v>
      </c>
      <c r="N191" s="8" t="b">
        <v>1</v>
      </c>
      <c r="O191" s="7" t="s">
        <v>603</v>
      </c>
      <c r="P191" s="7" t="s">
        <v>604</v>
      </c>
      <c r="Q191" s="8" t="b">
        <v>0</v>
      </c>
      <c r="R191" s="8" t="b">
        <v>0</v>
      </c>
      <c r="S191" s="7" t="s">
        <v>89</v>
      </c>
      <c r="T191" s="12"/>
      <c r="U191" s="28"/>
      <c r="V191" s="29">
        <v>1E-3</v>
      </c>
      <c r="W191" s="30" t="b">
        <v>1</v>
      </c>
      <c r="X191" s="28" t="s">
        <v>90</v>
      </c>
    </row>
    <row r="192" spans="1:24" ht="15">
      <c r="A192" s="7">
        <v>186</v>
      </c>
      <c r="B192" s="7">
        <v>241293</v>
      </c>
      <c r="C192" s="7" t="s">
        <v>644</v>
      </c>
      <c r="D192" s="7" t="s">
        <v>645</v>
      </c>
      <c r="E192" s="7" t="s">
        <v>45</v>
      </c>
      <c r="F192" s="7" t="s">
        <v>112</v>
      </c>
      <c r="G192" s="11">
        <v>5.5</v>
      </c>
      <c r="H192" s="11">
        <v>5.5</v>
      </c>
      <c r="I192" s="7"/>
      <c r="J192" s="7"/>
      <c r="K192" s="7"/>
      <c r="L192" s="7" t="s">
        <v>646</v>
      </c>
      <c r="M192" s="8" t="b">
        <v>0</v>
      </c>
      <c r="N192" s="8" t="b">
        <v>1</v>
      </c>
      <c r="O192" s="7" t="s">
        <v>603</v>
      </c>
      <c r="P192" s="7" t="s">
        <v>604</v>
      </c>
      <c r="Q192" s="8" t="b">
        <v>0</v>
      </c>
      <c r="R192" s="8" t="b">
        <v>0</v>
      </c>
      <c r="S192" s="7" t="s">
        <v>89</v>
      </c>
      <c r="T192" s="12"/>
      <c r="U192" s="28"/>
      <c r="V192" s="29">
        <v>3.0000000000000001E-3</v>
      </c>
      <c r="W192" s="30" t="b">
        <v>1</v>
      </c>
      <c r="X192" s="28" t="s">
        <v>90</v>
      </c>
    </row>
    <row r="193" spans="1:24" ht="15">
      <c r="A193" s="7">
        <v>187</v>
      </c>
      <c r="B193" s="7">
        <v>439668</v>
      </c>
      <c r="C193" s="7" t="s">
        <v>647</v>
      </c>
      <c r="D193" s="7" t="s">
        <v>648</v>
      </c>
      <c r="E193" s="7" t="s">
        <v>45</v>
      </c>
      <c r="F193" s="7" t="s">
        <v>112</v>
      </c>
      <c r="G193" s="11">
        <v>5</v>
      </c>
      <c r="H193" s="11">
        <v>5</v>
      </c>
      <c r="I193" s="7"/>
      <c r="J193" s="7"/>
      <c r="K193" s="7"/>
      <c r="L193" s="7" t="s">
        <v>315</v>
      </c>
      <c r="M193" s="8" t="b">
        <v>0</v>
      </c>
      <c r="N193" s="8" t="b">
        <v>1</v>
      </c>
      <c r="O193" s="7" t="s">
        <v>603</v>
      </c>
      <c r="P193" s="7" t="s">
        <v>604</v>
      </c>
      <c r="Q193" s="8" t="b">
        <v>0</v>
      </c>
      <c r="R193" s="8" t="b">
        <v>0</v>
      </c>
      <c r="S193" s="7" t="s">
        <v>89</v>
      </c>
      <c r="T193" s="12"/>
      <c r="U193" s="28"/>
      <c r="V193" s="29">
        <v>0</v>
      </c>
      <c r="W193" s="30" t="b">
        <v>1</v>
      </c>
      <c r="X193" s="28" t="s">
        <v>90</v>
      </c>
    </row>
    <row r="194" spans="1:24" ht="15">
      <c r="A194" s="7">
        <v>188</v>
      </c>
      <c r="B194" s="7">
        <v>226965</v>
      </c>
      <c r="C194" s="7" t="s">
        <v>649</v>
      </c>
      <c r="D194" s="7" t="s">
        <v>650</v>
      </c>
      <c r="E194" s="7" t="s">
        <v>45</v>
      </c>
      <c r="F194" s="7" t="s">
        <v>112</v>
      </c>
      <c r="G194" s="11">
        <v>5.5</v>
      </c>
      <c r="H194" s="11">
        <v>5.5</v>
      </c>
      <c r="I194" s="7">
        <v>2</v>
      </c>
      <c r="J194" s="7">
        <v>2</v>
      </c>
      <c r="K194" s="7">
        <v>6</v>
      </c>
      <c r="L194" s="7" t="s">
        <v>651</v>
      </c>
      <c r="M194" s="8" t="b">
        <v>0</v>
      </c>
      <c r="N194" s="8" t="b">
        <v>1</v>
      </c>
      <c r="O194" s="7" t="s">
        <v>603</v>
      </c>
      <c r="P194" s="7" t="s">
        <v>604</v>
      </c>
      <c r="Q194" s="8" t="b">
        <v>0</v>
      </c>
      <c r="R194" s="8" t="b">
        <v>0</v>
      </c>
      <c r="S194" s="7" t="s">
        <v>89</v>
      </c>
      <c r="T194" s="12"/>
      <c r="U194" s="28"/>
      <c r="V194" s="29">
        <v>2E-3</v>
      </c>
      <c r="W194" s="30" t="b">
        <v>1</v>
      </c>
      <c r="X194" s="28" t="s">
        <v>90</v>
      </c>
    </row>
    <row r="195" spans="1:24" ht="15">
      <c r="A195" s="7">
        <v>189</v>
      </c>
      <c r="B195" s="7">
        <v>684268</v>
      </c>
      <c r="C195" s="7" t="s">
        <v>652</v>
      </c>
      <c r="D195" s="7" t="s">
        <v>653</v>
      </c>
      <c r="E195" s="7" t="s">
        <v>45</v>
      </c>
      <c r="F195" s="7" t="s">
        <v>112</v>
      </c>
      <c r="G195" s="11">
        <v>4.5</v>
      </c>
      <c r="H195" s="11">
        <v>4.5</v>
      </c>
      <c r="I195" s="7"/>
      <c r="J195" s="7"/>
      <c r="K195" s="7"/>
      <c r="L195" s="7" t="s">
        <v>152</v>
      </c>
      <c r="M195" s="8" t="b">
        <v>1</v>
      </c>
      <c r="N195" s="8" t="b">
        <v>1</v>
      </c>
      <c r="O195" s="7" t="s">
        <v>603</v>
      </c>
      <c r="P195" s="7" t="s">
        <v>604</v>
      </c>
      <c r="Q195" s="8" t="b">
        <v>0</v>
      </c>
      <c r="R195" s="8" t="b">
        <v>0</v>
      </c>
      <c r="S195" s="7" t="s">
        <v>89</v>
      </c>
      <c r="T195" s="12"/>
      <c r="U195" s="28"/>
      <c r="V195" s="29">
        <v>3.0000000000000001E-3</v>
      </c>
      <c r="W195" s="30" t="b">
        <v>1</v>
      </c>
      <c r="X195" s="28" t="s">
        <v>90</v>
      </c>
    </row>
    <row r="196" spans="1:24" ht="15">
      <c r="A196" s="7">
        <v>190</v>
      </c>
      <c r="B196" s="7">
        <v>469272</v>
      </c>
      <c r="C196" s="7" t="s">
        <v>654</v>
      </c>
      <c r="D196" s="7" t="s">
        <v>655</v>
      </c>
      <c r="E196" s="7" t="s">
        <v>45</v>
      </c>
      <c r="F196" s="7" t="s">
        <v>112</v>
      </c>
      <c r="G196" s="11">
        <v>5.5</v>
      </c>
      <c r="H196" s="11">
        <v>5.5</v>
      </c>
      <c r="I196" s="7"/>
      <c r="J196" s="7"/>
      <c r="K196" s="7"/>
      <c r="L196" s="7" t="s">
        <v>656</v>
      </c>
      <c r="M196" s="8" t="b">
        <v>1</v>
      </c>
      <c r="N196" s="8" t="b">
        <v>1</v>
      </c>
      <c r="O196" s="7" t="s">
        <v>603</v>
      </c>
      <c r="P196" s="7" t="s">
        <v>604</v>
      </c>
      <c r="Q196" s="8" t="b">
        <v>0</v>
      </c>
      <c r="R196" s="8" t="b">
        <v>0</v>
      </c>
      <c r="S196" s="7" t="s">
        <v>89</v>
      </c>
      <c r="T196" s="12"/>
      <c r="U196" s="28"/>
      <c r="V196" s="29">
        <v>1E-3</v>
      </c>
      <c r="W196" s="30" t="b">
        <v>1</v>
      </c>
      <c r="X196" s="28" t="s">
        <v>90</v>
      </c>
    </row>
    <row r="197" spans="1:24" ht="15">
      <c r="A197" s="7">
        <v>191</v>
      </c>
      <c r="B197" s="7">
        <v>492498</v>
      </c>
      <c r="C197" s="7" t="s">
        <v>657</v>
      </c>
      <c r="D197" s="7" t="s">
        <v>658</v>
      </c>
      <c r="E197" s="7" t="s">
        <v>45</v>
      </c>
      <c r="F197" s="7" t="s">
        <v>112</v>
      </c>
      <c r="G197" s="11">
        <v>4.5</v>
      </c>
      <c r="H197" s="11">
        <v>4.5</v>
      </c>
      <c r="I197" s="7"/>
      <c r="J197" s="7"/>
      <c r="K197" s="7"/>
      <c r="L197" s="7" t="s">
        <v>229</v>
      </c>
      <c r="M197" s="8" t="b">
        <v>0</v>
      </c>
      <c r="N197" s="8" t="b">
        <v>1</v>
      </c>
      <c r="O197" s="7" t="s">
        <v>603</v>
      </c>
      <c r="P197" s="7" t="s">
        <v>604</v>
      </c>
      <c r="Q197" s="8" t="b">
        <v>0</v>
      </c>
      <c r="R197" s="8" t="b">
        <v>0</v>
      </c>
      <c r="S197" s="7" t="s">
        <v>89</v>
      </c>
      <c r="T197" s="12"/>
      <c r="U197" s="28"/>
      <c r="V197" s="29">
        <v>2E-3</v>
      </c>
      <c r="W197" s="30" t="b">
        <v>1</v>
      </c>
      <c r="X197" s="28" t="s">
        <v>90</v>
      </c>
    </row>
    <row r="198" spans="1:24" ht="15">
      <c r="A198" s="7">
        <v>192</v>
      </c>
      <c r="B198" s="7">
        <v>629397</v>
      </c>
      <c r="C198" s="7" t="s">
        <v>659</v>
      </c>
      <c r="D198" s="7" t="s">
        <v>660</v>
      </c>
      <c r="E198" s="7" t="s">
        <v>45</v>
      </c>
      <c r="F198" s="7" t="s">
        <v>112</v>
      </c>
      <c r="G198" s="11">
        <v>4.5</v>
      </c>
      <c r="H198" s="11">
        <v>4.5</v>
      </c>
      <c r="I198" s="7"/>
      <c r="J198" s="7"/>
      <c r="K198" s="7"/>
      <c r="L198" s="7" t="s">
        <v>661</v>
      </c>
      <c r="M198" s="8" t="b">
        <v>0</v>
      </c>
      <c r="N198" s="8" t="b">
        <v>1</v>
      </c>
      <c r="O198" s="7" t="s">
        <v>603</v>
      </c>
      <c r="P198" s="7" t="s">
        <v>604</v>
      </c>
      <c r="Q198" s="8" t="b">
        <v>0</v>
      </c>
      <c r="R198" s="8" t="b">
        <v>0</v>
      </c>
      <c r="S198" s="7" t="s">
        <v>89</v>
      </c>
      <c r="T198" s="12"/>
      <c r="U198" s="28"/>
      <c r="V198" s="29">
        <v>6.9999999999999993E-3</v>
      </c>
      <c r="W198" s="30" t="b">
        <v>1</v>
      </c>
      <c r="X198" s="28" t="s">
        <v>90</v>
      </c>
    </row>
    <row r="199" spans="1:24" ht="15">
      <c r="A199" s="7">
        <v>193</v>
      </c>
      <c r="B199" s="7">
        <v>176412</v>
      </c>
      <c r="C199" s="7" t="s">
        <v>662</v>
      </c>
      <c r="D199" s="7" t="s">
        <v>663</v>
      </c>
      <c r="E199" s="7" t="s">
        <v>45</v>
      </c>
      <c r="F199" s="7" t="s">
        <v>167</v>
      </c>
      <c r="G199" s="11">
        <v>5.5</v>
      </c>
      <c r="H199" s="11">
        <v>5.5</v>
      </c>
      <c r="I199" s="7">
        <v>1</v>
      </c>
      <c r="J199" s="7"/>
      <c r="K199" s="7"/>
      <c r="L199" s="7" t="s">
        <v>552</v>
      </c>
      <c r="M199" s="8" t="b">
        <v>0</v>
      </c>
      <c r="N199" s="8" t="b">
        <v>1</v>
      </c>
      <c r="O199" s="7" t="s">
        <v>603</v>
      </c>
      <c r="P199" s="7" t="s">
        <v>604</v>
      </c>
      <c r="Q199" s="8" t="b">
        <v>0</v>
      </c>
      <c r="R199" s="8" t="b">
        <v>0</v>
      </c>
      <c r="S199" s="7" t="s">
        <v>89</v>
      </c>
      <c r="T199" s="12"/>
      <c r="U199" s="28"/>
      <c r="V199" s="29">
        <v>1.8000000000000002E-2</v>
      </c>
      <c r="W199" s="30" t="b">
        <v>1</v>
      </c>
      <c r="X199" s="28" t="s">
        <v>90</v>
      </c>
    </row>
    <row r="200" spans="1:24" ht="15">
      <c r="A200" s="7">
        <v>194</v>
      </c>
      <c r="B200" s="7">
        <v>230730</v>
      </c>
      <c r="C200" s="7" t="s">
        <v>664</v>
      </c>
      <c r="D200" s="7" t="s">
        <v>665</v>
      </c>
      <c r="E200" s="7" t="s">
        <v>45</v>
      </c>
      <c r="F200" s="7" t="s">
        <v>167</v>
      </c>
      <c r="G200" s="11">
        <v>5</v>
      </c>
      <c r="H200" s="11">
        <v>5</v>
      </c>
      <c r="I200" s="7">
        <v>4</v>
      </c>
      <c r="J200" s="7"/>
      <c r="K200" s="7"/>
      <c r="L200" s="7" t="s">
        <v>666</v>
      </c>
      <c r="M200" s="8" t="b">
        <v>0</v>
      </c>
      <c r="N200" s="8" t="b">
        <v>1</v>
      </c>
      <c r="O200" s="7" t="s">
        <v>603</v>
      </c>
      <c r="P200" s="7" t="s">
        <v>604</v>
      </c>
      <c r="Q200" s="8" t="b">
        <v>0</v>
      </c>
      <c r="R200" s="8" t="b">
        <v>0</v>
      </c>
      <c r="S200" s="7" t="s">
        <v>89</v>
      </c>
      <c r="T200" s="12"/>
      <c r="U200" s="28"/>
      <c r="V200" s="29">
        <v>9.0000000000000011E-3</v>
      </c>
      <c r="W200" s="30" t="b">
        <v>1</v>
      </c>
      <c r="X200" s="28" t="s">
        <v>90</v>
      </c>
    </row>
    <row r="201" spans="1:24" ht="15">
      <c r="A201" s="7">
        <v>195</v>
      </c>
      <c r="B201" s="7">
        <v>218997</v>
      </c>
      <c r="C201" s="7" t="s">
        <v>667</v>
      </c>
      <c r="D201" s="7" t="s">
        <v>668</v>
      </c>
      <c r="E201" s="7" t="s">
        <v>45</v>
      </c>
      <c r="F201" s="7" t="s">
        <v>167</v>
      </c>
      <c r="G201" s="11">
        <v>5</v>
      </c>
      <c r="H201" s="11">
        <v>5</v>
      </c>
      <c r="I201" s="7"/>
      <c r="J201" s="7"/>
      <c r="K201" s="7"/>
      <c r="L201" s="7" t="s">
        <v>669</v>
      </c>
      <c r="M201" s="8" t="b">
        <v>0</v>
      </c>
      <c r="N201" s="8" t="b">
        <v>1</v>
      </c>
      <c r="O201" s="7" t="s">
        <v>603</v>
      </c>
      <c r="P201" s="7" t="s">
        <v>604</v>
      </c>
      <c r="Q201" s="8" t="b">
        <v>0</v>
      </c>
      <c r="R201" s="8" t="b">
        <v>0</v>
      </c>
      <c r="S201" s="7" t="s">
        <v>89</v>
      </c>
      <c r="T201" s="12"/>
      <c r="U201" s="28"/>
      <c r="V201" s="29">
        <v>6.0000000000000001E-3</v>
      </c>
      <c r="W201" s="30" t="b">
        <v>1</v>
      </c>
      <c r="X201" s="28" t="s">
        <v>90</v>
      </c>
    </row>
    <row r="202" spans="1:24" ht="15">
      <c r="A202" s="7">
        <v>196</v>
      </c>
      <c r="B202" s="7">
        <v>551262</v>
      </c>
      <c r="C202" s="7" t="s">
        <v>670</v>
      </c>
      <c r="D202" s="7" t="s">
        <v>671</v>
      </c>
      <c r="E202" s="7" t="s">
        <v>45</v>
      </c>
      <c r="F202" s="7" t="s">
        <v>167</v>
      </c>
      <c r="G202" s="11">
        <v>5</v>
      </c>
      <c r="H202" s="11">
        <v>5</v>
      </c>
      <c r="I202" s="7"/>
      <c r="J202" s="7"/>
      <c r="K202" s="7"/>
      <c r="L202" s="7" t="s">
        <v>258</v>
      </c>
      <c r="M202" s="8" t="b">
        <v>0</v>
      </c>
      <c r="N202" s="8" t="b">
        <v>1</v>
      </c>
      <c r="O202" s="7" t="s">
        <v>603</v>
      </c>
      <c r="P202" s="7" t="s">
        <v>604</v>
      </c>
      <c r="Q202" s="8" t="b">
        <v>0</v>
      </c>
      <c r="R202" s="8" t="b">
        <v>0</v>
      </c>
      <c r="S202" s="7" t="s">
        <v>89</v>
      </c>
      <c r="T202" s="12"/>
      <c r="U202" s="28"/>
      <c r="V202" s="29">
        <v>1E-3</v>
      </c>
      <c r="W202" s="30" t="b">
        <v>1</v>
      </c>
      <c r="X202" s="28" t="s">
        <v>90</v>
      </c>
    </row>
    <row r="203" spans="1:24" ht="30">
      <c r="A203" s="7">
        <v>197</v>
      </c>
      <c r="B203" s="7">
        <v>549653</v>
      </c>
      <c r="C203" s="7" t="s">
        <v>672</v>
      </c>
      <c r="D203" s="7" t="s">
        <v>673</v>
      </c>
      <c r="E203" s="7" t="s">
        <v>45</v>
      </c>
      <c r="F203" s="7" t="s">
        <v>167</v>
      </c>
      <c r="G203" s="11">
        <v>4.5</v>
      </c>
      <c r="H203" s="11">
        <v>4.5</v>
      </c>
      <c r="I203" s="7"/>
      <c r="J203" s="7"/>
      <c r="K203" s="7"/>
      <c r="L203" s="7" t="s">
        <v>152</v>
      </c>
      <c r="M203" s="8" t="b">
        <v>1</v>
      </c>
      <c r="N203" s="8" t="b">
        <v>1</v>
      </c>
      <c r="O203" s="7" t="s">
        <v>603</v>
      </c>
      <c r="P203" s="7" t="s">
        <v>604</v>
      </c>
      <c r="Q203" s="8" t="b">
        <v>0</v>
      </c>
      <c r="R203" s="8" t="b">
        <v>0</v>
      </c>
      <c r="S203" s="7" t="s">
        <v>400</v>
      </c>
      <c r="T203" s="12">
        <v>0</v>
      </c>
      <c r="U203" s="28" t="s">
        <v>674</v>
      </c>
      <c r="V203" s="29">
        <v>6.0000000000000001E-3</v>
      </c>
      <c r="W203" s="30" t="b">
        <v>0</v>
      </c>
      <c r="X203" s="28" t="s">
        <v>90</v>
      </c>
    </row>
    <row r="204" spans="1:24" ht="15">
      <c r="A204" s="7">
        <v>198</v>
      </c>
      <c r="B204" s="7">
        <v>172649</v>
      </c>
      <c r="C204" s="7" t="s">
        <v>398</v>
      </c>
      <c r="D204" s="7" t="s">
        <v>675</v>
      </c>
      <c r="E204" s="7" t="s">
        <v>46</v>
      </c>
      <c r="F204" s="7" t="s">
        <v>85</v>
      </c>
      <c r="G204" s="11">
        <v>5</v>
      </c>
      <c r="H204" s="11">
        <v>5</v>
      </c>
      <c r="I204" s="7"/>
      <c r="J204" s="7"/>
      <c r="K204" s="7"/>
      <c r="L204" s="7" t="s">
        <v>676</v>
      </c>
      <c r="M204" s="8" t="b">
        <v>0</v>
      </c>
      <c r="N204" s="8" t="b">
        <v>0</v>
      </c>
      <c r="O204" s="7" t="s">
        <v>677</v>
      </c>
      <c r="P204" s="7" t="s">
        <v>377</v>
      </c>
      <c r="Q204" s="8" t="b">
        <v>1</v>
      </c>
      <c r="R204" s="8" t="b">
        <v>1</v>
      </c>
      <c r="S204" s="7" t="s">
        <v>89</v>
      </c>
      <c r="T204" s="12"/>
      <c r="U204" s="28"/>
      <c r="V204" s="29">
        <v>3.1E-2</v>
      </c>
      <c r="W204" s="30" t="b">
        <v>1</v>
      </c>
      <c r="X204" s="28" t="s">
        <v>90</v>
      </c>
    </row>
    <row r="205" spans="1:24" ht="15">
      <c r="A205" s="7">
        <v>199</v>
      </c>
      <c r="B205" s="7">
        <v>121709</v>
      </c>
      <c r="C205" s="7" t="s">
        <v>678</v>
      </c>
      <c r="D205" s="7" t="s">
        <v>679</v>
      </c>
      <c r="E205" s="7" t="s">
        <v>46</v>
      </c>
      <c r="F205" s="7" t="s">
        <v>85</v>
      </c>
      <c r="G205" s="11">
        <v>4.5</v>
      </c>
      <c r="H205" s="11">
        <v>4.5</v>
      </c>
      <c r="I205" s="7"/>
      <c r="J205" s="7"/>
      <c r="K205" s="7"/>
      <c r="L205" s="7" t="s">
        <v>93</v>
      </c>
      <c r="M205" s="8" t="b">
        <v>0</v>
      </c>
      <c r="N205" s="8" t="b">
        <v>0</v>
      </c>
      <c r="O205" s="7" t="s">
        <v>677</v>
      </c>
      <c r="P205" s="7" t="s">
        <v>377</v>
      </c>
      <c r="Q205" s="8" t="b">
        <v>1</v>
      </c>
      <c r="R205" s="8" t="b">
        <v>1</v>
      </c>
      <c r="S205" s="7" t="s">
        <v>89</v>
      </c>
      <c r="T205" s="12"/>
      <c r="U205" s="28"/>
      <c r="V205" s="29">
        <v>1E-3</v>
      </c>
      <c r="W205" s="30" t="b">
        <v>1</v>
      </c>
      <c r="X205" s="28" t="s">
        <v>90</v>
      </c>
    </row>
    <row r="206" spans="1:24" ht="15">
      <c r="A206" s="7">
        <v>201</v>
      </c>
      <c r="B206" s="7">
        <v>247348</v>
      </c>
      <c r="C206" s="7" t="s">
        <v>680</v>
      </c>
      <c r="D206" s="7" t="s">
        <v>681</v>
      </c>
      <c r="E206" s="7" t="s">
        <v>46</v>
      </c>
      <c r="F206" s="7" t="s">
        <v>99</v>
      </c>
      <c r="G206" s="11">
        <v>5.5</v>
      </c>
      <c r="H206" s="11">
        <v>5.5</v>
      </c>
      <c r="I206" s="7"/>
      <c r="J206" s="7"/>
      <c r="K206" s="7"/>
      <c r="L206" s="7" t="s">
        <v>682</v>
      </c>
      <c r="M206" s="8" t="b">
        <v>0</v>
      </c>
      <c r="N206" s="8" t="b">
        <v>0</v>
      </c>
      <c r="O206" s="7" t="s">
        <v>677</v>
      </c>
      <c r="P206" s="7" t="s">
        <v>377</v>
      </c>
      <c r="Q206" s="8" t="b">
        <v>1</v>
      </c>
      <c r="R206" s="8" t="b">
        <v>1</v>
      </c>
      <c r="S206" s="7" t="s">
        <v>89</v>
      </c>
      <c r="T206" s="12"/>
      <c r="U206" s="28"/>
      <c r="V206" s="29">
        <v>0.11900000000000001</v>
      </c>
      <c r="W206" s="30" t="b">
        <v>1</v>
      </c>
      <c r="X206" s="28" t="s">
        <v>90</v>
      </c>
    </row>
    <row r="207" spans="1:24" ht="15">
      <c r="A207" s="7">
        <v>202</v>
      </c>
      <c r="B207" s="7">
        <v>427623</v>
      </c>
      <c r="C207" s="7" t="s">
        <v>683</v>
      </c>
      <c r="D207" s="7" t="s">
        <v>684</v>
      </c>
      <c r="E207" s="7" t="s">
        <v>46</v>
      </c>
      <c r="F207" s="7" t="s">
        <v>99</v>
      </c>
      <c r="G207" s="11">
        <v>5</v>
      </c>
      <c r="H207" s="11">
        <v>5</v>
      </c>
      <c r="I207" s="7"/>
      <c r="J207" s="7"/>
      <c r="K207" s="7"/>
      <c r="L207" s="7" t="s">
        <v>685</v>
      </c>
      <c r="M207" s="8" t="b">
        <v>0</v>
      </c>
      <c r="N207" s="8" t="b">
        <v>0</v>
      </c>
      <c r="O207" s="7" t="s">
        <v>677</v>
      </c>
      <c r="P207" s="7" t="s">
        <v>377</v>
      </c>
      <c r="Q207" s="8" t="b">
        <v>1</v>
      </c>
      <c r="R207" s="8" t="b">
        <v>1</v>
      </c>
      <c r="S207" s="7" t="s">
        <v>89</v>
      </c>
      <c r="T207" s="12"/>
      <c r="U207" s="28"/>
      <c r="V207" s="29">
        <v>8.0000000000000002E-3</v>
      </c>
      <c r="W207" s="30" t="b">
        <v>1</v>
      </c>
      <c r="X207" s="28" t="s">
        <v>90</v>
      </c>
    </row>
    <row r="208" spans="1:24" ht="15">
      <c r="A208" s="7">
        <v>203</v>
      </c>
      <c r="B208" s="7">
        <v>651426</v>
      </c>
      <c r="C208" s="7" t="s">
        <v>686</v>
      </c>
      <c r="D208" s="7" t="s">
        <v>687</v>
      </c>
      <c r="E208" s="7" t="s">
        <v>46</v>
      </c>
      <c r="F208" s="7" t="s">
        <v>99</v>
      </c>
      <c r="G208" s="11">
        <v>5</v>
      </c>
      <c r="H208" s="11">
        <v>5</v>
      </c>
      <c r="I208" s="7"/>
      <c r="J208" s="7"/>
      <c r="K208" s="7"/>
      <c r="L208" s="7" t="s">
        <v>209</v>
      </c>
      <c r="M208" s="8" t="b">
        <v>0</v>
      </c>
      <c r="N208" s="8" t="b">
        <v>0</v>
      </c>
      <c r="O208" s="7" t="s">
        <v>677</v>
      </c>
      <c r="P208" s="7" t="s">
        <v>377</v>
      </c>
      <c r="Q208" s="8" t="b">
        <v>1</v>
      </c>
      <c r="R208" s="8" t="b">
        <v>1</v>
      </c>
      <c r="S208" s="7" t="s">
        <v>89</v>
      </c>
      <c r="T208" s="12"/>
      <c r="U208" s="28"/>
      <c r="V208" s="29">
        <v>6.0000000000000001E-3</v>
      </c>
      <c r="W208" s="30" t="b">
        <v>1</v>
      </c>
      <c r="X208" s="28" t="s">
        <v>90</v>
      </c>
    </row>
    <row r="209" spans="1:24" ht="15">
      <c r="A209" s="7">
        <v>204</v>
      </c>
      <c r="B209" s="7">
        <v>244723</v>
      </c>
      <c r="C209" s="7" t="s">
        <v>688</v>
      </c>
      <c r="D209" s="7" t="s">
        <v>689</v>
      </c>
      <c r="E209" s="7" t="s">
        <v>46</v>
      </c>
      <c r="F209" s="7" t="s">
        <v>99</v>
      </c>
      <c r="G209" s="11">
        <v>4.5</v>
      </c>
      <c r="H209" s="11">
        <v>4.5</v>
      </c>
      <c r="I209" s="7"/>
      <c r="J209" s="7"/>
      <c r="K209" s="7"/>
      <c r="L209" s="7" t="s">
        <v>690</v>
      </c>
      <c r="M209" s="8" t="b">
        <v>0</v>
      </c>
      <c r="N209" s="8" t="b">
        <v>0</v>
      </c>
      <c r="O209" s="7" t="s">
        <v>677</v>
      </c>
      <c r="P209" s="7" t="s">
        <v>377</v>
      </c>
      <c r="Q209" s="8" t="b">
        <v>1</v>
      </c>
      <c r="R209" s="8" t="b">
        <v>1</v>
      </c>
      <c r="S209" s="7" t="s">
        <v>89</v>
      </c>
      <c r="T209" s="12"/>
      <c r="U209" s="28"/>
      <c r="V209" s="29">
        <v>7.0000000000000007E-2</v>
      </c>
      <c r="W209" s="30" t="b">
        <v>1</v>
      </c>
      <c r="X209" s="28" t="s">
        <v>90</v>
      </c>
    </row>
    <row r="210" spans="1:24" ht="15">
      <c r="A210" s="7">
        <v>205</v>
      </c>
      <c r="B210" s="7">
        <v>218364</v>
      </c>
      <c r="C210" s="7" t="s">
        <v>691</v>
      </c>
      <c r="D210" s="7" t="s">
        <v>692</v>
      </c>
      <c r="E210" s="7" t="s">
        <v>46</v>
      </c>
      <c r="F210" s="7" t="s">
        <v>99</v>
      </c>
      <c r="G210" s="11">
        <v>4.5</v>
      </c>
      <c r="H210" s="11">
        <v>4.5</v>
      </c>
      <c r="I210" s="7"/>
      <c r="J210" s="7"/>
      <c r="K210" s="7"/>
      <c r="L210" s="7" t="s">
        <v>693</v>
      </c>
      <c r="M210" s="8" t="b">
        <v>0</v>
      </c>
      <c r="N210" s="8" t="b">
        <v>0</v>
      </c>
      <c r="O210" s="7" t="s">
        <v>677</v>
      </c>
      <c r="P210" s="7" t="s">
        <v>377</v>
      </c>
      <c r="Q210" s="8" t="b">
        <v>1</v>
      </c>
      <c r="R210" s="8" t="b">
        <v>1</v>
      </c>
      <c r="S210" s="7" t="s">
        <v>89</v>
      </c>
      <c r="T210" s="12"/>
      <c r="U210" s="28"/>
      <c r="V210" s="29">
        <v>0</v>
      </c>
      <c r="W210" s="30" t="b">
        <v>1</v>
      </c>
      <c r="X210" s="28" t="s">
        <v>90</v>
      </c>
    </row>
    <row r="211" spans="1:24" ht="15">
      <c r="A211" s="7">
        <v>206</v>
      </c>
      <c r="B211" s="7">
        <v>515621</v>
      </c>
      <c r="C211" s="7" t="s">
        <v>694</v>
      </c>
      <c r="D211" s="7" t="s">
        <v>695</v>
      </c>
      <c r="E211" s="7" t="s">
        <v>46</v>
      </c>
      <c r="F211" s="7" t="s">
        <v>99</v>
      </c>
      <c r="G211" s="11">
        <v>4.5</v>
      </c>
      <c r="H211" s="11">
        <v>4.5</v>
      </c>
      <c r="I211" s="7"/>
      <c r="J211" s="7"/>
      <c r="K211" s="7"/>
      <c r="L211" s="7" t="s">
        <v>152</v>
      </c>
      <c r="M211" s="8" t="b">
        <v>1</v>
      </c>
      <c r="N211" s="8" t="b">
        <v>0</v>
      </c>
      <c r="O211" s="7" t="s">
        <v>677</v>
      </c>
      <c r="P211" s="7" t="s">
        <v>377</v>
      </c>
      <c r="Q211" s="8" t="b">
        <v>1</v>
      </c>
      <c r="R211" s="8" t="b">
        <v>1</v>
      </c>
      <c r="S211" s="7" t="s">
        <v>89</v>
      </c>
      <c r="T211" s="12"/>
      <c r="U211" s="28"/>
      <c r="V211" s="29">
        <v>1E-3</v>
      </c>
      <c r="W211" s="30" t="b">
        <v>1</v>
      </c>
      <c r="X211" s="28" t="s">
        <v>90</v>
      </c>
    </row>
    <row r="212" spans="1:24" ht="15">
      <c r="A212" s="7">
        <v>207</v>
      </c>
      <c r="B212" s="7">
        <v>242313</v>
      </c>
      <c r="C212" s="7" t="s">
        <v>696</v>
      </c>
      <c r="D212" s="7" t="s">
        <v>697</v>
      </c>
      <c r="E212" s="7" t="s">
        <v>46</v>
      </c>
      <c r="F212" s="7" t="s">
        <v>99</v>
      </c>
      <c r="G212" s="11">
        <v>4.5</v>
      </c>
      <c r="H212" s="11">
        <v>4.5</v>
      </c>
      <c r="I212" s="7"/>
      <c r="J212" s="7"/>
      <c r="K212" s="7"/>
      <c r="L212" s="7" t="s">
        <v>96</v>
      </c>
      <c r="M212" s="8" t="b">
        <v>1</v>
      </c>
      <c r="N212" s="8" t="b">
        <v>0</v>
      </c>
      <c r="O212" s="7" t="s">
        <v>677</v>
      </c>
      <c r="P212" s="7" t="s">
        <v>377</v>
      </c>
      <c r="Q212" s="8" t="b">
        <v>1</v>
      </c>
      <c r="R212" s="8" t="b">
        <v>1</v>
      </c>
      <c r="S212" s="7" t="s">
        <v>89</v>
      </c>
      <c r="T212" s="12"/>
      <c r="U212" s="28"/>
      <c r="V212" s="29">
        <v>1E-3</v>
      </c>
      <c r="W212" s="30" t="b">
        <v>1</v>
      </c>
      <c r="X212" s="28" t="s">
        <v>90</v>
      </c>
    </row>
    <row r="213" spans="1:24" ht="15">
      <c r="A213" s="7">
        <v>208</v>
      </c>
      <c r="B213" s="7">
        <v>232185</v>
      </c>
      <c r="C213" s="7" t="s">
        <v>698</v>
      </c>
      <c r="D213" s="7" t="s">
        <v>699</v>
      </c>
      <c r="E213" s="7" t="s">
        <v>46</v>
      </c>
      <c r="F213" s="7" t="s">
        <v>112</v>
      </c>
      <c r="G213" s="11">
        <v>6.5</v>
      </c>
      <c r="H213" s="11">
        <v>6.5</v>
      </c>
      <c r="I213" s="7">
        <v>2</v>
      </c>
      <c r="J213" s="7"/>
      <c r="K213" s="7"/>
      <c r="L213" s="7" t="s">
        <v>666</v>
      </c>
      <c r="M213" s="8" t="b">
        <v>0</v>
      </c>
      <c r="N213" s="8" t="b">
        <v>0</v>
      </c>
      <c r="O213" s="7" t="s">
        <v>677</v>
      </c>
      <c r="P213" s="7" t="s">
        <v>377</v>
      </c>
      <c r="Q213" s="8" t="b">
        <v>1</v>
      </c>
      <c r="R213" s="8" t="b">
        <v>1</v>
      </c>
      <c r="S213" s="7" t="s">
        <v>89</v>
      </c>
      <c r="T213" s="12"/>
      <c r="U213" s="28"/>
      <c r="V213" s="29">
        <v>9.9000000000000005E-2</v>
      </c>
      <c r="W213" s="30" t="b">
        <v>1</v>
      </c>
      <c r="X213" s="28" t="s">
        <v>90</v>
      </c>
    </row>
    <row r="214" spans="1:24" ht="15">
      <c r="A214" s="7">
        <v>209</v>
      </c>
      <c r="B214" s="7">
        <v>242898</v>
      </c>
      <c r="C214" s="7" t="s">
        <v>700</v>
      </c>
      <c r="D214" s="7" t="s">
        <v>701</v>
      </c>
      <c r="E214" s="7" t="s">
        <v>46</v>
      </c>
      <c r="F214" s="7" t="s">
        <v>112</v>
      </c>
      <c r="G214" s="11">
        <v>6</v>
      </c>
      <c r="H214" s="11">
        <v>6</v>
      </c>
      <c r="I214" s="7"/>
      <c r="J214" s="7">
        <v>2</v>
      </c>
      <c r="K214" s="7"/>
      <c r="L214" s="7" t="s">
        <v>269</v>
      </c>
      <c r="M214" s="8" t="b">
        <v>0</v>
      </c>
      <c r="N214" s="8" t="b">
        <v>0</v>
      </c>
      <c r="O214" s="7" t="s">
        <v>677</v>
      </c>
      <c r="P214" s="7" t="s">
        <v>377</v>
      </c>
      <c r="Q214" s="8" t="b">
        <v>1</v>
      </c>
      <c r="R214" s="8" t="b">
        <v>1</v>
      </c>
      <c r="S214" s="7" t="s">
        <v>89</v>
      </c>
      <c r="T214" s="12"/>
      <c r="U214" s="28"/>
      <c r="V214" s="29">
        <v>2E-3</v>
      </c>
      <c r="W214" s="30" t="b">
        <v>1</v>
      </c>
      <c r="X214" s="28" t="s">
        <v>90</v>
      </c>
    </row>
    <row r="215" spans="1:24" ht="15">
      <c r="A215" s="7">
        <v>210</v>
      </c>
      <c r="B215" s="7">
        <v>496221</v>
      </c>
      <c r="C215" s="7" t="s">
        <v>702</v>
      </c>
      <c r="D215" s="7" t="s">
        <v>703</v>
      </c>
      <c r="E215" s="7" t="s">
        <v>46</v>
      </c>
      <c r="F215" s="7" t="s">
        <v>112</v>
      </c>
      <c r="G215" s="11">
        <v>5.5</v>
      </c>
      <c r="H215" s="11">
        <v>5.5</v>
      </c>
      <c r="I215" s="7"/>
      <c r="J215" s="7"/>
      <c r="K215" s="7">
        <v>5</v>
      </c>
      <c r="L215" s="7" t="s">
        <v>646</v>
      </c>
      <c r="M215" s="8" t="b">
        <v>0</v>
      </c>
      <c r="N215" s="8" t="b">
        <v>0</v>
      </c>
      <c r="O215" s="7" t="s">
        <v>677</v>
      </c>
      <c r="P215" s="7" t="s">
        <v>377</v>
      </c>
      <c r="Q215" s="8" t="b">
        <v>1</v>
      </c>
      <c r="R215" s="8" t="b">
        <v>1</v>
      </c>
      <c r="S215" s="7" t="s">
        <v>233</v>
      </c>
      <c r="T215" s="12">
        <v>75</v>
      </c>
      <c r="U215" s="28" t="s">
        <v>704</v>
      </c>
      <c r="V215" s="29">
        <v>2E-3</v>
      </c>
      <c r="W215" s="30" t="b">
        <v>1</v>
      </c>
      <c r="X215" s="28" t="s">
        <v>90</v>
      </c>
    </row>
    <row r="216" spans="1:24" ht="15">
      <c r="A216" s="7">
        <v>211</v>
      </c>
      <c r="B216" s="7">
        <v>488024</v>
      </c>
      <c r="C216" s="7" t="s">
        <v>705</v>
      </c>
      <c r="D216" s="7" t="s">
        <v>706</v>
      </c>
      <c r="E216" s="7" t="s">
        <v>46</v>
      </c>
      <c r="F216" s="7" t="s">
        <v>112</v>
      </c>
      <c r="G216" s="11">
        <v>5.5</v>
      </c>
      <c r="H216" s="11">
        <v>5.5</v>
      </c>
      <c r="I216" s="7"/>
      <c r="J216" s="7">
        <v>1</v>
      </c>
      <c r="K216" s="7">
        <v>6</v>
      </c>
      <c r="L216" s="7" t="s">
        <v>707</v>
      </c>
      <c r="M216" s="8" t="b">
        <v>0</v>
      </c>
      <c r="N216" s="8" t="b">
        <v>0</v>
      </c>
      <c r="O216" s="7" t="s">
        <v>677</v>
      </c>
      <c r="P216" s="7" t="s">
        <v>377</v>
      </c>
      <c r="Q216" s="8" t="b">
        <v>1</v>
      </c>
      <c r="R216" s="8" t="b">
        <v>1</v>
      </c>
      <c r="S216" s="7" t="s">
        <v>89</v>
      </c>
      <c r="T216" s="12"/>
      <c r="U216" s="28"/>
      <c r="V216" s="29">
        <v>2E-3</v>
      </c>
      <c r="W216" s="30" t="b">
        <v>1</v>
      </c>
      <c r="X216" s="28" t="s">
        <v>90</v>
      </c>
    </row>
    <row r="217" spans="1:24" ht="15">
      <c r="A217" s="7">
        <v>212</v>
      </c>
      <c r="B217" s="7">
        <v>108413</v>
      </c>
      <c r="C217" s="7" t="s">
        <v>708</v>
      </c>
      <c r="D217" s="7" t="s">
        <v>709</v>
      </c>
      <c r="E217" s="7" t="s">
        <v>46</v>
      </c>
      <c r="F217" s="7" t="s">
        <v>112</v>
      </c>
      <c r="G217" s="11">
        <v>4.5</v>
      </c>
      <c r="H217" s="11">
        <v>4.5</v>
      </c>
      <c r="I217" s="7"/>
      <c r="J217" s="7"/>
      <c r="K217" s="7">
        <v>7</v>
      </c>
      <c r="L217" s="7" t="s">
        <v>710</v>
      </c>
      <c r="M217" s="8" t="b">
        <v>0</v>
      </c>
      <c r="N217" s="8" t="b">
        <v>0</v>
      </c>
      <c r="O217" s="7" t="s">
        <v>677</v>
      </c>
      <c r="P217" s="7" t="s">
        <v>377</v>
      </c>
      <c r="Q217" s="8" t="b">
        <v>1</v>
      </c>
      <c r="R217" s="8" t="b">
        <v>1</v>
      </c>
      <c r="S217" s="7" t="s">
        <v>89</v>
      </c>
      <c r="T217" s="12"/>
      <c r="U217" s="28"/>
      <c r="V217" s="29">
        <v>0.111</v>
      </c>
      <c r="W217" s="30" t="b">
        <v>1</v>
      </c>
      <c r="X217" s="28" t="s">
        <v>90</v>
      </c>
    </row>
    <row r="218" spans="1:24" ht="15">
      <c r="A218" s="7">
        <v>213</v>
      </c>
      <c r="B218" s="7">
        <v>152551</v>
      </c>
      <c r="C218" s="7" t="s">
        <v>711</v>
      </c>
      <c r="D218" s="7" t="s">
        <v>712</v>
      </c>
      <c r="E218" s="7" t="s">
        <v>46</v>
      </c>
      <c r="F218" s="7" t="s">
        <v>112</v>
      </c>
      <c r="G218" s="11">
        <v>5</v>
      </c>
      <c r="H218" s="11">
        <v>5</v>
      </c>
      <c r="I218" s="7"/>
      <c r="J218" s="7"/>
      <c r="K218" s="7"/>
      <c r="L218" s="7" t="s">
        <v>303</v>
      </c>
      <c r="M218" s="8" t="b">
        <v>0</v>
      </c>
      <c r="N218" s="8" t="b">
        <v>0</v>
      </c>
      <c r="O218" s="7" t="s">
        <v>677</v>
      </c>
      <c r="P218" s="7" t="s">
        <v>377</v>
      </c>
      <c r="Q218" s="8" t="b">
        <v>1</v>
      </c>
      <c r="R218" s="8" t="b">
        <v>1</v>
      </c>
      <c r="S218" s="7" t="s">
        <v>89</v>
      </c>
      <c r="T218" s="12"/>
      <c r="U218" s="28"/>
      <c r="V218" s="29">
        <v>1E-3</v>
      </c>
      <c r="W218" s="30" t="b">
        <v>1</v>
      </c>
      <c r="X218" s="28" t="s">
        <v>90</v>
      </c>
    </row>
    <row r="219" spans="1:24" ht="15">
      <c r="A219" s="7">
        <v>214</v>
      </c>
      <c r="B219" s="7">
        <v>209400</v>
      </c>
      <c r="C219" s="7" t="s">
        <v>713</v>
      </c>
      <c r="D219" s="7" t="s">
        <v>714</v>
      </c>
      <c r="E219" s="7" t="s">
        <v>46</v>
      </c>
      <c r="F219" s="7" t="s">
        <v>112</v>
      </c>
      <c r="G219" s="11">
        <v>5</v>
      </c>
      <c r="H219" s="11">
        <v>5</v>
      </c>
      <c r="I219" s="7"/>
      <c r="J219" s="7"/>
      <c r="K219" s="7">
        <v>8</v>
      </c>
      <c r="L219" s="7" t="s">
        <v>229</v>
      </c>
      <c r="M219" s="8" t="b">
        <v>0</v>
      </c>
      <c r="N219" s="8" t="b">
        <v>0</v>
      </c>
      <c r="O219" s="7" t="s">
        <v>677</v>
      </c>
      <c r="P219" s="7" t="s">
        <v>377</v>
      </c>
      <c r="Q219" s="8" t="b">
        <v>1</v>
      </c>
      <c r="R219" s="8" t="b">
        <v>1</v>
      </c>
      <c r="S219" s="7" t="s">
        <v>89</v>
      </c>
      <c r="T219" s="12"/>
      <c r="U219" s="28"/>
      <c r="V219" s="29">
        <v>3.0000000000000001E-3</v>
      </c>
      <c r="W219" s="30" t="b">
        <v>1</v>
      </c>
      <c r="X219" s="28" t="s">
        <v>90</v>
      </c>
    </row>
    <row r="220" spans="1:24" ht="15">
      <c r="A220" s="7">
        <v>215</v>
      </c>
      <c r="B220" s="7">
        <v>489706</v>
      </c>
      <c r="C220" s="7" t="s">
        <v>715</v>
      </c>
      <c r="D220" s="7" t="s">
        <v>716</v>
      </c>
      <c r="E220" s="7" t="s">
        <v>46</v>
      </c>
      <c r="F220" s="7" t="s">
        <v>112</v>
      </c>
      <c r="G220" s="11">
        <v>5</v>
      </c>
      <c r="H220" s="11">
        <v>5</v>
      </c>
      <c r="I220" s="7">
        <v>3</v>
      </c>
      <c r="J220" s="7">
        <v>3</v>
      </c>
      <c r="K220" s="7"/>
      <c r="L220" s="7" t="s">
        <v>717</v>
      </c>
      <c r="M220" s="8" t="b">
        <v>0</v>
      </c>
      <c r="N220" s="8" t="b">
        <v>0</v>
      </c>
      <c r="O220" s="7" t="s">
        <v>677</v>
      </c>
      <c r="P220" s="7" t="s">
        <v>377</v>
      </c>
      <c r="Q220" s="8" t="b">
        <v>1</v>
      </c>
      <c r="R220" s="8" t="b">
        <v>1</v>
      </c>
      <c r="S220" s="7" t="s">
        <v>89</v>
      </c>
      <c r="T220" s="12"/>
      <c r="U220" s="28"/>
      <c r="V220" s="29">
        <v>0</v>
      </c>
      <c r="W220" s="30" t="b">
        <v>1</v>
      </c>
      <c r="X220" s="28" t="s">
        <v>90</v>
      </c>
    </row>
    <row r="221" spans="1:24" ht="15">
      <c r="A221" s="7">
        <v>216</v>
      </c>
      <c r="B221" s="7">
        <v>606921</v>
      </c>
      <c r="C221" s="7" t="s">
        <v>718</v>
      </c>
      <c r="D221" s="7" t="s">
        <v>719</v>
      </c>
      <c r="E221" s="7" t="s">
        <v>46</v>
      </c>
      <c r="F221" s="7" t="s">
        <v>112</v>
      </c>
      <c r="G221" s="11">
        <v>5</v>
      </c>
      <c r="H221" s="11">
        <v>5</v>
      </c>
      <c r="I221" s="7"/>
      <c r="J221" s="7"/>
      <c r="K221" s="7"/>
      <c r="L221" s="7" t="s">
        <v>720</v>
      </c>
      <c r="M221" s="8" t="b">
        <v>0</v>
      </c>
      <c r="N221" s="8" t="b">
        <v>0</v>
      </c>
      <c r="O221" s="7" t="s">
        <v>677</v>
      </c>
      <c r="P221" s="7" t="s">
        <v>377</v>
      </c>
      <c r="Q221" s="8" t="b">
        <v>1</v>
      </c>
      <c r="R221" s="8" t="b">
        <v>1</v>
      </c>
      <c r="S221" s="7" t="s">
        <v>89</v>
      </c>
      <c r="T221" s="12"/>
      <c r="U221" s="28"/>
      <c r="V221" s="29">
        <v>1E-3</v>
      </c>
      <c r="W221" s="30" t="b">
        <v>1</v>
      </c>
      <c r="X221" s="28" t="s">
        <v>90</v>
      </c>
    </row>
    <row r="222" spans="1:24" ht="15">
      <c r="A222" s="7">
        <v>217</v>
      </c>
      <c r="B222" s="7">
        <v>536694</v>
      </c>
      <c r="C222" s="7" t="s">
        <v>721</v>
      </c>
      <c r="D222" s="7" t="s">
        <v>722</v>
      </c>
      <c r="E222" s="7" t="s">
        <v>46</v>
      </c>
      <c r="F222" s="7" t="s">
        <v>112</v>
      </c>
      <c r="G222" s="11">
        <v>5</v>
      </c>
      <c r="H222" s="11">
        <v>5</v>
      </c>
      <c r="I222" s="7"/>
      <c r="J222" s="7"/>
      <c r="K222" s="7"/>
      <c r="L222" s="7" t="s">
        <v>514</v>
      </c>
      <c r="M222" s="8" t="b">
        <v>0</v>
      </c>
      <c r="N222" s="8" t="b">
        <v>0</v>
      </c>
      <c r="O222" s="7" t="s">
        <v>677</v>
      </c>
      <c r="P222" s="7" t="s">
        <v>377</v>
      </c>
      <c r="Q222" s="8" t="b">
        <v>1</v>
      </c>
      <c r="R222" s="8" t="b">
        <v>1</v>
      </c>
      <c r="S222" s="7" t="s">
        <v>89</v>
      </c>
      <c r="T222" s="12"/>
      <c r="U222" s="28"/>
      <c r="V222" s="29">
        <v>0</v>
      </c>
      <c r="W222" s="30" t="b">
        <v>1</v>
      </c>
      <c r="X222" s="28" t="s">
        <v>90</v>
      </c>
    </row>
    <row r="223" spans="1:24" ht="15">
      <c r="A223" s="7">
        <v>218</v>
      </c>
      <c r="B223" s="7">
        <v>438464</v>
      </c>
      <c r="C223" s="7" t="s">
        <v>723</v>
      </c>
      <c r="D223" s="7" t="s">
        <v>724</v>
      </c>
      <c r="E223" s="7" t="s">
        <v>46</v>
      </c>
      <c r="F223" s="7" t="s">
        <v>112</v>
      </c>
      <c r="G223" s="11">
        <v>5</v>
      </c>
      <c r="H223" s="11">
        <v>5</v>
      </c>
      <c r="I223" s="7"/>
      <c r="J223" s="7"/>
      <c r="K223" s="7"/>
      <c r="L223" s="7" t="s">
        <v>725</v>
      </c>
      <c r="M223" s="8" t="b">
        <v>0</v>
      </c>
      <c r="N223" s="8" t="b">
        <v>0</v>
      </c>
      <c r="O223" s="7" t="s">
        <v>677</v>
      </c>
      <c r="P223" s="7" t="s">
        <v>377</v>
      </c>
      <c r="Q223" s="8" t="b">
        <v>1</v>
      </c>
      <c r="R223" s="8" t="b">
        <v>1</v>
      </c>
      <c r="S223" s="7" t="s">
        <v>89</v>
      </c>
      <c r="T223" s="12"/>
      <c r="U223" s="28"/>
      <c r="V223" s="29">
        <v>1E-3</v>
      </c>
      <c r="W223" s="30" t="b">
        <v>1</v>
      </c>
      <c r="X223" s="28" t="s">
        <v>90</v>
      </c>
    </row>
    <row r="224" spans="1:24" ht="15">
      <c r="A224" s="7">
        <v>219</v>
      </c>
      <c r="B224" s="7">
        <v>450542</v>
      </c>
      <c r="C224" s="7" t="s">
        <v>726</v>
      </c>
      <c r="D224" s="7" t="s">
        <v>727</v>
      </c>
      <c r="E224" s="7" t="s">
        <v>46</v>
      </c>
      <c r="F224" s="7" t="s">
        <v>112</v>
      </c>
      <c r="G224" s="11">
        <v>5</v>
      </c>
      <c r="H224" s="11">
        <v>5</v>
      </c>
      <c r="I224" s="7"/>
      <c r="J224" s="7"/>
      <c r="K224" s="7"/>
      <c r="L224" s="7" t="s">
        <v>728</v>
      </c>
      <c r="M224" s="8" t="b">
        <v>0</v>
      </c>
      <c r="N224" s="8" t="b">
        <v>0</v>
      </c>
      <c r="O224" s="7" t="s">
        <v>677</v>
      </c>
      <c r="P224" s="7" t="s">
        <v>377</v>
      </c>
      <c r="Q224" s="8" t="b">
        <v>1</v>
      </c>
      <c r="R224" s="8" t="b">
        <v>1</v>
      </c>
      <c r="S224" s="7" t="s">
        <v>89</v>
      </c>
      <c r="T224" s="12"/>
      <c r="U224" s="28"/>
      <c r="V224" s="29">
        <v>0</v>
      </c>
      <c r="W224" s="30" t="b">
        <v>1</v>
      </c>
      <c r="X224" s="28" t="s">
        <v>90</v>
      </c>
    </row>
    <row r="225" spans="1:24" ht="15">
      <c r="A225" s="7">
        <v>220</v>
      </c>
      <c r="B225" s="7">
        <v>590014</v>
      </c>
      <c r="C225" s="7" t="s">
        <v>729</v>
      </c>
      <c r="D225" s="7" t="s">
        <v>730</v>
      </c>
      <c r="E225" s="7" t="s">
        <v>46</v>
      </c>
      <c r="F225" s="7" t="s">
        <v>99</v>
      </c>
      <c r="G225" s="11">
        <v>4.5</v>
      </c>
      <c r="H225" s="11">
        <v>4.5</v>
      </c>
      <c r="I225" s="7"/>
      <c r="J225" s="7"/>
      <c r="K225" s="7"/>
      <c r="L225" s="7" t="s">
        <v>125</v>
      </c>
      <c r="M225" s="8" t="b">
        <v>0</v>
      </c>
      <c r="N225" s="8" t="b">
        <v>0</v>
      </c>
      <c r="O225" s="7" t="s">
        <v>677</v>
      </c>
      <c r="P225" s="7" t="s">
        <v>377</v>
      </c>
      <c r="Q225" s="8" t="b">
        <v>1</v>
      </c>
      <c r="R225" s="8" t="b">
        <v>1</v>
      </c>
      <c r="S225" s="7" t="s">
        <v>89</v>
      </c>
      <c r="T225" s="12"/>
      <c r="U225" s="28"/>
      <c r="V225" s="29">
        <v>0</v>
      </c>
      <c r="W225" s="30" t="b">
        <v>1</v>
      </c>
      <c r="X225" s="28" t="s">
        <v>90</v>
      </c>
    </row>
    <row r="226" spans="1:24" ht="15">
      <c r="A226" s="7">
        <v>221</v>
      </c>
      <c r="B226" s="7">
        <v>672492</v>
      </c>
      <c r="C226" s="7" t="s">
        <v>731</v>
      </c>
      <c r="D226" s="7" t="s">
        <v>732</v>
      </c>
      <c r="E226" s="7" t="s">
        <v>46</v>
      </c>
      <c r="F226" s="7" t="s">
        <v>112</v>
      </c>
      <c r="G226" s="11">
        <v>4.5</v>
      </c>
      <c r="H226" s="11">
        <v>4.5</v>
      </c>
      <c r="I226" s="7"/>
      <c r="J226" s="7"/>
      <c r="K226" s="7"/>
      <c r="L226" s="7" t="s">
        <v>733</v>
      </c>
      <c r="M226" s="8" t="b">
        <v>0</v>
      </c>
      <c r="N226" s="8" t="b">
        <v>0</v>
      </c>
      <c r="O226" s="7" t="s">
        <v>677</v>
      </c>
      <c r="P226" s="7" t="s">
        <v>377</v>
      </c>
      <c r="Q226" s="8" t="b">
        <v>1</v>
      </c>
      <c r="R226" s="8" t="b">
        <v>1</v>
      </c>
      <c r="S226" s="7" t="s">
        <v>89</v>
      </c>
      <c r="T226" s="12"/>
      <c r="U226" s="28"/>
      <c r="V226" s="29">
        <v>1E-3</v>
      </c>
      <c r="W226" s="30" t="b">
        <v>1</v>
      </c>
      <c r="X226" s="28" t="s">
        <v>90</v>
      </c>
    </row>
    <row r="227" spans="1:24" ht="15">
      <c r="A227" s="7">
        <v>222</v>
      </c>
      <c r="B227" s="7">
        <v>247412</v>
      </c>
      <c r="C227" s="7" t="s">
        <v>734</v>
      </c>
      <c r="D227" s="7" t="s">
        <v>735</v>
      </c>
      <c r="E227" s="7" t="s">
        <v>46</v>
      </c>
      <c r="F227" s="7" t="s">
        <v>167</v>
      </c>
      <c r="G227" s="11">
        <v>6</v>
      </c>
      <c r="H227" s="11">
        <v>6</v>
      </c>
      <c r="I227" s="7"/>
      <c r="J227" s="7"/>
      <c r="K227" s="7"/>
      <c r="L227" s="7" t="s">
        <v>736</v>
      </c>
      <c r="M227" s="8" t="b">
        <v>0</v>
      </c>
      <c r="N227" s="8" t="b">
        <v>0</v>
      </c>
      <c r="O227" s="7" t="s">
        <v>677</v>
      </c>
      <c r="P227" s="7" t="s">
        <v>377</v>
      </c>
      <c r="Q227" s="8" t="b">
        <v>1</v>
      </c>
      <c r="R227" s="8" t="b">
        <v>1</v>
      </c>
      <c r="S227" s="7" t="s">
        <v>89</v>
      </c>
      <c r="T227" s="12"/>
      <c r="U227" s="28"/>
      <c r="V227" s="29">
        <v>6.0000000000000001E-3</v>
      </c>
      <c r="W227" s="30" t="b">
        <v>1</v>
      </c>
      <c r="X227" s="28" t="s">
        <v>90</v>
      </c>
    </row>
    <row r="228" spans="1:24" ht="15">
      <c r="A228" s="7">
        <v>223</v>
      </c>
      <c r="B228" s="7">
        <v>231747</v>
      </c>
      <c r="C228" s="7" t="s">
        <v>737</v>
      </c>
      <c r="D228" s="7" t="s">
        <v>738</v>
      </c>
      <c r="E228" s="7" t="s">
        <v>46</v>
      </c>
      <c r="F228" s="7" t="s">
        <v>167</v>
      </c>
      <c r="G228" s="11">
        <v>6.5</v>
      </c>
      <c r="H228" s="11">
        <v>6.5</v>
      </c>
      <c r="I228" s="7">
        <v>1</v>
      </c>
      <c r="J228" s="7"/>
      <c r="K228" s="7"/>
      <c r="L228" s="7" t="s">
        <v>739</v>
      </c>
      <c r="M228" s="8" t="b">
        <v>0</v>
      </c>
      <c r="N228" s="8" t="b">
        <v>0</v>
      </c>
      <c r="O228" s="7" t="s">
        <v>677</v>
      </c>
      <c r="P228" s="7" t="s">
        <v>377</v>
      </c>
      <c r="Q228" s="8" t="b">
        <v>1</v>
      </c>
      <c r="R228" s="8" t="b">
        <v>1</v>
      </c>
      <c r="S228" s="7" t="s">
        <v>89</v>
      </c>
      <c r="T228" s="12"/>
      <c r="U228" s="28"/>
      <c r="V228" s="29">
        <v>7.0000000000000007E-2</v>
      </c>
      <c r="W228" s="30" t="b">
        <v>1</v>
      </c>
      <c r="X228" s="28" t="s">
        <v>90</v>
      </c>
    </row>
    <row r="229" spans="1:24" ht="15">
      <c r="A229" s="7">
        <v>224</v>
      </c>
      <c r="B229" s="7">
        <v>205533</v>
      </c>
      <c r="C229" s="7" t="s">
        <v>740</v>
      </c>
      <c r="D229" s="7" t="s">
        <v>741</v>
      </c>
      <c r="E229" s="7" t="s">
        <v>46</v>
      </c>
      <c r="F229" s="7" t="s">
        <v>167</v>
      </c>
      <c r="G229" s="11">
        <v>5.5</v>
      </c>
      <c r="H229" s="11">
        <v>5.5</v>
      </c>
      <c r="I229" s="7"/>
      <c r="J229" s="7"/>
      <c r="K229" s="7"/>
      <c r="L229" s="7" t="s">
        <v>742</v>
      </c>
      <c r="M229" s="8" t="b">
        <v>0</v>
      </c>
      <c r="N229" s="8" t="b">
        <v>0</v>
      </c>
      <c r="O229" s="7" t="s">
        <v>677</v>
      </c>
      <c r="P229" s="7" t="s">
        <v>377</v>
      </c>
      <c r="Q229" s="8" t="b">
        <v>1</v>
      </c>
      <c r="R229" s="8" t="b">
        <v>1</v>
      </c>
      <c r="S229" s="7" t="s">
        <v>89</v>
      </c>
      <c r="T229" s="12"/>
      <c r="U229" s="28"/>
      <c r="V229" s="29">
        <v>4.0000000000000001E-3</v>
      </c>
      <c r="W229" s="30" t="b">
        <v>1</v>
      </c>
      <c r="X229" s="28" t="s">
        <v>90</v>
      </c>
    </row>
    <row r="230" spans="1:24" ht="15">
      <c r="A230" s="7">
        <v>225</v>
      </c>
      <c r="B230" s="7">
        <v>660392</v>
      </c>
      <c r="C230" s="7" t="s">
        <v>743</v>
      </c>
      <c r="D230" s="7" t="s">
        <v>744</v>
      </c>
      <c r="E230" s="7" t="s">
        <v>46</v>
      </c>
      <c r="F230" s="7" t="s">
        <v>167</v>
      </c>
      <c r="G230" s="11">
        <v>5</v>
      </c>
      <c r="H230" s="11">
        <v>5</v>
      </c>
      <c r="I230" s="7"/>
      <c r="J230" s="7"/>
      <c r="K230" s="7"/>
      <c r="L230" s="7" t="s">
        <v>152</v>
      </c>
      <c r="M230" s="8" t="b">
        <v>1</v>
      </c>
      <c r="N230" s="8" t="b">
        <v>0</v>
      </c>
      <c r="O230" s="7" t="s">
        <v>677</v>
      </c>
      <c r="P230" s="7" t="s">
        <v>377</v>
      </c>
      <c r="Q230" s="8" t="b">
        <v>1</v>
      </c>
      <c r="R230" s="8" t="b">
        <v>1</v>
      </c>
      <c r="S230" s="7" t="s">
        <v>400</v>
      </c>
      <c r="T230" s="12">
        <v>0</v>
      </c>
      <c r="U230" s="28" t="s">
        <v>745</v>
      </c>
      <c r="V230" s="29">
        <v>0</v>
      </c>
      <c r="W230" s="30" t="b">
        <v>0</v>
      </c>
      <c r="X230" s="28" t="s">
        <v>90</v>
      </c>
    </row>
    <row r="231" spans="1:24" ht="15">
      <c r="A231" s="7">
        <v>555</v>
      </c>
      <c r="B231" s="7">
        <v>169593</v>
      </c>
      <c r="C231" s="7" t="s">
        <v>746</v>
      </c>
      <c r="D231" s="7" t="s">
        <v>747</v>
      </c>
      <c r="E231" s="7" t="s">
        <v>46</v>
      </c>
      <c r="F231" s="7" t="s">
        <v>85</v>
      </c>
      <c r="G231" s="11">
        <v>4</v>
      </c>
      <c r="H231" s="11">
        <v>4</v>
      </c>
      <c r="I231" s="7"/>
      <c r="J231" s="7"/>
      <c r="K231" s="7"/>
      <c r="L231" s="7" t="s">
        <v>748</v>
      </c>
      <c r="M231" s="8" t="b">
        <v>0</v>
      </c>
      <c r="N231" s="8" t="b">
        <v>0</v>
      </c>
      <c r="O231" s="7" t="s">
        <v>677</v>
      </c>
      <c r="P231" s="7" t="s">
        <v>377</v>
      </c>
      <c r="Q231" s="8" t="b">
        <v>1</v>
      </c>
      <c r="R231" s="8" t="b">
        <v>1</v>
      </c>
      <c r="S231" s="7" t="s">
        <v>89</v>
      </c>
      <c r="T231" s="12"/>
      <c r="U231" s="28"/>
      <c r="V231" s="29">
        <v>1.7000000000000001E-2</v>
      </c>
      <c r="W231" s="30" t="b">
        <v>1</v>
      </c>
      <c r="X231" s="28" t="s">
        <v>90</v>
      </c>
    </row>
    <row r="232" spans="1:24" ht="15">
      <c r="A232" s="7">
        <v>226</v>
      </c>
      <c r="B232" s="7">
        <v>111234</v>
      </c>
      <c r="C232" s="7" t="s">
        <v>749</v>
      </c>
      <c r="D232" s="7" t="s">
        <v>750</v>
      </c>
      <c r="E232" s="7" t="s">
        <v>47</v>
      </c>
      <c r="F232" s="7" t="s">
        <v>85</v>
      </c>
      <c r="G232" s="11">
        <v>5.5</v>
      </c>
      <c r="H232" s="11">
        <v>5.5</v>
      </c>
      <c r="I232" s="7"/>
      <c r="J232" s="7"/>
      <c r="K232" s="7"/>
      <c r="L232" s="7" t="s">
        <v>751</v>
      </c>
      <c r="M232" s="8" t="b">
        <v>0</v>
      </c>
      <c r="N232" s="8" t="b">
        <v>0</v>
      </c>
      <c r="O232" s="7" t="s">
        <v>752</v>
      </c>
      <c r="P232" s="7" t="s">
        <v>753</v>
      </c>
      <c r="Q232" s="8" t="b">
        <v>0</v>
      </c>
      <c r="R232" s="8" t="b">
        <v>0</v>
      </c>
      <c r="S232" s="7" t="s">
        <v>89</v>
      </c>
      <c r="T232" s="12"/>
      <c r="U232" s="28"/>
      <c r="V232" s="29">
        <v>0.09</v>
      </c>
      <c r="W232" s="30" t="b">
        <v>1</v>
      </c>
      <c r="X232" s="28" t="s">
        <v>90</v>
      </c>
    </row>
    <row r="233" spans="1:24" ht="15">
      <c r="A233" s="7">
        <v>227</v>
      </c>
      <c r="B233" s="7">
        <v>229600</v>
      </c>
      <c r="C233" s="7" t="s">
        <v>754</v>
      </c>
      <c r="D233" s="7" t="s">
        <v>755</v>
      </c>
      <c r="E233" s="7" t="s">
        <v>47</v>
      </c>
      <c r="F233" s="7" t="s">
        <v>85</v>
      </c>
      <c r="G233" s="11">
        <v>5</v>
      </c>
      <c r="H233" s="11">
        <v>5</v>
      </c>
      <c r="I233" s="7"/>
      <c r="J233" s="7"/>
      <c r="K233" s="7"/>
      <c r="L233" s="7" t="s">
        <v>185</v>
      </c>
      <c r="M233" s="8" t="b">
        <v>0</v>
      </c>
      <c r="N233" s="8" t="b">
        <v>0</v>
      </c>
      <c r="O233" s="7" t="s">
        <v>752</v>
      </c>
      <c r="P233" s="7" t="s">
        <v>753</v>
      </c>
      <c r="Q233" s="8" t="b">
        <v>0</v>
      </c>
      <c r="R233" s="8" t="b">
        <v>0</v>
      </c>
      <c r="S233" s="7" t="s">
        <v>89</v>
      </c>
      <c r="T233" s="12"/>
      <c r="U233" s="28"/>
      <c r="V233" s="29">
        <v>1E-3</v>
      </c>
      <c r="W233" s="30" t="b">
        <v>1</v>
      </c>
      <c r="X233" s="28" t="s">
        <v>90</v>
      </c>
    </row>
    <row r="234" spans="1:24" ht="15">
      <c r="A234" s="7">
        <v>228</v>
      </c>
      <c r="B234" s="7">
        <v>138001</v>
      </c>
      <c r="C234" s="7" t="s">
        <v>756</v>
      </c>
      <c r="D234" s="7" t="s">
        <v>757</v>
      </c>
      <c r="E234" s="7" t="s">
        <v>47</v>
      </c>
      <c r="F234" s="7" t="s">
        <v>85</v>
      </c>
      <c r="G234" s="11">
        <v>4.5</v>
      </c>
      <c r="H234" s="11">
        <v>4.5</v>
      </c>
      <c r="I234" s="7"/>
      <c r="J234" s="7"/>
      <c r="K234" s="7"/>
      <c r="L234" s="7" t="s">
        <v>758</v>
      </c>
      <c r="M234" s="8" t="b">
        <v>0</v>
      </c>
      <c r="N234" s="8" t="b">
        <v>0</v>
      </c>
      <c r="O234" s="7" t="s">
        <v>752</v>
      </c>
      <c r="P234" s="7" t="s">
        <v>753</v>
      </c>
      <c r="Q234" s="8" t="b">
        <v>0</v>
      </c>
      <c r="R234" s="8" t="b">
        <v>0</v>
      </c>
      <c r="S234" s="7" t="s">
        <v>89</v>
      </c>
      <c r="T234" s="12"/>
      <c r="U234" s="28"/>
      <c r="V234" s="29">
        <v>1E-3</v>
      </c>
      <c r="W234" s="30" t="b">
        <v>1</v>
      </c>
      <c r="X234" s="28" t="s">
        <v>90</v>
      </c>
    </row>
    <row r="235" spans="1:24" ht="15">
      <c r="A235" s="7">
        <v>229</v>
      </c>
      <c r="B235" s="7">
        <v>17761</v>
      </c>
      <c r="C235" s="7" t="s">
        <v>759</v>
      </c>
      <c r="D235" s="7" t="s">
        <v>760</v>
      </c>
      <c r="E235" s="7" t="s">
        <v>47</v>
      </c>
      <c r="F235" s="7" t="s">
        <v>99</v>
      </c>
      <c r="G235" s="11">
        <v>6</v>
      </c>
      <c r="H235" s="11">
        <v>6</v>
      </c>
      <c r="I235" s="7"/>
      <c r="J235" s="7"/>
      <c r="K235" s="7"/>
      <c r="L235" s="7" t="s">
        <v>541</v>
      </c>
      <c r="M235" s="8" t="b">
        <v>0</v>
      </c>
      <c r="N235" s="8" t="b">
        <v>0</v>
      </c>
      <c r="O235" s="7" t="s">
        <v>752</v>
      </c>
      <c r="P235" s="7" t="s">
        <v>753</v>
      </c>
      <c r="Q235" s="8" t="b">
        <v>0</v>
      </c>
      <c r="R235" s="8" t="b">
        <v>0</v>
      </c>
      <c r="S235" s="7" t="s">
        <v>89</v>
      </c>
      <c r="T235" s="12"/>
      <c r="U235" s="28"/>
      <c r="V235" s="29">
        <v>9.9000000000000005E-2</v>
      </c>
      <c r="W235" s="30" t="b">
        <v>1</v>
      </c>
      <c r="X235" s="28" t="s">
        <v>90</v>
      </c>
    </row>
    <row r="236" spans="1:24" ht="15">
      <c r="A236" s="7">
        <v>230</v>
      </c>
      <c r="B236" s="7">
        <v>480455</v>
      </c>
      <c r="C236" s="7" t="s">
        <v>761</v>
      </c>
      <c r="D236" s="7" t="s">
        <v>762</v>
      </c>
      <c r="E236" s="7" t="s">
        <v>47</v>
      </c>
      <c r="F236" s="7" t="s">
        <v>99</v>
      </c>
      <c r="G236" s="11">
        <v>5.5</v>
      </c>
      <c r="H236" s="11">
        <v>5.5</v>
      </c>
      <c r="I236" s="7"/>
      <c r="J236" s="7"/>
      <c r="K236" s="7"/>
      <c r="L236" s="7" t="s">
        <v>763</v>
      </c>
      <c r="M236" s="8" t="b">
        <v>0</v>
      </c>
      <c r="N236" s="8" t="b">
        <v>0</v>
      </c>
      <c r="O236" s="7" t="s">
        <v>752</v>
      </c>
      <c r="P236" s="7" t="s">
        <v>753</v>
      </c>
      <c r="Q236" s="8" t="b">
        <v>0</v>
      </c>
      <c r="R236" s="8" t="b">
        <v>0</v>
      </c>
      <c r="S236" s="7" t="s">
        <v>89</v>
      </c>
      <c r="T236" s="12"/>
      <c r="U236" s="28"/>
      <c r="V236" s="29">
        <v>1.9E-2</v>
      </c>
      <c r="W236" s="30" t="b">
        <v>1</v>
      </c>
      <c r="X236" s="28" t="s">
        <v>90</v>
      </c>
    </row>
    <row r="237" spans="1:24" ht="15">
      <c r="A237" s="7">
        <v>231</v>
      </c>
      <c r="B237" s="7">
        <v>106611</v>
      </c>
      <c r="C237" s="7" t="s">
        <v>764</v>
      </c>
      <c r="D237" s="7" t="s">
        <v>765</v>
      </c>
      <c r="E237" s="7" t="s">
        <v>47</v>
      </c>
      <c r="F237" s="7" t="s">
        <v>99</v>
      </c>
      <c r="G237" s="11">
        <v>5</v>
      </c>
      <c r="H237" s="11">
        <v>5</v>
      </c>
      <c r="I237" s="7"/>
      <c r="J237" s="7"/>
      <c r="K237" s="7"/>
      <c r="L237" s="7" t="s">
        <v>766</v>
      </c>
      <c r="M237" s="8" t="b">
        <v>0</v>
      </c>
      <c r="N237" s="8" t="b">
        <v>0</v>
      </c>
      <c r="O237" s="7" t="s">
        <v>752</v>
      </c>
      <c r="P237" s="7" t="s">
        <v>753</v>
      </c>
      <c r="Q237" s="8" t="b">
        <v>0</v>
      </c>
      <c r="R237" s="8" t="b">
        <v>0</v>
      </c>
      <c r="S237" s="7" t="s">
        <v>89</v>
      </c>
      <c r="T237" s="12"/>
      <c r="U237" s="28"/>
      <c r="V237" s="29">
        <v>1.4999999999999999E-2</v>
      </c>
      <c r="W237" s="30" t="b">
        <v>1</v>
      </c>
      <c r="X237" s="28" t="s">
        <v>90</v>
      </c>
    </row>
    <row r="238" spans="1:24" ht="15">
      <c r="A238" s="7">
        <v>232</v>
      </c>
      <c r="B238" s="7">
        <v>512462</v>
      </c>
      <c r="C238" s="7" t="s">
        <v>767</v>
      </c>
      <c r="D238" s="7" t="s">
        <v>768</v>
      </c>
      <c r="E238" s="7" t="s">
        <v>47</v>
      </c>
      <c r="F238" s="7" t="s">
        <v>99</v>
      </c>
      <c r="G238" s="11">
        <v>5</v>
      </c>
      <c r="H238" s="11">
        <v>5</v>
      </c>
      <c r="I238" s="7"/>
      <c r="J238" s="7"/>
      <c r="K238" s="7"/>
      <c r="L238" s="7" t="s">
        <v>517</v>
      </c>
      <c r="M238" s="8" t="b">
        <v>0</v>
      </c>
      <c r="N238" s="8" t="b">
        <v>0</v>
      </c>
      <c r="O238" s="7" t="s">
        <v>752</v>
      </c>
      <c r="P238" s="7" t="s">
        <v>753</v>
      </c>
      <c r="Q238" s="8" t="b">
        <v>0</v>
      </c>
      <c r="R238" s="8" t="b">
        <v>0</v>
      </c>
      <c r="S238" s="7" t="s">
        <v>89</v>
      </c>
      <c r="T238" s="12"/>
      <c r="U238" s="28"/>
      <c r="V238" s="29">
        <v>5.0000000000000001E-3</v>
      </c>
      <c r="W238" s="30" t="b">
        <v>1</v>
      </c>
      <c r="X238" s="28" t="s">
        <v>90</v>
      </c>
    </row>
    <row r="239" spans="1:24" ht="15">
      <c r="A239" s="7">
        <v>233</v>
      </c>
      <c r="B239" s="7">
        <v>224967</v>
      </c>
      <c r="C239" s="7" t="s">
        <v>769</v>
      </c>
      <c r="D239" s="7" t="s">
        <v>770</v>
      </c>
      <c r="E239" s="7" t="s">
        <v>47</v>
      </c>
      <c r="F239" s="7" t="s">
        <v>99</v>
      </c>
      <c r="G239" s="11">
        <v>4.5</v>
      </c>
      <c r="H239" s="11">
        <v>4.5</v>
      </c>
      <c r="I239" s="7"/>
      <c r="J239" s="7"/>
      <c r="K239" s="7"/>
      <c r="L239" s="7" t="s">
        <v>771</v>
      </c>
      <c r="M239" s="8" t="b">
        <v>0</v>
      </c>
      <c r="N239" s="8" t="b">
        <v>0</v>
      </c>
      <c r="O239" s="7" t="s">
        <v>752</v>
      </c>
      <c r="P239" s="7" t="s">
        <v>753</v>
      </c>
      <c r="Q239" s="8" t="b">
        <v>0</v>
      </c>
      <c r="R239" s="8" t="b">
        <v>0</v>
      </c>
      <c r="S239" s="7" t="s">
        <v>89</v>
      </c>
      <c r="T239" s="12"/>
      <c r="U239" s="28"/>
      <c r="V239" s="29">
        <v>1.3999999999999999E-2</v>
      </c>
      <c r="W239" s="30" t="b">
        <v>1</v>
      </c>
      <c r="X239" s="28" t="s">
        <v>90</v>
      </c>
    </row>
    <row r="240" spans="1:24" ht="15">
      <c r="A240" s="7">
        <v>234</v>
      </c>
      <c r="B240" s="7">
        <v>243571</v>
      </c>
      <c r="C240" s="7" t="s">
        <v>772</v>
      </c>
      <c r="D240" s="7" t="s">
        <v>773</v>
      </c>
      <c r="E240" s="7" t="s">
        <v>47</v>
      </c>
      <c r="F240" s="7" t="s">
        <v>99</v>
      </c>
      <c r="G240" s="11">
        <v>4.5</v>
      </c>
      <c r="H240" s="11">
        <v>4.5</v>
      </c>
      <c r="I240" s="7"/>
      <c r="J240" s="7"/>
      <c r="K240" s="7"/>
      <c r="L240" s="7" t="s">
        <v>774</v>
      </c>
      <c r="M240" s="8" t="b">
        <v>0</v>
      </c>
      <c r="N240" s="8" t="b">
        <v>0</v>
      </c>
      <c r="O240" s="7" t="s">
        <v>752</v>
      </c>
      <c r="P240" s="7" t="s">
        <v>753</v>
      </c>
      <c r="Q240" s="8" t="b">
        <v>0</v>
      </c>
      <c r="R240" s="8" t="b">
        <v>0</v>
      </c>
      <c r="S240" s="7" t="s">
        <v>89</v>
      </c>
      <c r="T240" s="12"/>
      <c r="U240" s="28"/>
      <c r="V240" s="29">
        <v>0</v>
      </c>
      <c r="W240" s="30" t="b">
        <v>1</v>
      </c>
      <c r="X240" s="28" t="s">
        <v>90</v>
      </c>
    </row>
    <row r="241" spans="1:24" ht="15">
      <c r="A241" s="7">
        <v>235</v>
      </c>
      <c r="B241" s="7">
        <v>499300</v>
      </c>
      <c r="C241" s="7" t="s">
        <v>775</v>
      </c>
      <c r="D241" s="7" t="s">
        <v>776</v>
      </c>
      <c r="E241" s="7" t="s">
        <v>47</v>
      </c>
      <c r="F241" s="7" t="s">
        <v>99</v>
      </c>
      <c r="G241" s="11">
        <v>4</v>
      </c>
      <c r="H241" s="11">
        <v>4</v>
      </c>
      <c r="I241" s="7"/>
      <c r="J241" s="7"/>
      <c r="K241" s="7"/>
      <c r="L241" s="7" t="s">
        <v>777</v>
      </c>
      <c r="M241" s="8" t="b">
        <v>0</v>
      </c>
      <c r="N241" s="8" t="b">
        <v>0</v>
      </c>
      <c r="O241" s="7" t="s">
        <v>752</v>
      </c>
      <c r="P241" s="7" t="s">
        <v>753</v>
      </c>
      <c r="Q241" s="8" t="b">
        <v>0</v>
      </c>
      <c r="R241" s="8" t="b">
        <v>0</v>
      </c>
      <c r="S241" s="7" t="s">
        <v>89</v>
      </c>
      <c r="T241" s="12"/>
      <c r="U241" s="28"/>
      <c r="V241" s="29">
        <v>2E-3</v>
      </c>
      <c r="W241" s="30" t="b">
        <v>1</v>
      </c>
      <c r="X241" s="28" t="s">
        <v>90</v>
      </c>
    </row>
    <row r="242" spans="1:24" ht="15">
      <c r="A242" s="7">
        <v>236</v>
      </c>
      <c r="B242" s="7">
        <v>215413</v>
      </c>
      <c r="C242" s="7" t="s">
        <v>778</v>
      </c>
      <c r="D242" s="7" t="s">
        <v>779</v>
      </c>
      <c r="E242" s="7" t="s">
        <v>47</v>
      </c>
      <c r="F242" s="7" t="s">
        <v>112</v>
      </c>
      <c r="G242" s="11">
        <v>6.5</v>
      </c>
      <c r="H242" s="11">
        <v>6.5</v>
      </c>
      <c r="I242" s="7"/>
      <c r="J242" s="7"/>
      <c r="K242" s="7">
        <v>5</v>
      </c>
      <c r="L242" s="7" t="s">
        <v>780</v>
      </c>
      <c r="M242" s="8" t="b">
        <v>0</v>
      </c>
      <c r="N242" s="8" t="b">
        <v>0</v>
      </c>
      <c r="O242" s="7" t="s">
        <v>752</v>
      </c>
      <c r="P242" s="7" t="s">
        <v>753</v>
      </c>
      <c r="Q242" s="8" t="b">
        <v>0</v>
      </c>
      <c r="R242" s="8" t="b">
        <v>0</v>
      </c>
      <c r="S242" s="7" t="s">
        <v>89</v>
      </c>
      <c r="T242" s="12"/>
      <c r="U242" s="28"/>
      <c r="V242" s="29">
        <v>0.04</v>
      </c>
      <c r="W242" s="30" t="b">
        <v>1</v>
      </c>
      <c r="X242" s="28" t="s">
        <v>90</v>
      </c>
    </row>
    <row r="243" spans="1:24" ht="15">
      <c r="A243" s="7">
        <v>237</v>
      </c>
      <c r="B243" s="7">
        <v>440993</v>
      </c>
      <c r="C243" s="7" t="s">
        <v>781</v>
      </c>
      <c r="D243" s="7" t="s">
        <v>782</v>
      </c>
      <c r="E243" s="7" t="s">
        <v>47</v>
      </c>
      <c r="F243" s="7" t="s">
        <v>112</v>
      </c>
      <c r="G243" s="11">
        <v>6</v>
      </c>
      <c r="H243" s="11">
        <v>6</v>
      </c>
      <c r="I243" s="7">
        <v>1</v>
      </c>
      <c r="J243" s="7"/>
      <c r="K243" s="7"/>
      <c r="L243" s="7" t="s">
        <v>783</v>
      </c>
      <c r="M243" s="8" t="b">
        <v>0</v>
      </c>
      <c r="N243" s="8" t="b">
        <v>0</v>
      </c>
      <c r="O243" s="7" t="s">
        <v>752</v>
      </c>
      <c r="P243" s="7" t="s">
        <v>753</v>
      </c>
      <c r="Q243" s="8" t="b">
        <v>0</v>
      </c>
      <c r="R243" s="8" t="b">
        <v>0</v>
      </c>
      <c r="S243" s="7" t="s">
        <v>89</v>
      </c>
      <c r="T243" s="12"/>
      <c r="U243" s="28"/>
      <c r="V243" s="29">
        <v>0.17</v>
      </c>
      <c r="W243" s="30" t="b">
        <v>1</v>
      </c>
      <c r="X243" s="28" t="s">
        <v>90</v>
      </c>
    </row>
    <row r="244" spans="1:24" ht="15">
      <c r="A244" s="7">
        <v>239</v>
      </c>
      <c r="B244" s="7">
        <v>232928</v>
      </c>
      <c r="C244" s="7" t="s">
        <v>784</v>
      </c>
      <c r="D244" s="7" t="s">
        <v>785</v>
      </c>
      <c r="E244" s="7" t="s">
        <v>47</v>
      </c>
      <c r="F244" s="7" t="s">
        <v>112</v>
      </c>
      <c r="G244" s="11">
        <v>6</v>
      </c>
      <c r="H244" s="11">
        <v>6</v>
      </c>
      <c r="I244" s="7">
        <v>3</v>
      </c>
      <c r="J244" s="7">
        <v>1</v>
      </c>
      <c r="K244" s="7">
        <v>4</v>
      </c>
      <c r="L244" s="7" t="s">
        <v>786</v>
      </c>
      <c r="M244" s="8" t="b">
        <v>0</v>
      </c>
      <c r="N244" s="8" t="b">
        <v>0</v>
      </c>
      <c r="O244" s="7" t="s">
        <v>752</v>
      </c>
      <c r="P244" s="7" t="s">
        <v>753</v>
      </c>
      <c r="Q244" s="8" t="b">
        <v>0</v>
      </c>
      <c r="R244" s="8" t="b">
        <v>0</v>
      </c>
      <c r="S244" s="7" t="s">
        <v>104</v>
      </c>
      <c r="T244" s="12">
        <v>0</v>
      </c>
      <c r="U244" s="28" t="s">
        <v>787</v>
      </c>
      <c r="V244" s="29">
        <v>8.0000000000000002E-3</v>
      </c>
      <c r="W244" s="30" t="b">
        <v>1</v>
      </c>
      <c r="X244" s="28" t="s">
        <v>90</v>
      </c>
    </row>
    <row r="245" spans="1:24" ht="15">
      <c r="A245" s="7">
        <v>240</v>
      </c>
      <c r="B245" s="7">
        <v>490094</v>
      </c>
      <c r="C245" s="7" t="s">
        <v>788</v>
      </c>
      <c r="D245" s="7" t="s">
        <v>789</v>
      </c>
      <c r="E245" s="7" t="s">
        <v>47</v>
      </c>
      <c r="F245" s="7" t="s">
        <v>112</v>
      </c>
      <c r="G245" s="11">
        <v>5</v>
      </c>
      <c r="H245" s="11">
        <v>5</v>
      </c>
      <c r="I245" s="7"/>
      <c r="J245" s="7"/>
      <c r="K245" s="7"/>
      <c r="L245" s="7" t="s">
        <v>790</v>
      </c>
      <c r="M245" s="8" t="b">
        <v>0</v>
      </c>
      <c r="N245" s="8" t="b">
        <v>0</v>
      </c>
      <c r="O245" s="7" t="s">
        <v>752</v>
      </c>
      <c r="P245" s="7" t="s">
        <v>753</v>
      </c>
      <c r="Q245" s="8" t="b">
        <v>0</v>
      </c>
      <c r="R245" s="8" t="b">
        <v>0</v>
      </c>
      <c r="S245" s="7" t="s">
        <v>89</v>
      </c>
      <c r="T245" s="12"/>
      <c r="U245" s="28"/>
      <c r="V245" s="29">
        <v>1E-3</v>
      </c>
      <c r="W245" s="30" t="b">
        <v>1</v>
      </c>
      <c r="X245" s="28" t="s">
        <v>90</v>
      </c>
    </row>
    <row r="246" spans="1:24" ht="15">
      <c r="A246" s="7">
        <v>241</v>
      </c>
      <c r="B246" s="7">
        <v>433154</v>
      </c>
      <c r="C246" s="7" t="s">
        <v>791</v>
      </c>
      <c r="D246" s="7" t="s">
        <v>792</v>
      </c>
      <c r="E246" s="7" t="s">
        <v>47</v>
      </c>
      <c r="F246" s="7" t="s">
        <v>112</v>
      </c>
      <c r="G246" s="11">
        <v>5.5</v>
      </c>
      <c r="H246" s="11">
        <v>5.5</v>
      </c>
      <c r="I246" s="7"/>
      <c r="J246" s="7">
        <v>2</v>
      </c>
      <c r="K246" s="7">
        <v>6</v>
      </c>
      <c r="L246" s="7" t="s">
        <v>793</v>
      </c>
      <c r="M246" s="8" t="b">
        <v>0</v>
      </c>
      <c r="N246" s="8" t="b">
        <v>0</v>
      </c>
      <c r="O246" s="7" t="s">
        <v>752</v>
      </c>
      <c r="P246" s="7" t="s">
        <v>753</v>
      </c>
      <c r="Q246" s="8" t="b">
        <v>0</v>
      </c>
      <c r="R246" s="8" t="b">
        <v>0</v>
      </c>
      <c r="S246" s="7" t="s">
        <v>89</v>
      </c>
      <c r="T246" s="12"/>
      <c r="U246" s="28"/>
      <c r="V246" s="29">
        <v>1E-3</v>
      </c>
      <c r="W246" s="30" t="b">
        <v>1</v>
      </c>
      <c r="X246" s="28" t="s">
        <v>90</v>
      </c>
    </row>
    <row r="247" spans="1:24" ht="15">
      <c r="A247" s="7">
        <v>242</v>
      </c>
      <c r="B247" s="7">
        <v>550615</v>
      </c>
      <c r="C247" s="7" t="s">
        <v>794</v>
      </c>
      <c r="D247" s="7" t="s">
        <v>795</v>
      </c>
      <c r="E247" s="7" t="s">
        <v>47</v>
      </c>
      <c r="F247" s="7" t="s">
        <v>112</v>
      </c>
      <c r="G247" s="11">
        <v>5.5</v>
      </c>
      <c r="H247" s="11">
        <v>5.5</v>
      </c>
      <c r="I247" s="7"/>
      <c r="J247" s="7"/>
      <c r="K247" s="7"/>
      <c r="L247" s="7" t="s">
        <v>796</v>
      </c>
      <c r="M247" s="8" t="b">
        <v>1</v>
      </c>
      <c r="N247" s="8" t="b">
        <v>0</v>
      </c>
      <c r="O247" s="7" t="s">
        <v>752</v>
      </c>
      <c r="P247" s="7" t="s">
        <v>753</v>
      </c>
      <c r="Q247" s="8" t="b">
        <v>0</v>
      </c>
      <c r="R247" s="8" t="b">
        <v>0</v>
      </c>
      <c r="S247" s="7" t="s">
        <v>89</v>
      </c>
      <c r="T247" s="12"/>
      <c r="U247" s="28"/>
      <c r="V247" s="29">
        <v>1E-3</v>
      </c>
      <c r="W247" s="30" t="b">
        <v>1</v>
      </c>
      <c r="X247" s="28" t="s">
        <v>90</v>
      </c>
    </row>
    <row r="248" spans="1:24" ht="15">
      <c r="A248" s="7">
        <v>243</v>
      </c>
      <c r="B248" s="7">
        <v>502697</v>
      </c>
      <c r="C248" s="7" t="s">
        <v>797</v>
      </c>
      <c r="D248" s="7" t="s">
        <v>798</v>
      </c>
      <c r="E248" s="7" t="s">
        <v>47</v>
      </c>
      <c r="F248" s="7" t="s">
        <v>112</v>
      </c>
      <c r="G248" s="11">
        <v>5</v>
      </c>
      <c r="H248" s="11">
        <v>5</v>
      </c>
      <c r="I248" s="7"/>
      <c r="J248" s="7"/>
      <c r="K248" s="7"/>
      <c r="L248" s="7" t="s">
        <v>93</v>
      </c>
      <c r="M248" s="8" t="b">
        <v>0</v>
      </c>
      <c r="N248" s="8" t="b">
        <v>0</v>
      </c>
      <c r="O248" s="7" t="s">
        <v>752</v>
      </c>
      <c r="P248" s="7" t="s">
        <v>753</v>
      </c>
      <c r="Q248" s="8" t="b">
        <v>0</v>
      </c>
      <c r="R248" s="8" t="b">
        <v>0</v>
      </c>
      <c r="S248" s="7" t="s">
        <v>89</v>
      </c>
      <c r="T248" s="12"/>
      <c r="U248" s="28"/>
      <c r="V248" s="29">
        <v>1E-3</v>
      </c>
      <c r="W248" s="30" t="b">
        <v>1</v>
      </c>
      <c r="X248" s="28" t="s">
        <v>90</v>
      </c>
    </row>
    <row r="249" spans="1:24" ht="15">
      <c r="A249" s="7">
        <v>244</v>
      </c>
      <c r="B249" s="7">
        <v>609873</v>
      </c>
      <c r="C249" s="7" t="s">
        <v>799</v>
      </c>
      <c r="D249" s="7" t="s">
        <v>800</v>
      </c>
      <c r="E249" s="7" t="s">
        <v>47</v>
      </c>
      <c r="F249" s="7" t="s">
        <v>112</v>
      </c>
      <c r="G249" s="11">
        <v>5</v>
      </c>
      <c r="H249" s="11">
        <v>5</v>
      </c>
      <c r="I249" s="7"/>
      <c r="J249" s="7"/>
      <c r="K249" s="7"/>
      <c r="L249" s="7" t="s">
        <v>801</v>
      </c>
      <c r="M249" s="8" t="b">
        <v>0</v>
      </c>
      <c r="N249" s="8" t="b">
        <v>0</v>
      </c>
      <c r="O249" s="7" t="s">
        <v>752</v>
      </c>
      <c r="P249" s="7" t="s">
        <v>753</v>
      </c>
      <c r="Q249" s="8" t="b">
        <v>0</v>
      </c>
      <c r="R249" s="8" t="b">
        <v>0</v>
      </c>
      <c r="S249" s="7" t="s">
        <v>89</v>
      </c>
      <c r="T249" s="12"/>
      <c r="U249" s="28"/>
      <c r="V249" s="29">
        <v>1E-3</v>
      </c>
      <c r="W249" s="30" t="b">
        <v>1</v>
      </c>
      <c r="X249" s="28" t="s">
        <v>90</v>
      </c>
    </row>
    <row r="250" spans="1:24" ht="15">
      <c r="A250" s="7">
        <v>245</v>
      </c>
      <c r="B250" s="7">
        <v>496661</v>
      </c>
      <c r="C250" s="7" t="s">
        <v>802</v>
      </c>
      <c r="D250" s="7" t="s">
        <v>803</v>
      </c>
      <c r="E250" s="7" t="s">
        <v>47</v>
      </c>
      <c r="F250" s="7" t="s">
        <v>112</v>
      </c>
      <c r="G250" s="11">
        <v>5.5</v>
      </c>
      <c r="H250" s="11">
        <v>5.5</v>
      </c>
      <c r="I250" s="7"/>
      <c r="J250" s="7"/>
      <c r="K250" s="7"/>
      <c r="L250" s="7" t="s">
        <v>804</v>
      </c>
      <c r="M250" s="8" t="b">
        <v>0</v>
      </c>
      <c r="N250" s="8" t="b">
        <v>0</v>
      </c>
      <c r="O250" s="7" t="s">
        <v>752</v>
      </c>
      <c r="P250" s="7" t="s">
        <v>753</v>
      </c>
      <c r="Q250" s="8" t="b">
        <v>0</v>
      </c>
      <c r="R250" s="8" t="b">
        <v>0</v>
      </c>
      <c r="S250" s="7" t="s">
        <v>89</v>
      </c>
      <c r="T250" s="12"/>
      <c r="U250" s="28"/>
      <c r="V250" s="29">
        <v>1E-3</v>
      </c>
      <c r="W250" s="30" t="b">
        <v>1</v>
      </c>
      <c r="X250" s="28" t="s">
        <v>90</v>
      </c>
    </row>
    <row r="251" spans="1:24" ht="15">
      <c r="A251" s="7">
        <v>246</v>
      </c>
      <c r="B251" s="7">
        <v>513466</v>
      </c>
      <c r="C251" s="7" t="s">
        <v>805</v>
      </c>
      <c r="D251" s="7" t="s">
        <v>806</v>
      </c>
      <c r="E251" s="7" t="s">
        <v>47</v>
      </c>
      <c r="F251" s="7" t="s">
        <v>112</v>
      </c>
      <c r="G251" s="11">
        <v>5</v>
      </c>
      <c r="H251" s="11">
        <v>5</v>
      </c>
      <c r="I251" s="7"/>
      <c r="J251" s="7"/>
      <c r="K251" s="7"/>
      <c r="L251" s="7" t="s">
        <v>377</v>
      </c>
      <c r="M251" s="8" t="b">
        <v>1</v>
      </c>
      <c r="N251" s="8" t="b">
        <v>0</v>
      </c>
      <c r="O251" s="7" t="s">
        <v>752</v>
      </c>
      <c r="P251" s="7" t="s">
        <v>753</v>
      </c>
      <c r="Q251" s="8" t="b">
        <v>0</v>
      </c>
      <c r="R251" s="8" t="b">
        <v>0</v>
      </c>
      <c r="S251" s="7" t="s">
        <v>89</v>
      </c>
      <c r="T251" s="12"/>
      <c r="U251" s="28"/>
      <c r="V251" s="29">
        <v>1E-3</v>
      </c>
      <c r="W251" s="30" t="b">
        <v>1</v>
      </c>
      <c r="X251" s="28" t="s">
        <v>90</v>
      </c>
    </row>
    <row r="252" spans="1:24" ht="15">
      <c r="A252" s="7">
        <v>247</v>
      </c>
      <c r="B252" s="7">
        <v>244860</v>
      </c>
      <c r="C252" s="7" t="s">
        <v>807</v>
      </c>
      <c r="D252" s="7" t="s">
        <v>808</v>
      </c>
      <c r="E252" s="7" t="s">
        <v>47</v>
      </c>
      <c r="F252" s="7" t="s">
        <v>112</v>
      </c>
      <c r="G252" s="11">
        <v>5.5</v>
      </c>
      <c r="H252" s="11">
        <v>5.5</v>
      </c>
      <c r="I252" s="7"/>
      <c r="J252" s="7"/>
      <c r="K252" s="7"/>
      <c r="L252" s="7" t="s">
        <v>449</v>
      </c>
      <c r="M252" s="8" t="b">
        <v>1</v>
      </c>
      <c r="N252" s="8" t="b">
        <v>0</v>
      </c>
      <c r="O252" s="7" t="s">
        <v>752</v>
      </c>
      <c r="P252" s="7" t="s">
        <v>753</v>
      </c>
      <c r="Q252" s="8" t="b">
        <v>0</v>
      </c>
      <c r="R252" s="8" t="b">
        <v>0</v>
      </c>
      <c r="S252" s="7" t="s">
        <v>89</v>
      </c>
      <c r="T252" s="12"/>
      <c r="U252" s="28"/>
      <c r="V252" s="29">
        <v>3.0000000000000001E-3</v>
      </c>
      <c r="W252" s="30" t="b">
        <v>1</v>
      </c>
      <c r="X252" s="28" t="s">
        <v>90</v>
      </c>
    </row>
    <row r="253" spans="1:24" ht="15">
      <c r="A253" s="7">
        <v>248</v>
      </c>
      <c r="B253" s="7">
        <v>486385</v>
      </c>
      <c r="C253" s="7" t="s">
        <v>809</v>
      </c>
      <c r="D253" s="7" t="s">
        <v>810</v>
      </c>
      <c r="E253" s="7" t="s">
        <v>47</v>
      </c>
      <c r="F253" s="7" t="s">
        <v>167</v>
      </c>
      <c r="G253" s="11">
        <v>5.5</v>
      </c>
      <c r="H253" s="11">
        <v>5.5</v>
      </c>
      <c r="I253" s="7">
        <v>4</v>
      </c>
      <c r="J253" s="7"/>
      <c r="K253" s="7"/>
      <c r="L253" s="7" t="s">
        <v>481</v>
      </c>
      <c r="M253" s="8" t="b">
        <v>0</v>
      </c>
      <c r="N253" s="8" t="b">
        <v>0</v>
      </c>
      <c r="O253" s="7" t="s">
        <v>752</v>
      </c>
      <c r="P253" s="7" t="s">
        <v>753</v>
      </c>
      <c r="Q253" s="8" t="b">
        <v>0</v>
      </c>
      <c r="R253" s="8" t="b">
        <v>0</v>
      </c>
      <c r="S253" s="7" t="s">
        <v>89</v>
      </c>
      <c r="T253" s="12"/>
      <c r="U253" s="28"/>
      <c r="V253" s="29">
        <v>3.3000000000000002E-2</v>
      </c>
      <c r="W253" s="30" t="b">
        <v>1</v>
      </c>
      <c r="X253" s="28" t="s">
        <v>90</v>
      </c>
    </row>
    <row r="254" spans="1:24" ht="15">
      <c r="A254" s="7">
        <v>249</v>
      </c>
      <c r="B254" s="7">
        <v>586309</v>
      </c>
      <c r="C254" s="7" t="s">
        <v>811</v>
      </c>
      <c r="D254" s="7" t="s">
        <v>812</v>
      </c>
      <c r="E254" s="7" t="s">
        <v>47</v>
      </c>
      <c r="F254" s="7" t="s">
        <v>167</v>
      </c>
      <c r="G254" s="11">
        <v>5.5</v>
      </c>
      <c r="H254" s="11">
        <v>5.5</v>
      </c>
      <c r="I254" s="7">
        <v>2</v>
      </c>
      <c r="J254" s="7"/>
      <c r="K254" s="7"/>
      <c r="L254" s="7" t="s">
        <v>813</v>
      </c>
      <c r="M254" s="8" t="b">
        <v>0</v>
      </c>
      <c r="N254" s="8" t="b">
        <v>0</v>
      </c>
      <c r="O254" s="7" t="s">
        <v>752</v>
      </c>
      <c r="P254" s="7" t="s">
        <v>753</v>
      </c>
      <c r="Q254" s="8" t="b">
        <v>0</v>
      </c>
      <c r="R254" s="8" t="b">
        <v>0</v>
      </c>
      <c r="S254" s="7" t="s">
        <v>89</v>
      </c>
      <c r="T254" s="12"/>
      <c r="U254" s="28"/>
      <c r="V254" s="29">
        <v>9.0000000000000011E-3</v>
      </c>
      <c r="W254" s="30" t="b">
        <v>1</v>
      </c>
      <c r="X254" s="28" t="s">
        <v>90</v>
      </c>
    </row>
    <row r="255" spans="1:24" ht="15">
      <c r="A255" s="7">
        <v>250</v>
      </c>
      <c r="B255" s="7">
        <v>80201</v>
      </c>
      <c r="C255" s="7" t="s">
        <v>814</v>
      </c>
      <c r="D255" s="7" t="s">
        <v>815</v>
      </c>
      <c r="E255" s="7" t="s">
        <v>48</v>
      </c>
      <c r="F255" s="7" t="s">
        <v>85</v>
      </c>
      <c r="G255" s="11">
        <v>4.5</v>
      </c>
      <c r="H255" s="11">
        <v>4.5</v>
      </c>
      <c r="I255" s="7"/>
      <c r="J255" s="7"/>
      <c r="K255" s="7"/>
      <c r="L255" s="7" t="s">
        <v>816</v>
      </c>
      <c r="M255" s="8" t="b">
        <v>0</v>
      </c>
      <c r="N255" s="8" t="b">
        <v>0</v>
      </c>
      <c r="O255" s="7" t="s">
        <v>817</v>
      </c>
      <c r="P255" s="7" t="s">
        <v>410</v>
      </c>
      <c r="Q255" s="8" t="b">
        <v>1</v>
      </c>
      <c r="R255" s="8" t="b">
        <v>1</v>
      </c>
      <c r="S255" s="7" t="s">
        <v>89</v>
      </c>
      <c r="T255" s="12"/>
      <c r="U255" s="28"/>
      <c r="V255" s="29">
        <v>3.1E-2</v>
      </c>
      <c r="W255" s="30" t="b">
        <v>1</v>
      </c>
      <c r="X255" s="28" t="s">
        <v>90</v>
      </c>
    </row>
    <row r="256" spans="1:24" ht="15">
      <c r="A256" s="7">
        <v>251</v>
      </c>
      <c r="B256" s="7">
        <v>86873</v>
      </c>
      <c r="C256" s="7" t="s">
        <v>818</v>
      </c>
      <c r="D256" s="7" t="s">
        <v>819</v>
      </c>
      <c r="E256" s="7" t="s">
        <v>48</v>
      </c>
      <c r="F256" s="7" t="s">
        <v>85</v>
      </c>
      <c r="G256" s="11">
        <v>4</v>
      </c>
      <c r="H256" s="11">
        <v>4</v>
      </c>
      <c r="I256" s="7"/>
      <c r="J256" s="7"/>
      <c r="K256" s="7"/>
      <c r="L256" s="7" t="s">
        <v>168</v>
      </c>
      <c r="M256" s="8" t="b">
        <v>0</v>
      </c>
      <c r="N256" s="8" t="b">
        <v>0</v>
      </c>
      <c r="O256" s="7" t="s">
        <v>817</v>
      </c>
      <c r="P256" s="7" t="s">
        <v>410</v>
      </c>
      <c r="Q256" s="8" t="b">
        <v>1</v>
      </c>
      <c r="R256" s="8" t="b">
        <v>1</v>
      </c>
      <c r="S256" s="7" t="s">
        <v>89</v>
      </c>
      <c r="T256" s="12"/>
      <c r="U256" s="28"/>
      <c r="V256" s="29">
        <v>1.4999999999999999E-2</v>
      </c>
      <c r="W256" s="30" t="b">
        <v>1</v>
      </c>
      <c r="X256" s="28" t="s">
        <v>90</v>
      </c>
    </row>
    <row r="257" spans="1:24" ht="15">
      <c r="A257" s="7">
        <v>252</v>
      </c>
      <c r="B257" s="7">
        <v>505079</v>
      </c>
      <c r="C257" s="7" t="s">
        <v>820</v>
      </c>
      <c r="D257" s="7" t="s">
        <v>821</v>
      </c>
      <c r="E257" s="7" t="s">
        <v>48</v>
      </c>
      <c r="F257" s="7" t="s">
        <v>85</v>
      </c>
      <c r="G257" s="11">
        <v>4</v>
      </c>
      <c r="H257" s="11">
        <v>4</v>
      </c>
      <c r="I257" s="7"/>
      <c r="J257" s="7"/>
      <c r="K257" s="7"/>
      <c r="L257" s="7" t="s">
        <v>152</v>
      </c>
      <c r="M257" s="8" t="b">
        <v>1</v>
      </c>
      <c r="N257" s="8" t="b">
        <v>0</v>
      </c>
      <c r="O257" s="7" t="s">
        <v>817</v>
      </c>
      <c r="P257" s="7" t="s">
        <v>410</v>
      </c>
      <c r="Q257" s="8" t="b">
        <v>1</v>
      </c>
      <c r="R257" s="8" t="b">
        <v>1</v>
      </c>
      <c r="S257" s="7" t="s">
        <v>89</v>
      </c>
      <c r="T257" s="12"/>
      <c r="U257" s="28"/>
      <c r="V257" s="29">
        <v>3.0000000000000001E-3</v>
      </c>
      <c r="W257" s="30" t="b">
        <v>1</v>
      </c>
      <c r="X257" s="28" t="s">
        <v>90</v>
      </c>
    </row>
    <row r="258" spans="1:24" ht="15">
      <c r="A258" s="7">
        <v>253</v>
      </c>
      <c r="B258" s="7">
        <v>174874</v>
      </c>
      <c r="C258" s="7" t="s">
        <v>822</v>
      </c>
      <c r="D258" s="7" t="s">
        <v>823</v>
      </c>
      <c r="E258" s="7" t="s">
        <v>48</v>
      </c>
      <c r="F258" s="7" t="s">
        <v>99</v>
      </c>
      <c r="G258" s="11">
        <v>5</v>
      </c>
      <c r="H258" s="11">
        <v>5</v>
      </c>
      <c r="I258" s="7"/>
      <c r="J258" s="7"/>
      <c r="K258" s="7"/>
      <c r="L258" s="7" t="s">
        <v>824</v>
      </c>
      <c r="M258" s="8" t="b">
        <v>0</v>
      </c>
      <c r="N258" s="8" t="b">
        <v>0</v>
      </c>
      <c r="O258" s="7" t="s">
        <v>817</v>
      </c>
      <c r="P258" s="7" t="s">
        <v>410</v>
      </c>
      <c r="Q258" s="8" t="b">
        <v>1</v>
      </c>
      <c r="R258" s="8" t="b">
        <v>1</v>
      </c>
      <c r="S258" s="7" t="s">
        <v>319</v>
      </c>
      <c r="T258" s="12">
        <v>0</v>
      </c>
      <c r="U258" s="28" t="s">
        <v>320</v>
      </c>
      <c r="V258" s="29">
        <v>1E-3</v>
      </c>
      <c r="W258" s="30" t="b">
        <v>1</v>
      </c>
      <c r="X258" s="28" t="s">
        <v>90</v>
      </c>
    </row>
    <row r="259" spans="1:24" ht="15">
      <c r="A259" s="7">
        <v>254</v>
      </c>
      <c r="B259" s="7">
        <v>169528</v>
      </c>
      <c r="C259" s="7" t="s">
        <v>825</v>
      </c>
      <c r="D259" s="7" t="s">
        <v>826</v>
      </c>
      <c r="E259" s="7" t="s">
        <v>48</v>
      </c>
      <c r="F259" s="7" t="s">
        <v>99</v>
      </c>
      <c r="G259" s="11">
        <v>4.5</v>
      </c>
      <c r="H259" s="11">
        <v>4.5</v>
      </c>
      <c r="I259" s="7">
        <v>1</v>
      </c>
      <c r="J259" s="7"/>
      <c r="K259" s="7"/>
      <c r="L259" s="7" t="s">
        <v>827</v>
      </c>
      <c r="M259" s="8" t="b">
        <v>0</v>
      </c>
      <c r="N259" s="8" t="b">
        <v>0</v>
      </c>
      <c r="O259" s="7" t="s">
        <v>817</v>
      </c>
      <c r="P259" s="7" t="s">
        <v>410</v>
      </c>
      <c r="Q259" s="8" t="b">
        <v>1</v>
      </c>
      <c r="R259" s="8" t="b">
        <v>1</v>
      </c>
      <c r="S259" s="7" t="s">
        <v>89</v>
      </c>
      <c r="T259" s="12"/>
      <c r="U259" s="28"/>
      <c r="V259" s="29">
        <v>2.8999999999999998E-2</v>
      </c>
      <c r="W259" s="30" t="b">
        <v>1</v>
      </c>
      <c r="X259" s="28" t="s">
        <v>90</v>
      </c>
    </row>
    <row r="260" spans="1:24" ht="15">
      <c r="A260" s="7">
        <v>255</v>
      </c>
      <c r="B260" s="7">
        <v>246301</v>
      </c>
      <c r="C260" s="7" t="s">
        <v>828</v>
      </c>
      <c r="D260" s="7" t="s">
        <v>829</v>
      </c>
      <c r="E260" s="7" t="s">
        <v>48</v>
      </c>
      <c r="F260" s="7" t="s">
        <v>99</v>
      </c>
      <c r="G260" s="11">
        <v>4.5</v>
      </c>
      <c r="H260" s="11">
        <v>4.5</v>
      </c>
      <c r="I260" s="7"/>
      <c r="J260" s="7"/>
      <c r="K260" s="7"/>
      <c r="L260" s="7" t="s">
        <v>830</v>
      </c>
      <c r="M260" s="8" t="b">
        <v>0</v>
      </c>
      <c r="N260" s="8" t="b">
        <v>0</v>
      </c>
      <c r="O260" s="7" t="s">
        <v>817</v>
      </c>
      <c r="P260" s="7" t="s">
        <v>410</v>
      </c>
      <c r="Q260" s="8" t="b">
        <v>1</v>
      </c>
      <c r="R260" s="8" t="b">
        <v>1</v>
      </c>
      <c r="S260" s="7" t="s">
        <v>89</v>
      </c>
      <c r="T260" s="12"/>
      <c r="U260" s="28"/>
      <c r="V260" s="29">
        <v>0</v>
      </c>
      <c r="W260" s="30" t="b">
        <v>1</v>
      </c>
      <c r="X260" s="28" t="s">
        <v>90</v>
      </c>
    </row>
    <row r="261" spans="1:24" ht="15">
      <c r="A261" s="7">
        <v>256</v>
      </c>
      <c r="B261" s="7">
        <v>167074</v>
      </c>
      <c r="C261" s="7" t="s">
        <v>831</v>
      </c>
      <c r="D261" s="7" t="s">
        <v>832</v>
      </c>
      <c r="E261" s="7" t="s">
        <v>48</v>
      </c>
      <c r="F261" s="7" t="s">
        <v>99</v>
      </c>
      <c r="G261" s="11">
        <v>4.5</v>
      </c>
      <c r="H261" s="11">
        <v>4.5</v>
      </c>
      <c r="I261" s="7"/>
      <c r="J261" s="7"/>
      <c r="K261" s="7"/>
      <c r="L261" s="7" t="s">
        <v>833</v>
      </c>
      <c r="M261" s="8" t="b">
        <v>0</v>
      </c>
      <c r="N261" s="8" t="b">
        <v>0</v>
      </c>
      <c r="O261" s="7" t="s">
        <v>817</v>
      </c>
      <c r="P261" s="7" t="s">
        <v>410</v>
      </c>
      <c r="Q261" s="8" t="b">
        <v>1</v>
      </c>
      <c r="R261" s="8" t="b">
        <v>1</v>
      </c>
      <c r="S261" s="7" t="s">
        <v>89</v>
      </c>
      <c r="T261" s="12"/>
      <c r="U261" s="28"/>
      <c r="V261" s="29">
        <v>2E-3</v>
      </c>
      <c r="W261" s="30" t="b">
        <v>1</v>
      </c>
      <c r="X261" s="28" t="s">
        <v>90</v>
      </c>
    </row>
    <row r="262" spans="1:24" ht="15">
      <c r="A262" s="7">
        <v>257</v>
      </c>
      <c r="B262" s="7">
        <v>232892</v>
      </c>
      <c r="C262" s="7" t="s">
        <v>834</v>
      </c>
      <c r="D262" s="7" t="s">
        <v>835</v>
      </c>
      <c r="E262" s="7" t="s">
        <v>48</v>
      </c>
      <c r="F262" s="7" t="s">
        <v>99</v>
      </c>
      <c r="G262" s="11">
        <v>4.5</v>
      </c>
      <c r="H262" s="11">
        <v>4.5</v>
      </c>
      <c r="I262" s="7"/>
      <c r="J262" s="7"/>
      <c r="K262" s="7"/>
      <c r="L262" s="7" t="s">
        <v>836</v>
      </c>
      <c r="M262" s="8" t="b">
        <v>0</v>
      </c>
      <c r="N262" s="8" t="b">
        <v>0</v>
      </c>
      <c r="O262" s="7" t="s">
        <v>817</v>
      </c>
      <c r="P262" s="7" t="s">
        <v>410</v>
      </c>
      <c r="Q262" s="8" t="b">
        <v>1</v>
      </c>
      <c r="R262" s="8" t="b">
        <v>1</v>
      </c>
      <c r="S262" s="7" t="s">
        <v>89</v>
      </c>
      <c r="T262" s="12"/>
      <c r="U262" s="28"/>
      <c r="V262" s="29">
        <v>5.0000000000000001E-3</v>
      </c>
      <c r="W262" s="30" t="b">
        <v>1</v>
      </c>
      <c r="X262" s="28" t="s">
        <v>90</v>
      </c>
    </row>
    <row r="263" spans="1:24" ht="15">
      <c r="A263" s="7">
        <v>258</v>
      </c>
      <c r="B263" s="7">
        <v>166477</v>
      </c>
      <c r="C263" s="7" t="s">
        <v>837</v>
      </c>
      <c r="D263" s="7" t="s">
        <v>838</v>
      </c>
      <c r="E263" s="7" t="s">
        <v>48</v>
      </c>
      <c r="F263" s="7" t="s">
        <v>99</v>
      </c>
      <c r="G263" s="11">
        <v>4.5</v>
      </c>
      <c r="H263" s="11">
        <v>4.5</v>
      </c>
      <c r="I263" s="7"/>
      <c r="J263" s="7"/>
      <c r="K263" s="7"/>
      <c r="L263" s="7" t="s">
        <v>481</v>
      </c>
      <c r="M263" s="8" t="b">
        <v>0</v>
      </c>
      <c r="N263" s="8" t="b">
        <v>0</v>
      </c>
      <c r="O263" s="7" t="s">
        <v>817</v>
      </c>
      <c r="P263" s="7" t="s">
        <v>410</v>
      </c>
      <c r="Q263" s="8" t="b">
        <v>1</v>
      </c>
      <c r="R263" s="8" t="b">
        <v>1</v>
      </c>
      <c r="S263" s="7" t="s">
        <v>89</v>
      </c>
      <c r="T263" s="12"/>
      <c r="U263" s="28"/>
      <c r="V263" s="29">
        <v>2E-3</v>
      </c>
      <c r="W263" s="30" t="b">
        <v>1</v>
      </c>
      <c r="X263" s="28" t="s">
        <v>90</v>
      </c>
    </row>
    <row r="264" spans="1:24" ht="15">
      <c r="A264" s="7">
        <v>261</v>
      </c>
      <c r="B264" s="7">
        <v>153133</v>
      </c>
      <c r="C264" s="7" t="s">
        <v>839</v>
      </c>
      <c r="D264" s="7" t="s">
        <v>840</v>
      </c>
      <c r="E264" s="7" t="s">
        <v>48</v>
      </c>
      <c r="F264" s="7" t="s">
        <v>112</v>
      </c>
      <c r="G264" s="11">
        <v>5.5</v>
      </c>
      <c r="H264" s="11">
        <v>5.5</v>
      </c>
      <c r="I264" s="7">
        <v>2</v>
      </c>
      <c r="J264" s="7">
        <v>1</v>
      </c>
      <c r="K264" s="7">
        <v>4</v>
      </c>
      <c r="L264" s="7" t="s">
        <v>555</v>
      </c>
      <c r="M264" s="8" t="b">
        <v>0</v>
      </c>
      <c r="N264" s="8" t="b">
        <v>0</v>
      </c>
      <c r="O264" s="7" t="s">
        <v>817</v>
      </c>
      <c r="P264" s="7" t="s">
        <v>410</v>
      </c>
      <c r="Q264" s="8" t="b">
        <v>1</v>
      </c>
      <c r="R264" s="8" t="b">
        <v>1</v>
      </c>
      <c r="S264" s="7" t="s">
        <v>89</v>
      </c>
      <c r="T264" s="12"/>
      <c r="U264" s="28"/>
      <c r="V264" s="29">
        <v>9.0000000000000011E-3</v>
      </c>
      <c r="W264" s="30" t="b">
        <v>1</v>
      </c>
      <c r="X264" s="28" t="s">
        <v>90</v>
      </c>
    </row>
    <row r="265" spans="1:24" ht="15">
      <c r="A265" s="7">
        <v>262</v>
      </c>
      <c r="B265" s="7">
        <v>209289</v>
      </c>
      <c r="C265" s="7" t="s">
        <v>841</v>
      </c>
      <c r="D265" s="7" t="s">
        <v>842</v>
      </c>
      <c r="E265" s="7" t="s">
        <v>48</v>
      </c>
      <c r="F265" s="7" t="s">
        <v>112</v>
      </c>
      <c r="G265" s="11">
        <v>5.5</v>
      </c>
      <c r="H265" s="11">
        <v>5.5</v>
      </c>
      <c r="I265" s="7"/>
      <c r="J265" s="7"/>
      <c r="K265" s="7"/>
      <c r="L265" s="7" t="s">
        <v>843</v>
      </c>
      <c r="M265" s="8" t="b">
        <v>0</v>
      </c>
      <c r="N265" s="8" t="b">
        <v>0</v>
      </c>
      <c r="O265" s="7" t="s">
        <v>817</v>
      </c>
      <c r="P265" s="7" t="s">
        <v>410</v>
      </c>
      <c r="Q265" s="8" t="b">
        <v>1</v>
      </c>
      <c r="R265" s="8" t="b">
        <v>1</v>
      </c>
      <c r="S265" s="7" t="s">
        <v>89</v>
      </c>
      <c r="T265" s="12"/>
      <c r="U265" s="28"/>
      <c r="V265" s="29">
        <v>4.0000000000000001E-3</v>
      </c>
      <c r="W265" s="30" t="b">
        <v>1</v>
      </c>
      <c r="X265" s="28" t="s">
        <v>90</v>
      </c>
    </row>
    <row r="266" spans="1:24" ht="15">
      <c r="A266" s="7">
        <v>263</v>
      </c>
      <c r="B266" s="7">
        <v>560552</v>
      </c>
      <c r="C266" s="7" t="s">
        <v>844</v>
      </c>
      <c r="D266" s="7" t="s">
        <v>845</v>
      </c>
      <c r="E266" s="7" t="s">
        <v>48</v>
      </c>
      <c r="F266" s="7" t="s">
        <v>112</v>
      </c>
      <c r="G266" s="11">
        <v>5.5</v>
      </c>
      <c r="H266" s="11">
        <v>5.5</v>
      </c>
      <c r="I266" s="7"/>
      <c r="J266" s="7"/>
      <c r="K266" s="7">
        <v>6</v>
      </c>
      <c r="L266" s="7" t="s">
        <v>209</v>
      </c>
      <c r="M266" s="8" t="b">
        <v>0</v>
      </c>
      <c r="N266" s="8" t="b">
        <v>0</v>
      </c>
      <c r="O266" s="7" t="s">
        <v>817</v>
      </c>
      <c r="P266" s="7" t="s">
        <v>410</v>
      </c>
      <c r="Q266" s="8" t="b">
        <v>1</v>
      </c>
      <c r="R266" s="8" t="b">
        <v>1</v>
      </c>
      <c r="S266" s="7" t="s">
        <v>89</v>
      </c>
      <c r="T266" s="12"/>
      <c r="U266" s="28"/>
      <c r="V266" s="29">
        <v>1E-3</v>
      </c>
      <c r="W266" s="30" t="b">
        <v>1</v>
      </c>
      <c r="X266" s="28" t="s">
        <v>90</v>
      </c>
    </row>
    <row r="267" spans="1:24" ht="15">
      <c r="A267" s="7">
        <v>264</v>
      </c>
      <c r="B267" s="7">
        <v>477555</v>
      </c>
      <c r="C267" s="7" t="s">
        <v>846</v>
      </c>
      <c r="D267" s="7" t="s">
        <v>847</v>
      </c>
      <c r="E267" s="7" t="s">
        <v>48</v>
      </c>
      <c r="F267" s="7" t="s">
        <v>112</v>
      </c>
      <c r="G267" s="11">
        <v>5.5</v>
      </c>
      <c r="H267" s="11">
        <v>5.5</v>
      </c>
      <c r="I267" s="7"/>
      <c r="J267" s="7"/>
      <c r="K267" s="7"/>
      <c r="L267" s="7" t="s">
        <v>848</v>
      </c>
      <c r="M267" s="8" t="b">
        <v>0</v>
      </c>
      <c r="N267" s="8" t="b">
        <v>0</v>
      </c>
      <c r="O267" s="7" t="s">
        <v>817</v>
      </c>
      <c r="P267" s="7" t="s">
        <v>410</v>
      </c>
      <c r="Q267" s="8" t="b">
        <v>1</v>
      </c>
      <c r="R267" s="8" t="b">
        <v>1</v>
      </c>
      <c r="S267" s="7" t="s">
        <v>89</v>
      </c>
      <c r="T267" s="12"/>
      <c r="U267" s="28"/>
      <c r="V267" s="29">
        <v>4.0000000000000001E-3</v>
      </c>
      <c r="W267" s="30" t="b">
        <v>1</v>
      </c>
      <c r="X267" s="28" t="s">
        <v>90</v>
      </c>
    </row>
    <row r="268" spans="1:24" ht="15">
      <c r="A268" s="7">
        <v>265</v>
      </c>
      <c r="B268" s="7">
        <v>207189</v>
      </c>
      <c r="C268" s="7" t="s">
        <v>849</v>
      </c>
      <c r="D268" s="7" t="s">
        <v>850</v>
      </c>
      <c r="E268" s="7" t="s">
        <v>48</v>
      </c>
      <c r="F268" s="7" t="s">
        <v>112</v>
      </c>
      <c r="G268" s="11">
        <v>5</v>
      </c>
      <c r="H268" s="11">
        <v>5</v>
      </c>
      <c r="I268" s="7"/>
      <c r="J268" s="7"/>
      <c r="K268" s="7"/>
      <c r="L268" s="7" t="s">
        <v>354</v>
      </c>
      <c r="M268" s="8" t="b">
        <v>0</v>
      </c>
      <c r="N268" s="8" t="b">
        <v>0</v>
      </c>
      <c r="O268" s="7" t="s">
        <v>817</v>
      </c>
      <c r="P268" s="7" t="s">
        <v>410</v>
      </c>
      <c r="Q268" s="8" t="b">
        <v>1</v>
      </c>
      <c r="R268" s="8" t="b">
        <v>1</v>
      </c>
      <c r="S268" s="7" t="s">
        <v>89</v>
      </c>
      <c r="T268" s="12"/>
      <c r="U268" s="28"/>
      <c r="V268" s="29">
        <v>4.0000000000000001E-3</v>
      </c>
      <c r="W268" s="30" t="b">
        <v>1</v>
      </c>
      <c r="X268" s="28" t="s">
        <v>90</v>
      </c>
    </row>
    <row r="269" spans="1:24" ht="15">
      <c r="A269" s="7">
        <v>266</v>
      </c>
      <c r="B269" s="7">
        <v>76357</v>
      </c>
      <c r="C269" s="7" t="s">
        <v>851</v>
      </c>
      <c r="D269" s="7" t="s">
        <v>852</v>
      </c>
      <c r="E269" s="7" t="s">
        <v>48</v>
      </c>
      <c r="F269" s="7" t="s">
        <v>112</v>
      </c>
      <c r="G269" s="11">
        <v>5</v>
      </c>
      <c r="H269" s="11">
        <v>5</v>
      </c>
      <c r="I269" s="7"/>
      <c r="J269" s="7"/>
      <c r="K269" s="7"/>
      <c r="L269" s="7" t="s">
        <v>853</v>
      </c>
      <c r="M269" s="8" t="b">
        <v>0</v>
      </c>
      <c r="N269" s="8" t="b">
        <v>0</v>
      </c>
      <c r="O269" s="7" t="s">
        <v>817</v>
      </c>
      <c r="P269" s="7" t="s">
        <v>410</v>
      </c>
      <c r="Q269" s="8" t="b">
        <v>1</v>
      </c>
      <c r="R269" s="8" t="b">
        <v>1</v>
      </c>
      <c r="S269" s="7" t="s">
        <v>89</v>
      </c>
      <c r="T269" s="12"/>
      <c r="U269" s="28"/>
      <c r="V269" s="29">
        <v>0</v>
      </c>
      <c r="W269" s="30" t="b">
        <v>1</v>
      </c>
      <c r="X269" s="28" t="s">
        <v>90</v>
      </c>
    </row>
    <row r="270" spans="1:24" ht="15">
      <c r="A270" s="7">
        <v>267</v>
      </c>
      <c r="B270" s="7">
        <v>212314</v>
      </c>
      <c r="C270" s="7" t="s">
        <v>854</v>
      </c>
      <c r="D270" s="7" t="s">
        <v>855</v>
      </c>
      <c r="E270" s="7" t="s">
        <v>48</v>
      </c>
      <c r="F270" s="7" t="s">
        <v>112</v>
      </c>
      <c r="G270" s="11">
        <v>5</v>
      </c>
      <c r="H270" s="11">
        <v>5</v>
      </c>
      <c r="I270" s="7"/>
      <c r="J270" s="7">
        <v>2</v>
      </c>
      <c r="K270" s="7">
        <v>5</v>
      </c>
      <c r="L270" s="7" t="s">
        <v>558</v>
      </c>
      <c r="M270" s="8" t="b">
        <v>0</v>
      </c>
      <c r="N270" s="8" t="b">
        <v>0</v>
      </c>
      <c r="O270" s="7" t="s">
        <v>817</v>
      </c>
      <c r="P270" s="7" t="s">
        <v>410</v>
      </c>
      <c r="Q270" s="8" t="b">
        <v>1</v>
      </c>
      <c r="R270" s="8" t="b">
        <v>1</v>
      </c>
      <c r="S270" s="7" t="s">
        <v>89</v>
      </c>
      <c r="T270" s="12"/>
      <c r="U270" s="28"/>
      <c r="V270" s="29">
        <v>1E-3</v>
      </c>
      <c r="W270" s="30" t="b">
        <v>1</v>
      </c>
      <c r="X270" s="28" t="s">
        <v>90</v>
      </c>
    </row>
    <row r="271" spans="1:24" ht="15">
      <c r="A271" s="7">
        <v>268</v>
      </c>
      <c r="B271" s="7">
        <v>577725</v>
      </c>
      <c r="C271" s="7" t="s">
        <v>756</v>
      </c>
      <c r="D271" s="7" t="s">
        <v>856</v>
      </c>
      <c r="E271" s="7" t="s">
        <v>48</v>
      </c>
      <c r="F271" s="7" t="s">
        <v>112</v>
      </c>
      <c r="G271" s="11">
        <v>5.5</v>
      </c>
      <c r="H271" s="11">
        <v>5.5</v>
      </c>
      <c r="I271" s="7"/>
      <c r="J271" s="7"/>
      <c r="K271" s="7"/>
      <c r="L271" s="7" t="s">
        <v>857</v>
      </c>
      <c r="M271" s="8" t="b">
        <v>0</v>
      </c>
      <c r="N271" s="8" t="b">
        <v>0</v>
      </c>
      <c r="O271" s="7" t="s">
        <v>817</v>
      </c>
      <c r="P271" s="7" t="s">
        <v>410</v>
      </c>
      <c r="Q271" s="8" t="b">
        <v>1</v>
      </c>
      <c r="R271" s="8" t="b">
        <v>1</v>
      </c>
      <c r="S271" s="7" t="s">
        <v>89</v>
      </c>
      <c r="T271" s="12"/>
      <c r="U271" s="28"/>
      <c r="V271" s="29">
        <v>1E-3</v>
      </c>
      <c r="W271" s="30" t="b">
        <v>1</v>
      </c>
      <c r="X271" s="28" t="s">
        <v>90</v>
      </c>
    </row>
    <row r="272" spans="1:24" ht="15">
      <c r="A272" s="7">
        <v>269</v>
      </c>
      <c r="B272" s="7">
        <v>184349</v>
      </c>
      <c r="C272" s="7" t="s">
        <v>858</v>
      </c>
      <c r="D272" s="7" t="s">
        <v>859</v>
      </c>
      <c r="E272" s="7" t="s">
        <v>48</v>
      </c>
      <c r="F272" s="7" t="s">
        <v>99</v>
      </c>
      <c r="G272" s="11">
        <v>4.5</v>
      </c>
      <c r="H272" s="11">
        <v>4.5</v>
      </c>
      <c r="I272" s="7"/>
      <c r="J272" s="7"/>
      <c r="K272" s="7"/>
      <c r="L272" s="7" t="s">
        <v>860</v>
      </c>
      <c r="M272" s="8" t="b">
        <v>0</v>
      </c>
      <c r="N272" s="8" t="b">
        <v>0</v>
      </c>
      <c r="O272" s="7" t="s">
        <v>817</v>
      </c>
      <c r="P272" s="7" t="s">
        <v>410</v>
      </c>
      <c r="Q272" s="8" t="b">
        <v>1</v>
      </c>
      <c r="R272" s="8" t="b">
        <v>1</v>
      </c>
      <c r="S272" s="7" t="s">
        <v>89</v>
      </c>
      <c r="T272" s="12"/>
      <c r="U272" s="28"/>
      <c r="V272" s="29">
        <v>4.0000000000000001E-3</v>
      </c>
      <c r="W272" s="30" t="b">
        <v>1</v>
      </c>
      <c r="X272" s="28" t="s">
        <v>90</v>
      </c>
    </row>
    <row r="273" spans="1:24" ht="15">
      <c r="A273" s="7">
        <v>270</v>
      </c>
      <c r="B273" s="7">
        <v>153366</v>
      </c>
      <c r="C273" s="7" t="s">
        <v>861</v>
      </c>
      <c r="D273" s="7" t="s">
        <v>862</v>
      </c>
      <c r="E273" s="7" t="s">
        <v>48</v>
      </c>
      <c r="F273" s="7" t="s">
        <v>112</v>
      </c>
      <c r="G273" s="11">
        <v>4.5</v>
      </c>
      <c r="H273" s="11">
        <v>4.5</v>
      </c>
      <c r="I273" s="7"/>
      <c r="J273" s="7"/>
      <c r="K273" s="7"/>
      <c r="L273" s="7" t="s">
        <v>863</v>
      </c>
      <c r="M273" s="8" t="b">
        <v>0</v>
      </c>
      <c r="N273" s="8" t="b">
        <v>0</v>
      </c>
      <c r="O273" s="7" t="s">
        <v>817</v>
      </c>
      <c r="P273" s="7" t="s">
        <v>410</v>
      </c>
      <c r="Q273" s="8" t="b">
        <v>1</v>
      </c>
      <c r="R273" s="8" t="b">
        <v>1</v>
      </c>
      <c r="S273" s="7" t="s">
        <v>89</v>
      </c>
      <c r="T273" s="12"/>
      <c r="U273" s="28"/>
      <c r="V273" s="29">
        <v>1.1000000000000001E-2</v>
      </c>
      <c r="W273" s="30" t="b">
        <v>1</v>
      </c>
      <c r="X273" s="28" t="s">
        <v>90</v>
      </c>
    </row>
    <row r="274" spans="1:24" ht="15">
      <c r="A274" s="7">
        <v>271</v>
      </c>
      <c r="B274" s="7">
        <v>244042</v>
      </c>
      <c r="C274" s="7" t="s">
        <v>864</v>
      </c>
      <c r="D274" s="7" t="s">
        <v>865</v>
      </c>
      <c r="E274" s="7" t="s">
        <v>48</v>
      </c>
      <c r="F274" s="7" t="s">
        <v>167</v>
      </c>
      <c r="G274" s="11">
        <v>5.5</v>
      </c>
      <c r="H274" s="11">
        <v>5.5</v>
      </c>
      <c r="I274" s="7"/>
      <c r="J274" s="7"/>
      <c r="K274" s="7"/>
      <c r="L274" s="7" t="s">
        <v>137</v>
      </c>
      <c r="M274" s="8" t="b">
        <v>0</v>
      </c>
      <c r="N274" s="8" t="b">
        <v>0</v>
      </c>
      <c r="O274" s="7" t="s">
        <v>817</v>
      </c>
      <c r="P274" s="7" t="s">
        <v>410</v>
      </c>
      <c r="Q274" s="8" t="b">
        <v>1</v>
      </c>
      <c r="R274" s="8" t="b">
        <v>1</v>
      </c>
      <c r="S274" s="7" t="s">
        <v>89</v>
      </c>
      <c r="T274" s="12"/>
      <c r="U274" s="28"/>
      <c r="V274" s="29">
        <v>6.9999999999999993E-3</v>
      </c>
      <c r="W274" s="30" t="b">
        <v>1</v>
      </c>
      <c r="X274" s="28" t="s">
        <v>90</v>
      </c>
    </row>
    <row r="275" spans="1:24" ht="15">
      <c r="A275" s="7">
        <v>272</v>
      </c>
      <c r="B275" s="7">
        <v>631786</v>
      </c>
      <c r="C275" s="7" t="s">
        <v>866</v>
      </c>
      <c r="D275" s="7" t="s">
        <v>867</v>
      </c>
      <c r="E275" s="7" t="s">
        <v>48</v>
      </c>
      <c r="F275" s="7" t="s">
        <v>167</v>
      </c>
      <c r="G275" s="11">
        <v>4.5</v>
      </c>
      <c r="H275" s="11">
        <v>4.5</v>
      </c>
      <c r="I275" s="7"/>
      <c r="J275" s="7"/>
      <c r="K275" s="7"/>
      <c r="L275" s="7" t="s">
        <v>868</v>
      </c>
      <c r="M275" s="8" t="b">
        <v>1</v>
      </c>
      <c r="N275" s="8" t="b">
        <v>0</v>
      </c>
      <c r="O275" s="7" t="s">
        <v>817</v>
      </c>
      <c r="P275" s="7" t="s">
        <v>410</v>
      </c>
      <c r="Q275" s="8" t="b">
        <v>1</v>
      </c>
      <c r="R275" s="8" t="b">
        <v>1</v>
      </c>
      <c r="S275" s="7" t="s">
        <v>89</v>
      </c>
      <c r="T275" s="12"/>
      <c r="U275" s="28"/>
      <c r="V275" s="29">
        <v>8.3000000000000004E-2</v>
      </c>
      <c r="W275" s="30" t="b">
        <v>1</v>
      </c>
      <c r="X275" s="28" t="s">
        <v>90</v>
      </c>
    </row>
    <row r="276" spans="1:24" ht="15">
      <c r="A276" s="7">
        <v>273</v>
      </c>
      <c r="B276" s="7">
        <v>167825</v>
      </c>
      <c r="C276" s="7" t="s">
        <v>869</v>
      </c>
      <c r="D276" s="7" t="s">
        <v>870</v>
      </c>
      <c r="E276" s="7" t="s">
        <v>49</v>
      </c>
      <c r="F276" s="7" t="s">
        <v>85</v>
      </c>
      <c r="G276" s="11">
        <v>4</v>
      </c>
      <c r="H276" s="11">
        <v>4</v>
      </c>
      <c r="I276" s="7"/>
      <c r="J276" s="7"/>
      <c r="K276" s="7"/>
      <c r="L276" s="7" t="s">
        <v>93</v>
      </c>
      <c r="M276" s="8" t="b">
        <v>0</v>
      </c>
      <c r="N276" s="8" t="b">
        <v>1</v>
      </c>
      <c r="O276" s="7" t="s">
        <v>871</v>
      </c>
      <c r="P276" s="7" t="s">
        <v>872</v>
      </c>
      <c r="Q276" s="8" t="b">
        <v>0</v>
      </c>
      <c r="R276" s="8" t="b">
        <v>0</v>
      </c>
      <c r="S276" s="7" t="s">
        <v>89</v>
      </c>
      <c r="T276" s="12"/>
      <c r="U276" s="28"/>
      <c r="V276" s="29">
        <v>2.1000000000000001E-2</v>
      </c>
      <c r="W276" s="30" t="b">
        <v>1</v>
      </c>
      <c r="X276" s="28" t="s">
        <v>90</v>
      </c>
    </row>
    <row r="277" spans="1:24" ht="15">
      <c r="A277" s="7">
        <v>274</v>
      </c>
      <c r="B277" s="7">
        <v>105666</v>
      </c>
      <c r="C277" s="7" t="s">
        <v>873</v>
      </c>
      <c r="D277" s="7" t="s">
        <v>874</v>
      </c>
      <c r="E277" s="7" t="s">
        <v>49</v>
      </c>
      <c r="F277" s="7" t="s">
        <v>85</v>
      </c>
      <c r="G277" s="11">
        <v>4.5</v>
      </c>
      <c r="H277" s="11">
        <v>4.5</v>
      </c>
      <c r="I277" s="7"/>
      <c r="J277" s="7"/>
      <c r="K277" s="7"/>
      <c r="L277" s="7" t="s">
        <v>449</v>
      </c>
      <c r="M277" s="8" t="b">
        <v>1</v>
      </c>
      <c r="N277" s="8" t="b">
        <v>1</v>
      </c>
      <c r="O277" s="7" t="s">
        <v>871</v>
      </c>
      <c r="P277" s="7" t="s">
        <v>872</v>
      </c>
      <c r="Q277" s="8" t="b">
        <v>0</v>
      </c>
      <c r="R277" s="8" t="b">
        <v>0</v>
      </c>
      <c r="S277" s="7" t="s">
        <v>89</v>
      </c>
      <c r="T277" s="12"/>
      <c r="U277" s="28"/>
      <c r="V277" s="29">
        <v>0.01</v>
      </c>
      <c r="W277" s="30" t="b">
        <v>1</v>
      </c>
      <c r="X277" s="28" t="s">
        <v>90</v>
      </c>
    </row>
    <row r="278" spans="1:24" ht="30">
      <c r="A278" s="7">
        <v>275</v>
      </c>
      <c r="B278" s="7">
        <v>494950</v>
      </c>
      <c r="C278" s="7" t="s">
        <v>875</v>
      </c>
      <c r="D278" s="7" t="s">
        <v>876</v>
      </c>
      <c r="E278" s="7" t="s">
        <v>49</v>
      </c>
      <c r="F278" s="7" t="s">
        <v>85</v>
      </c>
      <c r="G278" s="11">
        <v>4</v>
      </c>
      <c r="H278" s="11">
        <v>4</v>
      </c>
      <c r="I278" s="7"/>
      <c r="J278" s="7"/>
      <c r="K278" s="7"/>
      <c r="L278" s="7" t="s">
        <v>877</v>
      </c>
      <c r="M278" s="8" t="b">
        <v>0</v>
      </c>
      <c r="N278" s="8" t="b">
        <v>1</v>
      </c>
      <c r="O278" s="7" t="s">
        <v>871</v>
      </c>
      <c r="P278" s="7" t="s">
        <v>872</v>
      </c>
      <c r="Q278" s="8" t="b">
        <v>0</v>
      </c>
      <c r="R278" s="8" t="b">
        <v>0</v>
      </c>
      <c r="S278" s="7" t="s">
        <v>400</v>
      </c>
      <c r="T278" s="12">
        <v>0</v>
      </c>
      <c r="U278" s="28" t="s">
        <v>878</v>
      </c>
      <c r="V278" s="29">
        <v>1E-3</v>
      </c>
      <c r="W278" s="30" t="b">
        <v>0</v>
      </c>
      <c r="X278" s="28" t="s">
        <v>90</v>
      </c>
    </row>
    <row r="279" spans="1:24" ht="15">
      <c r="A279" s="7">
        <v>276</v>
      </c>
      <c r="B279" s="7">
        <v>444307</v>
      </c>
      <c r="C279" s="7" t="s">
        <v>879</v>
      </c>
      <c r="D279" s="7" t="s">
        <v>880</v>
      </c>
      <c r="E279" s="7" t="s">
        <v>49</v>
      </c>
      <c r="F279" s="7" t="s">
        <v>85</v>
      </c>
      <c r="G279" s="11">
        <v>4</v>
      </c>
      <c r="H279" s="11">
        <v>4</v>
      </c>
      <c r="I279" s="7"/>
      <c r="J279" s="7"/>
      <c r="K279" s="7"/>
      <c r="L279" s="7" t="s">
        <v>303</v>
      </c>
      <c r="M279" s="8" t="b">
        <v>0</v>
      </c>
      <c r="N279" s="8" t="b">
        <v>1</v>
      </c>
      <c r="O279" s="7" t="s">
        <v>871</v>
      </c>
      <c r="P279" s="7" t="s">
        <v>872</v>
      </c>
      <c r="Q279" s="8" t="b">
        <v>0</v>
      </c>
      <c r="R279" s="8" t="b">
        <v>0</v>
      </c>
      <c r="S279" s="7" t="s">
        <v>89</v>
      </c>
      <c r="T279" s="12"/>
      <c r="U279" s="28"/>
      <c r="V279" s="29">
        <v>2E-3</v>
      </c>
      <c r="W279" s="30" t="b">
        <v>1</v>
      </c>
      <c r="X279" s="28" t="s">
        <v>90</v>
      </c>
    </row>
    <row r="280" spans="1:24" ht="15">
      <c r="A280" s="7">
        <v>277</v>
      </c>
      <c r="B280" s="7">
        <v>108416</v>
      </c>
      <c r="C280" s="7" t="s">
        <v>881</v>
      </c>
      <c r="D280" s="7" t="s">
        <v>882</v>
      </c>
      <c r="E280" s="7" t="s">
        <v>49</v>
      </c>
      <c r="F280" s="7" t="s">
        <v>99</v>
      </c>
      <c r="G280" s="11">
        <v>4</v>
      </c>
      <c r="H280" s="11">
        <v>4</v>
      </c>
      <c r="I280" s="7"/>
      <c r="J280" s="7"/>
      <c r="K280" s="7"/>
      <c r="L280" s="7" t="s">
        <v>494</v>
      </c>
      <c r="M280" s="8" t="b">
        <v>0</v>
      </c>
      <c r="N280" s="8" t="b">
        <v>1</v>
      </c>
      <c r="O280" s="7" t="s">
        <v>871</v>
      </c>
      <c r="P280" s="7" t="s">
        <v>872</v>
      </c>
      <c r="Q280" s="8" t="b">
        <v>0</v>
      </c>
      <c r="R280" s="8" t="b">
        <v>0</v>
      </c>
      <c r="S280" s="7" t="s">
        <v>89</v>
      </c>
      <c r="T280" s="12"/>
      <c r="U280" s="28"/>
      <c r="V280" s="29">
        <v>8.0000000000000002E-3</v>
      </c>
      <c r="W280" s="30" t="b">
        <v>1</v>
      </c>
      <c r="X280" s="28" t="s">
        <v>90</v>
      </c>
    </row>
    <row r="281" spans="1:24" ht="15">
      <c r="A281" s="7">
        <v>278</v>
      </c>
      <c r="B281" s="7">
        <v>501902</v>
      </c>
      <c r="C281" s="7" t="s">
        <v>708</v>
      </c>
      <c r="D281" s="7" t="s">
        <v>883</v>
      </c>
      <c r="E281" s="7" t="s">
        <v>49</v>
      </c>
      <c r="F281" s="7" t="s">
        <v>99</v>
      </c>
      <c r="G281" s="11">
        <v>4</v>
      </c>
      <c r="H281" s="11">
        <v>4</v>
      </c>
      <c r="I281" s="7"/>
      <c r="J281" s="7"/>
      <c r="K281" s="7"/>
      <c r="L281" s="7" t="s">
        <v>333</v>
      </c>
      <c r="M281" s="8" t="b">
        <v>0</v>
      </c>
      <c r="N281" s="8" t="b">
        <v>1</v>
      </c>
      <c r="O281" s="7" t="s">
        <v>871</v>
      </c>
      <c r="P281" s="7" t="s">
        <v>872</v>
      </c>
      <c r="Q281" s="8" t="b">
        <v>0</v>
      </c>
      <c r="R281" s="8" t="b">
        <v>0</v>
      </c>
      <c r="S281" s="7" t="s">
        <v>104</v>
      </c>
      <c r="T281" s="12">
        <v>0</v>
      </c>
      <c r="U281" s="28" t="s">
        <v>884</v>
      </c>
      <c r="V281" s="29">
        <v>1.4999999999999999E-2</v>
      </c>
      <c r="W281" s="30" t="b">
        <v>1</v>
      </c>
      <c r="X281" s="28" t="s">
        <v>90</v>
      </c>
    </row>
    <row r="282" spans="1:24" ht="15">
      <c r="A282" s="7">
        <v>279</v>
      </c>
      <c r="B282" s="7">
        <v>146426</v>
      </c>
      <c r="C282" s="7" t="s">
        <v>885</v>
      </c>
      <c r="D282" s="7" t="s">
        <v>886</v>
      </c>
      <c r="E282" s="7" t="s">
        <v>49</v>
      </c>
      <c r="F282" s="7" t="s">
        <v>99</v>
      </c>
      <c r="G282" s="11">
        <v>4</v>
      </c>
      <c r="H282" s="11">
        <v>4</v>
      </c>
      <c r="I282" s="7"/>
      <c r="J282" s="7"/>
      <c r="K282" s="7"/>
      <c r="L282" s="7" t="s">
        <v>93</v>
      </c>
      <c r="M282" s="8" t="b">
        <v>0</v>
      </c>
      <c r="N282" s="8" t="b">
        <v>1</v>
      </c>
      <c r="O282" s="7" t="s">
        <v>871</v>
      </c>
      <c r="P282" s="7" t="s">
        <v>872</v>
      </c>
      <c r="Q282" s="8" t="b">
        <v>0</v>
      </c>
      <c r="R282" s="8" t="b">
        <v>0</v>
      </c>
      <c r="S282" s="7" t="s">
        <v>89</v>
      </c>
      <c r="T282" s="12"/>
      <c r="U282" s="28"/>
      <c r="V282" s="29">
        <v>6.0000000000000001E-3</v>
      </c>
      <c r="W282" s="30" t="b">
        <v>1</v>
      </c>
      <c r="X282" s="28" t="s">
        <v>90</v>
      </c>
    </row>
    <row r="283" spans="1:24" ht="15">
      <c r="A283" s="7">
        <v>280</v>
      </c>
      <c r="B283" s="7">
        <v>193278</v>
      </c>
      <c r="C283" s="7" t="s">
        <v>887</v>
      </c>
      <c r="D283" s="7" t="s">
        <v>888</v>
      </c>
      <c r="E283" s="7" t="s">
        <v>49</v>
      </c>
      <c r="F283" s="7" t="s">
        <v>99</v>
      </c>
      <c r="G283" s="11">
        <v>4</v>
      </c>
      <c r="H283" s="11">
        <v>4</v>
      </c>
      <c r="I283" s="7"/>
      <c r="J283" s="7"/>
      <c r="K283" s="7"/>
      <c r="L283" s="7" t="s">
        <v>889</v>
      </c>
      <c r="M283" s="8" t="b">
        <v>0</v>
      </c>
      <c r="N283" s="8" t="b">
        <v>1</v>
      </c>
      <c r="O283" s="7" t="s">
        <v>871</v>
      </c>
      <c r="P283" s="7" t="s">
        <v>872</v>
      </c>
      <c r="Q283" s="8" t="b">
        <v>0</v>
      </c>
      <c r="R283" s="8" t="b">
        <v>0</v>
      </c>
      <c r="S283" s="7" t="s">
        <v>89</v>
      </c>
      <c r="T283" s="12"/>
      <c r="U283" s="28"/>
      <c r="V283" s="29">
        <v>3.0000000000000001E-3</v>
      </c>
      <c r="W283" s="30" t="b">
        <v>1</v>
      </c>
      <c r="X283" s="28" t="s">
        <v>90</v>
      </c>
    </row>
    <row r="284" spans="1:24" ht="15">
      <c r="A284" s="7">
        <v>281</v>
      </c>
      <c r="B284" s="7">
        <v>433590</v>
      </c>
      <c r="C284" s="7" t="s">
        <v>890</v>
      </c>
      <c r="D284" s="7" t="s">
        <v>891</v>
      </c>
      <c r="E284" s="7" t="s">
        <v>49</v>
      </c>
      <c r="F284" s="7" t="s">
        <v>99</v>
      </c>
      <c r="G284" s="11">
        <v>4</v>
      </c>
      <c r="H284" s="11">
        <v>4</v>
      </c>
      <c r="I284" s="7"/>
      <c r="J284" s="7"/>
      <c r="K284" s="7"/>
      <c r="L284" s="7" t="s">
        <v>892</v>
      </c>
      <c r="M284" s="8" t="b">
        <v>0</v>
      </c>
      <c r="N284" s="8" t="b">
        <v>1</v>
      </c>
      <c r="O284" s="7" t="s">
        <v>871</v>
      </c>
      <c r="P284" s="7" t="s">
        <v>872</v>
      </c>
      <c r="Q284" s="8" t="b">
        <v>0</v>
      </c>
      <c r="R284" s="8" t="b">
        <v>0</v>
      </c>
      <c r="S284" s="7" t="s">
        <v>89</v>
      </c>
      <c r="T284" s="12"/>
      <c r="U284" s="28"/>
      <c r="V284" s="29">
        <v>1E-3</v>
      </c>
      <c r="W284" s="30" t="b">
        <v>1</v>
      </c>
      <c r="X284" s="28" t="s">
        <v>90</v>
      </c>
    </row>
    <row r="285" spans="1:24" ht="15">
      <c r="A285" s="7">
        <v>282</v>
      </c>
      <c r="B285" s="7">
        <v>232351</v>
      </c>
      <c r="C285" s="7" t="s">
        <v>893</v>
      </c>
      <c r="D285" s="7" t="s">
        <v>894</v>
      </c>
      <c r="E285" s="7" t="s">
        <v>49</v>
      </c>
      <c r="F285" s="7" t="s">
        <v>99</v>
      </c>
      <c r="G285" s="11">
        <v>4</v>
      </c>
      <c r="H285" s="11">
        <v>4</v>
      </c>
      <c r="I285" s="7"/>
      <c r="J285" s="7">
        <v>1</v>
      </c>
      <c r="K285" s="7">
        <v>4</v>
      </c>
      <c r="L285" s="7" t="s">
        <v>895</v>
      </c>
      <c r="M285" s="8" t="b">
        <v>0</v>
      </c>
      <c r="N285" s="8" t="b">
        <v>1</v>
      </c>
      <c r="O285" s="7" t="s">
        <v>871</v>
      </c>
      <c r="P285" s="7" t="s">
        <v>872</v>
      </c>
      <c r="Q285" s="8" t="b">
        <v>0</v>
      </c>
      <c r="R285" s="8" t="b">
        <v>0</v>
      </c>
      <c r="S285" s="7" t="s">
        <v>89</v>
      </c>
      <c r="T285" s="12"/>
      <c r="U285" s="28"/>
      <c r="V285" s="29">
        <v>6.0000000000000001E-3</v>
      </c>
      <c r="W285" s="30" t="b">
        <v>1</v>
      </c>
      <c r="X285" s="28" t="s">
        <v>90</v>
      </c>
    </row>
    <row r="286" spans="1:24" ht="15">
      <c r="A286" s="7">
        <v>283</v>
      </c>
      <c r="B286" s="7">
        <v>449428</v>
      </c>
      <c r="C286" s="7" t="s">
        <v>896</v>
      </c>
      <c r="D286" s="7" t="s">
        <v>897</v>
      </c>
      <c r="E286" s="7" t="s">
        <v>49</v>
      </c>
      <c r="F286" s="7" t="s">
        <v>99</v>
      </c>
      <c r="G286" s="11">
        <v>4</v>
      </c>
      <c r="H286" s="11">
        <v>4</v>
      </c>
      <c r="I286" s="7"/>
      <c r="J286" s="7"/>
      <c r="K286" s="7"/>
      <c r="L286" s="7" t="s">
        <v>609</v>
      </c>
      <c r="M286" s="8" t="b">
        <v>0</v>
      </c>
      <c r="N286" s="8" t="b">
        <v>1</v>
      </c>
      <c r="O286" s="7" t="s">
        <v>871</v>
      </c>
      <c r="P286" s="7" t="s">
        <v>872</v>
      </c>
      <c r="Q286" s="8" t="b">
        <v>0</v>
      </c>
      <c r="R286" s="8" t="b">
        <v>0</v>
      </c>
      <c r="S286" s="7" t="s">
        <v>233</v>
      </c>
      <c r="T286" s="12">
        <v>75</v>
      </c>
      <c r="U286" s="28" t="s">
        <v>898</v>
      </c>
      <c r="V286" s="29">
        <v>1E-3</v>
      </c>
      <c r="W286" s="30" t="b">
        <v>1</v>
      </c>
      <c r="X286" s="28" t="s">
        <v>90</v>
      </c>
    </row>
    <row r="287" spans="1:24" ht="15">
      <c r="A287" s="7">
        <v>284</v>
      </c>
      <c r="B287" s="7">
        <v>661800</v>
      </c>
      <c r="C287" s="7" t="s">
        <v>899</v>
      </c>
      <c r="D287" s="7" t="s">
        <v>900</v>
      </c>
      <c r="E287" s="7" t="s">
        <v>49</v>
      </c>
      <c r="F287" s="7" t="s">
        <v>99</v>
      </c>
      <c r="G287" s="11">
        <v>4</v>
      </c>
      <c r="H287" s="11">
        <v>4</v>
      </c>
      <c r="I287" s="7"/>
      <c r="J287" s="7"/>
      <c r="K287" s="7"/>
      <c r="L287" s="7" t="s">
        <v>152</v>
      </c>
      <c r="M287" s="8" t="b">
        <v>1</v>
      </c>
      <c r="N287" s="8" t="b">
        <v>1</v>
      </c>
      <c r="O287" s="7" t="s">
        <v>871</v>
      </c>
      <c r="P287" s="7" t="s">
        <v>872</v>
      </c>
      <c r="Q287" s="8" t="b">
        <v>0</v>
      </c>
      <c r="R287" s="8" t="b">
        <v>0</v>
      </c>
      <c r="S287" s="7" t="s">
        <v>89</v>
      </c>
      <c r="T287" s="12"/>
      <c r="U287" s="28"/>
      <c r="V287" s="29">
        <v>1E-3</v>
      </c>
      <c r="W287" s="30" t="b">
        <v>1</v>
      </c>
      <c r="X287" s="28" t="s">
        <v>90</v>
      </c>
    </row>
    <row r="288" spans="1:24" ht="15">
      <c r="A288" s="7">
        <v>285</v>
      </c>
      <c r="B288" s="7">
        <v>160817</v>
      </c>
      <c r="C288" s="7" t="s">
        <v>901</v>
      </c>
      <c r="D288" s="7" t="s">
        <v>902</v>
      </c>
      <c r="E288" s="7" t="s">
        <v>49</v>
      </c>
      <c r="F288" s="7" t="s">
        <v>99</v>
      </c>
      <c r="G288" s="11">
        <v>4</v>
      </c>
      <c r="H288" s="11">
        <v>4</v>
      </c>
      <c r="I288" s="7"/>
      <c r="J288" s="7"/>
      <c r="K288" s="7"/>
      <c r="L288" s="7" t="s">
        <v>903</v>
      </c>
      <c r="M288" s="8" t="b">
        <v>0</v>
      </c>
      <c r="N288" s="8" t="b">
        <v>1</v>
      </c>
      <c r="O288" s="7" t="s">
        <v>871</v>
      </c>
      <c r="P288" s="7" t="s">
        <v>872</v>
      </c>
      <c r="Q288" s="8" t="b">
        <v>0</v>
      </c>
      <c r="R288" s="8" t="b">
        <v>0</v>
      </c>
      <c r="S288" s="7" t="s">
        <v>89</v>
      </c>
      <c r="T288" s="12"/>
      <c r="U288" s="28"/>
      <c r="V288" s="29">
        <v>1E-3</v>
      </c>
      <c r="W288" s="30" t="b">
        <v>1</v>
      </c>
      <c r="X288" s="28" t="s">
        <v>90</v>
      </c>
    </row>
    <row r="289" spans="1:24" ht="15">
      <c r="A289" s="7">
        <v>286</v>
      </c>
      <c r="B289" s="7">
        <v>540324</v>
      </c>
      <c r="C289" s="7" t="s">
        <v>904</v>
      </c>
      <c r="D289" s="7" t="s">
        <v>905</v>
      </c>
      <c r="E289" s="7" t="s">
        <v>49</v>
      </c>
      <c r="F289" s="7" t="s">
        <v>112</v>
      </c>
      <c r="G289" s="11">
        <v>5</v>
      </c>
      <c r="H289" s="11">
        <v>5</v>
      </c>
      <c r="I289" s="7"/>
      <c r="J289" s="7">
        <v>2</v>
      </c>
      <c r="K289" s="7">
        <v>5</v>
      </c>
      <c r="L289" s="7" t="s">
        <v>742</v>
      </c>
      <c r="M289" s="8" t="b">
        <v>0</v>
      </c>
      <c r="N289" s="8" t="b">
        <v>1</v>
      </c>
      <c r="O289" s="7" t="s">
        <v>871</v>
      </c>
      <c r="P289" s="7" t="s">
        <v>872</v>
      </c>
      <c r="Q289" s="8" t="b">
        <v>0</v>
      </c>
      <c r="R289" s="8" t="b">
        <v>0</v>
      </c>
      <c r="S289" s="7" t="s">
        <v>89</v>
      </c>
      <c r="T289" s="12"/>
      <c r="U289" s="28"/>
      <c r="V289" s="29">
        <v>6.0000000000000001E-3</v>
      </c>
      <c r="W289" s="30" t="b">
        <v>1</v>
      </c>
      <c r="X289" s="28" t="s">
        <v>90</v>
      </c>
    </row>
    <row r="290" spans="1:24" ht="15">
      <c r="A290" s="7">
        <v>287</v>
      </c>
      <c r="B290" s="7">
        <v>232905</v>
      </c>
      <c r="C290" s="7" t="s">
        <v>906</v>
      </c>
      <c r="D290" s="7" t="s">
        <v>907</v>
      </c>
      <c r="E290" s="7" t="s">
        <v>49</v>
      </c>
      <c r="F290" s="7" t="s">
        <v>112</v>
      </c>
      <c r="G290" s="11">
        <v>5</v>
      </c>
      <c r="H290" s="11">
        <v>5</v>
      </c>
      <c r="I290" s="7"/>
      <c r="J290" s="7"/>
      <c r="K290" s="7"/>
      <c r="L290" s="7" t="s">
        <v>801</v>
      </c>
      <c r="M290" s="8" t="b">
        <v>0</v>
      </c>
      <c r="N290" s="8" t="b">
        <v>1</v>
      </c>
      <c r="O290" s="7" t="s">
        <v>871</v>
      </c>
      <c r="P290" s="7" t="s">
        <v>872</v>
      </c>
      <c r="Q290" s="8" t="b">
        <v>0</v>
      </c>
      <c r="R290" s="8" t="b">
        <v>0</v>
      </c>
      <c r="S290" s="7" t="s">
        <v>89</v>
      </c>
      <c r="T290" s="12"/>
      <c r="U290" s="28"/>
      <c r="V290" s="29">
        <v>1E-3</v>
      </c>
      <c r="W290" s="30" t="b">
        <v>1</v>
      </c>
      <c r="X290" s="28" t="s">
        <v>90</v>
      </c>
    </row>
    <row r="291" spans="1:24" ht="15">
      <c r="A291" s="7">
        <v>288</v>
      </c>
      <c r="B291" s="7">
        <v>171270</v>
      </c>
      <c r="C291" s="7" t="s">
        <v>908</v>
      </c>
      <c r="D291" s="7" t="s">
        <v>909</v>
      </c>
      <c r="E291" s="7" t="s">
        <v>49</v>
      </c>
      <c r="F291" s="7" t="s">
        <v>112</v>
      </c>
      <c r="G291" s="11">
        <v>4.5</v>
      </c>
      <c r="H291" s="11">
        <v>4.5</v>
      </c>
      <c r="I291" s="7"/>
      <c r="J291" s="7"/>
      <c r="K291" s="7"/>
      <c r="L291" s="7" t="s">
        <v>910</v>
      </c>
      <c r="M291" s="8" t="b">
        <v>0</v>
      </c>
      <c r="N291" s="8" t="b">
        <v>1</v>
      </c>
      <c r="O291" s="7" t="s">
        <v>871</v>
      </c>
      <c r="P291" s="7" t="s">
        <v>872</v>
      </c>
      <c r="Q291" s="8" t="b">
        <v>0</v>
      </c>
      <c r="R291" s="8" t="b">
        <v>0</v>
      </c>
      <c r="S291" s="7" t="s">
        <v>89</v>
      </c>
      <c r="T291" s="12"/>
      <c r="U291" s="28"/>
      <c r="V291" s="29">
        <v>5.0000000000000001E-3</v>
      </c>
      <c r="W291" s="30" t="b">
        <v>1</v>
      </c>
      <c r="X291" s="28" t="s">
        <v>90</v>
      </c>
    </row>
    <row r="292" spans="1:24" ht="15">
      <c r="A292" s="7">
        <v>289</v>
      </c>
      <c r="B292" s="7">
        <v>101282</v>
      </c>
      <c r="C292" s="7" t="s">
        <v>911</v>
      </c>
      <c r="D292" s="7" t="s">
        <v>912</v>
      </c>
      <c r="E292" s="7" t="s">
        <v>49</v>
      </c>
      <c r="F292" s="7" t="s">
        <v>112</v>
      </c>
      <c r="G292" s="11">
        <v>4.5</v>
      </c>
      <c r="H292" s="11">
        <v>4.5</v>
      </c>
      <c r="I292" s="7">
        <v>1</v>
      </c>
      <c r="J292" s="7"/>
      <c r="K292" s="7"/>
      <c r="L292" s="7" t="s">
        <v>913</v>
      </c>
      <c r="M292" s="8" t="b">
        <v>0</v>
      </c>
      <c r="N292" s="8" t="b">
        <v>1</v>
      </c>
      <c r="O292" s="7" t="s">
        <v>871</v>
      </c>
      <c r="P292" s="7" t="s">
        <v>872</v>
      </c>
      <c r="Q292" s="8" t="b">
        <v>0</v>
      </c>
      <c r="R292" s="8" t="b">
        <v>0</v>
      </c>
      <c r="S292" s="7" t="s">
        <v>89</v>
      </c>
      <c r="T292" s="12"/>
      <c r="U292" s="28"/>
      <c r="V292" s="29">
        <v>6.0000000000000001E-3</v>
      </c>
      <c r="W292" s="30" t="b">
        <v>1</v>
      </c>
      <c r="X292" s="28" t="s">
        <v>90</v>
      </c>
    </row>
    <row r="293" spans="1:24" ht="15">
      <c r="A293" s="7">
        <v>290</v>
      </c>
      <c r="B293" s="7">
        <v>243413</v>
      </c>
      <c r="C293" s="7" t="s">
        <v>914</v>
      </c>
      <c r="D293" s="7" t="s">
        <v>915</v>
      </c>
      <c r="E293" s="7" t="s">
        <v>49</v>
      </c>
      <c r="F293" s="7" t="s">
        <v>112</v>
      </c>
      <c r="G293" s="11">
        <v>4.5</v>
      </c>
      <c r="H293" s="11">
        <v>4.5</v>
      </c>
      <c r="I293" s="7"/>
      <c r="J293" s="7"/>
      <c r="K293" s="7">
        <v>6</v>
      </c>
      <c r="L293" s="7" t="s">
        <v>916</v>
      </c>
      <c r="M293" s="8" t="b">
        <v>0</v>
      </c>
      <c r="N293" s="8" t="b">
        <v>1</v>
      </c>
      <c r="O293" s="7" t="s">
        <v>871</v>
      </c>
      <c r="P293" s="7" t="s">
        <v>872</v>
      </c>
      <c r="Q293" s="8" t="b">
        <v>0</v>
      </c>
      <c r="R293" s="8" t="b">
        <v>0</v>
      </c>
      <c r="S293" s="7" t="s">
        <v>89</v>
      </c>
      <c r="T293" s="12"/>
      <c r="U293" s="28"/>
      <c r="V293" s="29">
        <v>1.8000000000000002E-2</v>
      </c>
      <c r="W293" s="30" t="b">
        <v>1</v>
      </c>
      <c r="X293" s="28" t="s">
        <v>90</v>
      </c>
    </row>
    <row r="294" spans="1:24" ht="15">
      <c r="A294" s="7">
        <v>291</v>
      </c>
      <c r="B294" s="7">
        <v>465525</v>
      </c>
      <c r="C294" s="7" t="s">
        <v>917</v>
      </c>
      <c r="D294" s="7" t="s">
        <v>918</v>
      </c>
      <c r="E294" s="7" t="s">
        <v>49</v>
      </c>
      <c r="F294" s="7" t="s">
        <v>112</v>
      </c>
      <c r="G294" s="11">
        <v>4.5</v>
      </c>
      <c r="H294" s="11">
        <v>4.5</v>
      </c>
      <c r="I294" s="7"/>
      <c r="J294" s="7"/>
      <c r="K294" s="7"/>
      <c r="L294" s="7" t="s">
        <v>919</v>
      </c>
      <c r="M294" s="8" t="b">
        <v>0</v>
      </c>
      <c r="N294" s="8" t="b">
        <v>1</v>
      </c>
      <c r="O294" s="7" t="s">
        <v>871</v>
      </c>
      <c r="P294" s="7" t="s">
        <v>872</v>
      </c>
      <c r="Q294" s="8" t="b">
        <v>0</v>
      </c>
      <c r="R294" s="8" t="b">
        <v>0</v>
      </c>
      <c r="S294" s="7" t="s">
        <v>104</v>
      </c>
      <c r="T294" s="12">
        <v>0</v>
      </c>
      <c r="U294" s="28" t="s">
        <v>238</v>
      </c>
      <c r="V294" s="29">
        <v>0</v>
      </c>
      <c r="W294" s="30" t="b">
        <v>1</v>
      </c>
      <c r="X294" s="28" t="s">
        <v>90</v>
      </c>
    </row>
    <row r="295" spans="1:24" ht="15">
      <c r="A295" s="7">
        <v>292</v>
      </c>
      <c r="B295" s="7">
        <v>208481</v>
      </c>
      <c r="C295" s="7" t="s">
        <v>920</v>
      </c>
      <c r="D295" s="7" t="s">
        <v>921</v>
      </c>
      <c r="E295" s="7" t="s">
        <v>49</v>
      </c>
      <c r="F295" s="7" t="s">
        <v>112</v>
      </c>
      <c r="G295" s="11">
        <v>5</v>
      </c>
      <c r="H295" s="11">
        <v>5</v>
      </c>
      <c r="I295" s="7"/>
      <c r="J295" s="7"/>
      <c r="K295" s="7"/>
      <c r="L295" s="7" t="s">
        <v>646</v>
      </c>
      <c r="M295" s="8" t="b">
        <v>0</v>
      </c>
      <c r="N295" s="8" t="b">
        <v>1</v>
      </c>
      <c r="O295" s="7" t="s">
        <v>871</v>
      </c>
      <c r="P295" s="7" t="s">
        <v>872</v>
      </c>
      <c r="Q295" s="8" t="b">
        <v>0</v>
      </c>
      <c r="R295" s="8" t="b">
        <v>0</v>
      </c>
      <c r="S295" s="7" t="s">
        <v>89</v>
      </c>
      <c r="T295" s="12"/>
      <c r="U295" s="28"/>
      <c r="V295" s="29">
        <v>0</v>
      </c>
      <c r="W295" s="30" t="b">
        <v>1</v>
      </c>
      <c r="X295" s="28" t="s">
        <v>90</v>
      </c>
    </row>
    <row r="296" spans="1:24" ht="15">
      <c r="A296" s="7">
        <v>293</v>
      </c>
      <c r="B296" s="7">
        <v>490161</v>
      </c>
      <c r="C296" s="7" t="s">
        <v>230</v>
      </c>
      <c r="D296" s="7" t="s">
        <v>922</v>
      </c>
      <c r="E296" s="7" t="s">
        <v>49</v>
      </c>
      <c r="F296" s="7" t="s">
        <v>112</v>
      </c>
      <c r="G296" s="11">
        <v>5</v>
      </c>
      <c r="H296" s="11">
        <v>5</v>
      </c>
      <c r="I296" s="7"/>
      <c r="J296" s="7"/>
      <c r="K296" s="7"/>
      <c r="L296" s="7" t="s">
        <v>742</v>
      </c>
      <c r="M296" s="8" t="b">
        <v>0</v>
      </c>
      <c r="N296" s="8" t="b">
        <v>1</v>
      </c>
      <c r="O296" s="7" t="s">
        <v>871</v>
      </c>
      <c r="P296" s="7" t="s">
        <v>872</v>
      </c>
      <c r="Q296" s="8" t="b">
        <v>0</v>
      </c>
      <c r="R296" s="8" t="b">
        <v>0</v>
      </c>
      <c r="S296" s="7" t="s">
        <v>89</v>
      </c>
      <c r="T296" s="12"/>
      <c r="U296" s="28"/>
      <c r="V296" s="29">
        <v>1E-3</v>
      </c>
      <c r="W296" s="30" t="b">
        <v>1</v>
      </c>
      <c r="X296" s="28" t="s">
        <v>90</v>
      </c>
    </row>
    <row r="297" spans="1:24" ht="15">
      <c r="A297" s="7">
        <v>294</v>
      </c>
      <c r="B297" s="7">
        <v>553783</v>
      </c>
      <c r="C297" s="7" t="s">
        <v>923</v>
      </c>
      <c r="D297" s="7" t="s">
        <v>924</v>
      </c>
      <c r="E297" s="7" t="s">
        <v>49</v>
      </c>
      <c r="F297" s="7" t="s">
        <v>112</v>
      </c>
      <c r="G297" s="11">
        <v>4.5</v>
      </c>
      <c r="H297" s="11">
        <v>4.5</v>
      </c>
      <c r="I297" s="7"/>
      <c r="J297" s="7"/>
      <c r="K297" s="7"/>
      <c r="L297" s="7" t="s">
        <v>508</v>
      </c>
      <c r="M297" s="8" t="b">
        <v>1</v>
      </c>
      <c r="N297" s="8" t="b">
        <v>1</v>
      </c>
      <c r="O297" s="7" t="s">
        <v>871</v>
      </c>
      <c r="P297" s="7" t="s">
        <v>872</v>
      </c>
      <c r="Q297" s="8" t="b">
        <v>0</v>
      </c>
      <c r="R297" s="8" t="b">
        <v>0</v>
      </c>
      <c r="S297" s="7" t="s">
        <v>89</v>
      </c>
      <c r="T297" s="12"/>
      <c r="U297" s="28"/>
      <c r="V297" s="29">
        <v>6.0000000000000001E-3</v>
      </c>
      <c r="W297" s="30" t="b">
        <v>1</v>
      </c>
      <c r="X297" s="28" t="s">
        <v>90</v>
      </c>
    </row>
    <row r="298" spans="1:24" ht="15">
      <c r="A298" s="7">
        <v>295</v>
      </c>
      <c r="B298" s="7">
        <v>169432</v>
      </c>
      <c r="C298" s="7" t="s">
        <v>925</v>
      </c>
      <c r="D298" s="7" t="s">
        <v>926</v>
      </c>
      <c r="E298" s="7" t="s">
        <v>49</v>
      </c>
      <c r="F298" s="7" t="s">
        <v>167</v>
      </c>
      <c r="G298" s="11">
        <v>5.5</v>
      </c>
      <c r="H298" s="11">
        <v>5.5</v>
      </c>
      <c r="I298" s="7">
        <v>2</v>
      </c>
      <c r="J298" s="7"/>
      <c r="K298" s="7"/>
      <c r="L298" s="7" t="s">
        <v>780</v>
      </c>
      <c r="M298" s="8" t="b">
        <v>0</v>
      </c>
      <c r="N298" s="8" t="b">
        <v>1</v>
      </c>
      <c r="O298" s="7" t="s">
        <v>871</v>
      </c>
      <c r="P298" s="7" t="s">
        <v>872</v>
      </c>
      <c r="Q298" s="8" t="b">
        <v>0</v>
      </c>
      <c r="R298" s="8" t="b">
        <v>0</v>
      </c>
      <c r="S298" s="7" t="s">
        <v>89</v>
      </c>
      <c r="T298" s="12"/>
      <c r="U298" s="28"/>
      <c r="V298" s="29">
        <v>1.9E-2</v>
      </c>
      <c r="W298" s="30" t="b">
        <v>1</v>
      </c>
      <c r="X298" s="28" t="s">
        <v>90</v>
      </c>
    </row>
    <row r="299" spans="1:24" ht="15">
      <c r="A299" s="7">
        <v>296</v>
      </c>
      <c r="B299" s="7">
        <v>213292</v>
      </c>
      <c r="C299" s="7" t="s">
        <v>927</v>
      </c>
      <c r="D299" s="7" t="s">
        <v>928</v>
      </c>
      <c r="E299" s="7" t="s">
        <v>49</v>
      </c>
      <c r="F299" s="7" t="s">
        <v>112</v>
      </c>
      <c r="G299" s="11">
        <v>5</v>
      </c>
      <c r="H299" s="11">
        <v>5</v>
      </c>
      <c r="I299" s="7"/>
      <c r="J299" s="7"/>
      <c r="K299" s="7"/>
      <c r="L299" s="7" t="s">
        <v>758</v>
      </c>
      <c r="M299" s="8" t="b">
        <v>0</v>
      </c>
      <c r="N299" s="8" t="b">
        <v>1</v>
      </c>
      <c r="O299" s="7" t="s">
        <v>871</v>
      </c>
      <c r="P299" s="7" t="s">
        <v>872</v>
      </c>
      <c r="Q299" s="8" t="b">
        <v>0</v>
      </c>
      <c r="R299" s="8" t="b">
        <v>0</v>
      </c>
      <c r="S299" s="7" t="s">
        <v>89</v>
      </c>
      <c r="T299" s="12"/>
      <c r="U299" s="28"/>
      <c r="V299" s="29">
        <v>0</v>
      </c>
      <c r="W299" s="30" t="b">
        <v>1</v>
      </c>
      <c r="X299" s="28" t="s">
        <v>90</v>
      </c>
    </row>
    <row r="300" spans="1:24" ht="15">
      <c r="A300" s="7">
        <v>297</v>
      </c>
      <c r="B300" s="7">
        <v>470294</v>
      </c>
      <c r="C300" s="7" t="s">
        <v>929</v>
      </c>
      <c r="D300" s="7" t="s">
        <v>930</v>
      </c>
      <c r="E300" s="7" t="s">
        <v>49</v>
      </c>
      <c r="F300" s="7" t="s">
        <v>112</v>
      </c>
      <c r="G300" s="11">
        <v>4.5</v>
      </c>
      <c r="H300" s="11">
        <v>4.5</v>
      </c>
      <c r="I300" s="7"/>
      <c r="J300" s="7"/>
      <c r="K300" s="7"/>
      <c r="L300" s="7" t="s">
        <v>209</v>
      </c>
      <c r="M300" s="8" t="b">
        <v>0</v>
      </c>
      <c r="N300" s="8" t="b">
        <v>1</v>
      </c>
      <c r="O300" s="7" t="s">
        <v>871</v>
      </c>
      <c r="P300" s="7" t="s">
        <v>872</v>
      </c>
      <c r="Q300" s="8" t="b">
        <v>0</v>
      </c>
      <c r="R300" s="8" t="b">
        <v>0</v>
      </c>
      <c r="S300" s="7" t="s">
        <v>89</v>
      </c>
      <c r="T300" s="12"/>
      <c r="U300" s="28"/>
      <c r="V300" s="29">
        <v>2E-3</v>
      </c>
      <c r="W300" s="30" t="b">
        <v>1</v>
      </c>
      <c r="X300" s="28" t="s">
        <v>90</v>
      </c>
    </row>
    <row r="301" spans="1:24" ht="15">
      <c r="A301" s="7">
        <v>298</v>
      </c>
      <c r="B301" s="7">
        <v>500957</v>
      </c>
      <c r="C301" s="7" t="s">
        <v>931</v>
      </c>
      <c r="D301" s="7" t="s">
        <v>932</v>
      </c>
      <c r="E301" s="7" t="s">
        <v>49</v>
      </c>
      <c r="F301" s="7" t="s">
        <v>167</v>
      </c>
      <c r="G301" s="11">
        <v>4.5</v>
      </c>
      <c r="H301" s="11">
        <v>4.5</v>
      </c>
      <c r="I301" s="7"/>
      <c r="J301" s="7"/>
      <c r="K301" s="7"/>
      <c r="L301" s="7" t="s">
        <v>933</v>
      </c>
      <c r="M301" s="8" t="b">
        <v>0</v>
      </c>
      <c r="N301" s="8" t="b">
        <v>1</v>
      </c>
      <c r="O301" s="7" t="s">
        <v>871</v>
      </c>
      <c r="P301" s="7" t="s">
        <v>872</v>
      </c>
      <c r="Q301" s="8" t="b">
        <v>0</v>
      </c>
      <c r="R301" s="8" t="b">
        <v>0</v>
      </c>
      <c r="S301" s="7" t="s">
        <v>89</v>
      </c>
      <c r="T301" s="12"/>
      <c r="U301" s="28"/>
      <c r="V301" s="29">
        <v>2.6000000000000002E-2</v>
      </c>
      <c r="W301" s="30" t="b">
        <v>1</v>
      </c>
      <c r="X301" s="28" t="s">
        <v>90</v>
      </c>
    </row>
    <row r="302" spans="1:24" ht="30">
      <c r="A302" s="7">
        <v>299</v>
      </c>
      <c r="B302" s="7">
        <v>534392</v>
      </c>
      <c r="C302" s="7" t="s">
        <v>934</v>
      </c>
      <c r="D302" s="7" t="s">
        <v>935</v>
      </c>
      <c r="E302" s="7" t="s">
        <v>49</v>
      </c>
      <c r="F302" s="7" t="s">
        <v>167</v>
      </c>
      <c r="G302" s="11">
        <v>4.5</v>
      </c>
      <c r="H302" s="11">
        <v>4.5</v>
      </c>
      <c r="I302" s="7"/>
      <c r="J302" s="7"/>
      <c r="K302" s="7"/>
      <c r="L302" s="7" t="s">
        <v>333</v>
      </c>
      <c r="M302" s="8" t="b">
        <v>0</v>
      </c>
      <c r="N302" s="8" t="b">
        <v>1</v>
      </c>
      <c r="O302" s="7" t="s">
        <v>871</v>
      </c>
      <c r="P302" s="7" t="s">
        <v>872</v>
      </c>
      <c r="Q302" s="8" t="b">
        <v>0</v>
      </c>
      <c r="R302" s="8" t="b">
        <v>0</v>
      </c>
      <c r="S302" s="7" t="s">
        <v>400</v>
      </c>
      <c r="T302" s="12">
        <v>0</v>
      </c>
      <c r="U302" s="28" t="s">
        <v>936</v>
      </c>
      <c r="V302" s="29">
        <v>0.01</v>
      </c>
      <c r="W302" s="30" t="b">
        <v>0</v>
      </c>
      <c r="X302" s="28" t="s">
        <v>90</v>
      </c>
    </row>
    <row r="303" spans="1:24" ht="15">
      <c r="A303" s="7">
        <v>556</v>
      </c>
      <c r="B303" s="7">
        <v>169359</v>
      </c>
      <c r="C303" s="7" t="s">
        <v>937</v>
      </c>
      <c r="D303" s="7" t="s">
        <v>938</v>
      </c>
      <c r="E303" s="7" t="s">
        <v>49</v>
      </c>
      <c r="F303" s="7" t="s">
        <v>99</v>
      </c>
      <c r="G303" s="11">
        <v>4</v>
      </c>
      <c r="H303" s="11">
        <v>4</v>
      </c>
      <c r="I303" s="7"/>
      <c r="J303" s="7"/>
      <c r="K303" s="7"/>
      <c r="L303" s="7" t="s">
        <v>177</v>
      </c>
      <c r="M303" s="8" t="b">
        <v>1</v>
      </c>
      <c r="N303" s="8" t="b">
        <v>1</v>
      </c>
      <c r="O303" s="7" t="s">
        <v>871</v>
      </c>
      <c r="P303" s="7" t="s">
        <v>872</v>
      </c>
      <c r="Q303" s="8" t="b">
        <v>0</v>
      </c>
      <c r="R303" s="8" t="b">
        <v>0</v>
      </c>
      <c r="S303" s="7" t="s">
        <v>89</v>
      </c>
      <c r="T303" s="12"/>
      <c r="U303" s="28"/>
      <c r="V303" s="29">
        <v>2.4E-2</v>
      </c>
      <c r="W303" s="30" t="b">
        <v>1</v>
      </c>
      <c r="X303" s="28" t="s">
        <v>90</v>
      </c>
    </row>
    <row r="304" spans="1:24" ht="15">
      <c r="A304" s="7">
        <v>563</v>
      </c>
      <c r="B304" s="7">
        <v>445028</v>
      </c>
      <c r="C304" s="7" t="s">
        <v>939</v>
      </c>
      <c r="D304" s="7" t="s">
        <v>940</v>
      </c>
      <c r="E304" s="7" t="s">
        <v>49</v>
      </c>
      <c r="F304" s="7" t="s">
        <v>112</v>
      </c>
      <c r="G304" s="11">
        <v>5</v>
      </c>
      <c r="H304" s="11">
        <v>5</v>
      </c>
      <c r="I304" s="7"/>
      <c r="J304" s="7"/>
      <c r="K304" s="7"/>
      <c r="L304" s="7" t="s">
        <v>941</v>
      </c>
      <c r="M304" s="8" t="b">
        <v>1</v>
      </c>
      <c r="N304" s="8" t="b">
        <v>1</v>
      </c>
      <c r="O304" s="7" t="s">
        <v>871</v>
      </c>
      <c r="P304" s="7" t="s">
        <v>872</v>
      </c>
      <c r="Q304" s="8" t="b">
        <v>0</v>
      </c>
      <c r="R304" s="8" t="b">
        <v>0</v>
      </c>
      <c r="S304" s="7" t="s">
        <v>89</v>
      </c>
      <c r="T304" s="12"/>
      <c r="U304" s="28"/>
      <c r="V304" s="29">
        <v>1E-3</v>
      </c>
      <c r="W304" s="30" t="b">
        <v>1</v>
      </c>
      <c r="X304" s="28" t="s">
        <v>90</v>
      </c>
    </row>
    <row r="305" spans="1:24" ht="15">
      <c r="A305" s="7">
        <v>259</v>
      </c>
      <c r="B305" s="7">
        <v>219924</v>
      </c>
      <c r="C305" s="7" t="s">
        <v>942</v>
      </c>
      <c r="D305" s="7" t="s">
        <v>943</v>
      </c>
      <c r="E305" s="7" t="s">
        <v>50</v>
      </c>
      <c r="F305" s="7" t="s">
        <v>99</v>
      </c>
      <c r="G305" s="11">
        <v>4</v>
      </c>
      <c r="H305" s="11">
        <v>4</v>
      </c>
      <c r="I305" s="7"/>
      <c r="J305" s="7"/>
      <c r="K305" s="7"/>
      <c r="L305" s="7" t="s">
        <v>944</v>
      </c>
      <c r="M305" s="8" t="b">
        <v>1</v>
      </c>
      <c r="N305" s="8" t="b">
        <v>1</v>
      </c>
      <c r="O305" s="7" t="s">
        <v>945</v>
      </c>
      <c r="P305" s="7" t="s">
        <v>946</v>
      </c>
      <c r="Q305" s="8" t="b">
        <v>1</v>
      </c>
      <c r="R305" s="8" t="b">
        <v>1</v>
      </c>
      <c r="S305" s="7" t="s">
        <v>89</v>
      </c>
      <c r="T305" s="12"/>
      <c r="U305" s="28"/>
      <c r="V305" s="29">
        <v>0.2</v>
      </c>
      <c r="W305" s="30" t="b">
        <v>1</v>
      </c>
      <c r="X305" s="28" t="s">
        <v>90</v>
      </c>
    </row>
    <row r="306" spans="1:24" ht="15">
      <c r="A306" s="7">
        <v>300</v>
      </c>
      <c r="B306" s="7">
        <v>108813</v>
      </c>
      <c r="C306" s="7" t="s">
        <v>947</v>
      </c>
      <c r="D306" s="7" t="s">
        <v>948</v>
      </c>
      <c r="E306" s="7" t="s">
        <v>50</v>
      </c>
      <c r="F306" s="7" t="s">
        <v>85</v>
      </c>
      <c r="G306" s="11">
        <v>4.5</v>
      </c>
      <c r="H306" s="11">
        <v>4.5</v>
      </c>
      <c r="I306" s="7"/>
      <c r="J306" s="7"/>
      <c r="K306" s="7"/>
      <c r="L306" s="7" t="s">
        <v>949</v>
      </c>
      <c r="M306" s="8" t="b">
        <v>0</v>
      </c>
      <c r="N306" s="8" t="b">
        <v>1</v>
      </c>
      <c r="O306" s="7" t="s">
        <v>945</v>
      </c>
      <c r="P306" s="7" t="s">
        <v>946</v>
      </c>
      <c r="Q306" s="8" t="b">
        <v>1</v>
      </c>
      <c r="R306" s="8" t="b">
        <v>1</v>
      </c>
      <c r="S306" s="7" t="s">
        <v>89</v>
      </c>
      <c r="T306" s="12"/>
      <c r="U306" s="28"/>
      <c r="V306" s="29">
        <v>6.0000000000000001E-3</v>
      </c>
      <c r="W306" s="30" t="b">
        <v>1</v>
      </c>
      <c r="X306" s="28" t="s">
        <v>90</v>
      </c>
    </row>
    <row r="307" spans="1:24" ht="15">
      <c r="A307" s="7">
        <v>301</v>
      </c>
      <c r="B307" s="7">
        <v>112520</v>
      </c>
      <c r="C307" s="7" t="s">
        <v>553</v>
      </c>
      <c r="D307" s="7" t="s">
        <v>950</v>
      </c>
      <c r="E307" s="7" t="s">
        <v>50</v>
      </c>
      <c r="F307" s="7" t="s">
        <v>85</v>
      </c>
      <c r="G307" s="11">
        <v>4</v>
      </c>
      <c r="H307" s="11">
        <v>4</v>
      </c>
      <c r="I307" s="7"/>
      <c r="J307" s="7"/>
      <c r="K307" s="7"/>
      <c r="L307" s="7" t="s">
        <v>494</v>
      </c>
      <c r="M307" s="8" t="b">
        <v>0</v>
      </c>
      <c r="N307" s="8" t="b">
        <v>1</v>
      </c>
      <c r="O307" s="7" t="s">
        <v>945</v>
      </c>
      <c r="P307" s="7" t="s">
        <v>946</v>
      </c>
      <c r="Q307" s="8" t="b">
        <v>1</v>
      </c>
      <c r="R307" s="8" t="b">
        <v>1</v>
      </c>
      <c r="S307" s="7" t="s">
        <v>89</v>
      </c>
      <c r="T307" s="12"/>
      <c r="U307" s="28"/>
      <c r="V307" s="29">
        <v>5.7999999999999996E-2</v>
      </c>
      <c r="W307" s="30" t="b">
        <v>1</v>
      </c>
      <c r="X307" s="28" t="s">
        <v>90</v>
      </c>
    </row>
    <row r="308" spans="1:24" ht="15">
      <c r="A308" s="7">
        <v>302</v>
      </c>
      <c r="B308" s="7">
        <v>50093</v>
      </c>
      <c r="C308" s="7" t="s">
        <v>951</v>
      </c>
      <c r="D308" s="7" t="s">
        <v>952</v>
      </c>
      <c r="E308" s="7" t="s">
        <v>50</v>
      </c>
      <c r="F308" s="7" t="s">
        <v>85</v>
      </c>
      <c r="G308" s="11">
        <v>4</v>
      </c>
      <c r="H308" s="11">
        <v>4</v>
      </c>
      <c r="I308" s="7"/>
      <c r="J308" s="7"/>
      <c r="K308" s="7"/>
      <c r="L308" s="7" t="s">
        <v>953</v>
      </c>
      <c r="M308" s="8" t="b">
        <v>0</v>
      </c>
      <c r="N308" s="8" t="b">
        <v>1</v>
      </c>
      <c r="O308" s="7" t="s">
        <v>945</v>
      </c>
      <c r="P308" s="7" t="s">
        <v>946</v>
      </c>
      <c r="Q308" s="8" t="b">
        <v>1</v>
      </c>
      <c r="R308" s="8" t="b">
        <v>1</v>
      </c>
      <c r="S308" s="7" t="s">
        <v>89</v>
      </c>
      <c r="T308" s="12"/>
      <c r="U308" s="28"/>
      <c r="V308" s="29">
        <v>6.0000000000000001E-3</v>
      </c>
      <c r="W308" s="30" t="b">
        <v>1</v>
      </c>
      <c r="X308" s="28" t="s">
        <v>90</v>
      </c>
    </row>
    <row r="309" spans="1:24" ht="15">
      <c r="A309" s="7">
        <v>303</v>
      </c>
      <c r="B309" s="7">
        <v>183015</v>
      </c>
      <c r="C309" s="7" t="s">
        <v>954</v>
      </c>
      <c r="D309" s="7" t="s">
        <v>955</v>
      </c>
      <c r="E309" s="7" t="s">
        <v>50</v>
      </c>
      <c r="F309" s="7" t="s">
        <v>99</v>
      </c>
      <c r="G309" s="11">
        <v>4</v>
      </c>
      <c r="H309" s="11">
        <v>4</v>
      </c>
      <c r="I309" s="7"/>
      <c r="J309" s="7"/>
      <c r="K309" s="7"/>
      <c r="L309" s="7" t="s">
        <v>119</v>
      </c>
      <c r="M309" s="8" t="b">
        <v>1</v>
      </c>
      <c r="N309" s="8" t="b">
        <v>1</v>
      </c>
      <c r="O309" s="7" t="s">
        <v>945</v>
      </c>
      <c r="P309" s="7" t="s">
        <v>946</v>
      </c>
      <c r="Q309" s="8" t="b">
        <v>1</v>
      </c>
      <c r="R309" s="8" t="b">
        <v>1</v>
      </c>
      <c r="S309" s="7" t="s">
        <v>89</v>
      </c>
      <c r="T309" s="12"/>
      <c r="U309" s="28"/>
      <c r="V309" s="29">
        <v>3.0000000000000001E-3</v>
      </c>
      <c r="W309" s="30" t="b">
        <v>1</v>
      </c>
      <c r="X309" s="28" t="s">
        <v>90</v>
      </c>
    </row>
    <row r="310" spans="1:24" ht="15">
      <c r="A310" s="7">
        <v>304</v>
      </c>
      <c r="B310" s="7">
        <v>216616</v>
      </c>
      <c r="C310" s="7" t="s">
        <v>956</v>
      </c>
      <c r="D310" s="7" t="s">
        <v>957</v>
      </c>
      <c r="E310" s="7" t="s">
        <v>50</v>
      </c>
      <c r="F310" s="7" t="s">
        <v>99</v>
      </c>
      <c r="G310" s="11">
        <v>4</v>
      </c>
      <c r="H310" s="11">
        <v>4</v>
      </c>
      <c r="I310" s="7"/>
      <c r="J310" s="7"/>
      <c r="K310" s="7"/>
      <c r="L310" s="7" t="s">
        <v>958</v>
      </c>
      <c r="M310" s="8" t="b">
        <v>0</v>
      </c>
      <c r="N310" s="8" t="b">
        <v>1</v>
      </c>
      <c r="O310" s="7" t="s">
        <v>945</v>
      </c>
      <c r="P310" s="7" t="s">
        <v>946</v>
      </c>
      <c r="Q310" s="8" t="b">
        <v>1</v>
      </c>
      <c r="R310" s="8" t="b">
        <v>1</v>
      </c>
      <c r="S310" s="7" t="s">
        <v>89</v>
      </c>
      <c r="T310" s="12"/>
      <c r="U310" s="28"/>
      <c r="V310" s="29">
        <v>1.3000000000000001E-2</v>
      </c>
      <c r="W310" s="30" t="b">
        <v>1</v>
      </c>
      <c r="X310" s="28" t="s">
        <v>90</v>
      </c>
    </row>
    <row r="311" spans="1:24" ht="15">
      <c r="A311" s="7">
        <v>305</v>
      </c>
      <c r="B311" s="7">
        <v>455084</v>
      </c>
      <c r="C311" s="7" t="s">
        <v>959</v>
      </c>
      <c r="D311" s="7" t="s">
        <v>960</v>
      </c>
      <c r="E311" s="7" t="s">
        <v>50</v>
      </c>
      <c r="F311" s="7" t="s">
        <v>99</v>
      </c>
      <c r="G311" s="11">
        <v>4</v>
      </c>
      <c r="H311" s="11">
        <v>4</v>
      </c>
      <c r="I311" s="7"/>
      <c r="J311" s="7">
        <v>2</v>
      </c>
      <c r="K311" s="7">
        <v>6</v>
      </c>
      <c r="L311" s="7" t="s">
        <v>961</v>
      </c>
      <c r="M311" s="8" t="b">
        <v>0</v>
      </c>
      <c r="N311" s="8" t="b">
        <v>1</v>
      </c>
      <c r="O311" s="7" t="s">
        <v>945</v>
      </c>
      <c r="P311" s="7" t="s">
        <v>946</v>
      </c>
      <c r="Q311" s="8" t="b">
        <v>1</v>
      </c>
      <c r="R311" s="8" t="b">
        <v>1</v>
      </c>
      <c r="S311" s="7" t="s">
        <v>89</v>
      </c>
      <c r="T311" s="12"/>
      <c r="U311" s="28"/>
      <c r="V311" s="29">
        <v>3.5000000000000003E-2</v>
      </c>
      <c r="W311" s="30" t="b">
        <v>1</v>
      </c>
      <c r="X311" s="28" t="s">
        <v>90</v>
      </c>
    </row>
    <row r="312" spans="1:24" ht="15">
      <c r="A312" s="7">
        <v>306</v>
      </c>
      <c r="B312" s="7">
        <v>449429</v>
      </c>
      <c r="C312" s="7" t="s">
        <v>962</v>
      </c>
      <c r="D312" s="7" t="s">
        <v>963</v>
      </c>
      <c r="E312" s="7" t="s">
        <v>50</v>
      </c>
      <c r="F312" s="7" t="s">
        <v>99</v>
      </c>
      <c r="G312" s="11">
        <v>4</v>
      </c>
      <c r="H312" s="11">
        <v>4</v>
      </c>
      <c r="I312" s="7"/>
      <c r="J312" s="7"/>
      <c r="K312" s="7"/>
      <c r="L312" s="7" t="s">
        <v>964</v>
      </c>
      <c r="M312" s="8" t="b">
        <v>0</v>
      </c>
      <c r="N312" s="8" t="b">
        <v>1</v>
      </c>
      <c r="O312" s="7" t="s">
        <v>945</v>
      </c>
      <c r="P312" s="7" t="s">
        <v>946</v>
      </c>
      <c r="Q312" s="8" t="b">
        <v>1</v>
      </c>
      <c r="R312" s="8" t="b">
        <v>1</v>
      </c>
      <c r="S312" s="7" t="s">
        <v>89</v>
      </c>
      <c r="T312" s="12"/>
      <c r="U312" s="28"/>
      <c r="V312" s="29">
        <v>5.0000000000000001E-3</v>
      </c>
      <c r="W312" s="30" t="b">
        <v>1</v>
      </c>
      <c r="X312" s="28" t="s">
        <v>90</v>
      </c>
    </row>
    <row r="313" spans="1:24" ht="15">
      <c r="A313" s="7">
        <v>307</v>
      </c>
      <c r="B313" s="7">
        <v>222018</v>
      </c>
      <c r="C313" s="7" t="s">
        <v>700</v>
      </c>
      <c r="D313" s="7" t="s">
        <v>965</v>
      </c>
      <c r="E313" s="7" t="s">
        <v>50</v>
      </c>
      <c r="F313" s="7" t="s">
        <v>99</v>
      </c>
      <c r="G313" s="11">
        <v>4</v>
      </c>
      <c r="H313" s="11">
        <v>4</v>
      </c>
      <c r="I313" s="7"/>
      <c r="J313" s="7"/>
      <c r="K313" s="7"/>
      <c r="L313" s="7" t="s">
        <v>229</v>
      </c>
      <c r="M313" s="8" t="b">
        <v>0</v>
      </c>
      <c r="N313" s="8" t="b">
        <v>1</v>
      </c>
      <c r="O313" s="7" t="s">
        <v>945</v>
      </c>
      <c r="P313" s="7" t="s">
        <v>946</v>
      </c>
      <c r="Q313" s="8" t="b">
        <v>1</v>
      </c>
      <c r="R313" s="8" t="b">
        <v>1</v>
      </c>
      <c r="S313" s="7" t="s">
        <v>89</v>
      </c>
      <c r="T313" s="12"/>
      <c r="U313" s="28"/>
      <c r="V313" s="29">
        <v>1E-3</v>
      </c>
      <c r="W313" s="30" t="b">
        <v>1</v>
      </c>
      <c r="X313" s="28" t="s">
        <v>90</v>
      </c>
    </row>
    <row r="314" spans="1:24" ht="15">
      <c r="A314" s="7">
        <v>308</v>
      </c>
      <c r="B314" s="7">
        <v>176420</v>
      </c>
      <c r="C314" s="7" t="s">
        <v>966</v>
      </c>
      <c r="D314" s="7" t="s">
        <v>967</v>
      </c>
      <c r="E314" s="7" t="s">
        <v>50</v>
      </c>
      <c r="F314" s="7" t="s">
        <v>99</v>
      </c>
      <c r="G314" s="11">
        <v>4</v>
      </c>
      <c r="H314" s="11">
        <v>4</v>
      </c>
      <c r="I314" s="7"/>
      <c r="J314" s="7"/>
      <c r="K314" s="7"/>
      <c r="L314" s="7" t="s">
        <v>968</v>
      </c>
      <c r="M314" s="8" t="b">
        <v>0</v>
      </c>
      <c r="N314" s="8" t="b">
        <v>1</v>
      </c>
      <c r="O314" s="7" t="s">
        <v>945</v>
      </c>
      <c r="P314" s="7" t="s">
        <v>946</v>
      </c>
      <c r="Q314" s="8" t="b">
        <v>1</v>
      </c>
      <c r="R314" s="8" t="b">
        <v>1</v>
      </c>
      <c r="S314" s="7" t="s">
        <v>89</v>
      </c>
      <c r="T314" s="12"/>
      <c r="U314" s="28"/>
      <c r="V314" s="29">
        <v>3.0000000000000001E-3</v>
      </c>
      <c r="W314" s="30" t="b">
        <v>1</v>
      </c>
      <c r="X314" s="28" t="s">
        <v>90</v>
      </c>
    </row>
    <row r="315" spans="1:24" ht="15">
      <c r="A315" s="7">
        <v>309</v>
      </c>
      <c r="B315" s="7">
        <v>501390</v>
      </c>
      <c r="C315" s="7" t="s">
        <v>969</v>
      </c>
      <c r="D315" s="7" t="s">
        <v>970</v>
      </c>
      <c r="E315" s="7" t="s">
        <v>50</v>
      </c>
      <c r="F315" s="7" t="s">
        <v>112</v>
      </c>
      <c r="G315" s="11">
        <v>5</v>
      </c>
      <c r="H315" s="11">
        <v>5</v>
      </c>
      <c r="I315" s="7"/>
      <c r="J315" s="7">
        <v>1</v>
      </c>
      <c r="K315" s="7">
        <v>7</v>
      </c>
      <c r="L315" s="7" t="s">
        <v>707</v>
      </c>
      <c r="M315" s="8" t="b">
        <v>0</v>
      </c>
      <c r="N315" s="8" t="b">
        <v>1</v>
      </c>
      <c r="O315" s="7" t="s">
        <v>945</v>
      </c>
      <c r="P315" s="7" t="s">
        <v>946</v>
      </c>
      <c r="Q315" s="8" t="b">
        <v>1</v>
      </c>
      <c r="R315" s="8" t="b">
        <v>1</v>
      </c>
      <c r="S315" s="7" t="s">
        <v>89</v>
      </c>
      <c r="T315" s="12"/>
      <c r="U315" s="28"/>
      <c r="V315" s="29">
        <v>2E-3</v>
      </c>
      <c r="W315" s="30" t="b">
        <v>1</v>
      </c>
      <c r="X315" s="28" t="s">
        <v>90</v>
      </c>
    </row>
    <row r="316" spans="1:24" ht="15">
      <c r="A316" s="7">
        <v>310</v>
      </c>
      <c r="B316" s="7">
        <v>241117</v>
      </c>
      <c r="C316" s="7" t="s">
        <v>971</v>
      </c>
      <c r="D316" s="7" t="s">
        <v>972</v>
      </c>
      <c r="E316" s="7" t="s">
        <v>50</v>
      </c>
      <c r="F316" s="7" t="s">
        <v>112</v>
      </c>
      <c r="G316" s="11">
        <v>5</v>
      </c>
      <c r="H316" s="11">
        <v>5</v>
      </c>
      <c r="I316" s="7"/>
      <c r="J316" s="7"/>
      <c r="K316" s="7"/>
      <c r="L316" s="7" t="s">
        <v>973</v>
      </c>
      <c r="M316" s="8" t="b">
        <v>0</v>
      </c>
      <c r="N316" s="8" t="b">
        <v>1</v>
      </c>
      <c r="O316" s="7" t="s">
        <v>945</v>
      </c>
      <c r="P316" s="7" t="s">
        <v>946</v>
      </c>
      <c r="Q316" s="8" t="b">
        <v>1</v>
      </c>
      <c r="R316" s="8" t="b">
        <v>1</v>
      </c>
      <c r="S316" s="7" t="s">
        <v>104</v>
      </c>
      <c r="T316" s="12">
        <v>0</v>
      </c>
      <c r="U316" s="28" t="s">
        <v>974</v>
      </c>
      <c r="V316" s="29">
        <v>1E-3</v>
      </c>
      <c r="W316" s="30" t="b">
        <v>1</v>
      </c>
      <c r="X316" s="28" t="s">
        <v>90</v>
      </c>
    </row>
    <row r="317" spans="1:24" ht="15">
      <c r="A317" s="7">
        <v>311</v>
      </c>
      <c r="B317" s="7">
        <v>149929</v>
      </c>
      <c r="C317" s="7" t="s">
        <v>975</v>
      </c>
      <c r="D317" s="7" t="s">
        <v>976</v>
      </c>
      <c r="E317" s="7" t="s">
        <v>50</v>
      </c>
      <c r="F317" s="7" t="s">
        <v>112</v>
      </c>
      <c r="G317" s="11">
        <v>5</v>
      </c>
      <c r="H317" s="11">
        <v>5</v>
      </c>
      <c r="I317" s="7"/>
      <c r="J317" s="7"/>
      <c r="K317" s="7"/>
      <c r="L317" s="7" t="s">
        <v>977</v>
      </c>
      <c r="M317" s="8" t="b">
        <v>0</v>
      </c>
      <c r="N317" s="8" t="b">
        <v>1</v>
      </c>
      <c r="O317" s="7" t="s">
        <v>945</v>
      </c>
      <c r="P317" s="7" t="s">
        <v>946</v>
      </c>
      <c r="Q317" s="8" t="b">
        <v>1</v>
      </c>
      <c r="R317" s="8" t="b">
        <v>1</v>
      </c>
      <c r="S317" s="7" t="s">
        <v>89</v>
      </c>
      <c r="T317" s="12"/>
      <c r="U317" s="28"/>
      <c r="V317" s="29">
        <v>1E-3</v>
      </c>
      <c r="W317" s="30" t="b">
        <v>1</v>
      </c>
      <c r="X317" s="28" t="s">
        <v>90</v>
      </c>
    </row>
    <row r="318" spans="1:24" ht="15">
      <c r="A318" s="7">
        <v>312</v>
      </c>
      <c r="B318" s="7">
        <v>231899</v>
      </c>
      <c r="C318" s="7" t="s">
        <v>978</v>
      </c>
      <c r="D318" s="7" t="s">
        <v>979</v>
      </c>
      <c r="E318" s="7" t="s">
        <v>50</v>
      </c>
      <c r="F318" s="7" t="s">
        <v>112</v>
      </c>
      <c r="G318" s="11">
        <v>4.5</v>
      </c>
      <c r="H318" s="11">
        <v>4.5</v>
      </c>
      <c r="I318" s="7"/>
      <c r="J318" s="7"/>
      <c r="K318" s="7"/>
      <c r="L318" s="7" t="s">
        <v>980</v>
      </c>
      <c r="M318" s="8" t="b">
        <v>0</v>
      </c>
      <c r="N318" s="8" t="b">
        <v>1</v>
      </c>
      <c r="O318" s="7" t="s">
        <v>945</v>
      </c>
      <c r="P318" s="7" t="s">
        <v>946</v>
      </c>
      <c r="Q318" s="8" t="b">
        <v>1</v>
      </c>
      <c r="R318" s="8" t="b">
        <v>1</v>
      </c>
      <c r="S318" s="7" t="s">
        <v>104</v>
      </c>
      <c r="T318" s="12">
        <v>0</v>
      </c>
      <c r="U318" s="28" t="s">
        <v>238</v>
      </c>
      <c r="V318" s="29">
        <v>3.0000000000000001E-3</v>
      </c>
      <c r="W318" s="30" t="b">
        <v>1</v>
      </c>
      <c r="X318" s="28" t="s">
        <v>90</v>
      </c>
    </row>
    <row r="319" spans="1:24" ht="15">
      <c r="A319" s="7">
        <v>313</v>
      </c>
      <c r="B319" s="7">
        <v>443261</v>
      </c>
      <c r="C319" s="7" t="s">
        <v>981</v>
      </c>
      <c r="D319" s="7" t="s">
        <v>982</v>
      </c>
      <c r="E319" s="7" t="s">
        <v>50</v>
      </c>
      <c r="F319" s="7" t="s">
        <v>112</v>
      </c>
      <c r="G319" s="11">
        <v>5.5</v>
      </c>
      <c r="H319" s="11">
        <v>5.5</v>
      </c>
      <c r="I319" s="7">
        <v>2</v>
      </c>
      <c r="J319" s="7">
        <v>3</v>
      </c>
      <c r="K319" s="7">
        <v>8</v>
      </c>
      <c r="L319" s="7" t="s">
        <v>983</v>
      </c>
      <c r="M319" s="8" t="b">
        <v>0</v>
      </c>
      <c r="N319" s="8" t="b">
        <v>1</v>
      </c>
      <c r="O319" s="7" t="s">
        <v>945</v>
      </c>
      <c r="P319" s="7" t="s">
        <v>946</v>
      </c>
      <c r="Q319" s="8" t="b">
        <v>1</v>
      </c>
      <c r="R319" s="8" t="b">
        <v>1</v>
      </c>
      <c r="S319" s="7" t="s">
        <v>89</v>
      </c>
      <c r="T319" s="12"/>
      <c r="U319" s="28"/>
      <c r="V319" s="29">
        <v>3.0000000000000001E-3</v>
      </c>
      <c r="W319" s="30" t="b">
        <v>1</v>
      </c>
      <c r="X319" s="28" t="s">
        <v>90</v>
      </c>
    </row>
    <row r="320" spans="1:24" ht="15">
      <c r="A320" s="7">
        <v>314</v>
      </c>
      <c r="B320" s="7">
        <v>229164</v>
      </c>
      <c r="C320" s="7" t="s">
        <v>984</v>
      </c>
      <c r="D320" s="7" t="s">
        <v>985</v>
      </c>
      <c r="E320" s="7" t="s">
        <v>50</v>
      </c>
      <c r="F320" s="7" t="s">
        <v>112</v>
      </c>
      <c r="G320" s="11">
        <v>5</v>
      </c>
      <c r="H320" s="11">
        <v>5</v>
      </c>
      <c r="I320" s="7"/>
      <c r="J320" s="7"/>
      <c r="K320" s="7"/>
      <c r="L320" s="7" t="s">
        <v>986</v>
      </c>
      <c r="M320" s="8" t="b">
        <v>0</v>
      </c>
      <c r="N320" s="8" t="b">
        <v>1</v>
      </c>
      <c r="O320" s="7" t="s">
        <v>945</v>
      </c>
      <c r="P320" s="7" t="s">
        <v>946</v>
      </c>
      <c r="Q320" s="8" t="b">
        <v>1</v>
      </c>
      <c r="R320" s="8" t="b">
        <v>1</v>
      </c>
      <c r="S320" s="7" t="s">
        <v>89</v>
      </c>
      <c r="T320" s="12"/>
      <c r="U320" s="28"/>
      <c r="V320" s="29">
        <v>0</v>
      </c>
      <c r="W320" s="30" t="b">
        <v>1</v>
      </c>
      <c r="X320" s="28" t="s">
        <v>90</v>
      </c>
    </row>
    <row r="321" spans="1:24" ht="15">
      <c r="A321" s="7">
        <v>315</v>
      </c>
      <c r="B321" s="7">
        <v>531442</v>
      </c>
      <c r="C321" s="7" t="s">
        <v>987</v>
      </c>
      <c r="D321" s="7" t="s">
        <v>988</v>
      </c>
      <c r="E321" s="7" t="s">
        <v>50</v>
      </c>
      <c r="F321" s="7" t="s">
        <v>112</v>
      </c>
      <c r="G321" s="11">
        <v>5.5</v>
      </c>
      <c r="H321" s="11">
        <v>5.5</v>
      </c>
      <c r="I321" s="7"/>
      <c r="J321" s="7"/>
      <c r="K321" s="7"/>
      <c r="L321" s="7" t="s">
        <v>508</v>
      </c>
      <c r="M321" s="8" t="b">
        <v>1</v>
      </c>
      <c r="N321" s="8" t="b">
        <v>1</v>
      </c>
      <c r="O321" s="7" t="s">
        <v>945</v>
      </c>
      <c r="P321" s="7" t="s">
        <v>946</v>
      </c>
      <c r="Q321" s="8" t="b">
        <v>1</v>
      </c>
      <c r="R321" s="8" t="b">
        <v>1</v>
      </c>
      <c r="S321" s="7" t="s">
        <v>89</v>
      </c>
      <c r="T321" s="12"/>
      <c r="U321" s="28"/>
      <c r="V321" s="29">
        <v>3.0000000000000001E-3</v>
      </c>
      <c r="W321" s="30" t="b">
        <v>1</v>
      </c>
      <c r="X321" s="28" t="s">
        <v>90</v>
      </c>
    </row>
    <row r="322" spans="1:24" ht="15">
      <c r="A322" s="7">
        <v>316</v>
      </c>
      <c r="B322" s="7">
        <v>543968</v>
      </c>
      <c r="C322" s="7" t="s">
        <v>989</v>
      </c>
      <c r="D322" s="7" t="s">
        <v>990</v>
      </c>
      <c r="E322" s="7" t="s">
        <v>50</v>
      </c>
      <c r="F322" s="7" t="s">
        <v>167</v>
      </c>
      <c r="G322" s="11">
        <v>5.5</v>
      </c>
      <c r="H322" s="11">
        <v>5.5</v>
      </c>
      <c r="I322" s="7"/>
      <c r="J322" s="7"/>
      <c r="K322" s="7"/>
      <c r="L322" s="7" t="s">
        <v>991</v>
      </c>
      <c r="M322" s="8" t="b">
        <v>1</v>
      </c>
      <c r="N322" s="8" t="b">
        <v>1</v>
      </c>
      <c r="O322" s="7" t="s">
        <v>945</v>
      </c>
      <c r="P322" s="7" t="s">
        <v>946</v>
      </c>
      <c r="Q322" s="8" t="b">
        <v>1</v>
      </c>
      <c r="R322" s="8" t="b">
        <v>1</v>
      </c>
      <c r="S322" s="7" t="s">
        <v>89</v>
      </c>
      <c r="T322" s="12"/>
      <c r="U322" s="28"/>
      <c r="V322" s="29">
        <v>3.0000000000000001E-3</v>
      </c>
      <c r="W322" s="30" t="b">
        <v>1</v>
      </c>
      <c r="X322" s="28" t="s">
        <v>90</v>
      </c>
    </row>
    <row r="323" spans="1:24" ht="15">
      <c r="A323" s="7">
        <v>317</v>
      </c>
      <c r="B323" s="7">
        <v>222625</v>
      </c>
      <c r="C323" s="7" t="s">
        <v>992</v>
      </c>
      <c r="D323" s="7" t="s">
        <v>993</v>
      </c>
      <c r="E323" s="7" t="s">
        <v>50</v>
      </c>
      <c r="F323" s="7" t="s">
        <v>167</v>
      </c>
      <c r="G323" s="11">
        <v>5</v>
      </c>
      <c r="H323" s="11">
        <v>5</v>
      </c>
      <c r="I323" s="7">
        <v>1</v>
      </c>
      <c r="J323" s="7"/>
      <c r="K323" s="7"/>
      <c r="L323" s="7" t="s">
        <v>994</v>
      </c>
      <c r="M323" s="8" t="b">
        <v>0</v>
      </c>
      <c r="N323" s="8" t="b">
        <v>1</v>
      </c>
      <c r="O323" s="7" t="s">
        <v>945</v>
      </c>
      <c r="P323" s="7" t="s">
        <v>946</v>
      </c>
      <c r="Q323" s="8" t="b">
        <v>1</v>
      </c>
      <c r="R323" s="8" t="b">
        <v>1</v>
      </c>
      <c r="S323" s="7" t="s">
        <v>89</v>
      </c>
      <c r="T323" s="12"/>
      <c r="U323" s="28"/>
      <c r="V323" s="29">
        <v>5.0000000000000001E-3</v>
      </c>
      <c r="W323" s="30" t="b">
        <v>1</v>
      </c>
      <c r="X323" s="28" t="s">
        <v>90</v>
      </c>
    </row>
    <row r="324" spans="1:24" ht="15">
      <c r="A324" s="7">
        <v>318</v>
      </c>
      <c r="B324" s="7">
        <v>481624</v>
      </c>
      <c r="C324" s="7" t="s">
        <v>995</v>
      </c>
      <c r="D324" s="7" t="s">
        <v>996</v>
      </c>
      <c r="E324" s="7" t="s">
        <v>50</v>
      </c>
      <c r="F324" s="7" t="s">
        <v>112</v>
      </c>
      <c r="G324" s="11">
        <v>5.5</v>
      </c>
      <c r="H324" s="11">
        <v>5.5</v>
      </c>
      <c r="I324" s="7">
        <v>3</v>
      </c>
      <c r="J324" s="7"/>
      <c r="K324" s="7">
        <v>5</v>
      </c>
      <c r="L324" s="7" t="s">
        <v>997</v>
      </c>
      <c r="M324" s="8" t="b">
        <v>0</v>
      </c>
      <c r="N324" s="8" t="b">
        <v>1</v>
      </c>
      <c r="O324" s="7" t="s">
        <v>945</v>
      </c>
      <c r="P324" s="7" t="s">
        <v>946</v>
      </c>
      <c r="Q324" s="8" t="b">
        <v>1</v>
      </c>
      <c r="R324" s="8" t="b">
        <v>1</v>
      </c>
      <c r="S324" s="7" t="s">
        <v>89</v>
      </c>
      <c r="T324" s="12"/>
      <c r="U324" s="28"/>
      <c r="V324" s="29">
        <v>2E-3</v>
      </c>
      <c r="W324" s="30" t="b">
        <v>1</v>
      </c>
      <c r="X324" s="28" t="s">
        <v>90</v>
      </c>
    </row>
    <row r="325" spans="1:24" ht="15">
      <c r="A325" s="7">
        <v>319</v>
      </c>
      <c r="B325" s="7">
        <v>172453</v>
      </c>
      <c r="C325" s="7" t="s">
        <v>998</v>
      </c>
      <c r="D325" s="7" t="s">
        <v>999</v>
      </c>
      <c r="E325" s="7" t="s">
        <v>50</v>
      </c>
      <c r="F325" s="7" t="s">
        <v>112</v>
      </c>
      <c r="G325" s="11">
        <v>5</v>
      </c>
      <c r="H325" s="11">
        <v>5</v>
      </c>
      <c r="I325" s="7"/>
      <c r="J325" s="7"/>
      <c r="K325" s="7"/>
      <c r="L325" s="7" t="s">
        <v>333</v>
      </c>
      <c r="M325" s="8" t="b">
        <v>0</v>
      </c>
      <c r="N325" s="8" t="b">
        <v>1</v>
      </c>
      <c r="O325" s="7" t="s">
        <v>945</v>
      </c>
      <c r="P325" s="7" t="s">
        <v>946</v>
      </c>
      <c r="Q325" s="8" t="b">
        <v>1</v>
      </c>
      <c r="R325" s="8" t="b">
        <v>1</v>
      </c>
      <c r="S325" s="7" t="s">
        <v>89</v>
      </c>
      <c r="T325" s="12"/>
      <c r="U325" s="28"/>
      <c r="V325" s="29">
        <v>1E-3</v>
      </c>
      <c r="W325" s="30" t="b">
        <v>1</v>
      </c>
      <c r="X325" s="28" t="s">
        <v>90</v>
      </c>
    </row>
    <row r="326" spans="1:24" ht="15">
      <c r="A326" s="7">
        <v>320</v>
      </c>
      <c r="B326" s="7">
        <v>147675</v>
      </c>
      <c r="C326" s="7" t="s">
        <v>1000</v>
      </c>
      <c r="D326" s="7" t="s">
        <v>1001</v>
      </c>
      <c r="E326" s="7" t="s">
        <v>50</v>
      </c>
      <c r="F326" s="7" t="s">
        <v>167</v>
      </c>
      <c r="G326" s="11">
        <v>5</v>
      </c>
      <c r="H326" s="11">
        <v>5</v>
      </c>
      <c r="I326" s="7"/>
      <c r="J326" s="7"/>
      <c r="K326" s="7"/>
      <c r="L326" s="7" t="s">
        <v>119</v>
      </c>
      <c r="M326" s="8" t="b">
        <v>1</v>
      </c>
      <c r="N326" s="8" t="b">
        <v>1</v>
      </c>
      <c r="O326" s="7" t="s">
        <v>945</v>
      </c>
      <c r="P326" s="7" t="s">
        <v>946</v>
      </c>
      <c r="Q326" s="8" t="b">
        <v>1</v>
      </c>
      <c r="R326" s="8" t="b">
        <v>1</v>
      </c>
      <c r="S326" s="7" t="s">
        <v>89</v>
      </c>
      <c r="T326" s="12"/>
      <c r="U326" s="28"/>
      <c r="V326" s="29">
        <v>5.0000000000000001E-3</v>
      </c>
      <c r="W326" s="30" t="b">
        <v>1</v>
      </c>
      <c r="X326" s="28" t="s">
        <v>90</v>
      </c>
    </row>
    <row r="327" spans="1:24" ht="15">
      <c r="A327" s="7">
        <v>321</v>
      </c>
      <c r="B327" s="7">
        <v>557012</v>
      </c>
      <c r="C327" s="7" t="s">
        <v>1002</v>
      </c>
      <c r="D327" s="7" t="s">
        <v>1003</v>
      </c>
      <c r="E327" s="7" t="s">
        <v>50</v>
      </c>
      <c r="F327" s="7" t="s">
        <v>167</v>
      </c>
      <c r="G327" s="11">
        <v>4.5</v>
      </c>
      <c r="H327" s="11">
        <v>4.5</v>
      </c>
      <c r="I327" s="7"/>
      <c r="J327" s="7"/>
      <c r="K327" s="7"/>
      <c r="L327" s="7" t="s">
        <v>707</v>
      </c>
      <c r="M327" s="8" t="b">
        <v>0</v>
      </c>
      <c r="N327" s="8" t="b">
        <v>1</v>
      </c>
      <c r="O327" s="7" t="s">
        <v>945</v>
      </c>
      <c r="P327" s="7" t="s">
        <v>946</v>
      </c>
      <c r="Q327" s="8" t="b">
        <v>1</v>
      </c>
      <c r="R327" s="8" t="b">
        <v>1</v>
      </c>
      <c r="S327" s="7" t="s">
        <v>89</v>
      </c>
      <c r="T327" s="12"/>
      <c r="U327" s="28"/>
      <c r="V327" s="29">
        <v>2.3E-2</v>
      </c>
      <c r="W327" s="30" t="b">
        <v>1</v>
      </c>
      <c r="X327" s="28" t="s">
        <v>90</v>
      </c>
    </row>
    <row r="328" spans="1:24" ht="15">
      <c r="A328" s="7">
        <v>322</v>
      </c>
      <c r="B328" s="7">
        <v>462387</v>
      </c>
      <c r="C328" s="7" t="s">
        <v>1004</v>
      </c>
      <c r="D328" s="7" t="s">
        <v>1005</v>
      </c>
      <c r="E328" s="7" t="s">
        <v>50</v>
      </c>
      <c r="F328" s="7" t="s">
        <v>167</v>
      </c>
      <c r="G328" s="11">
        <v>5</v>
      </c>
      <c r="H328" s="11">
        <v>5</v>
      </c>
      <c r="I328" s="7"/>
      <c r="J328" s="7"/>
      <c r="K328" s="7"/>
      <c r="L328" s="7" t="s">
        <v>1006</v>
      </c>
      <c r="M328" s="8" t="b">
        <v>0</v>
      </c>
      <c r="N328" s="8" t="b">
        <v>1</v>
      </c>
      <c r="O328" s="7" t="s">
        <v>945</v>
      </c>
      <c r="P328" s="7" t="s">
        <v>946</v>
      </c>
      <c r="Q328" s="8" t="b">
        <v>1</v>
      </c>
      <c r="R328" s="8" t="b">
        <v>1</v>
      </c>
      <c r="S328" s="7" t="s">
        <v>89</v>
      </c>
      <c r="T328" s="12"/>
      <c r="U328" s="28"/>
      <c r="V328" s="29">
        <v>2E-3</v>
      </c>
      <c r="W328" s="30" t="b">
        <v>1</v>
      </c>
      <c r="X328" s="28" t="s">
        <v>90</v>
      </c>
    </row>
    <row r="329" spans="1:24" ht="15">
      <c r="A329" s="7">
        <v>323</v>
      </c>
      <c r="B329" s="7">
        <v>461587</v>
      </c>
      <c r="C329" s="7" t="s">
        <v>1007</v>
      </c>
      <c r="D329" s="7" t="s">
        <v>1008</v>
      </c>
      <c r="E329" s="7" t="s">
        <v>50</v>
      </c>
      <c r="F329" s="7" t="s">
        <v>112</v>
      </c>
      <c r="G329" s="11">
        <v>4.5</v>
      </c>
      <c r="H329" s="11">
        <v>4.5</v>
      </c>
      <c r="I329" s="7"/>
      <c r="J329" s="7"/>
      <c r="K329" s="7"/>
      <c r="L329" s="7" t="s">
        <v>1009</v>
      </c>
      <c r="M329" s="8" t="b">
        <v>0</v>
      </c>
      <c r="N329" s="8" t="b">
        <v>1</v>
      </c>
      <c r="O329" s="7" t="s">
        <v>945</v>
      </c>
      <c r="P329" s="7" t="s">
        <v>946</v>
      </c>
      <c r="Q329" s="8" t="b">
        <v>1</v>
      </c>
      <c r="R329" s="8" t="b">
        <v>1</v>
      </c>
      <c r="S329" s="7" t="s">
        <v>89</v>
      </c>
      <c r="T329" s="12"/>
      <c r="U329" s="28"/>
      <c r="V329" s="29">
        <v>1.7000000000000001E-2</v>
      </c>
      <c r="W329" s="30" t="b">
        <v>1</v>
      </c>
      <c r="X329" s="28" t="s">
        <v>90</v>
      </c>
    </row>
    <row r="330" spans="1:24" ht="15">
      <c r="A330" s="7">
        <v>324</v>
      </c>
      <c r="B330" s="7">
        <v>232457</v>
      </c>
      <c r="C330" s="7" t="s">
        <v>1010</v>
      </c>
      <c r="D330" s="7" t="s">
        <v>1011</v>
      </c>
      <c r="E330" s="7" t="s">
        <v>50</v>
      </c>
      <c r="F330" s="7" t="s">
        <v>112</v>
      </c>
      <c r="G330" s="11">
        <v>5</v>
      </c>
      <c r="H330" s="11">
        <v>5</v>
      </c>
      <c r="I330" s="7"/>
      <c r="J330" s="7"/>
      <c r="K330" s="7"/>
      <c r="L330" s="7" t="s">
        <v>910</v>
      </c>
      <c r="M330" s="8" t="b">
        <v>0</v>
      </c>
      <c r="N330" s="8" t="b">
        <v>1</v>
      </c>
      <c r="O330" s="7" t="s">
        <v>945</v>
      </c>
      <c r="P330" s="7" t="s">
        <v>946</v>
      </c>
      <c r="Q330" s="8" t="b">
        <v>1</v>
      </c>
      <c r="R330" s="8" t="b">
        <v>1</v>
      </c>
      <c r="S330" s="7" t="s">
        <v>89</v>
      </c>
      <c r="T330" s="12"/>
      <c r="U330" s="28"/>
      <c r="V330" s="29">
        <v>1E-3</v>
      </c>
      <c r="W330" s="30" t="b">
        <v>1</v>
      </c>
      <c r="X330" s="28" t="s">
        <v>90</v>
      </c>
    </row>
    <row r="331" spans="1:24" ht="15">
      <c r="A331" s="7">
        <v>554</v>
      </c>
      <c r="B331" s="7">
        <v>546600</v>
      </c>
      <c r="C331" s="7" t="s">
        <v>1012</v>
      </c>
      <c r="D331" s="7" t="s">
        <v>1013</v>
      </c>
      <c r="E331" s="7" t="s">
        <v>50</v>
      </c>
      <c r="F331" s="7" t="s">
        <v>85</v>
      </c>
      <c r="G331" s="11">
        <v>4.5</v>
      </c>
      <c r="H331" s="11">
        <v>4.5</v>
      </c>
      <c r="I331" s="7"/>
      <c r="J331" s="7"/>
      <c r="K331" s="7"/>
      <c r="L331" s="7" t="s">
        <v>508</v>
      </c>
      <c r="M331" s="8" t="b">
        <v>1</v>
      </c>
      <c r="N331" s="8" t="b">
        <v>1</v>
      </c>
      <c r="O331" s="7" t="s">
        <v>945</v>
      </c>
      <c r="P331" s="7" t="s">
        <v>946</v>
      </c>
      <c r="Q331" s="8" t="b">
        <v>1</v>
      </c>
      <c r="R331" s="8" t="b">
        <v>1</v>
      </c>
      <c r="S331" s="7" t="s">
        <v>89</v>
      </c>
      <c r="T331" s="12"/>
      <c r="U331" s="28"/>
      <c r="V331" s="29">
        <v>1E-3</v>
      </c>
      <c r="W331" s="30" t="b">
        <v>1</v>
      </c>
      <c r="X331" s="28" t="s">
        <v>90</v>
      </c>
    </row>
    <row r="332" spans="1:24" ht="15">
      <c r="A332" s="7">
        <v>562</v>
      </c>
      <c r="B332" s="7">
        <v>442967</v>
      </c>
      <c r="C332" s="7" t="s">
        <v>1014</v>
      </c>
      <c r="D332" s="7" t="s">
        <v>1015</v>
      </c>
      <c r="E332" s="7" t="s">
        <v>50</v>
      </c>
      <c r="F332" s="7" t="s">
        <v>112</v>
      </c>
      <c r="G332" s="11">
        <v>5.5</v>
      </c>
      <c r="H332" s="11">
        <v>5.5</v>
      </c>
      <c r="I332" s="7"/>
      <c r="J332" s="7"/>
      <c r="K332" s="7"/>
      <c r="L332" s="7" t="s">
        <v>1016</v>
      </c>
      <c r="M332" s="8" t="b">
        <v>1</v>
      </c>
      <c r="N332" s="8" t="b">
        <v>1</v>
      </c>
      <c r="O332" s="7" t="s">
        <v>945</v>
      </c>
      <c r="P332" s="7" t="s">
        <v>946</v>
      </c>
      <c r="Q332" s="8" t="b">
        <v>1</v>
      </c>
      <c r="R332" s="8" t="b">
        <v>1</v>
      </c>
      <c r="S332" s="7" t="s">
        <v>89</v>
      </c>
      <c r="T332" s="12"/>
      <c r="U332" s="28"/>
      <c r="V332" s="29">
        <v>4.0000000000000001E-3</v>
      </c>
      <c r="W332" s="30" t="b">
        <v>1</v>
      </c>
      <c r="X332" s="28" t="s">
        <v>90</v>
      </c>
    </row>
    <row r="333" spans="1:24" ht="15">
      <c r="A333" s="7">
        <v>564</v>
      </c>
      <c r="B333" s="7">
        <v>240514</v>
      </c>
      <c r="C333" s="7" t="s">
        <v>1017</v>
      </c>
      <c r="D333" s="7" t="s">
        <v>1018</v>
      </c>
      <c r="E333" s="7" t="s">
        <v>50</v>
      </c>
      <c r="F333" s="7" t="s">
        <v>85</v>
      </c>
      <c r="G333" s="11">
        <v>4.5</v>
      </c>
      <c r="H333" s="11">
        <v>4.5</v>
      </c>
      <c r="I333" s="7"/>
      <c r="J333" s="7"/>
      <c r="K333" s="7"/>
      <c r="L333" s="7" t="s">
        <v>1019</v>
      </c>
      <c r="M333" s="8" t="b">
        <v>1</v>
      </c>
      <c r="N333" s="8" t="b">
        <v>1</v>
      </c>
      <c r="O333" s="7" t="s">
        <v>945</v>
      </c>
      <c r="P333" s="7" t="s">
        <v>946</v>
      </c>
      <c r="Q333" s="8" t="b">
        <v>1</v>
      </c>
      <c r="R333" s="8" t="b">
        <v>1</v>
      </c>
      <c r="S333" s="7" t="s">
        <v>89</v>
      </c>
      <c r="T333" s="12"/>
      <c r="U333" s="28"/>
      <c r="V333" s="29">
        <v>2E-3</v>
      </c>
      <c r="W333" s="30" t="b">
        <v>1</v>
      </c>
      <c r="X333" s="28" t="s">
        <v>90</v>
      </c>
    </row>
    <row r="334" spans="1:24" ht="15">
      <c r="A334" s="7">
        <v>260</v>
      </c>
      <c r="B334" s="7">
        <v>153682</v>
      </c>
      <c r="C334" s="7" t="s">
        <v>416</v>
      </c>
      <c r="D334" s="7" t="s">
        <v>1020</v>
      </c>
      <c r="E334" s="7" t="s">
        <v>51</v>
      </c>
      <c r="F334" s="7" t="s">
        <v>112</v>
      </c>
      <c r="G334" s="11">
        <v>6.5</v>
      </c>
      <c r="H334" s="11">
        <v>6.5</v>
      </c>
      <c r="I334" s="7"/>
      <c r="J334" s="7"/>
      <c r="K334" s="7"/>
      <c r="L334" s="7" t="s">
        <v>991</v>
      </c>
      <c r="M334" s="8" t="b">
        <v>1</v>
      </c>
      <c r="N334" s="8" t="b">
        <v>0</v>
      </c>
      <c r="O334" s="7" t="s">
        <v>1021</v>
      </c>
      <c r="P334" s="7" t="s">
        <v>351</v>
      </c>
      <c r="Q334" s="8" t="b">
        <v>0</v>
      </c>
      <c r="R334" s="8" t="b">
        <v>0</v>
      </c>
      <c r="S334" s="7" t="s">
        <v>89</v>
      </c>
      <c r="T334" s="12"/>
      <c r="U334" s="28"/>
      <c r="V334" s="29">
        <v>8.5999999999999993E-2</v>
      </c>
      <c r="W334" s="30" t="b">
        <v>1</v>
      </c>
      <c r="X334" s="28" t="s">
        <v>90</v>
      </c>
    </row>
    <row r="335" spans="1:24" ht="15">
      <c r="A335" s="7">
        <v>326</v>
      </c>
      <c r="B335" s="7">
        <v>201595</v>
      </c>
      <c r="C335" s="7" t="s">
        <v>1022</v>
      </c>
      <c r="D335" s="7" t="s">
        <v>1023</v>
      </c>
      <c r="E335" s="7" t="s">
        <v>51</v>
      </c>
      <c r="F335" s="7" t="s">
        <v>85</v>
      </c>
      <c r="G335" s="11">
        <v>4.5</v>
      </c>
      <c r="H335" s="11">
        <v>4.5</v>
      </c>
      <c r="I335" s="7"/>
      <c r="J335" s="7"/>
      <c r="K335" s="7"/>
      <c r="L335" s="7" t="s">
        <v>168</v>
      </c>
      <c r="M335" s="8" t="b">
        <v>0</v>
      </c>
      <c r="N335" s="8" t="b">
        <v>0</v>
      </c>
      <c r="O335" s="7" t="s">
        <v>1021</v>
      </c>
      <c r="P335" s="7" t="s">
        <v>351</v>
      </c>
      <c r="Q335" s="8" t="b">
        <v>0</v>
      </c>
      <c r="R335" s="8" t="b">
        <v>0</v>
      </c>
      <c r="S335" s="7" t="s">
        <v>89</v>
      </c>
      <c r="T335" s="12"/>
      <c r="U335" s="28"/>
      <c r="V335" s="29">
        <v>6.9999999999999993E-3</v>
      </c>
      <c r="W335" s="30" t="b">
        <v>1</v>
      </c>
      <c r="X335" s="28" t="s">
        <v>90</v>
      </c>
    </row>
    <row r="336" spans="1:24" ht="15">
      <c r="A336" s="7">
        <v>327</v>
      </c>
      <c r="B336" s="7">
        <v>434752</v>
      </c>
      <c r="C336" s="7" t="s">
        <v>1024</v>
      </c>
      <c r="D336" s="7" t="s">
        <v>1025</v>
      </c>
      <c r="E336" s="7" t="s">
        <v>51</v>
      </c>
      <c r="F336" s="7" t="s">
        <v>99</v>
      </c>
      <c r="G336" s="11">
        <v>5</v>
      </c>
      <c r="H336" s="11">
        <v>5</v>
      </c>
      <c r="I336" s="7"/>
      <c r="J336" s="7"/>
      <c r="K336" s="7"/>
      <c r="L336" s="7" t="s">
        <v>1026</v>
      </c>
      <c r="M336" s="8" t="b">
        <v>0</v>
      </c>
      <c r="N336" s="8" t="b">
        <v>0</v>
      </c>
      <c r="O336" s="7" t="s">
        <v>1021</v>
      </c>
      <c r="P336" s="7" t="s">
        <v>351</v>
      </c>
      <c r="Q336" s="8" t="b">
        <v>0</v>
      </c>
      <c r="R336" s="8" t="b">
        <v>0</v>
      </c>
      <c r="S336" s="7" t="s">
        <v>89</v>
      </c>
      <c r="T336" s="12"/>
      <c r="U336" s="28"/>
      <c r="V336" s="29">
        <v>3.0000000000000001E-3</v>
      </c>
      <c r="W336" s="30" t="b">
        <v>1</v>
      </c>
      <c r="X336" s="28" t="s">
        <v>90</v>
      </c>
    </row>
    <row r="337" spans="1:24" ht="15">
      <c r="A337" s="7">
        <v>329</v>
      </c>
      <c r="B337" s="7">
        <v>214225</v>
      </c>
      <c r="C337" s="7" t="s">
        <v>1027</v>
      </c>
      <c r="D337" s="7" t="s">
        <v>1028</v>
      </c>
      <c r="E337" s="7" t="s">
        <v>51</v>
      </c>
      <c r="F337" s="7" t="s">
        <v>99</v>
      </c>
      <c r="G337" s="11">
        <v>4.5</v>
      </c>
      <c r="H337" s="11">
        <v>4.5</v>
      </c>
      <c r="I337" s="7"/>
      <c r="J337" s="7"/>
      <c r="K337" s="7"/>
      <c r="L337" s="7" t="s">
        <v>1029</v>
      </c>
      <c r="M337" s="8" t="b">
        <v>0</v>
      </c>
      <c r="N337" s="8" t="b">
        <v>0</v>
      </c>
      <c r="O337" s="7" t="s">
        <v>1021</v>
      </c>
      <c r="P337" s="7" t="s">
        <v>351</v>
      </c>
      <c r="Q337" s="8" t="b">
        <v>0</v>
      </c>
      <c r="R337" s="8" t="b">
        <v>0</v>
      </c>
      <c r="S337" s="7" t="s">
        <v>89</v>
      </c>
      <c r="T337" s="12"/>
      <c r="U337" s="28"/>
      <c r="V337" s="29">
        <v>1.8000000000000002E-2</v>
      </c>
      <c r="W337" s="30" t="b">
        <v>1</v>
      </c>
      <c r="X337" s="28" t="s">
        <v>90</v>
      </c>
    </row>
    <row r="338" spans="1:24" ht="15">
      <c r="A338" s="7">
        <v>330</v>
      </c>
      <c r="B338" s="7">
        <v>226182</v>
      </c>
      <c r="C338" s="7" t="s">
        <v>1030</v>
      </c>
      <c r="D338" s="7" t="s">
        <v>1031</v>
      </c>
      <c r="E338" s="7" t="s">
        <v>51</v>
      </c>
      <c r="F338" s="7" t="s">
        <v>99</v>
      </c>
      <c r="G338" s="11">
        <v>4.5</v>
      </c>
      <c r="H338" s="11">
        <v>4.5</v>
      </c>
      <c r="I338" s="7"/>
      <c r="J338" s="7"/>
      <c r="K338" s="7"/>
      <c r="L338" s="7" t="s">
        <v>1032</v>
      </c>
      <c r="M338" s="8" t="b">
        <v>0</v>
      </c>
      <c r="N338" s="8" t="b">
        <v>0</v>
      </c>
      <c r="O338" s="7" t="s">
        <v>1021</v>
      </c>
      <c r="P338" s="7" t="s">
        <v>351</v>
      </c>
      <c r="Q338" s="8" t="b">
        <v>0</v>
      </c>
      <c r="R338" s="8" t="b">
        <v>0</v>
      </c>
      <c r="S338" s="7" t="s">
        <v>89</v>
      </c>
      <c r="T338" s="12"/>
      <c r="U338" s="28"/>
      <c r="V338" s="29">
        <v>4.0000000000000001E-3</v>
      </c>
      <c r="W338" s="30" t="b">
        <v>1</v>
      </c>
      <c r="X338" s="28" t="s">
        <v>90</v>
      </c>
    </row>
    <row r="339" spans="1:24" ht="15">
      <c r="A339" s="7">
        <v>331</v>
      </c>
      <c r="B339" s="7">
        <v>243526</v>
      </c>
      <c r="C339" s="7" t="s">
        <v>1033</v>
      </c>
      <c r="D339" s="7" t="s">
        <v>1034</v>
      </c>
      <c r="E339" s="7" t="s">
        <v>51</v>
      </c>
      <c r="F339" s="7" t="s">
        <v>99</v>
      </c>
      <c r="G339" s="11">
        <v>4.5</v>
      </c>
      <c r="H339" s="11">
        <v>4.5</v>
      </c>
      <c r="I339" s="7"/>
      <c r="J339" s="7"/>
      <c r="K339" s="7"/>
      <c r="L339" s="7" t="s">
        <v>1035</v>
      </c>
      <c r="M339" s="8" t="b">
        <v>0</v>
      </c>
      <c r="N339" s="8" t="b">
        <v>0</v>
      </c>
      <c r="O339" s="7" t="s">
        <v>1021</v>
      </c>
      <c r="P339" s="7" t="s">
        <v>351</v>
      </c>
      <c r="Q339" s="8" t="b">
        <v>0</v>
      </c>
      <c r="R339" s="8" t="b">
        <v>0</v>
      </c>
      <c r="S339" s="7" t="s">
        <v>89</v>
      </c>
      <c r="T339" s="12"/>
      <c r="U339" s="28"/>
      <c r="V339" s="29">
        <v>5.0000000000000001E-3</v>
      </c>
      <c r="W339" s="30" t="b">
        <v>1</v>
      </c>
      <c r="X339" s="28" t="s">
        <v>90</v>
      </c>
    </row>
    <row r="340" spans="1:24" ht="15">
      <c r="A340" s="7">
        <v>332</v>
      </c>
      <c r="B340" s="7">
        <v>220627</v>
      </c>
      <c r="C340" s="7" t="s">
        <v>1036</v>
      </c>
      <c r="D340" s="7" t="s">
        <v>1037</v>
      </c>
      <c r="E340" s="7" t="s">
        <v>51</v>
      </c>
      <c r="F340" s="7" t="s">
        <v>99</v>
      </c>
      <c r="G340" s="11">
        <v>4.5</v>
      </c>
      <c r="H340" s="11">
        <v>4.5</v>
      </c>
      <c r="I340" s="7"/>
      <c r="J340" s="7"/>
      <c r="K340" s="7"/>
      <c r="L340" s="7" t="s">
        <v>804</v>
      </c>
      <c r="M340" s="8" t="b">
        <v>0</v>
      </c>
      <c r="N340" s="8" t="b">
        <v>0</v>
      </c>
      <c r="O340" s="7" t="s">
        <v>1021</v>
      </c>
      <c r="P340" s="7" t="s">
        <v>351</v>
      </c>
      <c r="Q340" s="8" t="b">
        <v>0</v>
      </c>
      <c r="R340" s="8" t="b">
        <v>0</v>
      </c>
      <c r="S340" s="7" t="s">
        <v>89</v>
      </c>
      <c r="T340" s="12"/>
      <c r="U340" s="28"/>
      <c r="V340" s="29">
        <v>5.0000000000000001E-3</v>
      </c>
      <c r="W340" s="30" t="b">
        <v>1</v>
      </c>
      <c r="X340" s="28" t="s">
        <v>90</v>
      </c>
    </row>
    <row r="341" spans="1:24" ht="15">
      <c r="A341" s="7">
        <v>333</v>
      </c>
      <c r="B341" s="7">
        <v>437738</v>
      </c>
      <c r="C341" s="7" t="s">
        <v>1038</v>
      </c>
      <c r="D341" s="7" t="s">
        <v>1039</v>
      </c>
      <c r="E341" s="7" t="s">
        <v>51</v>
      </c>
      <c r="F341" s="7" t="s">
        <v>99</v>
      </c>
      <c r="G341" s="11">
        <v>4.5</v>
      </c>
      <c r="H341" s="11">
        <v>4.5</v>
      </c>
      <c r="I341" s="7"/>
      <c r="J341" s="7"/>
      <c r="K341" s="7"/>
      <c r="L341" s="7" t="s">
        <v>93</v>
      </c>
      <c r="M341" s="8" t="b">
        <v>0</v>
      </c>
      <c r="N341" s="8" t="b">
        <v>0</v>
      </c>
      <c r="O341" s="7" t="s">
        <v>1021</v>
      </c>
      <c r="P341" s="7" t="s">
        <v>351</v>
      </c>
      <c r="Q341" s="8" t="b">
        <v>0</v>
      </c>
      <c r="R341" s="8" t="b">
        <v>0</v>
      </c>
      <c r="S341" s="7" t="s">
        <v>89</v>
      </c>
      <c r="T341" s="12"/>
      <c r="U341" s="28"/>
      <c r="V341" s="29">
        <v>0</v>
      </c>
      <c r="W341" s="30" t="b">
        <v>1</v>
      </c>
      <c r="X341" s="28" t="s">
        <v>90</v>
      </c>
    </row>
    <row r="342" spans="1:24" ht="15">
      <c r="A342" s="7">
        <v>334</v>
      </c>
      <c r="B342" s="7">
        <v>522047</v>
      </c>
      <c r="C342" s="7" t="s">
        <v>1040</v>
      </c>
      <c r="D342" s="7" t="s">
        <v>1041</v>
      </c>
      <c r="E342" s="7" t="s">
        <v>51</v>
      </c>
      <c r="F342" s="7" t="s">
        <v>99</v>
      </c>
      <c r="G342" s="11">
        <v>5</v>
      </c>
      <c r="H342" s="11">
        <v>5</v>
      </c>
      <c r="I342" s="7"/>
      <c r="J342" s="7"/>
      <c r="K342" s="7"/>
      <c r="L342" s="7" t="s">
        <v>249</v>
      </c>
      <c r="M342" s="8" t="b">
        <v>1</v>
      </c>
      <c r="N342" s="8" t="b">
        <v>0</v>
      </c>
      <c r="O342" s="7" t="s">
        <v>1021</v>
      </c>
      <c r="P342" s="7" t="s">
        <v>351</v>
      </c>
      <c r="Q342" s="8" t="b">
        <v>0</v>
      </c>
      <c r="R342" s="8" t="b">
        <v>0</v>
      </c>
      <c r="S342" s="7" t="s">
        <v>89</v>
      </c>
      <c r="T342" s="12"/>
      <c r="U342" s="28"/>
      <c r="V342" s="29">
        <v>1.3000000000000001E-2</v>
      </c>
      <c r="W342" s="30" t="b">
        <v>1</v>
      </c>
      <c r="X342" s="28" t="s">
        <v>90</v>
      </c>
    </row>
    <row r="343" spans="1:24" ht="15">
      <c r="A343" s="7">
        <v>335</v>
      </c>
      <c r="B343" s="7">
        <v>466525</v>
      </c>
      <c r="C343" s="7" t="s">
        <v>1042</v>
      </c>
      <c r="D343" s="7" t="s">
        <v>1043</v>
      </c>
      <c r="E343" s="7" t="s">
        <v>51</v>
      </c>
      <c r="F343" s="7" t="s">
        <v>112</v>
      </c>
      <c r="G343" s="11">
        <v>6</v>
      </c>
      <c r="H343" s="11">
        <v>6</v>
      </c>
      <c r="I343" s="7"/>
      <c r="J343" s="7">
        <v>1</v>
      </c>
      <c r="K343" s="7">
        <v>4</v>
      </c>
      <c r="L343" s="7" t="s">
        <v>1044</v>
      </c>
      <c r="M343" s="8" t="b">
        <v>0</v>
      </c>
      <c r="N343" s="8" t="b">
        <v>0</v>
      </c>
      <c r="O343" s="7" t="s">
        <v>1021</v>
      </c>
      <c r="P343" s="7" t="s">
        <v>351</v>
      </c>
      <c r="Q343" s="8" t="b">
        <v>0</v>
      </c>
      <c r="R343" s="8" t="b">
        <v>0</v>
      </c>
      <c r="S343" s="7" t="s">
        <v>89</v>
      </c>
      <c r="T343" s="12"/>
      <c r="U343" s="28"/>
      <c r="V343" s="29">
        <v>1.3999999999999999E-2</v>
      </c>
      <c r="W343" s="30" t="b">
        <v>1</v>
      </c>
      <c r="X343" s="28" t="s">
        <v>90</v>
      </c>
    </row>
    <row r="344" spans="1:24" ht="15">
      <c r="A344" s="7">
        <v>336</v>
      </c>
      <c r="B344" s="7">
        <v>435997</v>
      </c>
      <c r="C344" s="7" t="s">
        <v>1045</v>
      </c>
      <c r="D344" s="7" t="s">
        <v>1046</v>
      </c>
      <c r="E344" s="7" t="s">
        <v>51</v>
      </c>
      <c r="F344" s="7" t="s">
        <v>112</v>
      </c>
      <c r="G344" s="11">
        <v>6</v>
      </c>
      <c r="H344" s="11">
        <v>6</v>
      </c>
      <c r="I344" s="7"/>
      <c r="J344" s="7"/>
      <c r="K344" s="7"/>
      <c r="L344" s="7" t="s">
        <v>326</v>
      </c>
      <c r="M344" s="8" t="b">
        <v>0</v>
      </c>
      <c r="N344" s="8" t="b">
        <v>0</v>
      </c>
      <c r="O344" s="7" t="s">
        <v>1021</v>
      </c>
      <c r="P344" s="7" t="s">
        <v>351</v>
      </c>
      <c r="Q344" s="8" t="b">
        <v>0</v>
      </c>
      <c r="R344" s="8" t="b">
        <v>0</v>
      </c>
      <c r="S344" s="7" t="s">
        <v>89</v>
      </c>
      <c r="T344" s="12"/>
      <c r="U344" s="28"/>
      <c r="V344" s="29">
        <v>6.9999999999999993E-3</v>
      </c>
      <c r="W344" s="30" t="b">
        <v>1</v>
      </c>
      <c r="X344" s="28" t="s">
        <v>90</v>
      </c>
    </row>
    <row r="345" spans="1:24" ht="15">
      <c r="A345" s="7">
        <v>337</v>
      </c>
      <c r="B345" s="7">
        <v>427637</v>
      </c>
      <c r="C345" s="7" t="s">
        <v>1047</v>
      </c>
      <c r="D345" s="7" t="s">
        <v>1048</v>
      </c>
      <c r="E345" s="7" t="s">
        <v>51</v>
      </c>
      <c r="F345" s="7" t="s">
        <v>112</v>
      </c>
      <c r="G345" s="11">
        <v>5.5</v>
      </c>
      <c r="H345" s="11">
        <v>5.5</v>
      </c>
      <c r="I345" s="7"/>
      <c r="J345" s="7">
        <v>3</v>
      </c>
      <c r="K345" s="7"/>
      <c r="L345" s="7" t="s">
        <v>541</v>
      </c>
      <c r="M345" s="8" t="b">
        <v>0</v>
      </c>
      <c r="N345" s="8" t="b">
        <v>0</v>
      </c>
      <c r="O345" s="7" t="s">
        <v>1021</v>
      </c>
      <c r="P345" s="7" t="s">
        <v>351</v>
      </c>
      <c r="Q345" s="8" t="b">
        <v>0</v>
      </c>
      <c r="R345" s="8" t="b">
        <v>0</v>
      </c>
      <c r="S345" s="7" t="s">
        <v>89</v>
      </c>
      <c r="T345" s="12"/>
      <c r="U345" s="28"/>
      <c r="V345" s="29">
        <v>6.9999999999999993E-3</v>
      </c>
      <c r="W345" s="30" t="b">
        <v>1</v>
      </c>
      <c r="X345" s="28" t="s">
        <v>90</v>
      </c>
    </row>
    <row r="346" spans="1:24" ht="15">
      <c r="A346" s="7">
        <v>338</v>
      </c>
      <c r="B346" s="7">
        <v>199598</v>
      </c>
      <c r="C346" s="7" t="s">
        <v>1049</v>
      </c>
      <c r="D346" s="7" t="s">
        <v>1050</v>
      </c>
      <c r="E346" s="7" t="s">
        <v>51</v>
      </c>
      <c r="F346" s="7" t="s">
        <v>112</v>
      </c>
      <c r="G346" s="11">
        <v>5.5</v>
      </c>
      <c r="H346" s="11">
        <v>5.5</v>
      </c>
      <c r="I346" s="7"/>
      <c r="J346" s="7"/>
      <c r="K346" s="7"/>
      <c r="L346" s="7" t="s">
        <v>1051</v>
      </c>
      <c r="M346" s="8" t="b">
        <v>0</v>
      </c>
      <c r="N346" s="8" t="b">
        <v>0</v>
      </c>
      <c r="O346" s="7" t="s">
        <v>1021</v>
      </c>
      <c r="P346" s="7" t="s">
        <v>351</v>
      </c>
      <c r="Q346" s="8" t="b">
        <v>0</v>
      </c>
      <c r="R346" s="8" t="b">
        <v>0</v>
      </c>
      <c r="S346" s="7" t="s">
        <v>89</v>
      </c>
      <c r="T346" s="12"/>
      <c r="U346" s="28"/>
      <c r="V346" s="29">
        <v>1.3999999999999999E-2</v>
      </c>
      <c r="W346" s="30" t="b">
        <v>1</v>
      </c>
      <c r="X346" s="28" t="s">
        <v>90</v>
      </c>
    </row>
    <row r="347" spans="1:24" ht="15">
      <c r="A347" s="7">
        <v>339</v>
      </c>
      <c r="B347" s="7">
        <v>180135</v>
      </c>
      <c r="C347" s="7" t="s">
        <v>1052</v>
      </c>
      <c r="D347" s="7" t="s">
        <v>1053</v>
      </c>
      <c r="E347" s="7" t="s">
        <v>51</v>
      </c>
      <c r="F347" s="7" t="s">
        <v>112</v>
      </c>
      <c r="G347" s="11">
        <v>5</v>
      </c>
      <c r="H347" s="11">
        <v>5</v>
      </c>
      <c r="I347" s="7"/>
      <c r="J347" s="7">
        <v>2</v>
      </c>
      <c r="K347" s="7">
        <v>5</v>
      </c>
      <c r="L347" s="7" t="s">
        <v>140</v>
      </c>
      <c r="M347" s="8" t="b">
        <v>0</v>
      </c>
      <c r="N347" s="8" t="b">
        <v>0</v>
      </c>
      <c r="O347" s="7" t="s">
        <v>1021</v>
      </c>
      <c r="P347" s="7" t="s">
        <v>351</v>
      </c>
      <c r="Q347" s="8" t="b">
        <v>0</v>
      </c>
      <c r="R347" s="8" t="b">
        <v>0</v>
      </c>
      <c r="S347" s="7" t="s">
        <v>89</v>
      </c>
      <c r="T347" s="12"/>
      <c r="U347" s="28"/>
      <c r="V347" s="29">
        <v>2E-3</v>
      </c>
      <c r="W347" s="30" t="b">
        <v>1</v>
      </c>
      <c r="X347" s="28" t="s">
        <v>90</v>
      </c>
    </row>
    <row r="348" spans="1:24" ht="15">
      <c r="A348" s="7">
        <v>340</v>
      </c>
      <c r="B348" s="7">
        <v>462635</v>
      </c>
      <c r="C348" s="7" t="s">
        <v>1054</v>
      </c>
      <c r="D348" s="7" t="s">
        <v>1055</v>
      </c>
      <c r="E348" s="7" t="s">
        <v>51</v>
      </c>
      <c r="F348" s="7" t="s">
        <v>112</v>
      </c>
      <c r="G348" s="11">
        <v>5</v>
      </c>
      <c r="H348" s="11">
        <v>5</v>
      </c>
      <c r="I348" s="7"/>
      <c r="J348" s="7"/>
      <c r="K348" s="7"/>
      <c r="L348" s="7" t="s">
        <v>1056</v>
      </c>
      <c r="M348" s="8" t="b">
        <v>0</v>
      </c>
      <c r="N348" s="8" t="b">
        <v>0</v>
      </c>
      <c r="O348" s="7" t="s">
        <v>1021</v>
      </c>
      <c r="P348" s="7" t="s">
        <v>351</v>
      </c>
      <c r="Q348" s="8" t="b">
        <v>0</v>
      </c>
      <c r="R348" s="8" t="b">
        <v>0</v>
      </c>
      <c r="S348" s="7" t="s">
        <v>89</v>
      </c>
      <c r="T348" s="12"/>
      <c r="U348" s="28"/>
      <c r="V348" s="29">
        <v>0</v>
      </c>
      <c r="W348" s="30" t="b">
        <v>1</v>
      </c>
      <c r="X348" s="28" t="s">
        <v>90</v>
      </c>
    </row>
    <row r="349" spans="1:24" ht="15">
      <c r="A349" s="7">
        <v>341</v>
      </c>
      <c r="B349" s="7">
        <v>492859</v>
      </c>
      <c r="C349" s="7" t="s">
        <v>1057</v>
      </c>
      <c r="D349" s="7" t="s">
        <v>1058</v>
      </c>
      <c r="E349" s="7" t="s">
        <v>51</v>
      </c>
      <c r="F349" s="7" t="s">
        <v>112</v>
      </c>
      <c r="G349" s="11">
        <v>5</v>
      </c>
      <c r="H349" s="11">
        <v>5</v>
      </c>
      <c r="I349" s="7"/>
      <c r="J349" s="7"/>
      <c r="K349" s="7"/>
      <c r="L349" s="7" t="s">
        <v>786</v>
      </c>
      <c r="M349" s="8" t="b">
        <v>0</v>
      </c>
      <c r="N349" s="8" t="b">
        <v>0</v>
      </c>
      <c r="O349" s="7" t="s">
        <v>1021</v>
      </c>
      <c r="P349" s="7" t="s">
        <v>351</v>
      </c>
      <c r="Q349" s="8" t="b">
        <v>0</v>
      </c>
      <c r="R349" s="8" t="b">
        <v>0</v>
      </c>
      <c r="S349" s="7" t="s">
        <v>89</v>
      </c>
      <c r="T349" s="12"/>
      <c r="U349" s="28"/>
      <c r="V349" s="29">
        <v>1E-3</v>
      </c>
      <c r="W349" s="30" t="b">
        <v>1</v>
      </c>
      <c r="X349" s="28" t="s">
        <v>90</v>
      </c>
    </row>
    <row r="350" spans="1:24" ht="30">
      <c r="A350" s="7">
        <v>342</v>
      </c>
      <c r="B350" s="7">
        <v>221399</v>
      </c>
      <c r="C350" s="7" t="s">
        <v>1059</v>
      </c>
      <c r="D350" s="7" t="s">
        <v>1060</v>
      </c>
      <c r="E350" s="7" t="s">
        <v>51</v>
      </c>
      <c r="F350" s="7" t="s">
        <v>112</v>
      </c>
      <c r="G350" s="11">
        <v>5</v>
      </c>
      <c r="H350" s="11">
        <v>5</v>
      </c>
      <c r="I350" s="7"/>
      <c r="J350" s="7"/>
      <c r="K350" s="7"/>
      <c r="L350" s="7" t="s">
        <v>1061</v>
      </c>
      <c r="M350" s="8" t="b">
        <v>0</v>
      </c>
      <c r="N350" s="8" t="b">
        <v>0</v>
      </c>
      <c r="O350" s="7" t="s">
        <v>1021</v>
      </c>
      <c r="P350" s="7" t="s">
        <v>351</v>
      </c>
      <c r="Q350" s="8" t="b">
        <v>0</v>
      </c>
      <c r="R350" s="8" t="b">
        <v>0</v>
      </c>
      <c r="S350" s="7" t="s">
        <v>400</v>
      </c>
      <c r="T350" s="12">
        <v>0</v>
      </c>
      <c r="U350" s="28" t="s">
        <v>1062</v>
      </c>
      <c r="V350" s="29">
        <v>0</v>
      </c>
      <c r="W350" s="30" t="b">
        <v>0</v>
      </c>
      <c r="X350" s="28" t="s">
        <v>90</v>
      </c>
    </row>
    <row r="351" spans="1:24" ht="15">
      <c r="A351" s="7">
        <v>343</v>
      </c>
      <c r="B351" s="7">
        <v>200617</v>
      </c>
      <c r="C351" s="7" t="s">
        <v>518</v>
      </c>
      <c r="D351" s="7" t="s">
        <v>1063</v>
      </c>
      <c r="E351" s="7" t="s">
        <v>51</v>
      </c>
      <c r="F351" s="7" t="s">
        <v>112</v>
      </c>
      <c r="G351" s="11">
        <v>5</v>
      </c>
      <c r="H351" s="11">
        <v>5</v>
      </c>
      <c r="I351" s="7"/>
      <c r="J351" s="7"/>
      <c r="K351" s="7"/>
      <c r="L351" s="7" t="s">
        <v>318</v>
      </c>
      <c r="M351" s="8" t="b">
        <v>0</v>
      </c>
      <c r="N351" s="8" t="b">
        <v>0</v>
      </c>
      <c r="O351" s="7" t="s">
        <v>1021</v>
      </c>
      <c r="P351" s="7" t="s">
        <v>351</v>
      </c>
      <c r="Q351" s="8" t="b">
        <v>0</v>
      </c>
      <c r="R351" s="8" t="b">
        <v>0</v>
      </c>
      <c r="S351" s="7" t="s">
        <v>89</v>
      </c>
      <c r="T351" s="12"/>
      <c r="U351" s="28"/>
      <c r="V351" s="29">
        <v>1E-3</v>
      </c>
      <c r="W351" s="30" t="b">
        <v>1</v>
      </c>
      <c r="X351" s="28" t="s">
        <v>90</v>
      </c>
    </row>
    <row r="352" spans="1:24" ht="15">
      <c r="A352" s="7">
        <v>344</v>
      </c>
      <c r="B352" s="7">
        <v>486520</v>
      </c>
      <c r="C352" s="7" t="s">
        <v>1064</v>
      </c>
      <c r="D352" s="7" t="s">
        <v>1065</v>
      </c>
      <c r="E352" s="7" t="s">
        <v>51</v>
      </c>
      <c r="F352" s="7" t="s">
        <v>112</v>
      </c>
      <c r="G352" s="11">
        <v>5</v>
      </c>
      <c r="H352" s="11">
        <v>5</v>
      </c>
      <c r="I352" s="7"/>
      <c r="J352" s="7"/>
      <c r="K352" s="7"/>
      <c r="L352" s="7" t="s">
        <v>676</v>
      </c>
      <c r="M352" s="8" t="b">
        <v>0</v>
      </c>
      <c r="N352" s="8" t="b">
        <v>0</v>
      </c>
      <c r="O352" s="7" t="s">
        <v>1021</v>
      </c>
      <c r="P352" s="7" t="s">
        <v>351</v>
      </c>
      <c r="Q352" s="8" t="b">
        <v>0</v>
      </c>
      <c r="R352" s="8" t="b">
        <v>0</v>
      </c>
      <c r="S352" s="7" t="s">
        <v>89</v>
      </c>
      <c r="T352" s="12"/>
      <c r="U352" s="28"/>
      <c r="V352" s="29">
        <v>0</v>
      </c>
      <c r="W352" s="30" t="b">
        <v>1</v>
      </c>
      <c r="X352" s="28" t="s">
        <v>90</v>
      </c>
    </row>
    <row r="353" spans="1:24" ht="15">
      <c r="A353" s="7">
        <v>345</v>
      </c>
      <c r="B353" s="7">
        <v>248056</v>
      </c>
      <c r="C353" s="7" t="s">
        <v>1066</v>
      </c>
      <c r="D353" s="7" t="s">
        <v>1067</v>
      </c>
      <c r="E353" s="7" t="s">
        <v>51</v>
      </c>
      <c r="F353" s="7" t="s">
        <v>112</v>
      </c>
      <c r="G353" s="11">
        <v>5</v>
      </c>
      <c r="H353" s="11">
        <v>5</v>
      </c>
      <c r="I353" s="7"/>
      <c r="J353" s="7"/>
      <c r="K353" s="7">
        <v>6</v>
      </c>
      <c r="L353" s="7" t="s">
        <v>742</v>
      </c>
      <c r="M353" s="8" t="b">
        <v>0</v>
      </c>
      <c r="N353" s="8" t="b">
        <v>0</v>
      </c>
      <c r="O353" s="7" t="s">
        <v>1021</v>
      </c>
      <c r="P353" s="7" t="s">
        <v>351</v>
      </c>
      <c r="Q353" s="8" t="b">
        <v>0</v>
      </c>
      <c r="R353" s="8" t="b">
        <v>0</v>
      </c>
      <c r="S353" s="7" t="s">
        <v>89</v>
      </c>
      <c r="T353" s="12"/>
      <c r="U353" s="28"/>
      <c r="V353" s="29">
        <v>3.0000000000000001E-3</v>
      </c>
      <c r="W353" s="30" t="b">
        <v>1</v>
      </c>
      <c r="X353" s="28" t="s">
        <v>90</v>
      </c>
    </row>
    <row r="354" spans="1:24" ht="15">
      <c r="A354" s="7">
        <v>346</v>
      </c>
      <c r="B354" s="7">
        <v>177815</v>
      </c>
      <c r="C354" s="7" t="s">
        <v>1068</v>
      </c>
      <c r="D354" s="7" t="s">
        <v>1069</v>
      </c>
      <c r="E354" s="7" t="s">
        <v>51</v>
      </c>
      <c r="F354" s="7" t="s">
        <v>167</v>
      </c>
      <c r="G354" s="11">
        <v>6</v>
      </c>
      <c r="H354" s="11">
        <v>6</v>
      </c>
      <c r="I354" s="7">
        <v>1</v>
      </c>
      <c r="J354" s="7"/>
      <c r="K354" s="7"/>
      <c r="L354" s="7" t="s">
        <v>758</v>
      </c>
      <c r="M354" s="8" t="b">
        <v>0</v>
      </c>
      <c r="N354" s="8" t="b">
        <v>0</v>
      </c>
      <c r="O354" s="7" t="s">
        <v>1021</v>
      </c>
      <c r="P354" s="7" t="s">
        <v>351</v>
      </c>
      <c r="Q354" s="8" t="b">
        <v>0</v>
      </c>
      <c r="R354" s="8" t="b">
        <v>0</v>
      </c>
      <c r="S354" s="7" t="s">
        <v>89</v>
      </c>
      <c r="T354" s="12"/>
      <c r="U354" s="28"/>
      <c r="V354" s="29">
        <v>0.21299999999999999</v>
      </c>
      <c r="W354" s="30" t="b">
        <v>1</v>
      </c>
      <c r="X354" s="28" t="s">
        <v>90</v>
      </c>
    </row>
    <row r="355" spans="1:24" ht="15">
      <c r="A355" s="7">
        <v>347</v>
      </c>
      <c r="B355" s="7">
        <v>174594</v>
      </c>
      <c r="C355" s="7" t="s">
        <v>1070</v>
      </c>
      <c r="D355" s="7" t="s">
        <v>1071</v>
      </c>
      <c r="E355" s="7" t="s">
        <v>51</v>
      </c>
      <c r="F355" s="7" t="s">
        <v>167</v>
      </c>
      <c r="G355" s="11">
        <v>5.5</v>
      </c>
      <c r="H355" s="11">
        <v>5.5</v>
      </c>
      <c r="I355" s="7">
        <v>2</v>
      </c>
      <c r="J355" s="7"/>
      <c r="K355" s="7"/>
      <c r="L355" s="7" t="s">
        <v>93</v>
      </c>
      <c r="M355" s="8" t="b">
        <v>0</v>
      </c>
      <c r="N355" s="8" t="b">
        <v>0</v>
      </c>
      <c r="O355" s="7" t="s">
        <v>1021</v>
      </c>
      <c r="P355" s="7" t="s">
        <v>351</v>
      </c>
      <c r="Q355" s="8" t="b">
        <v>0</v>
      </c>
      <c r="R355" s="8" t="b">
        <v>0</v>
      </c>
      <c r="S355" s="7" t="s">
        <v>89</v>
      </c>
      <c r="T355" s="12"/>
      <c r="U355" s="28"/>
      <c r="V355" s="29">
        <v>6.0000000000000001E-3</v>
      </c>
      <c r="W355" s="30" t="b">
        <v>1</v>
      </c>
      <c r="X355" s="28" t="s">
        <v>90</v>
      </c>
    </row>
    <row r="356" spans="1:24" ht="15">
      <c r="A356" s="7">
        <v>348</v>
      </c>
      <c r="B356" s="7">
        <v>235826</v>
      </c>
      <c r="C356" s="7" t="s">
        <v>1072</v>
      </c>
      <c r="D356" s="7" t="s">
        <v>1073</v>
      </c>
      <c r="E356" s="7" t="s">
        <v>51</v>
      </c>
      <c r="F356" s="7" t="s">
        <v>167</v>
      </c>
      <c r="G356" s="11">
        <v>5</v>
      </c>
      <c r="H356" s="11">
        <v>5</v>
      </c>
      <c r="I356" s="7">
        <v>3</v>
      </c>
      <c r="J356" s="7"/>
      <c r="K356" s="7"/>
      <c r="L356" s="7" t="s">
        <v>1074</v>
      </c>
      <c r="M356" s="8" t="b">
        <v>0</v>
      </c>
      <c r="N356" s="8" t="b">
        <v>0</v>
      </c>
      <c r="O356" s="7" t="s">
        <v>1021</v>
      </c>
      <c r="P356" s="7" t="s">
        <v>351</v>
      </c>
      <c r="Q356" s="8" t="b">
        <v>0</v>
      </c>
      <c r="R356" s="8" t="b">
        <v>0</v>
      </c>
      <c r="S356" s="7" t="s">
        <v>89</v>
      </c>
      <c r="T356" s="12"/>
      <c r="U356" s="28"/>
      <c r="V356" s="29">
        <v>5.0000000000000001E-3</v>
      </c>
      <c r="W356" s="30" t="b">
        <v>1</v>
      </c>
      <c r="X356" s="28" t="s">
        <v>90</v>
      </c>
    </row>
    <row r="357" spans="1:24" ht="15">
      <c r="A357" s="7">
        <v>349</v>
      </c>
      <c r="B357" s="7">
        <v>565297</v>
      </c>
      <c r="C357" s="7" t="s">
        <v>1075</v>
      </c>
      <c r="D357" s="7" t="s">
        <v>1076</v>
      </c>
      <c r="E357" s="7" t="s">
        <v>51</v>
      </c>
      <c r="F357" s="7" t="s">
        <v>167</v>
      </c>
      <c r="G357" s="11">
        <v>4.5</v>
      </c>
      <c r="H357" s="11">
        <v>4.5</v>
      </c>
      <c r="I357" s="7"/>
      <c r="J357" s="7"/>
      <c r="K357" s="7"/>
      <c r="L357" s="7" t="s">
        <v>1077</v>
      </c>
      <c r="M357" s="8" t="b">
        <v>0</v>
      </c>
      <c r="N357" s="8" t="b">
        <v>0</v>
      </c>
      <c r="O357" s="7" t="s">
        <v>1021</v>
      </c>
      <c r="P357" s="7" t="s">
        <v>351</v>
      </c>
      <c r="Q357" s="8" t="b">
        <v>0</v>
      </c>
      <c r="R357" s="8" t="b">
        <v>0</v>
      </c>
      <c r="S357" s="7" t="s">
        <v>104</v>
      </c>
      <c r="T357" s="12">
        <v>0</v>
      </c>
      <c r="U357" s="28" t="s">
        <v>238</v>
      </c>
      <c r="V357" s="29">
        <v>3.0000000000000001E-3</v>
      </c>
      <c r="W357" s="30" t="b">
        <v>1</v>
      </c>
      <c r="X357" s="28" t="s">
        <v>90</v>
      </c>
    </row>
    <row r="358" spans="1:24" ht="15">
      <c r="A358" s="7">
        <v>350</v>
      </c>
      <c r="B358" s="7">
        <v>116535</v>
      </c>
      <c r="C358" s="7" t="s">
        <v>1078</v>
      </c>
      <c r="D358" s="7" t="s">
        <v>1079</v>
      </c>
      <c r="E358" s="7" t="s">
        <v>52</v>
      </c>
      <c r="F358" s="7" t="s">
        <v>85</v>
      </c>
      <c r="G358" s="11">
        <v>5.5</v>
      </c>
      <c r="H358" s="11">
        <v>5.5</v>
      </c>
      <c r="I358" s="7"/>
      <c r="J358" s="7"/>
      <c r="K358" s="7"/>
      <c r="L358" s="7" t="s">
        <v>1080</v>
      </c>
      <c r="M358" s="8" t="b">
        <v>0</v>
      </c>
      <c r="N358" s="8" t="b">
        <v>0</v>
      </c>
      <c r="O358" s="7" t="s">
        <v>1081</v>
      </c>
      <c r="P358" s="7" t="s">
        <v>1082</v>
      </c>
      <c r="Q358" s="8" t="b">
        <v>1</v>
      </c>
      <c r="R358" s="8" t="b">
        <v>1</v>
      </c>
      <c r="S358" s="7" t="s">
        <v>89</v>
      </c>
      <c r="T358" s="12"/>
      <c r="U358" s="28"/>
      <c r="V358" s="29">
        <v>4.0999999999999995E-2</v>
      </c>
      <c r="W358" s="30" t="b">
        <v>1</v>
      </c>
      <c r="X358" s="28" t="s">
        <v>90</v>
      </c>
    </row>
    <row r="359" spans="1:24" ht="15">
      <c r="A359" s="7">
        <v>351</v>
      </c>
      <c r="B359" s="7">
        <v>449027</v>
      </c>
      <c r="C359" s="7" t="s">
        <v>1083</v>
      </c>
      <c r="D359" s="7" t="s">
        <v>1084</v>
      </c>
      <c r="E359" s="7" t="s">
        <v>52</v>
      </c>
      <c r="F359" s="7" t="s">
        <v>85</v>
      </c>
      <c r="G359" s="11">
        <v>5</v>
      </c>
      <c r="H359" s="11">
        <v>5</v>
      </c>
      <c r="I359" s="7"/>
      <c r="J359" s="7"/>
      <c r="K359" s="7"/>
      <c r="L359" s="7" t="s">
        <v>143</v>
      </c>
      <c r="M359" s="8" t="b">
        <v>0</v>
      </c>
      <c r="N359" s="8" t="b">
        <v>0</v>
      </c>
      <c r="O359" s="7" t="s">
        <v>1081</v>
      </c>
      <c r="P359" s="7" t="s">
        <v>1082</v>
      </c>
      <c r="Q359" s="8" t="b">
        <v>1</v>
      </c>
      <c r="R359" s="8" t="b">
        <v>1</v>
      </c>
      <c r="S359" s="7" t="s">
        <v>89</v>
      </c>
      <c r="T359" s="12"/>
      <c r="U359" s="28"/>
      <c r="V359" s="29">
        <v>2E-3</v>
      </c>
      <c r="W359" s="30" t="b">
        <v>1</v>
      </c>
      <c r="X359" s="28" t="s">
        <v>90</v>
      </c>
    </row>
    <row r="360" spans="1:24" ht="15">
      <c r="A360" s="7">
        <v>352</v>
      </c>
      <c r="B360" s="7">
        <v>155503</v>
      </c>
      <c r="C360" s="7" t="s">
        <v>1085</v>
      </c>
      <c r="D360" s="7" t="s">
        <v>1086</v>
      </c>
      <c r="E360" s="7" t="s">
        <v>52</v>
      </c>
      <c r="F360" s="7" t="s">
        <v>85</v>
      </c>
      <c r="G360" s="11">
        <v>4</v>
      </c>
      <c r="H360" s="11">
        <v>4</v>
      </c>
      <c r="I360" s="7"/>
      <c r="J360" s="7"/>
      <c r="K360" s="7"/>
      <c r="L360" s="7" t="s">
        <v>93</v>
      </c>
      <c r="M360" s="8" t="b">
        <v>0</v>
      </c>
      <c r="N360" s="8" t="b">
        <v>0</v>
      </c>
      <c r="O360" s="7" t="s">
        <v>1081</v>
      </c>
      <c r="P360" s="7" t="s">
        <v>1082</v>
      </c>
      <c r="Q360" s="8" t="b">
        <v>1</v>
      </c>
      <c r="R360" s="8" t="b">
        <v>1</v>
      </c>
      <c r="S360" s="7" t="s">
        <v>89</v>
      </c>
      <c r="T360" s="12"/>
      <c r="U360" s="28"/>
      <c r="V360" s="29">
        <v>1.3000000000000001E-2</v>
      </c>
      <c r="W360" s="30" t="b">
        <v>1</v>
      </c>
      <c r="X360" s="28" t="s">
        <v>90</v>
      </c>
    </row>
    <row r="361" spans="1:24" ht="15">
      <c r="A361" s="7">
        <v>353</v>
      </c>
      <c r="B361" s="7">
        <v>586268</v>
      </c>
      <c r="C361" s="7" t="s">
        <v>1087</v>
      </c>
      <c r="D361" s="7" t="s">
        <v>1088</v>
      </c>
      <c r="E361" s="7" t="s">
        <v>52</v>
      </c>
      <c r="F361" s="7" t="s">
        <v>85</v>
      </c>
      <c r="G361" s="11">
        <v>4</v>
      </c>
      <c r="H361" s="11">
        <v>4</v>
      </c>
      <c r="I361" s="7"/>
      <c r="J361" s="7"/>
      <c r="K361" s="7"/>
      <c r="L361" s="7" t="s">
        <v>152</v>
      </c>
      <c r="M361" s="8" t="b">
        <v>1</v>
      </c>
      <c r="N361" s="8" t="b">
        <v>0</v>
      </c>
      <c r="O361" s="7" t="s">
        <v>1081</v>
      </c>
      <c r="P361" s="7" t="s">
        <v>1082</v>
      </c>
      <c r="Q361" s="8" t="b">
        <v>1</v>
      </c>
      <c r="R361" s="8" t="b">
        <v>1</v>
      </c>
      <c r="S361" s="7" t="s">
        <v>89</v>
      </c>
      <c r="T361" s="12"/>
      <c r="U361" s="28"/>
      <c r="V361" s="29">
        <v>1E-3</v>
      </c>
      <c r="W361" s="30" t="b">
        <v>1</v>
      </c>
      <c r="X361" s="28" t="s">
        <v>90</v>
      </c>
    </row>
    <row r="362" spans="1:24" ht="15">
      <c r="A362" s="7">
        <v>354</v>
      </c>
      <c r="B362" s="7">
        <v>432987</v>
      </c>
      <c r="C362" s="7" t="s">
        <v>1089</v>
      </c>
      <c r="D362" s="7" t="s">
        <v>1090</v>
      </c>
      <c r="E362" s="7" t="s">
        <v>52</v>
      </c>
      <c r="F362" s="7" t="s">
        <v>85</v>
      </c>
      <c r="G362" s="11">
        <v>4</v>
      </c>
      <c r="H362" s="11">
        <v>4</v>
      </c>
      <c r="I362" s="7"/>
      <c r="J362" s="7"/>
      <c r="K362" s="7"/>
      <c r="L362" s="7" t="s">
        <v>388</v>
      </c>
      <c r="M362" s="8" t="b">
        <v>0</v>
      </c>
      <c r="N362" s="8" t="b">
        <v>0</v>
      </c>
      <c r="O362" s="7" t="s">
        <v>1081</v>
      </c>
      <c r="P362" s="7" t="s">
        <v>1082</v>
      </c>
      <c r="Q362" s="8" t="b">
        <v>1</v>
      </c>
      <c r="R362" s="8" t="b">
        <v>1</v>
      </c>
      <c r="S362" s="7" t="s">
        <v>104</v>
      </c>
      <c r="T362" s="12">
        <v>0</v>
      </c>
      <c r="U362" s="28" t="s">
        <v>238</v>
      </c>
      <c r="V362" s="29">
        <v>0</v>
      </c>
      <c r="W362" s="30" t="b">
        <v>1</v>
      </c>
      <c r="X362" s="28" t="s">
        <v>90</v>
      </c>
    </row>
    <row r="363" spans="1:24" ht="15">
      <c r="A363" s="7">
        <v>355</v>
      </c>
      <c r="B363" s="7">
        <v>464353</v>
      </c>
      <c r="C363" s="7" t="s">
        <v>1091</v>
      </c>
      <c r="D363" s="7" t="s">
        <v>1092</v>
      </c>
      <c r="E363" s="7" t="s">
        <v>52</v>
      </c>
      <c r="F363" s="7" t="s">
        <v>85</v>
      </c>
      <c r="G363" s="11">
        <v>4</v>
      </c>
      <c r="H363" s="11">
        <v>4</v>
      </c>
      <c r="I363" s="7"/>
      <c r="J363" s="7"/>
      <c r="K363" s="7"/>
      <c r="L363" s="7" t="s">
        <v>1093</v>
      </c>
      <c r="M363" s="8" t="b">
        <v>0</v>
      </c>
      <c r="N363" s="8" t="b">
        <v>0</v>
      </c>
      <c r="O363" s="7" t="s">
        <v>1081</v>
      </c>
      <c r="P363" s="7" t="s">
        <v>1082</v>
      </c>
      <c r="Q363" s="8" t="b">
        <v>1</v>
      </c>
      <c r="R363" s="8" t="b">
        <v>1</v>
      </c>
      <c r="S363" s="7" t="s">
        <v>89</v>
      </c>
      <c r="T363" s="12"/>
      <c r="U363" s="28"/>
      <c r="V363" s="29">
        <v>1E-3</v>
      </c>
      <c r="W363" s="30" t="b">
        <v>1</v>
      </c>
      <c r="X363" s="28" t="s">
        <v>90</v>
      </c>
    </row>
    <row r="364" spans="1:24" ht="15">
      <c r="A364" s="7">
        <v>356</v>
      </c>
      <c r="B364" s="7">
        <v>97032</v>
      </c>
      <c r="C364" s="7" t="s">
        <v>1094</v>
      </c>
      <c r="D364" s="7" t="s">
        <v>1095</v>
      </c>
      <c r="E364" s="7" t="s">
        <v>52</v>
      </c>
      <c r="F364" s="7" t="s">
        <v>99</v>
      </c>
      <c r="G364" s="11">
        <v>6.5</v>
      </c>
      <c r="H364" s="11">
        <v>6.5</v>
      </c>
      <c r="I364" s="7"/>
      <c r="J364" s="7"/>
      <c r="K364" s="7"/>
      <c r="L364" s="7" t="s">
        <v>1096</v>
      </c>
      <c r="M364" s="8" t="b">
        <v>0</v>
      </c>
      <c r="N364" s="8" t="b">
        <v>0</v>
      </c>
      <c r="O364" s="7" t="s">
        <v>1081</v>
      </c>
      <c r="P364" s="7" t="s">
        <v>1082</v>
      </c>
      <c r="Q364" s="8" t="b">
        <v>1</v>
      </c>
      <c r="R364" s="8" t="b">
        <v>1</v>
      </c>
      <c r="S364" s="7" t="s">
        <v>89</v>
      </c>
      <c r="T364" s="12"/>
      <c r="U364" s="28"/>
      <c r="V364" s="29">
        <v>0.16200000000000001</v>
      </c>
      <c r="W364" s="30" t="b">
        <v>1</v>
      </c>
      <c r="X364" s="28" t="s">
        <v>90</v>
      </c>
    </row>
    <row r="365" spans="1:24" ht="15">
      <c r="A365" s="7">
        <v>357</v>
      </c>
      <c r="B365" s="7">
        <v>216094</v>
      </c>
      <c r="C365" s="7" t="s">
        <v>1097</v>
      </c>
      <c r="D365" s="7" t="s">
        <v>1098</v>
      </c>
      <c r="E365" s="7" t="s">
        <v>52</v>
      </c>
      <c r="F365" s="7" t="s">
        <v>99</v>
      </c>
      <c r="G365" s="11">
        <v>5.5</v>
      </c>
      <c r="H365" s="11">
        <v>5.5</v>
      </c>
      <c r="I365" s="7"/>
      <c r="J365" s="7"/>
      <c r="K365" s="7"/>
      <c r="L365" s="7" t="s">
        <v>486</v>
      </c>
      <c r="M365" s="8" t="b">
        <v>0</v>
      </c>
      <c r="N365" s="8" t="b">
        <v>0</v>
      </c>
      <c r="O365" s="7" t="s">
        <v>1081</v>
      </c>
      <c r="P365" s="7" t="s">
        <v>1082</v>
      </c>
      <c r="Q365" s="8" t="b">
        <v>1</v>
      </c>
      <c r="R365" s="8" t="b">
        <v>1</v>
      </c>
      <c r="S365" s="7" t="s">
        <v>89</v>
      </c>
      <c r="T365" s="12"/>
      <c r="U365" s="28"/>
      <c r="V365" s="29">
        <v>0.03</v>
      </c>
      <c r="W365" s="30" t="b">
        <v>1</v>
      </c>
      <c r="X365" s="28" t="s">
        <v>90</v>
      </c>
    </row>
    <row r="366" spans="1:24" ht="15">
      <c r="A366" s="7">
        <v>358</v>
      </c>
      <c r="B366" s="7">
        <v>544877</v>
      </c>
      <c r="C366" s="7" t="s">
        <v>1099</v>
      </c>
      <c r="D366" s="7" t="s">
        <v>1100</v>
      </c>
      <c r="E366" s="7" t="s">
        <v>52</v>
      </c>
      <c r="F366" s="7" t="s">
        <v>99</v>
      </c>
      <c r="G366" s="11">
        <v>5.5</v>
      </c>
      <c r="H366" s="11">
        <v>5.5</v>
      </c>
      <c r="I366" s="7"/>
      <c r="J366" s="7"/>
      <c r="K366" s="7"/>
      <c r="L366" s="7" t="s">
        <v>1101</v>
      </c>
      <c r="M366" s="8" t="b">
        <v>0</v>
      </c>
      <c r="N366" s="8" t="b">
        <v>0</v>
      </c>
      <c r="O366" s="7" t="s">
        <v>1081</v>
      </c>
      <c r="P366" s="7" t="s">
        <v>1082</v>
      </c>
      <c r="Q366" s="8" t="b">
        <v>1</v>
      </c>
      <c r="R366" s="8" t="b">
        <v>1</v>
      </c>
      <c r="S366" s="7" t="s">
        <v>89</v>
      </c>
      <c r="T366" s="12"/>
      <c r="U366" s="28"/>
      <c r="V366" s="29">
        <v>5.9000000000000004E-2</v>
      </c>
      <c r="W366" s="30" t="b">
        <v>1</v>
      </c>
      <c r="X366" s="28" t="s">
        <v>90</v>
      </c>
    </row>
    <row r="367" spans="1:24" ht="15">
      <c r="A367" s="7">
        <v>359</v>
      </c>
      <c r="B367" s="7">
        <v>171287</v>
      </c>
      <c r="C367" s="7" t="s">
        <v>467</v>
      </c>
      <c r="D367" s="7" t="s">
        <v>1102</v>
      </c>
      <c r="E367" s="7" t="s">
        <v>52</v>
      </c>
      <c r="F367" s="7" t="s">
        <v>99</v>
      </c>
      <c r="G367" s="11">
        <v>5</v>
      </c>
      <c r="H367" s="11">
        <v>5</v>
      </c>
      <c r="I367" s="7"/>
      <c r="J367" s="7"/>
      <c r="K367" s="7"/>
      <c r="L367" s="7" t="s">
        <v>1103</v>
      </c>
      <c r="M367" s="8" t="b">
        <v>0</v>
      </c>
      <c r="N367" s="8" t="b">
        <v>0</v>
      </c>
      <c r="O367" s="7" t="s">
        <v>1081</v>
      </c>
      <c r="P367" s="7" t="s">
        <v>1082</v>
      </c>
      <c r="Q367" s="8" t="b">
        <v>1</v>
      </c>
      <c r="R367" s="8" t="b">
        <v>1</v>
      </c>
      <c r="S367" s="7" t="s">
        <v>104</v>
      </c>
      <c r="T367" s="12">
        <v>0</v>
      </c>
      <c r="U367" s="28" t="s">
        <v>974</v>
      </c>
      <c r="V367" s="29">
        <v>1E-3</v>
      </c>
      <c r="W367" s="30" t="b">
        <v>1</v>
      </c>
      <c r="X367" s="28" t="s">
        <v>90</v>
      </c>
    </row>
    <row r="368" spans="1:24" ht="15">
      <c r="A368" s="7">
        <v>360</v>
      </c>
      <c r="B368" s="7">
        <v>492777</v>
      </c>
      <c r="C368" s="7" t="s">
        <v>1104</v>
      </c>
      <c r="D368" s="7" t="s">
        <v>1105</v>
      </c>
      <c r="E368" s="7" t="s">
        <v>52</v>
      </c>
      <c r="F368" s="7" t="s">
        <v>99</v>
      </c>
      <c r="G368" s="11">
        <v>5</v>
      </c>
      <c r="H368" s="11">
        <v>5</v>
      </c>
      <c r="I368" s="7"/>
      <c r="J368" s="7"/>
      <c r="K368" s="7"/>
      <c r="L368" s="7" t="s">
        <v>1106</v>
      </c>
      <c r="M368" s="8" t="b">
        <v>0</v>
      </c>
      <c r="N368" s="8" t="b">
        <v>0</v>
      </c>
      <c r="O368" s="7" t="s">
        <v>1081</v>
      </c>
      <c r="P368" s="7" t="s">
        <v>1082</v>
      </c>
      <c r="Q368" s="8" t="b">
        <v>1</v>
      </c>
      <c r="R368" s="8" t="b">
        <v>1</v>
      </c>
      <c r="S368" s="7" t="s">
        <v>104</v>
      </c>
      <c r="T368" s="12">
        <v>0</v>
      </c>
      <c r="U368" s="28" t="s">
        <v>238</v>
      </c>
      <c r="V368" s="29">
        <v>0</v>
      </c>
      <c r="W368" s="30" t="b">
        <v>1</v>
      </c>
      <c r="X368" s="28" t="s">
        <v>90</v>
      </c>
    </row>
    <row r="369" spans="1:24" ht="15">
      <c r="A369" s="7">
        <v>361</v>
      </c>
      <c r="B369" s="7">
        <v>519440</v>
      </c>
      <c r="C369" s="7" t="s">
        <v>1107</v>
      </c>
      <c r="D369" s="7" t="s">
        <v>1108</v>
      </c>
      <c r="E369" s="7" t="s">
        <v>52</v>
      </c>
      <c r="F369" s="7" t="s">
        <v>99</v>
      </c>
      <c r="G369" s="11">
        <v>4</v>
      </c>
      <c r="H369" s="11">
        <v>4</v>
      </c>
      <c r="I369" s="7"/>
      <c r="J369" s="7"/>
      <c r="K369" s="7"/>
      <c r="L369" s="7" t="s">
        <v>152</v>
      </c>
      <c r="M369" s="8" t="b">
        <v>1</v>
      </c>
      <c r="N369" s="8" t="b">
        <v>0</v>
      </c>
      <c r="O369" s="7" t="s">
        <v>1081</v>
      </c>
      <c r="P369" s="7" t="s">
        <v>1082</v>
      </c>
      <c r="Q369" s="8" t="b">
        <v>1</v>
      </c>
      <c r="R369" s="8" t="b">
        <v>1</v>
      </c>
      <c r="S369" s="7" t="s">
        <v>89</v>
      </c>
      <c r="T369" s="12"/>
      <c r="U369" s="28"/>
      <c r="V369" s="29">
        <v>1E-3</v>
      </c>
      <c r="W369" s="30" t="b">
        <v>1</v>
      </c>
      <c r="X369" s="28" t="s">
        <v>90</v>
      </c>
    </row>
    <row r="370" spans="1:24" ht="15">
      <c r="A370" s="7">
        <v>362</v>
      </c>
      <c r="B370" s="7">
        <v>606702</v>
      </c>
      <c r="C370" s="7" t="s">
        <v>1109</v>
      </c>
      <c r="D370" s="7" t="s">
        <v>1110</v>
      </c>
      <c r="E370" s="7" t="s">
        <v>52</v>
      </c>
      <c r="F370" s="7" t="s">
        <v>99</v>
      </c>
      <c r="G370" s="11">
        <v>5</v>
      </c>
      <c r="H370" s="11">
        <v>5</v>
      </c>
      <c r="I370" s="7"/>
      <c r="J370" s="7"/>
      <c r="K370" s="7"/>
      <c r="L370" s="7" t="s">
        <v>119</v>
      </c>
      <c r="M370" s="8" t="b">
        <v>1</v>
      </c>
      <c r="N370" s="8" t="b">
        <v>0</v>
      </c>
      <c r="O370" s="7" t="s">
        <v>1081</v>
      </c>
      <c r="P370" s="7" t="s">
        <v>1082</v>
      </c>
      <c r="Q370" s="8" t="b">
        <v>1</v>
      </c>
      <c r="R370" s="8" t="b">
        <v>1</v>
      </c>
      <c r="S370" s="7" t="s">
        <v>89</v>
      </c>
      <c r="T370" s="12">
        <v>100</v>
      </c>
      <c r="U370" s="28"/>
      <c r="V370" s="29">
        <v>0.02</v>
      </c>
      <c r="W370" s="30" t="b">
        <v>1</v>
      </c>
      <c r="X370" s="28" t="s">
        <v>90</v>
      </c>
    </row>
    <row r="371" spans="1:24" ht="15">
      <c r="A371" s="7">
        <v>363</v>
      </c>
      <c r="B371" s="7">
        <v>647681</v>
      </c>
      <c r="C371" s="7" t="s">
        <v>1111</v>
      </c>
      <c r="D371" s="7" t="s">
        <v>1112</v>
      </c>
      <c r="E371" s="7" t="s">
        <v>52</v>
      </c>
      <c r="F371" s="7" t="s">
        <v>99</v>
      </c>
      <c r="G371" s="11">
        <v>4</v>
      </c>
      <c r="H371" s="11">
        <v>4</v>
      </c>
      <c r="I371" s="7"/>
      <c r="J371" s="7"/>
      <c r="K371" s="7"/>
      <c r="L371" s="7" t="s">
        <v>758</v>
      </c>
      <c r="M371" s="8" t="b">
        <v>0</v>
      </c>
      <c r="N371" s="8" t="b">
        <v>0</v>
      </c>
      <c r="O371" s="7" t="s">
        <v>1081</v>
      </c>
      <c r="P371" s="7" t="s">
        <v>1082</v>
      </c>
      <c r="Q371" s="8" t="b">
        <v>1</v>
      </c>
      <c r="R371" s="8" t="b">
        <v>1</v>
      </c>
      <c r="S371" s="7" t="s">
        <v>104</v>
      </c>
      <c r="T371" s="12">
        <v>0</v>
      </c>
      <c r="U371" s="28" t="s">
        <v>238</v>
      </c>
      <c r="V371" s="29">
        <v>1E-3</v>
      </c>
      <c r="W371" s="30" t="b">
        <v>1</v>
      </c>
      <c r="X371" s="28" t="s">
        <v>90</v>
      </c>
    </row>
    <row r="372" spans="1:24" ht="15">
      <c r="A372" s="7">
        <v>364</v>
      </c>
      <c r="B372" s="7">
        <v>214285</v>
      </c>
      <c r="C372" s="7" t="s">
        <v>1113</v>
      </c>
      <c r="D372" s="7" t="s">
        <v>1114</v>
      </c>
      <c r="E372" s="7" t="s">
        <v>52</v>
      </c>
      <c r="F372" s="7" t="s">
        <v>99</v>
      </c>
      <c r="G372" s="11">
        <v>5</v>
      </c>
      <c r="H372" s="11">
        <v>5</v>
      </c>
      <c r="I372" s="7"/>
      <c r="J372" s="7"/>
      <c r="K372" s="7"/>
      <c r="L372" s="7" t="s">
        <v>1115</v>
      </c>
      <c r="M372" s="8" t="b">
        <v>0</v>
      </c>
      <c r="N372" s="8" t="b">
        <v>0</v>
      </c>
      <c r="O372" s="7" t="s">
        <v>1081</v>
      </c>
      <c r="P372" s="7" t="s">
        <v>1082</v>
      </c>
      <c r="Q372" s="8" t="b">
        <v>1</v>
      </c>
      <c r="R372" s="8" t="b">
        <v>1</v>
      </c>
      <c r="S372" s="7" t="s">
        <v>89</v>
      </c>
      <c r="T372" s="12"/>
      <c r="U372" s="28"/>
      <c r="V372" s="29">
        <v>1E-3</v>
      </c>
      <c r="W372" s="30" t="b">
        <v>1</v>
      </c>
      <c r="X372" s="28" t="s">
        <v>90</v>
      </c>
    </row>
    <row r="373" spans="1:24" ht="15">
      <c r="A373" s="7">
        <v>365</v>
      </c>
      <c r="B373" s="7">
        <v>489580</v>
      </c>
      <c r="C373" s="7" t="s">
        <v>1116</v>
      </c>
      <c r="D373" s="7" t="s">
        <v>1117</v>
      </c>
      <c r="E373" s="7" t="s">
        <v>52</v>
      </c>
      <c r="F373" s="7" t="s">
        <v>99</v>
      </c>
      <c r="G373" s="11">
        <v>4</v>
      </c>
      <c r="H373" s="11">
        <v>4</v>
      </c>
      <c r="I373" s="7"/>
      <c r="J373" s="7"/>
      <c r="K373" s="7"/>
      <c r="L373" s="7" t="s">
        <v>1118</v>
      </c>
      <c r="M373" s="8" t="b">
        <v>0</v>
      </c>
      <c r="N373" s="8" t="b">
        <v>0</v>
      </c>
      <c r="O373" s="7" t="s">
        <v>1081</v>
      </c>
      <c r="P373" s="7" t="s">
        <v>1082</v>
      </c>
      <c r="Q373" s="8" t="b">
        <v>1</v>
      </c>
      <c r="R373" s="8" t="b">
        <v>1</v>
      </c>
      <c r="S373" s="7" t="s">
        <v>89</v>
      </c>
      <c r="T373" s="12"/>
      <c r="U373" s="28"/>
      <c r="V373" s="29">
        <v>2E-3</v>
      </c>
      <c r="W373" s="30" t="b">
        <v>1</v>
      </c>
      <c r="X373" s="28" t="s">
        <v>90</v>
      </c>
    </row>
    <row r="374" spans="1:24" ht="15">
      <c r="A374" s="7">
        <v>366</v>
      </c>
      <c r="B374" s="7">
        <v>494595</v>
      </c>
      <c r="C374" s="7" t="s">
        <v>1119</v>
      </c>
      <c r="D374" s="7" t="s">
        <v>1120</v>
      </c>
      <c r="E374" s="7" t="s">
        <v>52</v>
      </c>
      <c r="F374" s="7" t="s">
        <v>112</v>
      </c>
      <c r="G374" s="11">
        <v>7.5</v>
      </c>
      <c r="H374" s="11">
        <v>7.5</v>
      </c>
      <c r="I374" s="7">
        <v>4</v>
      </c>
      <c r="J374" s="7">
        <v>2</v>
      </c>
      <c r="K374" s="7">
        <v>6</v>
      </c>
      <c r="L374" s="7" t="s">
        <v>1121</v>
      </c>
      <c r="M374" s="8" t="b">
        <v>0</v>
      </c>
      <c r="N374" s="8" t="b">
        <v>0</v>
      </c>
      <c r="O374" s="7" t="s">
        <v>1081</v>
      </c>
      <c r="P374" s="7" t="s">
        <v>1082</v>
      </c>
      <c r="Q374" s="8" t="b">
        <v>1</v>
      </c>
      <c r="R374" s="8" t="b">
        <v>1</v>
      </c>
      <c r="S374" s="7" t="s">
        <v>89</v>
      </c>
      <c r="T374" s="12"/>
      <c r="U374" s="28"/>
      <c r="V374" s="29">
        <v>0.11800000000000001</v>
      </c>
      <c r="W374" s="30" t="b">
        <v>1</v>
      </c>
      <c r="X374" s="28" t="s">
        <v>90</v>
      </c>
    </row>
    <row r="375" spans="1:24" ht="15">
      <c r="A375" s="7">
        <v>367</v>
      </c>
      <c r="B375" s="7">
        <v>243298</v>
      </c>
      <c r="C375" s="7" t="s">
        <v>1122</v>
      </c>
      <c r="D375" s="7" t="s">
        <v>1123</v>
      </c>
      <c r="E375" s="7" t="s">
        <v>52</v>
      </c>
      <c r="F375" s="7" t="s">
        <v>112</v>
      </c>
      <c r="G375" s="11">
        <v>7</v>
      </c>
      <c r="H375" s="11">
        <v>7</v>
      </c>
      <c r="I375" s="7">
        <v>3</v>
      </c>
      <c r="J375" s="7"/>
      <c r="K375" s="7">
        <v>5</v>
      </c>
      <c r="L375" s="7" t="s">
        <v>472</v>
      </c>
      <c r="M375" s="8" t="b">
        <v>0</v>
      </c>
      <c r="N375" s="8" t="b">
        <v>0</v>
      </c>
      <c r="O375" s="7" t="s">
        <v>1081</v>
      </c>
      <c r="P375" s="7" t="s">
        <v>1082</v>
      </c>
      <c r="Q375" s="8" t="b">
        <v>1</v>
      </c>
      <c r="R375" s="8" t="b">
        <v>1</v>
      </c>
      <c r="S375" s="7" t="s">
        <v>89</v>
      </c>
      <c r="T375" s="12"/>
      <c r="U375" s="28"/>
      <c r="V375" s="29">
        <v>3.5000000000000003E-2</v>
      </c>
      <c r="W375" s="30" t="b">
        <v>1</v>
      </c>
      <c r="X375" s="28" t="s">
        <v>90</v>
      </c>
    </row>
    <row r="376" spans="1:24" ht="15">
      <c r="A376" s="7">
        <v>368</v>
      </c>
      <c r="B376" s="7">
        <v>424876</v>
      </c>
      <c r="C376" s="7" t="s">
        <v>1124</v>
      </c>
      <c r="D376" s="7" t="s">
        <v>1125</v>
      </c>
      <c r="E376" s="7" t="s">
        <v>52</v>
      </c>
      <c r="F376" s="7" t="s">
        <v>112</v>
      </c>
      <c r="G376" s="11">
        <v>7</v>
      </c>
      <c r="H376" s="11">
        <v>7</v>
      </c>
      <c r="I376" s="7">
        <v>2</v>
      </c>
      <c r="J376" s="7">
        <v>1</v>
      </c>
      <c r="K376" s="7">
        <v>4</v>
      </c>
      <c r="L376" s="7" t="s">
        <v>1126</v>
      </c>
      <c r="M376" s="8" t="b">
        <v>0</v>
      </c>
      <c r="N376" s="8" t="b">
        <v>0</v>
      </c>
      <c r="O376" s="7" t="s">
        <v>1081</v>
      </c>
      <c r="P376" s="7" t="s">
        <v>1082</v>
      </c>
      <c r="Q376" s="8" t="b">
        <v>1</v>
      </c>
      <c r="R376" s="8" t="b">
        <v>1</v>
      </c>
      <c r="S376" s="7" t="s">
        <v>89</v>
      </c>
      <c r="T376" s="12"/>
      <c r="U376" s="28"/>
      <c r="V376" s="29">
        <v>0.47600000000000003</v>
      </c>
      <c r="W376" s="30" t="b">
        <v>1</v>
      </c>
      <c r="X376" s="28" t="s">
        <v>90</v>
      </c>
    </row>
    <row r="377" spans="1:24" ht="15">
      <c r="A377" s="7">
        <v>369</v>
      </c>
      <c r="B377" s="7">
        <v>611922</v>
      </c>
      <c r="C377" s="7" t="s">
        <v>1127</v>
      </c>
      <c r="D377" s="7" t="s">
        <v>1128</v>
      </c>
      <c r="E377" s="7" t="s">
        <v>52</v>
      </c>
      <c r="F377" s="7" t="s">
        <v>112</v>
      </c>
      <c r="G377" s="11">
        <v>6</v>
      </c>
      <c r="H377" s="11">
        <v>6</v>
      </c>
      <c r="I377" s="7"/>
      <c r="J377" s="7"/>
      <c r="K377" s="7"/>
      <c r="L377" s="7" t="s">
        <v>1129</v>
      </c>
      <c r="M377" s="8" t="b">
        <v>0</v>
      </c>
      <c r="N377" s="8" t="b">
        <v>0</v>
      </c>
      <c r="O377" s="7" t="s">
        <v>1081</v>
      </c>
      <c r="P377" s="7" t="s">
        <v>1082</v>
      </c>
      <c r="Q377" s="8" t="b">
        <v>1</v>
      </c>
      <c r="R377" s="8" t="b">
        <v>1</v>
      </c>
      <c r="S377" s="7" t="s">
        <v>89</v>
      </c>
      <c r="T377" s="12"/>
      <c r="U377" s="28"/>
      <c r="V377" s="29">
        <v>1.7000000000000001E-2</v>
      </c>
      <c r="W377" s="30" t="b">
        <v>1</v>
      </c>
      <c r="X377" s="28" t="s">
        <v>90</v>
      </c>
    </row>
    <row r="378" spans="1:24" ht="15">
      <c r="A378" s="7">
        <v>370</v>
      </c>
      <c r="B378" s="7">
        <v>223541</v>
      </c>
      <c r="C378" s="7" t="s">
        <v>1130</v>
      </c>
      <c r="D378" s="7" t="s">
        <v>1131</v>
      </c>
      <c r="E378" s="7" t="s">
        <v>52</v>
      </c>
      <c r="F378" s="7" t="s">
        <v>112</v>
      </c>
      <c r="G378" s="11">
        <v>5.5</v>
      </c>
      <c r="H378" s="11">
        <v>5.5</v>
      </c>
      <c r="I378" s="7"/>
      <c r="J378" s="7"/>
      <c r="K378" s="7"/>
      <c r="L378" s="7" t="s">
        <v>1132</v>
      </c>
      <c r="M378" s="8" t="b">
        <v>0</v>
      </c>
      <c r="N378" s="8" t="b">
        <v>0</v>
      </c>
      <c r="O378" s="7" t="s">
        <v>1081</v>
      </c>
      <c r="P378" s="7" t="s">
        <v>1082</v>
      </c>
      <c r="Q378" s="8" t="b">
        <v>1</v>
      </c>
      <c r="R378" s="8" t="b">
        <v>1</v>
      </c>
      <c r="S378" s="7" t="s">
        <v>89</v>
      </c>
      <c r="T378" s="12"/>
      <c r="U378" s="28"/>
      <c r="V378" s="29">
        <v>2E-3</v>
      </c>
      <c r="W378" s="30" t="b">
        <v>1</v>
      </c>
      <c r="X378" s="28" t="s">
        <v>90</v>
      </c>
    </row>
    <row r="379" spans="1:24" ht="15">
      <c r="A379" s="7">
        <v>371</v>
      </c>
      <c r="B379" s="7">
        <v>441266</v>
      </c>
      <c r="C379" s="7" t="s">
        <v>1133</v>
      </c>
      <c r="D379" s="7" t="s">
        <v>1134</v>
      </c>
      <c r="E379" s="7" t="s">
        <v>52</v>
      </c>
      <c r="F379" s="7" t="s">
        <v>112</v>
      </c>
      <c r="G379" s="11">
        <v>6</v>
      </c>
      <c r="H379" s="11">
        <v>6</v>
      </c>
      <c r="I379" s="7"/>
      <c r="J379" s="7"/>
      <c r="K379" s="7"/>
      <c r="L379" s="7" t="s">
        <v>555</v>
      </c>
      <c r="M379" s="8" t="b">
        <v>0</v>
      </c>
      <c r="N379" s="8" t="b">
        <v>0</v>
      </c>
      <c r="O379" s="7" t="s">
        <v>1081</v>
      </c>
      <c r="P379" s="7" t="s">
        <v>1082</v>
      </c>
      <c r="Q379" s="8" t="b">
        <v>1</v>
      </c>
      <c r="R379" s="8" t="b">
        <v>1</v>
      </c>
      <c r="S379" s="7" t="s">
        <v>89</v>
      </c>
      <c r="T379" s="12"/>
      <c r="U379" s="28"/>
      <c r="V379" s="29">
        <v>1.9E-2</v>
      </c>
      <c r="W379" s="30" t="b">
        <v>1</v>
      </c>
      <c r="X379" s="28" t="s">
        <v>90</v>
      </c>
    </row>
    <row r="380" spans="1:24" ht="15">
      <c r="A380" s="7">
        <v>372</v>
      </c>
      <c r="B380" s="7">
        <v>243016</v>
      </c>
      <c r="C380" s="7" t="s">
        <v>1135</v>
      </c>
      <c r="D380" s="7" t="s">
        <v>1136</v>
      </c>
      <c r="E380" s="7" t="s">
        <v>52</v>
      </c>
      <c r="F380" s="7" t="s">
        <v>112</v>
      </c>
      <c r="G380" s="11">
        <v>5.5</v>
      </c>
      <c r="H380" s="11">
        <v>5.5</v>
      </c>
      <c r="I380" s="7">
        <v>5</v>
      </c>
      <c r="J380" s="7"/>
      <c r="K380" s="7"/>
      <c r="L380" s="7" t="s">
        <v>1137</v>
      </c>
      <c r="M380" s="8" t="b">
        <v>0</v>
      </c>
      <c r="N380" s="8" t="b">
        <v>0</v>
      </c>
      <c r="O380" s="7" t="s">
        <v>1081</v>
      </c>
      <c r="P380" s="7" t="s">
        <v>1082</v>
      </c>
      <c r="Q380" s="8" t="b">
        <v>1</v>
      </c>
      <c r="R380" s="8" t="b">
        <v>1</v>
      </c>
      <c r="S380" s="7" t="s">
        <v>89</v>
      </c>
      <c r="T380" s="12"/>
      <c r="U380" s="28"/>
      <c r="V380" s="29">
        <v>1.9E-2</v>
      </c>
      <c r="W380" s="30" t="b">
        <v>1</v>
      </c>
      <c r="X380" s="28" t="s">
        <v>90</v>
      </c>
    </row>
    <row r="381" spans="1:24" ht="15">
      <c r="A381" s="7">
        <v>373</v>
      </c>
      <c r="B381" s="7">
        <v>206915</v>
      </c>
      <c r="C381" s="7" t="s">
        <v>1138</v>
      </c>
      <c r="D381" s="7" t="s">
        <v>1139</v>
      </c>
      <c r="E381" s="7" t="s">
        <v>52</v>
      </c>
      <c r="F381" s="7" t="s">
        <v>112</v>
      </c>
      <c r="G381" s="11">
        <v>5.5</v>
      </c>
      <c r="H381" s="11">
        <v>5.5</v>
      </c>
      <c r="I381" s="7"/>
      <c r="J381" s="7"/>
      <c r="K381" s="7"/>
      <c r="L381" s="7" t="s">
        <v>1140</v>
      </c>
      <c r="M381" s="8" t="b">
        <v>0</v>
      </c>
      <c r="N381" s="8" t="b">
        <v>0</v>
      </c>
      <c r="O381" s="7" t="s">
        <v>1081</v>
      </c>
      <c r="P381" s="7" t="s">
        <v>1082</v>
      </c>
      <c r="Q381" s="8" t="b">
        <v>1</v>
      </c>
      <c r="R381" s="8" t="b">
        <v>1</v>
      </c>
      <c r="S381" s="7" t="s">
        <v>89</v>
      </c>
      <c r="T381" s="12"/>
      <c r="U381" s="28"/>
      <c r="V381" s="29">
        <v>1E-3</v>
      </c>
      <c r="W381" s="30" t="b">
        <v>1</v>
      </c>
      <c r="X381" s="28" t="s">
        <v>90</v>
      </c>
    </row>
    <row r="382" spans="1:24" ht="15">
      <c r="A382" s="7">
        <v>374</v>
      </c>
      <c r="B382" s="7">
        <v>158983</v>
      </c>
      <c r="C382" s="7" t="s">
        <v>1141</v>
      </c>
      <c r="D382" s="7" t="s">
        <v>1142</v>
      </c>
      <c r="E382" s="7" t="s">
        <v>52</v>
      </c>
      <c r="F382" s="7" t="s">
        <v>112</v>
      </c>
      <c r="G382" s="11">
        <v>5</v>
      </c>
      <c r="H382" s="11">
        <v>5</v>
      </c>
      <c r="I382" s="7"/>
      <c r="J382" s="7"/>
      <c r="K382" s="7"/>
      <c r="L382" s="7" t="s">
        <v>572</v>
      </c>
      <c r="M382" s="8" t="b">
        <v>0</v>
      </c>
      <c r="N382" s="8" t="b">
        <v>0</v>
      </c>
      <c r="O382" s="7" t="s">
        <v>1081</v>
      </c>
      <c r="P382" s="7" t="s">
        <v>1082</v>
      </c>
      <c r="Q382" s="8" t="b">
        <v>1</v>
      </c>
      <c r="R382" s="8" t="b">
        <v>1</v>
      </c>
      <c r="S382" s="7" t="s">
        <v>233</v>
      </c>
      <c r="T382" s="12">
        <v>75</v>
      </c>
      <c r="U382" s="28" t="s">
        <v>704</v>
      </c>
      <c r="V382" s="29">
        <v>0</v>
      </c>
      <c r="W382" s="30" t="b">
        <v>1</v>
      </c>
      <c r="X382" s="28" t="s">
        <v>90</v>
      </c>
    </row>
    <row r="383" spans="1:24" ht="15">
      <c r="A383" s="7">
        <v>375</v>
      </c>
      <c r="B383" s="7">
        <v>591386</v>
      </c>
      <c r="C383" s="7" t="s">
        <v>1143</v>
      </c>
      <c r="D383" s="7" t="s">
        <v>1144</v>
      </c>
      <c r="E383" s="7" t="s">
        <v>52</v>
      </c>
      <c r="F383" s="7" t="s">
        <v>112</v>
      </c>
      <c r="G383" s="11">
        <v>5</v>
      </c>
      <c r="H383" s="11">
        <v>5</v>
      </c>
      <c r="I383" s="7"/>
      <c r="J383" s="7"/>
      <c r="K383" s="7"/>
      <c r="L383" s="7" t="s">
        <v>1145</v>
      </c>
      <c r="M383" s="8" t="b">
        <v>0</v>
      </c>
      <c r="N383" s="8" t="b">
        <v>0</v>
      </c>
      <c r="O383" s="7" t="s">
        <v>1081</v>
      </c>
      <c r="P383" s="7" t="s">
        <v>1082</v>
      </c>
      <c r="Q383" s="8" t="b">
        <v>1</v>
      </c>
      <c r="R383" s="8" t="b">
        <v>1</v>
      </c>
      <c r="S383" s="7" t="s">
        <v>89</v>
      </c>
      <c r="T383" s="12"/>
      <c r="U383" s="28"/>
      <c r="V383" s="29">
        <v>1E-3</v>
      </c>
      <c r="W383" s="30" t="b">
        <v>1</v>
      </c>
      <c r="X383" s="28" t="s">
        <v>90</v>
      </c>
    </row>
    <row r="384" spans="1:24" ht="15">
      <c r="A384" s="7">
        <v>376</v>
      </c>
      <c r="B384" s="7">
        <v>535928</v>
      </c>
      <c r="C384" s="7" t="s">
        <v>1146</v>
      </c>
      <c r="D384" s="7" t="s">
        <v>1147</v>
      </c>
      <c r="E384" s="7" t="s">
        <v>52</v>
      </c>
      <c r="F384" s="7" t="s">
        <v>112</v>
      </c>
      <c r="G384" s="11">
        <v>5</v>
      </c>
      <c r="H384" s="11">
        <v>5</v>
      </c>
      <c r="I384" s="7"/>
      <c r="J384" s="7"/>
      <c r="K384" s="7"/>
      <c r="L384" s="7" t="s">
        <v>725</v>
      </c>
      <c r="M384" s="8" t="b">
        <v>0</v>
      </c>
      <c r="N384" s="8" t="b">
        <v>0</v>
      </c>
      <c r="O384" s="7" t="s">
        <v>1081</v>
      </c>
      <c r="P384" s="7" t="s">
        <v>1082</v>
      </c>
      <c r="Q384" s="8" t="b">
        <v>1</v>
      </c>
      <c r="R384" s="8" t="b">
        <v>1</v>
      </c>
      <c r="S384" s="7" t="s">
        <v>104</v>
      </c>
      <c r="T384" s="12">
        <v>0</v>
      </c>
      <c r="U384" s="28" t="s">
        <v>1148</v>
      </c>
      <c r="V384" s="29">
        <v>0</v>
      </c>
      <c r="W384" s="30" t="b">
        <v>1</v>
      </c>
      <c r="X384" s="28" t="s">
        <v>90</v>
      </c>
    </row>
    <row r="385" spans="1:24" ht="15">
      <c r="A385" s="7">
        <v>377</v>
      </c>
      <c r="B385" s="7">
        <v>551499</v>
      </c>
      <c r="C385" s="7" t="s">
        <v>1149</v>
      </c>
      <c r="D385" s="7" t="s">
        <v>1150</v>
      </c>
      <c r="E385" s="7" t="s">
        <v>52</v>
      </c>
      <c r="F385" s="7" t="s">
        <v>112</v>
      </c>
      <c r="G385" s="11">
        <v>6.5</v>
      </c>
      <c r="H385" s="11">
        <v>6.5</v>
      </c>
      <c r="I385" s="7"/>
      <c r="J385" s="7"/>
      <c r="K385" s="7"/>
      <c r="L385" s="7" t="s">
        <v>1151</v>
      </c>
      <c r="M385" s="8" t="b">
        <v>1</v>
      </c>
      <c r="N385" s="8" t="b">
        <v>0</v>
      </c>
      <c r="O385" s="7" t="s">
        <v>1081</v>
      </c>
      <c r="P385" s="7" t="s">
        <v>1082</v>
      </c>
      <c r="Q385" s="8" t="b">
        <v>1</v>
      </c>
      <c r="R385" s="8" t="b">
        <v>1</v>
      </c>
      <c r="S385" s="7" t="s">
        <v>89</v>
      </c>
      <c r="T385" s="12"/>
      <c r="U385" s="28"/>
      <c r="V385" s="29">
        <v>8.0000000000000002E-3</v>
      </c>
      <c r="W385" s="30" t="b">
        <v>1</v>
      </c>
      <c r="X385" s="28" t="s">
        <v>90</v>
      </c>
    </row>
    <row r="386" spans="1:24" ht="15">
      <c r="A386" s="7">
        <v>378</v>
      </c>
      <c r="B386" s="7">
        <v>491501</v>
      </c>
      <c r="C386" s="7" t="s">
        <v>1152</v>
      </c>
      <c r="D386" s="7" t="s">
        <v>1153</v>
      </c>
      <c r="E386" s="7" t="s">
        <v>52</v>
      </c>
      <c r="F386" s="7" t="s">
        <v>112</v>
      </c>
      <c r="G386" s="11">
        <v>4.5</v>
      </c>
      <c r="H386" s="11">
        <v>4.5</v>
      </c>
      <c r="I386" s="7"/>
      <c r="J386" s="7"/>
      <c r="K386" s="7"/>
      <c r="L386" s="7" t="s">
        <v>626</v>
      </c>
      <c r="M386" s="8" t="b">
        <v>0</v>
      </c>
      <c r="N386" s="8" t="b">
        <v>0</v>
      </c>
      <c r="O386" s="7" t="s">
        <v>1081</v>
      </c>
      <c r="P386" s="7" t="s">
        <v>1082</v>
      </c>
      <c r="Q386" s="8" t="b">
        <v>1</v>
      </c>
      <c r="R386" s="8" t="b">
        <v>1</v>
      </c>
      <c r="S386" s="7" t="s">
        <v>89</v>
      </c>
      <c r="T386" s="12"/>
      <c r="U386" s="28"/>
      <c r="V386" s="29">
        <v>2E-3</v>
      </c>
      <c r="W386" s="30" t="b">
        <v>1</v>
      </c>
      <c r="X386" s="28" t="s">
        <v>90</v>
      </c>
    </row>
    <row r="387" spans="1:24" ht="15">
      <c r="A387" s="7">
        <v>379</v>
      </c>
      <c r="B387" s="7">
        <v>219168</v>
      </c>
      <c r="C387" s="7" t="s">
        <v>1154</v>
      </c>
      <c r="D387" s="7" t="s">
        <v>1155</v>
      </c>
      <c r="E387" s="7" t="s">
        <v>52</v>
      </c>
      <c r="F387" s="7" t="s">
        <v>167</v>
      </c>
      <c r="G387" s="11">
        <v>9</v>
      </c>
      <c r="H387" s="11">
        <v>9</v>
      </c>
      <c r="I387" s="7">
        <v>1</v>
      </c>
      <c r="J387" s="7"/>
      <c r="K387" s="7"/>
      <c r="L387" s="7" t="s">
        <v>209</v>
      </c>
      <c r="M387" s="8" t="b">
        <v>0</v>
      </c>
      <c r="N387" s="8" t="b">
        <v>0</v>
      </c>
      <c r="O387" s="7" t="s">
        <v>1081</v>
      </c>
      <c r="P387" s="7" t="s">
        <v>1082</v>
      </c>
      <c r="Q387" s="8" t="b">
        <v>1</v>
      </c>
      <c r="R387" s="8" t="b">
        <v>1</v>
      </c>
      <c r="S387" s="7" t="s">
        <v>89</v>
      </c>
      <c r="T387" s="12"/>
      <c r="U387" s="28"/>
      <c r="V387" s="29">
        <v>0.113</v>
      </c>
      <c r="W387" s="30" t="b">
        <v>1</v>
      </c>
      <c r="X387" s="28" t="s">
        <v>90</v>
      </c>
    </row>
    <row r="388" spans="1:24" ht="15">
      <c r="A388" s="7">
        <v>380</v>
      </c>
      <c r="B388" s="7">
        <v>510663</v>
      </c>
      <c r="C388" s="7" t="s">
        <v>1156</v>
      </c>
      <c r="D388" s="7" t="s">
        <v>1157</v>
      </c>
      <c r="E388" s="7" t="s">
        <v>52</v>
      </c>
      <c r="F388" s="7" t="s">
        <v>167</v>
      </c>
      <c r="G388" s="11">
        <v>7.5</v>
      </c>
      <c r="H388" s="11">
        <v>7.5</v>
      </c>
      <c r="I388" s="7"/>
      <c r="J388" s="7"/>
      <c r="K388" s="7"/>
      <c r="L388" s="7" t="s">
        <v>1158</v>
      </c>
      <c r="M388" s="8" t="b">
        <v>0</v>
      </c>
      <c r="N388" s="8" t="b">
        <v>0</v>
      </c>
      <c r="O388" s="7" t="s">
        <v>1081</v>
      </c>
      <c r="P388" s="7" t="s">
        <v>1082</v>
      </c>
      <c r="Q388" s="8" t="b">
        <v>1</v>
      </c>
      <c r="R388" s="8" t="b">
        <v>1</v>
      </c>
      <c r="S388" s="7" t="s">
        <v>104</v>
      </c>
      <c r="T388" s="12">
        <v>0</v>
      </c>
      <c r="U388" s="28" t="s">
        <v>1159</v>
      </c>
      <c r="V388" s="29">
        <v>2E-3</v>
      </c>
      <c r="W388" s="30" t="b">
        <v>1</v>
      </c>
      <c r="X388" s="28" t="s">
        <v>90</v>
      </c>
    </row>
    <row r="389" spans="1:24" ht="15">
      <c r="A389" s="7">
        <v>381</v>
      </c>
      <c r="B389" s="7">
        <v>514514</v>
      </c>
      <c r="C389" s="7" t="s">
        <v>1160</v>
      </c>
      <c r="D389" s="7" t="s">
        <v>1161</v>
      </c>
      <c r="E389" s="7" t="s">
        <v>52</v>
      </c>
      <c r="F389" s="7" t="s">
        <v>112</v>
      </c>
      <c r="G389" s="11">
        <v>5</v>
      </c>
      <c r="H389" s="11">
        <v>5</v>
      </c>
      <c r="I389" s="7"/>
      <c r="J389" s="7"/>
      <c r="K389" s="7"/>
      <c r="L389" s="7" t="s">
        <v>626</v>
      </c>
      <c r="M389" s="8" t="b">
        <v>0</v>
      </c>
      <c r="N389" s="8" t="b">
        <v>0</v>
      </c>
      <c r="O389" s="7" t="s">
        <v>1081</v>
      </c>
      <c r="P389" s="7" t="s">
        <v>1082</v>
      </c>
      <c r="Q389" s="8" t="b">
        <v>1</v>
      </c>
      <c r="R389" s="8" t="b">
        <v>1</v>
      </c>
      <c r="S389" s="7" t="s">
        <v>89</v>
      </c>
      <c r="T389" s="12"/>
      <c r="U389" s="28"/>
      <c r="V389" s="29">
        <v>0</v>
      </c>
      <c r="W389" s="30" t="b">
        <v>1</v>
      </c>
      <c r="X389" s="28" t="s">
        <v>90</v>
      </c>
    </row>
    <row r="390" spans="1:24" ht="15">
      <c r="A390" s="7">
        <v>382</v>
      </c>
      <c r="B390" s="7">
        <v>500058</v>
      </c>
      <c r="C390" s="7" t="s">
        <v>1162</v>
      </c>
      <c r="D390" s="7" t="s">
        <v>1163</v>
      </c>
      <c r="E390" s="7" t="s">
        <v>52</v>
      </c>
      <c r="F390" s="7" t="s">
        <v>167</v>
      </c>
      <c r="G390" s="11">
        <v>4.5</v>
      </c>
      <c r="H390" s="11">
        <v>4.5</v>
      </c>
      <c r="I390" s="7"/>
      <c r="J390" s="7"/>
      <c r="K390" s="7"/>
      <c r="L390" s="7" t="s">
        <v>152</v>
      </c>
      <c r="M390" s="8" t="b">
        <v>1</v>
      </c>
      <c r="N390" s="8" t="b">
        <v>0</v>
      </c>
      <c r="O390" s="7" t="s">
        <v>1081</v>
      </c>
      <c r="P390" s="7" t="s">
        <v>1082</v>
      </c>
      <c r="Q390" s="8" t="b">
        <v>1</v>
      </c>
      <c r="R390" s="8" t="b">
        <v>1</v>
      </c>
      <c r="S390" s="7" t="s">
        <v>104</v>
      </c>
      <c r="T390" s="12">
        <v>0</v>
      </c>
      <c r="U390" s="28" t="s">
        <v>1164</v>
      </c>
      <c r="V390" s="29">
        <v>1E-3</v>
      </c>
      <c r="W390" s="30" t="b">
        <v>1</v>
      </c>
      <c r="X390" s="28" t="s">
        <v>90</v>
      </c>
    </row>
    <row r="391" spans="1:24" ht="15">
      <c r="A391" s="7">
        <v>383</v>
      </c>
      <c r="B391" s="7">
        <v>444884</v>
      </c>
      <c r="C391" s="7" t="s">
        <v>1165</v>
      </c>
      <c r="D391" s="7" t="s">
        <v>1166</v>
      </c>
      <c r="E391" s="7" t="s">
        <v>52</v>
      </c>
      <c r="F391" s="7" t="s">
        <v>112</v>
      </c>
      <c r="G391" s="11">
        <v>5.5</v>
      </c>
      <c r="H391" s="11">
        <v>5.5</v>
      </c>
      <c r="I391" s="7"/>
      <c r="J391" s="7"/>
      <c r="K391" s="7"/>
      <c r="L391" s="7" t="s">
        <v>1167</v>
      </c>
      <c r="M391" s="8" t="b">
        <v>0</v>
      </c>
      <c r="N391" s="8" t="b">
        <v>0</v>
      </c>
      <c r="O391" s="7" t="s">
        <v>1081</v>
      </c>
      <c r="P391" s="7" t="s">
        <v>1082</v>
      </c>
      <c r="Q391" s="8" t="b">
        <v>1</v>
      </c>
      <c r="R391" s="8" t="b">
        <v>1</v>
      </c>
      <c r="S391" s="7" t="s">
        <v>89</v>
      </c>
      <c r="T391" s="12"/>
      <c r="U391" s="28"/>
      <c r="V391" s="29">
        <v>1E-3</v>
      </c>
      <c r="W391" s="30" t="b">
        <v>1</v>
      </c>
      <c r="X391" s="28" t="s">
        <v>90</v>
      </c>
    </row>
    <row r="392" spans="1:24" ht="15">
      <c r="A392" s="7">
        <v>238</v>
      </c>
      <c r="B392" s="7">
        <v>114283</v>
      </c>
      <c r="C392" s="7" t="s">
        <v>1168</v>
      </c>
      <c r="D392" s="7" t="s">
        <v>1169</v>
      </c>
      <c r="E392" s="7" t="s">
        <v>53</v>
      </c>
      <c r="F392" s="7" t="s">
        <v>112</v>
      </c>
      <c r="G392" s="11">
        <v>6.5</v>
      </c>
      <c r="H392" s="11">
        <v>6.5</v>
      </c>
      <c r="I392" s="7"/>
      <c r="J392" s="7"/>
      <c r="K392" s="7"/>
      <c r="L392" s="7" t="s">
        <v>1170</v>
      </c>
      <c r="M392" s="8" t="b">
        <v>0</v>
      </c>
      <c r="N392" s="8" t="b">
        <v>0</v>
      </c>
      <c r="O392" s="7" t="s">
        <v>1171</v>
      </c>
      <c r="P392" s="7" t="s">
        <v>1172</v>
      </c>
      <c r="Q392" s="8" t="b">
        <v>1</v>
      </c>
      <c r="R392" s="8" t="b">
        <v>1</v>
      </c>
      <c r="S392" s="7" t="s">
        <v>233</v>
      </c>
      <c r="T392" s="12">
        <v>75</v>
      </c>
      <c r="U392" s="28" t="s">
        <v>1173</v>
      </c>
      <c r="V392" s="29">
        <v>2E-3</v>
      </c>
      <c r="W392" s="30" t="b">
        <v>1</v>
      </c>
      <c r="X392" s="28" t="s">
        <v>90</v>
      </c>
    </row>
    <row r="393" spans="1:24" ht="15">
      <c r="A393" s="7">
        <v>384</v>
      </c>
      <c r="B393" s="7">
        <v>204936</v>
      </c>
      <c r="C393" s="7" t="s">
        <v>1174</v>
      </c>
      <c r="D393" s="7" t="s">
        <v>1175</v>
      </c>
      <c r="E393" s="7" t="s">
        <v>53</v>
      </c>
      <c r="F393" s="7" t="s">
        <v>85</v>
      </c>
      <c r="G393" s="11">
        <v>5.5</v>
      </c>
      <c r="H393" s="11">
        <v>5.5</v>
      </c>
      <c r="I393" s="7"/>
      <c r="J393" s="7"/>
      <c r="K393" s="7"/>
      <c r="L393" s="7" t="s">
        <v>209</v>
      </c>
      <c r="M393" s="8" t="b">
        <v>0</v>
      </c>
      <c r="N393" s="8" t="b">
        <v>0</v>
      </c>
      <c r="O393" s="7" t="s">
        <v>1171</v>
      </c>
      <c r="P393" s="7" t="s">
        <v>1172</v>
      </c>
      <c r="Q393" s="8" t="b">
        <v>1</v>
      </c>
      <c r="R393" s="8" t="b">
        <v>1</v>
      </c>
      <c r="S393" s="7" t="s">
        <v>89</v>
      </c>
      <c r="T393" s="12"/>
      <c r="U393" s="28"/>
      <c r="V393" s="29">
        <v>0.111</v>
      </c>
      <c r="W393" s="30" t="b">
        <v>1</v>
      </c>
      <c r="X393" s="28" t="s">
        <v>90</v>
      </c>
    </row>
    <row r="394" spans="1:24" ht="15">
      <c r="A394" s="7">
        <v>385</v>
      </c>
      <c r="B394" s="7">
        <v>432720</v>
      </c>
      <c r="C394" s="7" t="s">
        <v>1176</v>
      </c>
      <c r="D394" s="7" t="s">
        <v>1177</v>
      </c>
      <c r="E394" s="7" t="s">
        <v>53</v>
      </c>
      <c r="F394" s="7" t="s">
        <v>85</v>
      </c>
      <c r="G394" s="11">
        <v>5</v>
      </c>
      <c r="H394" s="11">
        <v>5</v>
      </c>
      <c r="I394" s="7"/>
      <c r="J394" s="7"/>
      <c r="K394" s="7"/>
      <c r="L394" s="7" t="s">
        <v>777</v>
      </c>
      <c r="M394" s="8" t="b">
        <v>0</v>
      </c>
      <c r="N394" s="8" t="b">
        <v>0</v>
      </c>
      <c r="O394" s="7" t="s">
        <v>1171</v>
      </c>
      <c r="P394" s="7" t="s">
        <v>1172</v>
      </c>
      <c r="Q394" s="8" t="b">
        <v>1</v>
      </c>
      <c r="R394" s="8" t="b">
        <v>1</v>
      </c>
      <c r="S394" s="7" t="s">
        <v>89</v>
      </c>
      <c r="T394" s="12"/>
      <c r="U394" s="28"/>
      <c r="V394" s="29">
        <v>1.3999999999999999E-2</v>
      </c>
      <c r="W394" s="30" t="b">
        <v>1</v>
      </c>
      <c r="X394" s="28" t="s">
        <v>90</v>
      </c>
    </row>
    <row r="395" spans="1:24" ht="15">
      <c r="A395" s="7">
        <v>386</v>
      </c>
      <c r="B395" s="7">
        <v>122074</v>
      </c>
      <c r="C395" s="7" t="s">
        <v>1178</v>
      </c>
      <c r="D395" s="7" t="s">
        <v>1179</v>
      </c>
      <c r="E395" s="7" t="s">
        <v>53</v>
      </c>
      <c r="F395" s="7" t="s">
        <v>85</v>
      </c>
      <c r="G395" s="11">
        <v>4.5</v>
      </c>
      <c r="H395" s="11">
        <v>4.5</v>
      </c>
      <c r="I395" s="7"/>
      <c r="J395" s="7"/>
      <c r="K395" s="7"/>
      <c r="L395" s="7" t="s">
        <v>1180</v>
      </c>
      <c r="M395" s="8" t="b">
        <v>0</v>
      </c>
      <c r="N395" s="8" t="b">
        <v>0</v>
      </c>
      <c r="O395" s="7" t="s">
        <v>1171</v>
      </c>
      <c r="P395" s="7" t="s">
        <v>1172</v>
      </c>
      <c r="Q395" s="8" t="b">
        <v>1</v>
      </c>
      <c r="R395" s="8" t="b">
        <v>1</v>
      </c>
      <c r="S395" s="7" t="s">
        <v>89</v>
      </c>
      <c r="T395" s="12"/>
      <c r="U395" s="28"/>
      <c r="V395" s="29">
        <v>0</v>
      </c>
      <c r="W395" s="30" t="b">
        <v>1</v>
      </c>
      <c r="X395" s="28" t="s">
        <v>90</v>
      </c>
    </row>
    <row r="396" spans="1:24" ht="15">
      <c r="A396" s="7">
        <v>387</v>
      </c>
      <c r="B396" s="7">
        <v>472769</v>
      </c>
      <c r="C396" s="7" t="s">
        <v>1181</v>
      </c>
      <c r="D396" s="7" t="s">
        <v>1182</v>
      </c>
      <c r="E396" s="7" t="s">
        <v>53</v>
      </c>
      <c r="F396" s="7" t="s">
        <v>99</v>
      </c>
      <c r="G396" s="11">
        <v>6.5</v>
      </c>
      <c r="H396" s="11">
        <v>6.5</v>
      </c>
      <c r="I396" s="7"/>
      <c r="J396" s="7"/>
      <c r="K396" s="7"/>
      <c r="L396" s="7" t="s">
        <v>1183</v>
      </c>
      <c r="M396" s="8" t="b">
        <v>0</v>
      </c>
      <c r="N396" s="8" t="b">
        <v>0</v>
      </c>
      <c r="O396" s="7" t="s">
        <v>1171</v>
      </c>
      <c r="P396" s="7" t="s">
        <v>1172</v>
      </c>
      <c r="Q396" s="8" t="b">
        <v>1</v>
      </c>
      <c r="R396" s="8" t="b">
        <v>1</v>
      </c>
      <c r="S396" s="7" t="s">
        <v>89</v>
      </c>
      <c r="T396" s="12"/>
      <c r="U396" s="28"/>
      <c r="V396" s="29">
        <v>0.22899999999999998</v>
      </c>
      <c r="W396" s="30" t="b">
        <v>1</v>
      </c>
      <c r="X396" s="28" t="s">
        <v>90</v>
      </c>
    </row>
    <row r="397" spans="1:24" ht="15">
      <c r="A397" s="7">
        <v>388</v>
      </c>
      <c r="B397" s="7">
        <v>209036</v>
      </c>
      <c r="C397" s="7" t="s">
        <v>1184</v>
      </c>
      <c r="D397" s="7" t="s">
        <v>1185</v>
      </c>
      <c r="E397" s="7" t="s">
        <v>53</v>
      </c>
      <c r="F397" s="7" t="s">
        <v>99</v>
      </c>
      <c r="G397" s="11">
        <v>6</v>
      </c>
      <c r="H397" s="11">
        <v>6</v>
      </c>
      <c r="I397" s="7"/>
      <c r="J397" s="7"/>
      <c r="K397" s="7"/>
      <c r="L397" s="7" t="s">
        <v>1186</v>
      </c>
      <c r="M397" s="8" t="b">
        <v>0</v>
      </c>
      <c r="N397" s="8" t="b">
        <v>0</v>
      </c>
      <c r="O397" s="7" t="s">
        <v>1171</v>
      </c>
      <c r="P397" s="7" t="s">
        <v>1172</v>
      </c>
      <c r="Q397" s="8" t="b">
        <v>1</v>
      </c>
      <c r="R397" s="8" t="b">
        <v>1</v>
      </c>
      <c r="S397" s="7" t="s">
        <v>89</v>
      </c>
      <c r="T397" s="12"/>
      <c r="U397" s="28"/>
      <c r="V397" s="29">
        <v>0.24</v>
      </c>
      <c r="W397" s="30" t="b">
        <v>1</v>
      </c>
      <c r="X397" s="28" t="s">
        <v>90</v>
      </c>
    </row>
    <row r="398" spans="1:24" ht="15">
      <c r="A398" s="7">
        <v>389</v>
      </c>
      <c r="B398" s="7">
        <v>465351</v>
      </c>
      <c r="C398" s="7" t="s">
        <v>1187</v>
      </c>
      <c r="D398" s="7" t="s">
        <v>1188</v>
      </c>
      <c r="E398" s="7" t="s">
        <v>53</v>
      </c>
      <c r="F398" s="7" t="s">
        <v>99</v>
      </c>
      <c r="G398" s="11">
        <v>6</v>
      </c>
      <c r="H398" s="11">
        <v>6</v>
      </c>
      <c r="I398" s="7">
        <v>5</v>
      </c>
      <c r="J398" s="7"/>
      <c r="K398" s="7"/>
      <c r="L398" s="7" t="s">
        <v>555</v>
      </c>
      <c r="M398" s="8" t="b">
        <v>0</v>
      </c>
      <c r="N398" s="8" t="b">
        <v>0</v>
      </c>
      <c r="O398" s="7" t="s">
        <v>1171</v>
      </c>
      <c r="P398" s="7" t="s">
        <v>1172</v>
      </c>
      <c r="Q398" s="8" t="b">
        <v>1</v>
      </c>
      <c r="R398" s="8" t="b">
        <v>1</v>
      </c>
      <c r="S398" s="7" t="s">
        <v>89</v>
      </c>
      <c r="T398" s="12"/>
      <c r="U398" s="28"/>
      <c r="V398" s="29">
        <v>0.05</v>
      </c>
      <c r="W398" s="30" t="b">
        <v>1</v>
      </c>
      <c r="X398" s="28" t="s">
        <v>90</v>
      </c>
    </row>
    <row r="399" spans="1:24" ht="15">
      <c r="A399" s="7">
        <v>390</v>
      </c>
      <c r="B399" s="7">
        <v>171314</v>
      </c>
      <c r="C399" s="7" t="s">
        <v>1189</v>
      </c>
      <c r="D399" s="7" t="s">
        <v>1190</v>
      </c>
      <c r="E399" s="7" t="s">
        <v>53</v>
      </c>
      <c r="F399" s="7" t="s">
        <v>99</v>
      </c>
      <c r="G399" s="11">
        <v>5.5</v>
      </c>
      <c r="H399" s="11">
        <v>5.5</v>
      </c>
      <c r="I399" s="7"/>
      <c r="J399" s="7"/>
      <c r="K399" s="7"/>
      <c r="L399" s="7" t="s">
        <v>1191</v>
      </c>
      <c r="M399" s="8" t="b">
        <v>0</v>
      </c>
      <c r="N399" s="8" t="b">
        <v>0</v>
      </c>
      <c r="O399" s="7" t="s">
        <v>1171</v>
      </c>
      <c r="P399" s="7" t="s">
        <v>1172</v>
      </c>
      <c r="Q399" s="8" t="b">
        <v>1</v>
      </c>
      <c r="R399" s="8" t="b">
        <v>1</v>
      </c>
      <c r="S399" s="7" t="s">
        <v>89</v>
      </c>
      <c r="T399" s="12"/>
      <c r="U399" s="28"/>
      <c r="V399" s="29">
        <v>1.3999999999999999E-2</v>
      </c>
      <c r="W399" s="30" t="b">
        <v>1</v>
      </c>
      <c r="X399" s="28" t="s">
        <v>90</v>
      </c>
    </row>
    <row r="400" spans="1:24" ht="15">
      <c r="A400" s="7">
        <v>391</v>
      </c>
      <c r="B400" s="7">
        <v>477424</v>
      </c>
      <c r="C400" s="7" t="s">
        <v>1192</v>
      </c>
      <c r="D400" s="7" t="s">
        <v>1193</v>
      </c>
      <c r="E400" s="7" t="s">
        <v>53</v>
      </c>
      <c r="F400" s="7" t="s">
        <v>99</v>
      </c>
      <c r="G400" s="11">
        <v>5.5</v>
      </c>
      <c r="H400" s="11">
        <v>5.5</v>
      </c>
      <c r="I400" s="7"/>
      <c r="J400" s="7"/>
      <c r="K400" s="7"/>
      <c r="L400" s="7" t="s">
        <v>514</v>
      </c>
      <c r="M400" s="8" t="b">
        <v>0</v>
      </c>
      <c r="N400" s="8" t="b">
        <v>0</v>
      </c>
      <c r="O400" s="7" t="s">
        <v>1171</v>
      </c>
      <c r="P400" s="7" t="s">
        <v>1172</v>
      </c>
      <c r="Q400" s="8" t="b">
        <v>1</v>
      </c>
      <c r="R400" s="8" t="b">
        <v>1</v>
      </c>
      <c r="S400" s="7" t="s">
        <v>89</v>
      </c>
      <c r="T400" s="12"/>
      <c r="U400" s="28"/>
      <c r="V400" s="29">
        <v>0.107</v>
      </c>
      <c r="W400" s="30" t="b">
        <v>1</v>
      </c>
      <c r="X400" s="28" t="s">
        <v>90</v>
      </c>
    </row>
    <row r="401" spans="1:24" ht="15">
      <c r="A401" s="7">
        <v>392</v>
      </c>
      <c r="B401" s="7">
        <v>448514</v>
      </c>
      <c r="C401" s="7" t="s">
        <v>1194</v>
      </c>
      <c r="D401" s="7" t="s">
        <v>1195</v>
      </c>
      <c r="E401" s="7" t="s">
        <v>53</v>
      </c>
      <c r="F401" s="7" t="s">
        <v>99</v>
      </c>
      <c r="G401" s="11">
        <v>5.5</v>
      </c>
      <c r="H401" s="11">
        <v>5.5</v>
      </c>
      <c r="I401" s="7"/>
      <c r="J401" s="7"/>
      <c r="K401" s="7"/>
      <c r="L401" s="7" t="s">
        <v>544</v>
      </c>
      <c r="M401" s="8" t="b">
        <v>0</v>
      </c>
      <c r="N401" s="8" t="b">
        <v>0</v>
      </c>
      <c r="O401" s="7" t="s">
        <v>1171</v>
      </c>
      <c r="P401" s="7" t="s">
        <v>1172</v>
      </c>
      <c r="Q401" s="8" t="b">
        <v>1</v>
      </c>
      <c r="R401" s="8" t="b">
        <v>1</v>
      </c>
      <c r="S401" s="7" t="s">
        <v>89</v>
      </c>
      <c r="T401" s="12"/>
      <c r="U401" s="28"/>
      <c r="V401" s="29">
        <v>9.0000000000000011E-3</v>
      </c>
      <c r="W401" s="30" t="b">
        <v>1</v>
      </c>
      <c r="X401" s="28" t="s">
        <v>90</v>
      </c>
    </row>
    <row r="402" spans="1:24" ht="15">
      <c r="A402" s="7">
        <v>393</v>
      </c>
      <c r="B402" s="7">
        <v>578153</v>
      </c>
      <c r="C402" s="7" t="s">
        <v>1196</v>
      </c>
      <c r="D402" s="7" t="s">
        <v>1197</v>
      </c>
      <c r="E402" s="7" t="s">
        <v>53</v>
      </c>
      <c r="F402" s="7" t="s">
        <v>99</v>
      </c>
      <c r="G402" s="11">
        <v>5.5</v>
      </c>
      <c r="H402" s="11">
        <v>5.5</v>
      </c>
      <c r="I402" s="7"/>
      <c r="J402" s="7"/>
      <c r="K402" s="7"/>
      <c r="L402" s="7" t="s">
        <v>1198</v>
      </c>
      <c r="M402" s="8" t="b">
        <v>0</v>
      </c>
      <c r="N402" s="8" t="b">
        <v>0</v>
      </c>
      <c r="O402" s="7" t="s">
        <v>1171</v>
      </c>
      <c r="P402" s="7" t="s">
        <v>1172</v>
      </c>
      <c r="Q402" s="8" t="b">
        <v>1</v>
      </c>
      <c r="R402" s="8" t="b">
        <v>1</v>
      </c>
      <c r="S402" s="7" t="s">
        <v>89</v>
      </c>
      <c r="T402" s="12"/>
      <c r="U402" s="28"/>
      <c r="V402" s="29">
        <v>0.02</v>
      </c>
      <c r="W402" s="30" t="b">
        <v>1</v>
      </c>
      <c r="X402" s="28" t="s">
        <v>90</v>
      </c>
    </row>
    <row r="403" spans="1:24" ht="15">
      <c r="A403" s="7">
        <v>394</v>
      </c>
      <c r="B403" s="7">
        <v>494307</v>
      </c>
      <c r="C403" s="7" t="s">
        <v>1199</v>
      </c>
      <c r="D403" s="7" t="s">
        <v>1200</v>
      </c>
      <c r="E403" s="7" t="s">
        <v>53</v>
      </c>
      <c r="F403" s="7" t="s">
        <v>99</v>
      </c>
      <c r="G403" s="11">
        <v>5</v>
      </c>
      <c r="H403" s="11">
        <v>5</v>
      </c>
      <c r="I403" s="7"/>
      <c r="J403" s="7"/>
      <c r="K403" s="7"/>
      <c r="L403" s="7" t="s">
        <v>1183</v>
      </c>
      <c r="M403" s="8" t="b">
        <v>0</v>
      </c>
      <c r="N403" s="8" t="b">
        <v>0</v>
      </c>
      <c r="O403" s="7" t="s">
        <v>1171</v>
      </c>
      <c r="P403" s="7" t="s">
        <v>1172</v>
      </c>
      <c r="Q403" s="8" t="b">
        <v>1</v>
      </c>
      <c r="R403" s="8" t="b">
        <v>1</v>
      </c>
      <c r="S403" s="7" t="s">
        <v>89</v>
      </c>
      <c r="T403" s="12"/>
      <c r="U403" s="28"/>
      <c r="V403" s="29">
        <v>0</v>
      </c>
      <c r="W403" s="30" t="b">
        <v>1</v>
      </c>
      <c r="X403" s="28" t="s">
        <v>90</v>
      </c>
    </row>
    <row r="404" spans="1:24" ht="15">
      <c r="A404" s="7">
        <v>395</v>
      </c>
      <c r="B404" s="7">
        <v>477064</v>
      </c>
      <c r="C404" s="7" t="s">
        <v>1201</v>
      </c>
      <c r="D404" s="7" t="s">
        <v>1202</v>
      </c>
      <c r="E404" s="7" t="s">
        <v>53</v>
      </c>
      <c r="F404" s="7" t="s">
        <v>99</v>
      </c>
      <c r="G404" s="11">
        <v>4.5</v>
      </c>
      <c r="H404" s="11">
        <v>4.5</v>
      </c>
      <c r="I404" s="7"/>
      <c r="J404" s="7"/>
      <c r="K404" s="7"/>
      <c r="L404" s="7" t="s">
        <v>1203</v>
      </c>
      <c r="M404" s="8" t="b">
        <v>0</v>
      </c>
      <c r="N404" s="8" t="b">
        <v>0</v>
      </c>
      <c r="O404" s="7" t="s">
        <v>1171</v>
      </c>
      <c r="P404" s="7" t="s">
        <v>1172</v>
      </c>
      <c r="Q404" s="8" t="b">
        <v>1</v>
      </c>
      <c r="R404" s="8" t="b">
        <v>1</v>
      </c>
      <c r="S404" s="7" t="s">
        <v>89</v>
      </c>
      <c r="T404" s="12"/>
      <c r="U404" s="28"/>
      <c r="V404" s="29">
        <v>2E-3</v>
      </c>
      <c r="W404" s="30" t="b">
        <v>1</v>
      </c>
      <c r="X404" s="28" t="s">
        <v>90</v>
      </c>
    </row>
    <row r="405" spans="1:24" ht="15">
      <c r="A405" s="7">
        <v>396</v>
      </c>
      <c r="B405" s="7">
        <v>616222</v>
      </c>
      <c r="C405" s="7" t="s">
        <v>1204</v>
      </c>
      <c r="D405" s="7" t="s">
        <v>1205</v>
      </c>
      <c r="E405" s="7" t="s">
        <v>53</v>
      </c>
      <c r="F405" s="7" t="s">
        <v>99</v>
      </c>
      <c r="G405" s="11">
        <v>4.5</v>
      </c>
      <c r="H405" s="11">
        <v>4.5</v>
      </c>
      <c r="I405" s="7"/>
      <c r="J405" s="7"/>
      <c r="K405" s="7"/>
      <c r="L405" s="7" t="s">
        <v>1206</v>
      </c>
      <c r="M405" s="8" t="b">
        <v>0</v>
      </c>
      <c r="N405" s="8" t="b">
        <v>0</v>
      </c>
      <c r="O405" s="7" t="s">
        <v>1171</v>
      </c>
      <c r="P405" s="7" t="s">
        <v>1172</v>
      </c>
      <c r="Q405" s="8" t="b">
        <v>1</v>
      </c>
      <c r="R405" s="8" t="b">
        <v>1</v>
      </c>
      <c r="S405" s="7" t="s">
        <v>89</v>
      </c>
      <c r="T405" s="12"/>
      <c r="U405" s="28"/>
      <c r="V405" s="29">
        <v>0</v>
      </c>
      <c r="W405" s="30" t="b">
        <v>1</v>
      </c>
      <c r="X405" s="28" t="s">
        <v>90</v>
      </c>
    </row>
    <row r="406" spans="1:24" ht="15">
      <c r="A406" s="7">
        <v>397</v>
      </c>
      <c r="B406" s="7">
        <v>437730</v>
      </c>
      <c r="C406" s="7" t="s">
        <v>1207</v>
      </c>
      <c r="D406" s="7" t="s">
        <v>1208</v>
      </c>
      <c r="E406" s="7" t="s">
        <v>53</v>
      </c>
      <c r="F406" s="7" t="s">
        <v>112</v>
      </c>
      <c r="G406" s="11">
        <v>8.5</v>
      </c>
      <c r="H406" s="11">
        <v>8.5</v>
      </c>
      <c r="I406" s="7">
        <v>3</v>
      </c>
      <c r="J406" s="7"/>
      <c r="K406" s="7"/>
      <c r="L406" s="7" t="s">
        <v>1209</v>
      </c>
      <c r="M406" s="8" t="b">
        <v>0</v>
      </c>
      <c r="N406" s="8" t="b">
        <v>0</v>
      </c>
      <c r="O406" s="7" t="s">
        <v>1171</v>
      </c>
      <c r="P406" s="7" t="s">
        <v>1172</v>
      </c>
      <c r="Q406" s="8" t="b">
        <v>1</v>
      </c>
      <c r="R406" s="8" t="b">
        <v>1</v>
      </c>
      <c r="S406" s="7" t="s">
        <v>89</v>
      </c>
      <c r="T406" s="12"/>
      <c r="U406" s="28"/>
      <c r="V406" s="29">
        <v>0.22</v>
      </c>
      <c r="W406" s="30" t="b">
        <v>1</v>
      </c>
      <c r="X406" s="28" t="s">
        <v>90</v>
      </c>
    </row>
    <row r="407" spans="1:24" ht="15">
      <c r="A407" s="7">
        <v>398</v>
      </c>
      <c r="B407" s="7">
        <v>209244</v>
      </c>
      <c r="C407" s="7" t="s">
        <v>1210</v>
      </c>
      <c r="D407" s="7" t="s">
        <v>1211</v>
      </c>
      <c r="E407" s="7" t="s">
        <v>53</v>
      </c>
      <c r="F407" s="7" t="s">
        <v>112</v>
      </c>
      <c r="G407" s="11">
        <v>7</v>
      </c>
      <c r="H407" s="11">
        <v>7</v>
      </c>
      <c r="I407" s="7"/>
      <c r="J407" s="7">
        <v>3</v>
      </c>
      <c r="K407" s="7">
        <v>4</v>
      </c>
      <c r="L407" s="7" t="s">
        <v>1212</v>
      </c>
      <c r="M407" s="8" t="b">
        <v>0</v>
      </c>
      <c r="N407" s="8" t="b">
        <v>0</v>
      </c>
      <c r="O407" s="7" t="s">
        <v>1171</v>
      </c>
      <c r="P407" s="7" t="s">
        <v>1172</v>
      </c>
      <c r="Q407" s="8" t="b">
        <v>1</v>
      </c>
      <c r="R407" s="8" t="b">
        <v>1</v>
      </c>
      <c r="S407" s="7" t="s">
        <v>89</v>
      </c>
      <c r="T407" s="12"/>
      <c r="U407" s="28"/>
      <c r="V407" s="29">
        <v>7.5999999999999998E-2</v>
      </c>
      <c r="W407" s="30" t="b">
        <v>1</v>
      </c>
      <c r="X407" s="28" t="s">
        <v>90</v>
      </c>
    </row>
    <row r="408" spans="1:24" ht="15">
      <c r="A408" s="7">
        <v>399</v>
      </c>
      <c r="B408" s="7">
        <v>466052</v>
      </c>
      <c r="C408" s="7" t="s">
        <v>1213</v>
      </c>
      <c r="D408" s="7" t="s">
        <v>1214</v>
      </c>
      <c r="E408" s="7" t="s">
        <v>53</v>
      </c>
      <c r="F408" s="7" t="s">
        <v>112</v>
      </c>
      <c r="G408" s="11">
        <v>7.5</v>
      </c>
      <c r="H408" s="11">
        <v>7.5</v>
      </c>
      <c r="I408" s="7"/>
      <c r="J408" s="7">
        <v>1</v>
      </c>
      <c r="K408" s="7">
        <v>5</v>
      </c>
      <c r="L408" s="7" t="s">
        <v>1180</v>
      </c>
      <c r="M408" s="8" t="b">
        <v>0</v>
      </c>
      <c r="N408" s="8" t="b">
        <v>0</v>
      </c>
      <c r="O408" s="7" t="s">
        <v>1171</v>
      </c>
      <c r="P408" s="7" t="s">
        <v>1172</v>
      </c>
      <c r="Q408" s="8" t="b">
        <v>1</v>
      </c>
      <c r="R408" s="8" t="b">
        <v>1</v>
      </c>
      <c r="S408" s="7" t="s">
        <v>89</v>
      </c>
      <c r="T408" s="12"/>
      <c r="U408" s="28"/>
      <c r="V408" s="29">
        <v>9.4E-2</v>
      </c>
      <c r="W408" s="30" t="b">
        <v>1</v>
      </c>
      <c r="X408" s="28" t="s">
        <v>90</v>
      </c>
    </row>
    <row r="409" spans="1:24" ht="15">
      <c r="A409" s="7">
        <v>400</v>
      </c>
      <c r="B409" s="7">
        <v>248875</v>
      </c>
      <c r="C409" s="7" t="s">
        <v>1215</v>
      </c>
      <c r="D409" s="7" t="s">
        <v>1216</v>
      </c>
      <c r="E409" s="7" t="s">
        <v>53</v>
      </c>
      <c r="F409" s="7" t="s">
        <v>112</v>
      </c>
      <c r="G409" s="11">
        <v>7.5</v>
      </c>
      <c r="H409" s="11">
        <v>7.5</v>
      </c>
      <c r="I409" s="7">
        <v>4</v>
      </c>
      <c r="J409" s="7"/>
      <c r="K409" s="7"/>
      <c r="L409" s="7" t="s">
        <v>1074</v>
      </c>
      <c r="M409" s="8" t="b">
        <v>0</v>
      </c>
      <c r="N409" s="8" t="b">
        <v>0</v>
      </c>
      <c r="O409" s="7" t="s">
        <v>1171</v>
      </c>
      <c r="P409" s="7" t="s">
        <v>1172</v>
      </c>
      <c r="Q409" s="8" t="b">
        <v>1</v>
      </c>
      <c r="R409" s="8" t="b">
        <v>1</v>
      </c>
      <c r="S409" s="7" t="s">
        <v>89</v>
      </c>
      <c r="T409" s="12"/>
      <c r="U409" s="28"/>
      <c r="V409" s="29">
        <v>6.4000000000000001E-2</v>
      </c>
      <c r="W409" s="30" t="b">
        <v>1</v>
      </c>
      <c r="X409" s="28" t="s">
        <v>90</v>
      </c>
    </row>
    <row r="410" spans="1:24" ht="15">
      <c r="A410" s="7">
        <v>401</v>
      </c>
      <c r="B410" s="7">
        <v>438234</v>
      </c>
      <c r="C410" s="7" t="s">
        <v>1217</v>
      </c>
      <c r="D410" s="7" t="s">
        <v>1218</v>
      </c>
      <c r="E410" s="7" t="s">
        <v>53</v>
      </c>
      <c r="F410" s="7" t="s">
        <v>167</v>
      </c>
      <c r="G410" s="11">
        <v>7</v>
      </c>
      <c r="H410" s="11">
        <v>7</v>
      </c>
      <c r="I410" s="7">
        <v>2</v>
      </c>
      <c r="J410" s="7">
        <v>2</v>
      </c>
      <c r="K410" s="7"/>
      <c r="L410" s="7" t="s">
        <v>919</v>
      </c>
      <c r="M410" s="8" t="b">
        <v>0</v>
      </c>
      <c r="N410" s="8" t="b">
        <v>0</v>
      </c>
      <c r="O410" s="7" t="s">
        <v>1171</v>
      </c>
      <c r="P410" s="7" t="s">
        <v>1172</v>
      </c>
      <c r="Q410" s="8" t="b">
        <v>1</v>
      </c>
      <c r="R410" s="8" t="b">
        <v>1</v>
      </c>
      <c r="S410" s="7" t="s">
        <v>89</v>
      </c>
      <c r="T410" s="12"/>
      <c r="U410" s="28"/>
      <c r="V410" s="29">
        <v>6.9999999999999993E-3</v>
      </c>
      <c r="W410" s="30" t="b">
        <v>1</v>
      </c>
      <c r="X410" s="28" t="s">
        <v>90</v>
      </c>
    </row>
    <row r="411" spans="1:24" ht="15">
      <c r="A411" s="7">
        <v>402</v>
      </c>
      <c r="B411" s="7">
        <v>220566</v>
      </c>
      <c r="C411" s="7" t="s">
        <v>1219</v>
      </c>
      <c r="D411" s="7" t="s">
        <v>1220</v>
      </c>
      <c r="E411" s="7" t="s">
        <v>53</v>
      </c>
      <c r="F411" s="7" t="s">
        <v>112</v>
      </c>
      <c r="G411" s="11">
        <v>6.5</v>
      </c>
      <c r="H411" s="11">
        <v>6.5</v>
      </c>
      <c r="I411" s="7"/>
      <c r="J411" s="7"/>
      <c r="K411" s="7"/>
      <c r="L411" s="7" t="s">
        <v>1221</v>
      </c>
      <c r="M411" s="8" t="b">
        <v>0</v>
      </c>
      <c r="N411" s="8" t="b">
        <v>0</v>
      </c>
      <c r="O411" s="7" t="s">
        <v>1171</v>
      </c>
      <c r="P411" s="7" t="s">
        <v>1172</v>
      </c>
      <c r="Q411" s="8" t="b">
        <v>1</v>
      </c>
      <c r="R411" s="8" t="b">
        <v>1</v>
      </c>
      <c r="S411" s="7" t="s">
        <v>104</v>
      </c>
      <c r="T411" s="12">
        <v>0</v>
      </c>
      <c r="U411" s="28" t="s">
        <v>109</v>
      </c>
      <c r="V411" s="29">
        <v>1E-3</v>
      </c>
      <c r="W411" s="30" t="b">
        <v>1</v>
      </c>
      <c r="X411" s="28" t="s">
        <v>90</v>
      </c>
    </row>
    <row r="412" spans="1:24" ht="15">
      <c r="A412" s="7">
        <v>403</v>
      </c>
      <c r="B412" s="7">
        <v>510281</v>
      </c>
      <c r="C412" s="7" t="s">
        <v>1222</v>
      </c>
      <c r="D412" s="7" t="s">
        <v>1223</v>
      </c>
      <c r="E412" s="7" t="s">
        <v>53</v>
      </c>
      <c r="F412" s="7" t="s">
        <v>112</v>
      </c>
      <c r="G412" s="11">
        <v>6.5</v>
      </c>
      <c r="H412" s="11">
        <v>6.5</v>
      </c>
      <c r="I412" s="7"/>
      <c r="J412" s="7"/>
      <c r="K412" s="7"/>
      <c r="L412" s="7" t="s">
        <v>1224</v>
      </c>
      <c r="M412" s="8" t="b">
        <v>0</v>
      </c>
      <c r="N412" s="8" t="b">
        <v>0</v>
      </c>
      <c r="O412" s="7" t="s">
        <v>1171</v>
      </c>
      <c r="P412" s="7" t="s">
        <v>1172</v>
      </c>
      <c r="Q412" s="8" t="b">
        <v>1</v>
      </c>
      <c r="R412" s="8" t="b">
        <v>1</v>
      </c>
      <c r="S412" s="7" t="s">
        <v>89</v>
      </c>
      <c r="T412" s="12"/>
      <c r="U412" s="28"/>
      <c r="V412" s="29">
        <v>1E-3</v>
      </c>
      <c r="W412" s="30" t="b">
        <v>1</v>
      </c>
      <c r="X412" s="28" t="s">
        <v>90</v>
      </c>
    </row>
    <row r="413" spans="1:24" ht="15">
      <c r="A413" s="7">
        <v>404</v>
      </c>
      <c r="B413" s="7">
        <v>433036</v>
      </c>
      <c r="C413" s="7" t="s">
        <v>1225</v>
      </c>
      <c r="D413" s="7" t="s">
        <v>1226</v>
      </c>
      <c r="E413" s="7" t="s">
        <v>53</v>
      </c>
      <c r="F413" s="7" t="s">
        <v>112</v>
      </c>
      <c r="G413" s="11">
        <v>6</v>
      </c>
      <c r="H413" s="11">
        <v>6</v>
      </c>
      <c r="I413" s="7"/>
      <c r="J413" s="7">
        <v>4</v>
      </c>
      <c r="K413" s="7">
        <v>6</v>
      </c>
      <c r="L413" s="7" t="s">
        <v>1180</v>
      </c>
      <c r="M413" s="8" t="b">
        <v>0</v>
      </c>
      <c r="N413" s="8" t="b">
        <v>0</v>
      </c>
      <c r="O413" s="7" t="s">
        <v>1171</v>
      </c>
      <c r="P413" s="7" t="s">
        <v>1172</v>
      </c>
      <c r="Q413" s="8" t="b">
        <v>1</v>
      </c>
      <c r="R413" s="8" t="b">
        <v>1</v>
      </c>
      <c r="S413" s="7" t="s">
        <v>89</v>
      </c>
      <c r="T413" s="12"/>
      <c r="U413" s="28"/>
      <c r="V413" s="29">
        <v>4.0000000000000001E-3</v>
      </c>
      <c r="W413" s="30" t="b">
        <v>1</v>
      </c>
      <c r="X413" s="28" t="s">
        <v>90</v>
      </c>
    </row>
    <row r="414" spans="1:24" ht="15">
      <c r="A414" s="7">
        <v>405</v>
      </c>
      <c r="B414" s="7">
        <v>465694</v>
      </c>
      <c r="C414" s="7" t="s">
        <v>1227</v>
      </c>
      <c r="D414" s="7" t="s">
        <v>1228</v>
      </c>
      <c r="E414" s="7" t="s">
        <v>53</v>
      </c>
      <c r="F414" s="7" t="s">
        <v>112</v>
      </c>
      <c r="G414" s="11">
        <v>5.5</v>
      </c>
      <c r="H414" s="11">
        <v>5.5</v>
      </c>
      <c r="I414" s="7"/>
      <c r="J414" s="7"/>
      <c r="K414" s="7"/>
      <c r="L414" s="7" t="s">
        <v>494</v>
      </c>
      <c r="M414" s="8" t="b">
        <v>0</v>
      </c>
      <c r="N414" s="8" t="b">
        <v>0</v>
      </c>
      <c r="O414" s="7" t="s">
        <v>1171</v>
      </c>
      <c r="P414" s="7" t="s">
        <v>1172</v>
      </c>
      <c r="Q414" s="8" t="b">
        <v>1</v>
      </c>
      <c r="R414" s="8" t="b">
        <v>1</v>
      </c>
      <c r="S414" s="7" t="s">
        <v>89</v>
      </c>
      <c r="T414" s="12"/>
      <c r="U414" s="28"/>
      <c r="V414" s="29">
        <v>1E-3</v>
      </c>
      <c r="W414" s="30" t="b">
        <v>1</v>
      </c>
      <c r="X414" s="28" t="s">
        <v>90</v>
      </c>
    </row>
    <row r="415" spans="1:24" ht="15">
      <c r="A415" s="7">
        <v>406</v>
      </c>
      <c r="B415" s="7">
        <v>91651</v>
      </c>
      <c r="C415" s="7" t="s">
        <v>1229</v>
      </c>
      <c r="D415" s="7" t="s">
        <v>1230</v>
      </c>
      <c r="E415" s="7" t="s">
        <v>53</v>
      </c>
      <c r="F415" s="7" t="s">
        <v>112</v>
      </c>
      <c r="G415" s="11">
        <v>5.5</v>
      </c>
      <c r="H415" s="11">
        <v>5.5</v>
      </c>
      <c r="I415" s="7"/>
      <c r="J415" s="7"/>
      <c r="K415" s="7"/>
      <c r="L415" s="7" t="s">
        <v>1231</v>
      </c>
      <c r="M415" s="8" t="b">
        <v>0</v>
      </c>
      <c r="N415" s="8" t="b">
        <v>0</v>
      </c>
      <c r="O415" s="7" t="s">
        <v>1171</v>
      </c>
      <c r="P415" s="7" t="s">
        <v>1172</v>
      </c>
      <c r="Q415" s="8" t="b">
        <v>1</v>
      </c>
      <c r="R415" s="8" t="b">
        <v>1</v>
      </c>
      <c r="S415" s="7" t="s">
        <v>89</v>
      </c>
      <c r="T415" s="12"/>
      <c r="U415" s="28"/>
      <c r="V415" s="29">
        <v>0</v>
      </c>
      <c r="W415" s="30" t="b">
        <v>1</v>
      </c>
      <c r="X415" s="28" t="s">
        <v>90</v>
      </c>
    </row>
    <row r="416" spans="1:24" ht="15">
      <c r="A416" s="7">
        <v>407</v>
      </c>
      <c r="B416" s="7">
        <v>575204</v>
      </c>
      <c r="C416" s="7" t="s">
        <v>1232</v>
      </c>
      <c r="D416" s="7" t="s">
        <v>1233</v>
      </c>
      <c r="E416" s="7" t="s">
        <v>53</v>
      </c>
      <c r="F416" s="7" t="s">
        <v>112</v>
      </c>
      <c r="G416" s="11">
        <v>5</v>
      </c>
      <c r="H416" s="11">
        <v>5</v>
      </c>
      <c r="I416" s="7"/>
      <c r="J416" s="7"/>
      <c r="K416" s="7"/>
      <c r="L416" s="7" t="s">
        <v>1234</v>
      </c>
      <c r="M416" s="8" t="b">
        <v>0</v>
      </c>
      <c r="N416" s="8" t="b">
        <v>0</v>
      </c>
      <c r="O416" s="7" t="s">
        <v>1171</v>
      </c>
      <c r="P416" s="7" t="s">
        <v>1172</v>
      </c>
      <c r="Q416" s="8" t="b">
        <v>1</v>
      </c>
      <c r="R416" s="8" t="b">
        <v>1</v>
      </c>
      <c r="S416" s="7" t="s">
        <v>89</v>
      </c>
      <c r="T416" s="12"/>
      <c r="U416" s="28"/>
      <c r="V416" s="29">
        <v>0</v>
      </c>
      <c r="W416" s="30" t="b">
        <v>1</v>
      </c>
      <c r="X416" s="28" t="s">
        <v>90</v>
      </c>
    </row>
    <row r="417" spans="1:24" ht="15">
      <c r="A417" s="7">
        <v>408</v>
      </c>
      <c r="B417" s="7">
        <v>155405</v>
      </c>
      <c r="C417" s="7" t="s">
        <v>869</v>
      </c>
      <c r="D417" s="7" t="s">
        <v>1235</v>
      </c>
      <c r="E417" s="7" t="s">
        <v>53</v>
      </c>
      <c r="F417" s="7" t="s">
        <v>112</v>
      </c>
      <c r="G417" s="11">
        <v>5</v>
      </c>
      <c r="H417" s="11">
        <v>5</v>
      </c>
      <c r="I417" s="7"/>
      <c r="J417" s="7"/>
      <c r="K417" s="7"/>
      <c r="L417" s="7" t="s">
        <v>174</v>
      </c>
      <c r="M417" s="8" t="b">
        <v>0</v>
      </c>
      <c r="N417" s="8" t="b">
        <v>0</v>
      </c>
      <c r="O417" s="7" t="s">
        <v>1171</v>
      </c>
      <c r="P417" s="7" t="s">
        <v>1172</v>
      </c>
      <c r="Q417" s="8" t="b">
        <v>1</v>
      </c>
      <c r="R417" s="8" t="b">
        <v>1</v>
      </c>
      <c r="S417" s="7" t="s">
        <v>89</v>
      </c>
      <c r="T417" s="12"/>
      <c r="U417" s="28"/>
      <c r="V417" s="29">
        <v>0</v>
      </c>
      <c r="W417" s="30" t="b">
        <v>1</v>
      </c>
      <c r="X417" s="28" t="s">
        <v>90</v>
      </c>
    </row>
    <row r="418" spans="1:24" ht="15">
      <c r="A418" s="7">
        <v>409</v>
      </c>
      <c r="B418" s="7">
        <v>590039</v>
      </c>
      <c r="C418" s="7" t="s">
        <v>1236</v>
      </c>
      <c r="D418" s="7" t="s">
        <v>1237</v>
      </c>
      <c r="E418" s="7" t="s">
        <v>53</v>
      </c>
      <c r="F418" s="7" t="s">
        <v>112</v>
      </c>
      <c r="G418" s="11">
        <v>4.5</v>
      </c>
      <c r="H418" s="11">
        <v>4.5</v>
      </c>
      <c r="I418" s="7"/>
      <c r="J418" s="7"/>
      <c r="K418" s="7"/>
      <c r="L418" s="7" t="s">
        <v>152</v>
      </c>
      <c r="M418" s="8" t="b">
        <v>1</v>
      </c>
      <c r="N418" s="8" t="b">
        <v>0</v>
      </c>
      <c r="O418" s="7" t="s">
        <v>1171</v>
      </c>
      <c r="P418" s="7" t="s">
        <v>1172</v>
      </c>
      <c r="Q418" s="8" t="b">
        <v>1</v>
      </c>
      <c r="R418" s="8" t="b">
        <v>1</v>
      </c>
      <c r="S418" s="7" t="s">
        <v>89</v>
      </c>
      <c r="T418" s="12"/>
      <c r="U418" s="28"/>
      <c r="V418" s="29">
        <v>1E-3</v>
      </c>
      <c r="W418" s="30" t="b">
        <v>1</v>
      </c>
      <c r="X418" s="28" t="s">
        <v>90</v>
      </c>
    </row>
    <row r="419" spans="1:24" ht="15">
      <c r="A419" s="7">
        <v>410</v>
      </c>
      <c r="B419" s="7">
        <v>649208</v>
      </c>
      <c r="C419" s="7" t="s">
        <v>1238</v>
      </c>
      <c r="D419" s="7" t="s">
        <v>1239</v>
      </c>
      <c r="E419" s="7" t="s">
        <v>53</v>
      </c>
      <c r="F419" s="7" t="s">
        <v>112</v>
      </c>
      <c r="G419" s="11">
        <v>5</v>
      </c>
      <c r="H419" s="11">
        <v>5</v>
      </c>
      <c r="I419" s="7"/>
      <c r="J419" s="7"/>
      <c r="K419" s="7"/>
      <c r="L419" s="7" t="s">
        <v>656</v>
      </c>
      <c r="M419" s="8" t="b">
        <v>1</v>
      </c>
      <c r="N419" s="8" t="b">
        <v>0</v>
      </c>
      <c r="O419" s="7" t="s">
        <v>1171</v>
      </c>
      <c r="P419" s="7" t="s">
        <v>1172</v>
      </c>
      <c r="Q419" s="8" t="b">
        <v>1</v>
      </c>
      <c r="R419" s="8" t="b">
        <v>1</v>
      </c>
      <c r="S419" s="7" t="s">
        <v>89</v>
      </c>
      <c r="T419" s="12"/>
      <c r="U419" s="28"/>
      <c r="V419" s="29">
        <v>0</v>
      </c>
      <c r="W419" s="30" t="b">
        <v>1</v>
      </c>
      <c r="X419" s="28" t="s">
        <v>90</v>
      </c>
    </row>
    <row r="420" spans="1:24" ht="15">
      <c r="A420" s="7">
        <v>411</v>
      </c>
      <c r="B420" s="7">
        <v>223094</v>
      </c>
      <c r="C420" s="7" t="s">
        <v>1240</v>
      </c>
      <c r="D420" s="7" t="s">
        <v>1241</v>
      </c>
      <c r="E420" s="7" t="s">
        <v>53</v>
      </c>
      <c r="F420" s="7" t="s">
        <v>167</v>
      </c>
      <c r="G420" s="11">
        <v>15.5</v>
      </c>
      <c r="H420" s="11">
        <v>15.5</v>
      </c>
      <c r="I420" s="7">
        <v>1</v>
      </c>
      <c r="J420" s="7"/>
      <c r="K420" s="7"/>
      <c r="L420" s="7" t="s">
        <v>541</v>
      </c>
      <c r="M420" s="8" t="b">
        <v>0</v>
      </c>
      <c r="N420" s="8" t="b">
        <v>0</v>
      </c>
      <c r="O420" s="7" t="s">
        <v>1171</v>
      </c>
      <c r="P420" s="7" t="s">
        <v>1172</v>
      </c>
      <c r="Q420" s="8" t="b">
        <v>1</v>
      </c>
      <c r="R420" s="8" t="b">
        <v>1</v>
      </c>
      <c r="S420" s="7" t="s">
        <v>89</v>
      </c>
      <c r="T420" s="12"/>
      <c r="U420" s="28"/>
      <c r="V420" s="29">
        <v>0.75</v>
      </c>
      <c r="W420" s="30" t="b">
        <v>1</v>
      </c>
      <c r="X420" s="28" t="s">
        <v>90</v>
      </c>
    </row>
    <row r="421" spans="1:24" ht="15">
      <c r="A421" s="7">
        <v>481</v>
      </c>
      <c r="B421" s="7">
        <v>215379</v>
      </c>
      <c r="C421" s="7" t="s">
        <v>1242</v>
      </c>
      <c r="D421" s="7" t="s">
        <v>1243</v>
      </c>
      <c r="E421" s="7" t="s">
        <v>53</v>
      </c>
      <c r="F421" s="7" t="s">
        <v>112</v>
      </c>
      <c r="G421" s="11">
        <v>6.5</v>
      </c>
      <c r="H421" s="11">
        <v>6.5</v>
      </c>
      <c r="I421" s="7"/>
      <c r="J421" s="7"/>
      <c r="K421" s="7"/>
      <c r="L421" s="7" t="s">
        <v>449</v>
      </c>
      <c r="M421" s="8" t="b">
        <v>1</v>
      </c>
      <c r="N421" s="8" t="b">
        <v>0</v>
      </c>
      <c r="O421" s="7" t="s">
        <v>1171</v>
      </c>
      <c r="P421" s="7" t="s">
        <v>1172</v>
      </c>
      <c r="Q421" s="8" t="b">
        <v>1</v>
      </c>
      <c r="R421" s="8" t="b">
        <v>1</v>
      </c>
      <c r="S421" s="7" t="s">
        <v>89</v>
      </c>
      <c r="T421" s="12"/>
      <c r="U421" s="28"/>
      <c r="V421" s="29">
        <v>0.11800000000000001</v>
      </c>
      <c r="W421" s="30" t="b">
        <v>1</v>
      </c>
      <c r="X421" s="28" t="s">
        <v>90</v>
      </c>
    </row>
    <row r="422" spans="1:24" ht="15">
      <c r="A422" s="7">
        <v>43</v>
      </c>
      <c r="B422" s="7">
        <v>166989</v>
      </c>
      <c r="C422" s="7" t="s">
        <v>1244</v>
      </c>
      <c r="D422" s="7" t="s">
        <v>1245</v>
      </c>
      <c r="E422" s="7" t="s">
        <v>54</v>
      </c>
      <c r="F422" s="7" t="s">
        <v>112</v>
      </c>
      <c r="G422" s="11">
        <v>6</v>
      </c>
      <c r="H422" s="11">
        <v>6</v>
      </c>
      <c r="I422" s="7">
        <v>3</v>
      </c>
      <c r="J422" s="7"/>
      <c r="K422" s="7"/>
      <c r="L422" s="7" t="s">
        <v>337</v>
      </c>
      <c r="M422" s="8" t="b">
        <v>1</v>
      </c>
      <c r="N422" s="8" t="b">
        <v>0</v>
      </c>
      <c r="O422" s="7" t="s">
        <v>1246</v>
      </c>
      <c r="P422" s="7" t="s">
        <v>1247</v>
      </c>
      <c r="Q422" s="8" t="b">
        <v>0</v>
      </c>
      <c r="R422" s="8" t="b">
        <v>1</v>
      </c>
      <c r="S422" s="7" t="s">
        <v>233</v>
      </c>
      <c r="T422" s="12">
        <v>75</v>
      </c>
      <c r="U422" s="28" t="s">
        <v>592</v>
      </c>
      <c r="V422" s="29">
        <v>9.0000000000000011E-3</v>
      </c>
      <c r="W422" s="30" t="b">
        <v>1</v>
      </c>
      <c r="X422" s="28" t="s">
        <v>90</v>
      </c>
    </row>
    <row r="423" spans="1:24" ht="15">
      <c r="A423" s="7">
        <v>162</v>
      </c>
      <c r="B423" s="7">
        <v>532605</v>
      </c>
      <c r="C423" s="7" t="s">
        <v>1248</v>
      </c>
      <c r="D423" s="7" t="s">
        <v>1249</v>
      </c>
      <c r="E423" s="7" t="s">
        <v>54</v>
      </c>
      <c r="F423" s="7" t="s">
        <v>112</v>
      </c>
      <c r="G423" s="11">
        <v>5</v>
      </c>
      <c r="H423" s="11">
        <v>5</v>
      </c>
      <c r="I423" s="7"/>
      <c r="J423" s="7"/>
      <c r="K423" s="7"/>
      <c r="L423" s="7" t="s">
        <v>1250</v>
      </c>
      <c r="M423" s="8" t="b">
        <v>1</v>
      </c>
      <c r="N423" s="8" t="b">
        <v>0</v>
      </c>
      <c r="O423" s="7" t="s">
        <v>1246</v>
      </c>
      <c r="P423" s="7" t="s">
        <v>1247</v>
      </c>
      <c r="Q423" s="8" t="b">
        <v>0</v>
      </c>
      <c r="R423" s="8" t="b">
        <v>1</v>
      </c>
      <c r="S423" s="7" t="s">
        <v>89</v>
      </c>
      <c r="T423" s="12"/>
      <c r="U423" s="28"/>
      <c r="V423" s="29">
        <v>1.4999999999999999E-2</v>
      </c>
      <c r="W423" s="30" t="b">
        <v>1</v>
      </c>
      <c r="X423" s="28" t="s">
        <v>90</v>
      </c>
    </row>
    <row r="424" spans="1:24" ht="15">
      <c r="A424" s="7">
        <v>325</v>
      </c>
      <c r="B424" s="7">
        <v>59735</v>
      </c>
      <c r="C424" s="7" t="s">
        <v>1251</v>
      </c>
      <c r="D424" s="7" t="s">
        <v>1252</v>
      </c>
      <c r="E424" s="7" t="s">
        <v>54</v>
      </c>
      <c r="F424" s="7" t="s">
        <v>85</v>
      </c>
      <c r="G424" s="11">
        <v>4.5</v>
      </c>
      <c r="H424" s="11">
        <v>4.5</v>
      </c>
      <c r="I424" s="7"/>
      <c r="J424" s="7"/>
      <c r="K424" s="7"/>
      <c r="L424" s="7" t="s">
        <v>1253</v>
      </c>
      <c r="M424" s="8" t="b">
        <v>1</v>
      </c>
      <c r="N424" s="8" t="b">
        <v>0</v>
      </c>
      <c r="O424" s="7" t="s">
        <v>1246</v>
      </c>
      <c r="P424" s="7" t="s">
        <v>1247</v>
      </c>
      <c r="Q424" s="8" t="b">
        <v>0</v>
      </c>
      <c r="R424" s="8" t="b">
        <v>1</v>
      </c>
      <c r="S424" s="7" t="s">
        <v>233</v>
      </c>
      <c r="T424" s="12">
        <v>75</v>
      </c>
      <c r="U424" s="28" t="s">
        <v>578</v>
      </c>
      <c r="V424" s="29">
        <v>1E-3</v>
      </c>
      <c r="W424" s="30" t="b">
        <v>1</v>
      </c>
      <c r="X424" s="28" t="s">
        <v>90</v>
      </c>
    </row>
    <row r="425" spans="1:24" ht="15">
      <c r="A425" s="7">
        <v>412</v>
      </c>
      <c r="B425" s="7">
        <v>465247</v>
      </c>
      <c r="C425" s="7" t="s">
        <v>1254</v>
      </c>
      <c r="D425" s="7" t="s">
        <v>1255</v>
      </c>
      <c r="E425" s="7" t="s">
        <v>54</v>
      </c>
      <c r="F425" s="7" t="s">
        <v>85</v>
      </c>
      <c r="G425" s="11">
        <v>5</v>
      </c>
      <c r="H425" s="11">
        <v>5</v>
      </c>
      <c r="I425" s="7"/>
      <c r="J425" s="7"/>
      <c r="K425" s="7"/>
      <c r="L425" s="7" t="s">
        <v>209</v>
      </c>
      <c r="M425" s="8" t="b">
        <v>0</v>
      </c>
      <c r="N425" s="8" t="b">
        <v>0</v>
      </c>
      <c r="O425" s="7" t="s">
        <v>1246</v>
      </c>
      <c r="P425" s="7" t="s">
        <v>1247</v>
      </c>
      <c r="Q425" s="8" t="b">
        <v>0</v>
      </c>
      <c r="R425" s="8" t="b">
        <v>1</v>
      </c>
      <c r="S425" s="7" t="s">
        <v>89</v>
      </c>
      <c r="T425" s="12"/>
      <c r="U425" s="28"/>
      <c r="V425" s="29">
        <v>0.20199999999999999</v>
      </c>
      <c r="W425" s="30" t="b">
        <v>1</v>
      </c>
      <c r="X425" s="28" t="s">
        <v>90</v>
      </c>
    </row>
    <row r="426" spans="1:24" ht="15">
      <c r="A426" s="7">
        <v>413</v>
      </c>
      <c r="B426" s="7">
        <v>451302</v>
      </c>
      <c r="C426" s="7" t="s">
        <v>1256</v>
      </c>
      <c r="D426" s="7" t="s">
        <v>1257</v>
      </c>
      <c r="E426" s="7" t="s">
        <v>54</v>
      </c>
      <c r="F426" s="7" t="s">
        <v>85</v>
      </c>
      <c r="G426" s="11">
        <v>4.5</v>
      </c>
      <c r="H426" s="11">
        <v>4.5</v>
      </c>
      <c r="I426" s="7"/>
      <c r="J426" s="7"/>
      <c r="K426" s="7"/>
      <c r="L426" s="7" t="s">
        <v>555</v>
      </c>
      <c r="M426" s="8" t="b">
        <v>0</v>
      </c>
      <c r="N426" s="8" t="b">
        <v>0</v>
      </c>
      <c r="O426" s="7" t="s">
        <v>1246</v>
      </c>
      <c r="P426" s="7" t="s">
        <v>1247</v>
      </c>
      <c r="Q426" s="8" t="b">
        <v>0</v>
      </c>
      <c r="R426" s="8" t="b">
        <v>1</v>
      </c>
      <c r="S426" s="7" t="s">
        <v>89</v>
      </c>
      <c r="T426" s="12"/>
      <c r="U426" s="28"/>
      <c r="V426" s="29">
        <v>2E-3</v>
      </c>
      <c r="W426" s="30" t="b">
        <v>1</v>
      </c>
      <c r="X426" s="28" t="s">
        <v>90</v>
      </c>
    </row>
    <row r="427" spans="1:24" ht="15">
      <c r="A427" s="7">
        <v>414</v>
      </c>
      <c r="B427" s="7">
        <v>21205</v>
      </c>
      <c r="C427" s="7" t="s">
        <v>1258</v>
      </c>
      <c r="D427" s="7" t="s">
        <v>1259</v>
      </c>
      <c r="E427" s="7" t="s">
        <v>54</v>
      </c>
      <c r="F427" s="7" t="s">
        <v>85</v>
      </c>
      <c r="G427" s="11">
        <v>4</v>
      </c>
      <c r="H427" s="11">
        <v>4</v>
      </c>
      <c r="I427" s="7"/>
      <c r="J427" s="7"/>
      <c r="K427" s="7"/>
      <c r="L427" s="7" t="s">
        <v>1061</v>
      </c>
      <c r="M427" s="8" t="b">
        <v>0</v>
      </c>
      <c r="N427" s="8" t="b">
        <v>0</v>
      </c>
      <c r="O427" s="7" t="s">
        <v>1246</v>
      </c>
      <c r="P427" s="7" t="s">
        <v>1247</v>
      </c>
      <c r="Q427" s="8" t="b">
        <v>0</v>
      </c>
      <c r="R427" s="8" t="b">
        <v>1</v>
      </c>
      <c r="S427" s="7" t="s">
        <v>89</v>
      </c>
      <c r="T427" s="12"/>
      <c r="U427" s="28"/>
      <c r="V427" s="29">
        <v>3.0000000000000001E-3</v>
      </c>
      <c r="W427" s="30" t="b">
        <v>1</v>
      </c>
      <c r="X427" s="28" t="s">
        <v>90</v>
      </c>
    </row>
    <row r="428" spans="1:24" ht="15">
      <c r="A428" s="7">
        <v>415</v>
      </c>
      <c r="B428" s="7">
        <v>596777</v>
      </c>
      <c r="C428" s="7" t="s">
        <v>1260</v>
      </c>
      <c r="D428" s="7" t="s">
        <v>1261</v>
      </c>
      <c r="E428" s="7" t="s">
        <v>54</v>
      </c>
      <c r="F428" s="7" t="s">
        <v>112</v>
      </c>
      <c r="G428" s="11">
        <v>6</v>
      </c>
      <c r="H428" s="11">
        <v>6</v>
      </c>
      <c r="I428" s="7"/>
      <c r="J428" s="7"/>
      <c r="K428" s="7"/>
      <c r="L428" s="7" t="s">
        <v>329</v>
      </c>
      <c r="M428" s="8" t="b">
        <v>0</v>
      </c>
      <c r="N428" s="8" t="b">
        <v>0</v>
      </c>
      <c r="O428" s="7" t="s">
        <v>1246</v>
      </c>
      <c r="P428" s="7" t="s">
        <v>1247</v>
      </c>
      <c r="Q428" s="8" t="b">
        <v>0</v>
      </c>
      <c r="R428" s="8" t="b">
        <v>1</v>
      </c>
      <c r="S428" s="7" t="s">
        <v>89</v>
      </c>
      <c r="T428" s="12"/>
      <c r="U428" s="28"/>
      <c r="V428" s="29">
        <v>1.8000000000000002E-2</v>
      </c>
      <c r="W428" s="30" t="b">
        <v>1</v>
      </c>
      <c r="X428" s="28" t="s">
        <v>90</v>
      </c>
    </row>
    <row r="429" spans="1:24" ht="15">
      <c r="A429" s="7">
        <v>416</v>
      </c>
      <c r="B429" s="7">
        <v>209365</v>
      </c>
      <c r="C429" s="7" t="s">
        <v>1262</v>
      </c>
      <c r="D429" s="7" t="s">
        <v>1263</v>
      </c>
      <c r="E429" s="7" t="s">
        <v>54</v>
      </c>
      <c r="F429" s="7" t="s">
        <v>99</v>
      </c>
      <c r="G429" s="11">
        <v>5</v>
      </c>
      <c r="H429" s="11">
        <v>5</v>
      </c>
      <c r="I429" s="7"/>
      <c r="J429" s="7"/>
      <c r="K429" s="7"/>
      <c r="L429" s="7" t="s">
        <v>289</v>
      </c>
      <c r="M429" s="8" t="b">
        <v>0</v>
      </c>
      <c r="N429" s="8" t="b">
        <v>0</v>
      </c>
      <c r="O429" s="7" t="s">
        <v>1246</v>
      </c>
      <c r="P429" s="7" t="s">
        <v>1247</v>
      </c>
      <c r="Q429" s="8" t="b">
        <v>0</v>
      </c>
      <c r="R429" s="8" t="b">
        <v>1</v>
      </c>
      <c r="S429" s="7" t="s">
        <v>104</v>
      </c>
      <c r="T429" s="12">
        <v>0</v>
      </c>
      <c r="U429" s="28" t="s">
        <v>109</v>
      </c>
      <c r="V429" s="29">
        <v>0</v>
      </c>
      <c r="W429" s="30" t="b">
        <v>1</v>
      </c>
      <c r="X429" s="28" t="s">
        <v>90</v>
      </c>
    </row>
    <row r="430" spans="1:24" ht="15">
      <c r="A430" s="7">
        <v>417</v>
      </c>
      <c r="B430" s="7">
        <v>216051</v>
      </c>
      <c r="C430" s="7" t="s">
        <v>1264</v>
      </c>
      <c r="D430" s="7" t="s">
        <v>1265</v>
      </c>
      <c r="E430" s="7" t="s">
        <v>54</v>
      </c>
      <c r="F430" s="7" t="s">
        <v>99</v>
      </c>
      <c r="G430" s="11">
        <v>5</v>
      </c>
      <c r="H430" s="11">
        <v>5</v>
      </c>
      <c r="I430" s="7"/>
      <c r="J430" s="7"/>
      <c r="K430" s="7"/>
      <c r="L430" s="7" t="s">
        <v>1266</v>
      </c>
      <c r="M430" s="8" t="b">
        <v>0</v>
      </c>
      <c r="N430" s="8" t="b">
        <v>0</v>
      </c>
      <c r="O430" s="7" t="s">
        <v>1246</v>
      </c>
      <c r="P430" s="7" t="s">
        <v>1247</v>
      </c>
      <c r="Q430" s="8" t="b">
        <v>0</v>
      </c>
      <c r="R430" s="8" t="b">
        <v>1</v>
      </c>
      <c r="S430" s="7" t="s">
        <v>89</v>
      </c>
      <c r="T430" s="12"/>
      <c r="U430" s="28"/>
      <c r="V430" s="29">
        <v>3.1E-2</v>
      </c>
      <c r="W430" s="30" t="b">
        <v>1</v>
      </c>
      <c r="X430" s="28" t="s">
        <v>90</v>
      </c>
    </row>
    <row r="431" spans="1:24" ht="15">
      <c r="A431" s="7">
        <v>418</v>
      </c>
      <c r="B431" s="7">
        <v>95658</v>
      </c>
      <c r="C431" s="7" t="s">
        <v>1267</v>
      </c>
      <c r="D431" s="7" t="s">
        <v>1268</v>
      </c>
      <c r="E431" s="7" t="s">
        <v>54</v>
      </c>
      <c r="F431" s="7" t="s">
        <v>99</v>
      </c>
      <c r="G431" s="11">
        <v>5</v>
      </c>
      <c r="H431" s="11">
        <v>5</v>
      </c>
      <c r="I431" s="7"/>
      <c r="J431" s="7"/>
      <c r="K431" s="7"/>
      <c r="L431" s="7" t="s">
        <v>1269</v>
      </c>
      <c r="M431" s="8" t="b">
        <v>0</v>
      </c>
      <c r="N431" s="8" t="b">
        <v>0</v>
      </c>
      <c r="O431" s="7" t="s">
        <v>1246</v>
      </c>
      <c r="P431" s="7" t="s">
        <v>1247</v>
      </c>
      <c r="Q431" s="8" t="b">
        <v>0</v>
      </c>
      <c r="R431" s="8" t="b">
        <v>1</v>
      </c>
      <c r="S431" s="7" t="s">
        <v>89</v>
      </c>
      <c r="T431" s="12"/>
      <c r="U431" s="28"/>
      <c r="V431" s="29">
        <v>7.8E-2</v>
      </c>
      <c r="W431" s="30" t="b">
        <v>1</v>
      </c>
      <c r="X431" s="28" t="s">
        <v>90</v>
      </c>
    </row>
    <row r="432" spans="1:24" ht="15">
      <c r="A432" s="7">
        <v>419</v>
      </c>
      <c r="B432" s="7">
        <v>221820</v>
      </c>
      <c r="C432" s="7" t="s">
        <v>178</v>
      </c>
      <c r="D432" s="7" t="s">
        <v>1270</v>
      </c>
      <c r="E432" s="7" t="s">
        <v>54</v>
      </c>
      <c r="F432" s="7" t="s">
        <v>99</v>
      </c>
      <c r="G432" s="11">
        <v>5</v>
      </c>
      <c r="H432" s="11">
        <v>5</v>
      </c>
      <c r="I432" s="7"/>
      <c r="J432" s="7"/>
      <c r="K432" s="7"/>
      <c r="L432" s="7" t="s">
        <v>1271</v>
      </c>
      <c r="M432" s="8" t="b">
        <v>0</v>
      </c>
      <c r="N432" s="8" t="b">
        <v>0</v>
      </c>
      <c r="O432" s="7" t="s">
        <v>1246</v>
      </c>
      <c r="P432" s="7" t="s">
        <v>1247</v>
      </c>
      <c r="Q432" s="8" t="b">
        <v>0</v>
      </c>
      <c r="R432" s="8" t="b">
        <v>1</v>
      </c>
      <c r="S432" s="7" t="s">
        <v>233</v>
      </c>
      <c r="T432" s="12">
        <v>75</v>
      </c>
      <c r="U432" s="28" t="s">
        <v>1272</v>
      </c>
      <c r="V432" s="29">
        <v>6.9999999999999993E-3</v>
      </c>
      <c r="W432" s="30" t="b">
        <v>1</v>
      </c>
      <c r="X432" s="28" t="s">
        <v>90</v>
      </c>
    </row>
    <row r="433" spans="1:24" ht="15">
      <c r="A433" s="7">
        <v>420</v>
      </c>
      <c r="B433" s="7">
        <v>550864</v>
      </c>
      <c r="C433" s="7" t="s">
        <v>1273</v>
      </c>
      <c r="D433" s="7" t="s">
        <v>1274</v>
      </c>
      <c r="E433" s="7" t="s">
        <v>54</v>
      </c>
      <c r="F433" s="7" t="s">
        <v>99</v>
      </c>
      <c r="G433" s="11">
        <v>5</v>
      </c>
      <c r="H433" s="11">
        <v>5</v>
      </c>
      <c r="I433" s="7"/>
      <c r="J433" s="7"/>
      <c r="K433" s="7"/>
      <c r="L433" s="7" t="s">
        <v>607</v>
      </c>
      <c r="M433" s="8" t="b">
        <v>0</v>
      </c>
      <c r="N433" s="8" t="b">
        <v>0</v>
      </c>
      <c r="O433" s="7" t="s">
        <v>1246</v>
      </c>
      <c r="P433" s="7" t="s">
        <v>1247</v>
      </c>
      <c r="Q433" s="8" t="b">
        <v>0</v>
      </c>
      <c r="R433" s="8" t="b">
        <v>1</v>
      </c>
      <c r="S433" s="7" t="s">
        <v>89</v>
      </c>
      <c r="T433" s="12"/>
      <c r="U433" s="28"/>
      <c r="V433" s="29">
        <v>6.0000000000000001E-3</v>
      </c>
      <c r="W433" s="30" t="b">
        <v>1</v>
      </c>
      <c r="X433" s="28" t="s">
        <v>90</v>
      </c>
    </row>
    <row r="434" spans="1:24" ht="15">
      <c r="A434" s="7">
        <v>421</v>
      </c>
      <c r="B434" s="7">
        <v>606745</v>
      </c>
      <c r="C434" s="7" t="s">
        <v>1275</v>
      </c>
      <c r="D434" s="7" t="s">
        <v>1276</v>
      </c>
      <c r="E434" s="7" t="s">
        <v>54</v>
      </c>
      <c r="F434" s="7" t="s">
        <v>99</v>
      </c>
      <c r="G434" s="11">
        <v>4.5</v>
      </c>
      <c r="H434" s="11">
        <v>4.5</v>
      </c>
      <c r="I434" s="7"/>
      <c r="J434" s="7"/>
      <c r="K434" s="7"/>
      <c r="L434" s="7" t="s">
        <v>1277</v>
      </c>
      <c r="M434" s="8" t="b">
        <v>0</v>
      </c>
      <c r="N434" s="8" t="b">
        <v>0</v>
      </c>
      <c r="O434" s="7" t="s">
        <v>1246</v>
      </c>
      <c r="P434" s="7" t="s">
        <v>1247</v>
      </c>
      <c r="Q434" s="8" t="b">
        <v>0</v>
      </c>
      <c r="R434" s="8" t="b">
        <v>1</v>
      </c>
      <c r="S434" s="7" t="s">
        <v>89</v>
      </c>
      <c r="T434" s="12"/>
      <c r="U434" s="28"/>
      <c r="V434" s="29">
        <v>4.0000000000000001E-3</v>
      </c>
      <c r="W434" s="30" t="b">
        <v>1</v>
      </c>
      <c r="X434" s="28" t="s">
        <v>90</v>
      </c>
    </row>
    <row r="435" spans="1:24" ht="15">
      <c r="A435" s="7">
        <v>422</v>
      </c>
      <c r="B435" s="7">
        <v>230001</v>
      </c>
      <c r="C435" s="7" t="s">
        <v>1278</v>
      </c>
      <c r="D435" s="7" t="s">
        <v>1279</v>
      </c>
      <c r="E435" s="7" t="s">
        <v>54</v>
      </c>
      <c r="F435" s="7" t="s">
        <v>99</v>
      </c>
      <c r="G435" s="11">
        <v>4.5</v>
      </c>
      <c r="H435" s="11">
        <v>4.5</v>
      </c>
      <c r="I435" s="7"/>
      <c r="J435" s="7"/>
      <c r="K435" s="7"/>
      <c r="L435" s="7" t="s">
        <v>289</v>
      </c>
      <c r="M435" s="8" t="b">
        <v>0</v>
      </c>
      <c r="N435" s="8" t="b">
        <v>0</v>
      </c>
      <c r="O435" s="7" t="s">
        <v>1246</v>
      </c>
      <c r="P435" s="7" t="s">
        <v>1247</v>
      </c>
      <c r="Q435" s="8" t="b">
        <v>0</v>
      </c>
      <c r="R435" s="8" t="b">
        <v>1</v>
      </c>
      <c r="S435" s="7" t="s">
        <v>89</v>
      </c>
      <c r="T435" s="12"/>
      <c r="U435" s="28"/>
      <c r="V435" s="29">
        <v>6.9999999999999993E-3</v>
      </c>
      <c r="W435" s="30" t="b">
        <v>1</v>
      </c>
      <c r="X435" s="28" t="s">
        <v>90</v>
      </c>
    </row>
    <row r="436" spans="1:24" ht="15">
      <c r="A436" s="7">
        <v>423</v>
      </c>
      <c r="B436" s="7">
        <v>106760</v>
      </c>
      <c r="C436" s="7" t="s">
        <v>1280</v>
      </c>
      <c r="D436" s="7" t="s">
        <v>1281</v>
      </c>
      <c r="E436" s="7" t="s">
        <v>54</v>
      </c>
      <c r="F436" s="7" t="s">
        <v>99</v>
      </c>
      <c r="G436" s="11">
        <v>4.5</v>
      </c>
      <c r="H436" s="11">
        <v>4.5</v>
      </c>
      <c r="I436" s="7"/>
      <c r="J436" s="7"/>
      <c r="K436" s="7"/>
      <c r="L436" s="7" t="s">
        <v>1282</v>
      </c>
      <c r="M436" s="8" t="b">
        <v>0</v>
      </c>
      <c r="N436" s="8" t="b">
        <v>0</v>
      </c>
      <c r="O436" s="7" t="s">
        <v>1246</v>
      </c>
      <c r="P436" s="7" t="s">
        <v>1247</v>
      </c>
      <c r="Q436" s="8" t="b">
        <v>0</v>
      </c>
      <c r="R436" s="8" t="b">
        <v>1</v>
      </c>
      <c r="S436" s="7" t="s">
        <v>89</v>
      </c>
      <c r="T436" s="12"/>
      <c r="U436" s="28"/>
      <c r="V436" s="29">
        <v>0.24600000000000002</v>
      </c>
      <c r="W436" s="30" t="b">
        <v>1</v>
      </c>
      <c r="X436" s="28" t="s">
        <v>90</v>
      </c>
    </row>
    <row r="437" spans="1:24" ht="15">
      <c r="A437" s="7">
        <v>424</v>
      </c>
      <c r="B437" s="7">
        <v>577974</v>
      </c>
      <c r="C437" s="7" t="s">
        <v>1283</v>
      </c>
      <c r="D437" s="7" t="s">
        <v>1284</v>
      </c>
      <c r="E437" s="7" t="s">
        <v>54</v>
      </c>
      <c r="F437" s="7" t="s">
        <v>99</v>
      </c>
      <c r="G437" s="11">
        <v>4</v>
      </c>
      <c r="H437" s="11">
        <v>4</v>
      </c>
      <c r="I437" s="7"/>
      <c r="J437" s="7"/>
      <c r="K437" s="7"/>
      <c r="L437" s="7" t="s">
        <v>1285</v>
      </c>
      <c r="M437" s="8" t="b">
        <v>0</v>
      </c>
      <c r="N437" s="8" t="b">
        <v>0</v>
      </c>
      <c r="O437" s="7" t="s">
        <v>1246</v>
      </c>
      <c r="P437" s="7" t="s">
        <v>1247</v>
      </c>
      <c r="Q437" s="8" t="b">
        <v>0</v>
      </c>
      <c r="R437" s="8" t="b">
        <v>1</v>
      </c>
      <c r="S437" s="7" t="s">
        <v>89</v>
      </c>
      <c r="T437" s="12"/>
      <c r="U437" s="28"/>
      <c r="V437" s="29">
        <v>2E-3</v>
      </c>
      <c r="W437" s="30" t="b">
        <v>1</v>
      </c>
      <c r="X437" s="28" t="s">
        <v>90</v>
      </c>
    </row>
    <row r="438" spans="1:24" ht="15">
      <c r="A438" s="7">
        <v>425</v>
      </c>
      <c r="B438" s="7">
        <v>547676</v>
      </c>
      <c r="C438" s="7" t="s">
        <v>1286</v>
      </c>
      <c r="D438" s="7" t="s">
        <v>1287</v>
      </c>
      <c r="E438" s="7" t="s">
        <v>54</v>
      </c>
      <c r="F438" s="7" t="s">
        <v>99</v>
      </c>
      <c r="G438" s="11">
        <v>4</v>
      </c>
      <c r="H438" s="11">
        <v>4</v>
      </c>
      <c r="I438" s="7"/>
      <c r="J438" s="7"/>
      <c r="K438" s="7"/>
      <c r="L438" s="7" t="s">
        <v>1288</v>
      </c>
      <c r="M438" s="8" t="b">
        <v>0</v>
      </c>
      <c r="N438" s="8" t="b">
        <v>0</v>
      </c>
      <c r="O438" s="7" t="s">
        <v>1246</v>
      </c>
      <c r="P438" s="7" t="s">
        <v>1247</v>
      </c>
      <c r="Q438" s="8" t="b">
        <v>0</v>
      </c>
      <c r="R438" s="8" t="b">
        <v>1</v>
      </c>
      <c r="S438" s="7" t="s">
        <v>89</v>
      </c>
      <c r="T438" s="12"/>
      <c r="U438" s="28"/>
      <c r="V438" s="29">
        <v>1E-3</v>
      </c>
      <c r="W438" s="30" t="b">
        <v>1</v>
      </c>
      <c r="X438" s="28" t="s">
        <v>90</v>
      </c>
    </row>
    <row r="439" spans="1:24" ht="15">
      <c r="A439" s="7">
        <v>426</v>
      </c>
      <c r="B439" s="7">
        <v>141746</v>
      </c>
      <c r="C439" s="7" t="s">
        <v>1289</v>
      </c>
      <c r="D439" s="7" t="s">
        <v>1290</v>
      </c>
      <c r="E439" s="7" t="s">
        <v>54</v>
      </c>
      <c r="F439" s="7" t="s">
        <v>112</v>
      </c>
      <c r="G439" s="11">
        <v>12</v>
      </c>
      <c r="H439" s="11">
        <v>12</v>
      </c>
      <c r="I439" s="7">
        <v>1</v>
      </c>
      <c r="J439" s="7">
        <v>1</v>
      </c>
      <c r="K439" s="7">
        <v>4</v>
      </c>
      <c r="L439" s="7" t="s">
        <v>1291</v>
      </c>
      <c r="M439" s="8" t="b">
        <v>0</v>
      </c>
      <c r="N439" s="8" t="b">
        <v>0</v>
      </c>
      <c r="O439" s="7" t="s">
        <v>1246</v>
      </c>
      <c r="P439" s="7" t="s">
        <v>1247</v>
      </c>
      <c r="Q439" s="8" t="b">
        <v>0</v>
      </c>
      <c r="R439" s="8" t="b">
        <v>1</v>
      </c>
      <c r="S439" s="7" t="s">
        <v>89</v>
      </c>
      <c r="T439" s="12"/>
      <c r="U439" s="28"/>
      <c r="V439" s="29">
        <v>0.48599999999999999</v>
      </c>
      <c r="W439" s="30" t="b">
        <v>1</v>
      </c>
      <c r="X439" s="28" t="s">
        <v>90</v>
      </c>
    </row>
    <row r="440" spans="1:24" ht="15">
      <c r="A440" s="7">
        <v>427</v>
      </c>
      <c r="B440" s="7">
        <v>446008</v>
      </c>
      <c r="C440" s="7" t="s">
        <v>1292</v>
      </c>
      <c r="D440" s="7" t="s">
        <v>1293</v>
      </c>
      <c r="E440" s="7" t="s">
        <v>54</v>
      </c>
      <c r="F440" s="7" t="s">
        <v>112</v>
      </c>
      <c r="G440" s="11">
        <v>8</v>
      </c>
      <c r="H440" s="11">
        <v>8</v>
      </c>
      <c r="I440" s="7">
        <v>2</v>
      </c>
      <c r="J440" s="7">
        <v>2</v>
      </c>
      <c r="K440" s="7">
        <v>5</v>
      </c>
      <c r="L440" s="7" t="s">
        <v>1294</v>
      </c>
      <c r="M440" s="8" t="b">
        <v>0</v>
      </c>
      <c r="N440" s="8" t="b">
        <v>0</v>
      </c>
      <c r="O440" s="7" t="s">
        <v>1246</v>
      </c>
      <c r="P440" s="7" t="s">
        <v>1247</v>
      </c>
      <c r="Q440" s="8" t="b">
        <v>0</v>
      </c>
      <c r="R440" s="8" t="b">
        <v>1</v>
      </c>
      <c r="S440" s="7" t="s">
        <v>89</v>
      </c>
      <c r="T440" s="12"/>
      <c r="U440" s="28"/>
      <c r="V440" s="29">
        <v>0.16699999999999998</v>
      </c>
      <c r="W440" s="30" t="b">
        <v>1</v>
      </c>
      <c r="X440" s="28" t="s">
        <v>90</v>
      </c>
    </row>
    <row r="441" spans="1:24" ht="15">
      <c r="A441" s="7">
        <v>428</v>
      </c>
      <c r="B441" s="7">
        <v>430871</v>
      </c>
      <c r="C441" s="7" t="s">
        <v>1295</v>
      </c>
      <c r="D441" s="7" t="s">
        <v>1296</v>
      </c>
      <c r="E441" s="7" t="s">
        <v>54</v>
      </c>
      <c r="F441" s="7" t="s">
        <v>112</v>
      </c>
      <c r="G441" s="11">
        <v>8</v>
      </c>
      <c r="H441" s="11">
        <v>8</v>
      </c>
      <c r="I441" s="7"/>
      <c r="J441" s="7"/>
      <c r="K441" s="7"/>
      <c r="L441" s="7" t="s">
        <v>486</v>
      </c>
      <c r="M441" s="8" t="b">
        <v>0</v>
      </c>
      <c r="N441" s="8" t="b">
        <v>0</v>
      </c>
      <c r="O441" s="7" t="s">
        <v>1246</v>
      </c>
      <c r="P441" s="7" t="s">
        <v>1247</v>
      </c>
      <c r="Q441" s="8" t="b">
        <v>0</v>
      </c>
      <c r="R441" s="8" t="b">
        <v>1</v>
      </c>
      <c r="S441" s="7" t="s">
        <v>89</v>
      </c>
      <c r="T441" s="12"/>
      <c r="U441" s="28"/>
      <c r="V441" s="29">
        <v>0.14499999999999999</v>
      </c>
      <c r="W441" s="30" t="b">
        <v>1</v>
      </c>
      <c r="X441" s="28" t="s">
        <v>90</v>
      </c>
    </row>
    <row r="442" spans="1:24" ht="15">
      <c r="A442" s="7">
        <v>429</v>
      </c>
      <c r="B442" s="7">
        <v>176297</v>
      </c>
      <c r="C442" s="7" t="s">
        <v>1297</v>
      </c>
      <c r="D442" s="7" t="s">
        <v>1298</v>
      </c>
      <c r="E442" s="7" t="s">
        <v>54</v>
      </c>
      <c r="F442" s="7" t="s">
        <v>112</v>
      </c>
      <c r="G442" s="11">
        <v>7</v>
      </c>
      <c r="H442" s="11">
        <v>7</v>
      </c>
      <c r="I442" s="7"/>
      <c r="J442" s="7"/>
      <c r="K442" s="7"/>
      <c r="L442" s="7" t="s">
        <v>1299</v>
      </c>
      <c r="M442" s="8" t="b">
        <v>0</v>
      </c>
      <c r="N442" s="8" t="b">
        <v>0</v>
      </c>
      <c r="O442" s="7" t="s">
        <v>1246</v>
      </c>
      <c r="P442" s="7" t="s">
        <v>1247</v>
      </c>
      <c r="Q442" s="8" t="b">
        <v>0</v>
      </c>
      <c r="R442" s="8" t="b">
        <v>1</v>
      </c>
      <c r="S442" s="7" t="s">
        <v>89</v>
      </c>
      <c r="T442" s="12"/>
      <c r="U442" s="28"/>
      <c r="V442" s="29">
        <v>1.4999999999999999E-2</v>
      </c>
      <c r="W442" s="30" t="b">
        <v>1</v>
      </c>
      <c r="X442" s="28" t="s">
        <v>90</v>
      </c>
    </row>
    <row r="443" spans="1:24" ht="15">
      <c r="A443" s="7">
        <v>430</v>
      </c>
      <c r="B443" s="7">
        <v>184341</v>
      </c>
      <c r="C443" s="7" t="s">
        <v>1300</v>
      </c>
      <c r="D443" s="7" t="s">
        <v>1301</v>
      </c>
      <c r="E443" s="7" t="s">
        <v>54</v>
      </c>
      <c r="F443" s="7" t="s">
        <v>112</v>
      </c>
      <c r="G443" s="11">
        <v>5.5</v>
      </c>
      <c r="H443" s="11">
        <v>5.5</v>
      </c>
      <c r="I443" s="7"/>
      <c r="J443" s="7">
        <v>3</v>
      </c>
      <c r="K443" s="7"/>
      <c r="L443" s="7" t="s">
        <v>1302</v>
      </c>
      <c r="M443" s="8" t="b">
        <v>0</v>
      </c>
      <c r="N443" s="8" t="b">
        <v>0</v>
      </c>
      <c r="O443" s="7" t="s">
        <v>1246</v>
      </c>
      <c r="P443" s="7" t="s">
        <v>1247</v>
      </c>
      <c r="Q443" s="8" t="b">
        <v>0</v>
      </c>
      <c r="R443" s="8" t="b">
        <v>1</v>
      </c>
      <c r="S443" s="7" t="s">
        <v>89</v>
      </c>
      <c r="T443" s="12"/>
      <c r="U443" s="28"/>
      <c r="V443" s="29">
        <v>1E-3</v>
      </c>
      <c r="W443" s="30" t="b">
        <v>1</v>
      </c>
      <c r="X443" s="28" t="s">
        <v>90</v>
      </c>
    </row>
    <row r="444" spans="1:24" ht="15">
      <c r="A444" s="7">
        <v>431</v>
      </c>
      <c r="B444" s="7">
        <v>493250</v>
      </c>
      <c r="C444" s="7" t="s">
        <v>1303</v>
      </c>
      <c r="D444" s="7" t="s">
        <v>1304</v>
      </c>
      <c r="E444" s="7" t="s">
        <v>54</v>
      </c>
      <c r="F444" s="7" t="s">
        <v>112</v>
      </c>
      <c r="G444" s="11">
        <v>6</v>
      </c>
      <c r="H444" s="11">
        <v>6</v>
      </c>
      <c r="I444" s="7"/>
      <c r="J444" s="7"/>
      <c r="K444" s="7">
        <v>6</v>
      </c>
      <c r="L444" s="7" t="s">
        <v>203</v>
      </c>
      <c r="M444" s="8" t="b">
        <v>0</v>
      </c>
      <c r="N444" s="8" t="b">
        <v>0</v>
      </c>
      <c r="O444" s="7" t="s">
        <v>1246</v>
      </c>
      <c r="P444" s="7" t="s">
        <v>1247</v>
      </c>
      <c r="Q444" s="8" t="b">
        <v>0</v>
      </c>
      <c r="R444" s="8" t="b">
        <v>1</v>
      </c>
      <c r="S444" s="7" t="s">
        <v>89</v>
      </c>
      <c r="T444" s="12"/>
      <c r="U444" s="28"/>
      <c r="V444" s="29">
        <v>1.4999999999999999E-2</v>
      </c>
      <c r="W444" s="30" t="b">
        <v>1</v>
      </c>
      <c r="X444" s="28" t="s">
        <v>90</v>
      </c>
    </row>
    <row r="445" spans="1:24" ht="15">
      <c r="A445" s="7">
        <v>432</v>
      </c>
      <c r="B445" s="7">
        <v>516895</v>
      </c>
      <c r="C445" s="7" t="s">
        <v>1305</v>
      </c>
      <c r="D445" s="7" t="s">
        <v>1306</v>
      </c>
      <c r="E445" s="7" t="s">
        <v>54</v>
      </c>
      <c r="F445" s="7" t="s">
        <v>112</v>
      </c>
      <c r="G445" s="11">
        <v>5.5</v>
      </c>
      <c r="H445" s="11">
        <v>5.5</v>
      </c>
      <c r="I445" s="7"/>
      <c r="J445" s="7"/>
      <c r="K445" s="7"/>
      <c r="L445" s="7" t="s">
        <v>1307</v>
      </c>
      <c r="M445" s="8" t="b">
        <v>0</v>
      </c>
      <c r="N445" s="8" t="b">
        <v>0</v>
      </c>
      <c r="O445" s="7" t="s">
        <v>1246</v>
      </c>
      <c r="P445" s="7" t="s">
        <v>1247</v>
      </c>
      <c r="Q445" s="8" t="b">
        <v>0</v>
      </c>
      <c r="R445" s="8" t="b">
        <v>1</v>
      </c>
      <c r="S445" s="7" t="s">
        <v>89</v>
      </c>
      <c r="T445" s="12"/>
      <c r="U445" s="28"/>
      <c r="V445" s="29">
        <v>1.3000000000000001E-2</v>
      </c>
      <c r="W445" s="30" t="b">
        <v>1</v>
      </c>
      <c r="X445" s="28" t="s">
        <v>90</v>
      </c>
    </row>
    <row r="446" spans="1:24" ht="15">
      <c r="A446" s="7">
        <v>433</v>
      </c>
      <c r="B446" s="7">
        <v>232112</v>
      </c>
      <c r="C446" s="7" t="s">
        <v>1308</v>
      </c>
      <c r="D446" s="7" t="s">
        <v>1309</v>
      </c>
      <c r="E446" s="7" t="s">
        <v>54</v>
      </c>
      <c r="F446" s="7" t="s">
        <v>112</v>
      </c>
      <c r="G446" s="11">
        <v>5</v>
      </c>
      <c r="H446" s="11">
        <v>5</v>
      </c>
      <c r="I446" s="7"/>
      <c r="J446" s="7"/>
      <c r="K446" s="7"/>
      <c r="L446" s="7" t="s">
        <v>742</v>
      </c>
      <c r="M446" s="8" t="b">
        <v>0</v>
      </c>
      <c r="N446" s="8" t="b">
        <v>0</v>
      </c>
      <c r="O446" s="7" t="s">
        <v>1246</v>
      </c>
      <c r="P446" s="7" t="s">
        <v>1247</v>
      </c>
      <c r="Q446" s="8" t="b">
        <v>0</v>
      </c>
      <c r="R446" s="8" t="b">
        <v>1</v>
      </c>
      <c r="S446" s="7" t="s">
        <v>104</v>
      </c>
      <c r="T446" s="12">
        <v>0</v>
      </c>
      <c r="U446" s="28" t="s">
        <v>238</v>
      </c>
      <c r="V446" s="29">
        <v>0</v>
      </c>
      <c r="W446" s="30" t="b">
        <v>1</v>
      </c>
      <c r="X446" s="28" t="s">
        <v>90</v>
      </c>
    </row>
    <row r="447" spans="1:24" ht="15">
      <c r="A447" s="7">
        <v>434</v>
      </c>
      <c r="B447" s="7">
        <v>547037</v>
      </c>
      <c r="C447" s="7" t="s">
        <v>1310</v>
      </c>
      <c r="D447" s="7" t="s">
        <v>1311</v>
      </c>
      <c r="E447" s="7" t="s">
        <v>54</v>
      </c>
      <c r="F447" s="7" t="s">
        <v>112</v>
      </c>
      <c r="G447" s="11">
        <v>5</v>
      </c>
      <c r="H447" s="11">
        <v>5</v>
      </c>
      <c r="I447" s="7"/>
      <c r="J447" s="7"/>
      <c r="K447" s="7"/>
      <c r="L447" s="7" t="s">
        <v>964</v>
      </c>
      <c r="M447" s="8" t="b">
        <v>0</v>
      </c>
      <c r="N447" s="8" t="b">
        <v>0</v>
      </c>
      <c r="O447" s="7" t="s">
        <v>1246</v>
      </c>
      <c r="P447" s="7" t="s">
        <v>1247</v>
      </c>
      <c r="Q447" s="8" t="b">
        <v>0</v>
      </c>
      <c r="R447" s="8" t="b">
        <v>1</v>
      </c>
      <c r="S447" s="7" t="s">
        <v>89</v>
      </c>
      <c r="T447" s="12"/>
      <c r="U447" s="28"/>
      <c r="V447" s="29">
        <v>0</v>
      </c>
      <c r="W447" s="30" t="b">
        <v>1</v>
      </c>
      <c r="X447" s="28" t="s">
        <v>90</v>
      </c>
    </row>
    <row r="448" spans="1:24" ht="15">
      <c r="A448" s="7">
        <v>435</v>
      </c>
      <c r="B448" s="7">
        <v>576628</v>
      </c>
      <c r="C448" s="7" t="s">
        <v>1312</v>
      </c>
      <c r="D448" s="7" t="s">
        <v>1313</v>
      </c>
      <c r="E448" s="7" t="s">
        <v>54</v>
      </c>
      <c r="F448" s="7" t="s">
        <v>112</v>
      </c>
      <c r="G448" s="11">
        <v>5</v>
      </c>
      <c r="H448" s="11">
        <v>5</v>
      </c>
      <c r="I448" s="7"/>
      <c r="J448" s="7"/>
      <c r="K448" s="7"/>
      <c r="L448" s="7" t="s">
        <v>1314</v>
      </c>
      <c r="M448" s="8" t="b">
        <v>0</v>
      </c>
      <c r="N448" s="8" t="b">
        <v>0</v>
      </c>
      <c r="O448" s="7" t="s">
        <v>1246</v>
      </c>
      <c r="P448" s="7" t="s">
        <v>1247</v>
      </c>
      <c r="Q448" s="8" t="b">
        <v>0</v>
      </c>
      <c r="R448" s="8" t="b">
        <v>1</v>
      </c>
      <c r="S448" s="7" t="s">
        <v>89</v>
      </c>
      <c r="T448" s="12"/>
      <c r="U448" s="28"/>
      <c r="V448" s="29">
        <v>1E-3</v>
      </c>
      <c r="W448" s="30" t="b">
        <v>1</v>
      </c>
      <c r="X448" s="28" t="s">
        <v>90</v>
      </c>
    </row>
    <row r="449" spans="1:24" ht="15">
      <c r="A449" s="7">
        <v>436</v>
      </c>
      <c r="B449" s="7">
        <v>490881</v>
      </c>
      <c r="C449" s="7" t="s">
        <v>1315</v>
      </c>
      <c r="D449" s="7" t="s">
        <v>1316</v>
      </c>
      <c r="E449" s="7" t="s">
        <v>54</v>
      </c>
      <c r="F449" s="7" t="s">
        <v>112</v>
      </c>
      <c r="G449" s="11">
        <v>5</v>
      </c>
      <c r="H449" s="11">
        <v>5</v>
      </c>
      <c r="I449" s="7"/>
      <c r="J449" s="7"/>
      <c r="K449" s="7"/>
      <c r="L449" s="7" t="s">
        <v>303</v>
      </c>
      <c r="M449" s="8" t="b">
        <v>0</v>
      </c>
      <c r="N449" s="8" t="b">
        <v>0</v>
      </c>
      <c r="O449" s="7" t="s">
        <v>1246</v>
      </c>
      <c r="P449" s="7" t="s">
        <v>1247</v>
      </c>
      <c r="Q449" s="8" t="b">
        <v>0</v>
      </c>
      <c r="R449" s="8" t="b">
        <v>1</v>
      </c>
      <c r="S449" s="7" t="s">
        <v>89</v>
      </c>
      <c r="T449" s="12"/>
      <c r="U449" s="28"/>
      <c r="V449" s="29">
        <v>0</v>
      </c>
      <c r="W449" s="30" t="b">
        <v>1</v>
      </c>
      <c r="X449" s="28" t="s">
        <v>90</v>
      </c>
    </row>
    <row r="450" spans="1:24" ht="15">
      <c r="A450" s="7">
        <v>437</v>
      </c>
      <c r="B450" s="7">
        <v>576620</v>
      </c>
      <c r="C450" s="7" t="s">
        <v>1317</v>
      </c>
      <c r="D450" s="7" t="s">
        <v>1317</v>
      </c>
      <c r="E450" s="7" t="s">
        <v>54</v>
      </c>
      <c r="F450" s="7" t="s">
        <v>112</v>
      </c>
      <c r="G450" s="11">
        <v>4.5</v>
      </c>
      <c r="H450" s="11">
        <v>4.5</v>
      </c>
      <c r="I450" s="7"/>
      <c r="J450" s="7"/>
      <c r="K450" s="7"/>
      <c r="L450" s="7" t="s">
        <v>152</v>
      </c>
      <c r="M450" s="8" t="b">
        <v>1</v>
      </c>
      <c r="N450" s="8" t="b">
        <v>0</v>
      </c>
      <c r="O450" s="7" t="s">
        <v>1246</v>
      </c>
      <c r="P450" s="7" t="s">
        <v>1247</v>
      </c>
      <c r="Q450" s="8" t="b">
        <v>0</v>
      </c>
      <c r="R450" s="8" t="b">
        <v>1</v>
      </c>
      <c r="S450" s="7" t="s">
        <v>89</v>
      </c>
      <c r="T450" s="12"/>
      <c r="U450" s="28"/>
      <c r="V450" s="29">
        <v>2E-3</v>
      </c>
      <c r="W450" s="30" t="b">
        <v>1</v>
      </c>
      <c r="X450" s="28" t="s">
        <v>90</v>
      </c>
    </row>
    <row r="451" spans="1:24" ht="15">
      <c r="A451" s="7">
        <v>438</v>
      </c>
      <c r="B451" s="7">
        <v>519913</v>
      </c>
      <c r="C451" s="7" t="s">
        <v>1318</v>
      </c>
      <c r="D451" s="7" t="s">
        <v>1319</v>
      </c>
      <c r="E451" s="7" t="s">
        <v>54</v>
      </c>
      <c r="F451" s="7" t="s">
        <v>112</v>
      </c>
      <c r="G451" s="11">
        <v>4.5</v>
      </c>
      <c r="H451" s="11">
        <v>4.5</v>
      </c>
      <c r="I451" s="7"/>
      <c r="J451" s="7"/>
      <c r="K451" s="7"/>
      <c r="L451" s="7" t="s">
        <v>1314</v>
      </c>
      <c r="M451" s="8" t="b">
        <v>0</v>
      </c>
      <c r="N451" s="8" t="b">
        <v>0</v>
      </c>
      <c r="O451" s="7" t="s">
        <v>1246</v>
      </c>
      <c r="P451" s="7" t="s">
        <v>1247</v>
      </c>
      <c r="Q451" s="8" t="b">
        <v>0</v>
      </c>
      <c r="R451" s="8" t="b">
        <v>1</v>
      </c>
      <c r="S451" s="7" t="s">
        <v>89</v>
      </c>
      <c r="T451" s="12"/>
      <c r="U451" s="28"/>
      <c r="V451" s="29">
        <v>3.0000000000000001E-3</v>
      </c>
      <c r="W451" s="30" t="b">
        <v>1</v>
      </c>
      <c r="X451" s="28" t="s">
        <v>90</v>
      </c>
    </row>
    <row r="452" spans="1:24" ht="15">
      <c r="A452" s="7">
        <v>439</v>
      </c>
      <c r="B452" s="7">
        <v>485711</v>
      </c>
      <c r="C452" s="7" t="s">
        <v>1320</v>
      </c>
      <c r="D452" s="7" t="s">
        <v>1321</v>
      </c>
      <c r="E452" s="7" t="s">
        <v>54</v>
      </c>
      <c r="F452" s="7" t="s">
        <v>167</v>
      </c>
      <c r="G452" s="11">
        <v>7</v>
      </c>
      <c r="H452" s="11">
        <v>7</v>
      </c>
      <c r="I452" s="7"/>
      <c r="J452" s="7"/>
      <c r="K452" s="7"/>
      <c r="L452" s="7" t="s">
        <v>1322</v>
      </c>
      <c r="M452" s="8" t="b">
        <v>0</v>
      </c>
      <c r="N452" s="8" t="b">
        <v>0</v>
      </c>
      <c r="O452" s="7" t="s">
        <v>1246</v>
      </c>
      <c r="P452" s="7" t="s">
        <v>1247</v>
      </c>
      <c r="Q452" s="8" t="b">
        <v>0</v>
      </c>
      <c r="R452" s="8" t="b">
        <v>1</v>
      </c>
      <c r="S452" s="7" t="s">
        <v>233</v>
      </c>
      <c r="T452" s="12">
        <v>75</v>
      </c>
      <c r="U452" s="28" t="s">
        <v>1323</v>
      </c>
      <c r="V452" s="29">
        <v>2.7999999999999997E-2</v>
      </c>
      <c r="W452" s="30" t="b">
        <v>1</v>
      </c>
      <c r="X452" s="28" t="s">
        <v>90</v>
      </c>
    </row>
    <row r="453" spans="1:24" ht="15">
      <c r="A453" s="7">
        <v>440</v>
      </c>
      <c r="B453" s="7">
        <v>458249</v>
      </c>
      <c r="C453" s="7" t="s">
        <v>1324</v>
      </c>
      <c r="D453" s="7" t="s">
        <v>1325</v>
      </c>
      <c r="E453" s="7" t="s">
        <v>54</v>
      </c>
      <c r="F453" s="7" t="s">
        <v>167</v>
      </c>
      <c r="G453" s="11">
        <v>5.5</v>
      </c>
      <c r="H453" s="11">
        <v>5.5</v>
      </c>
      <c r="I453" s="7"/>
      <c r="J453" s="7"/>
      <c r="K453" s="7"/>
      <c r="L453" s="7" t="s">
        <v>1326</v>
      </c>
      <c r="M453" s="8" t="b">
        <v>0</v>
      </c>
      <c r="N453" s="8" t="b">
        <v>0</v>
      </c>
      <c r="O453" s="7" t="s">
        <v>1246</v>
      </c>
      <c r="P453" s="7" t="s">
        <v>1247</v>
      </c>
      <c r="Q453" s="8" t="b">
        <v>0</v>
      </c>
      <c r="R453" s="8" t="b">
        <v>1</v>
      </c>
      <c r="S453" s="7" t="s">
        <v>89</v>
      </c>
      <c r="T453" s="12"/>
      <c r="U453" s="28"/>
      <c r="V453" s="29">
        <v>6.9999999999999993E-3</v>
      </c>
      <c r="W453" s="30" t="b">
        <v>1</v>
      </c>
      <c r="X453" s="28" t="s">
        <v>90</v>
      </c>
    </row>
    <row r="454" spans="1:24" ht="15">
      <c r="A454" s="7">
        <v>441</v>
      </c>
      <c r="B454" s="7">
        <v>596047</v>
      </c>
      <c r="C454" s="7" t="s">
        <v>1327</v>
      </c>
      <c r="D454" s="7" t="s">
        <v>1328</v>
      </c>
      <c r="E454" s="7" t="s">
        <v>54</v>
      </c>
      <c r="F454" s="7" t="s">
        <v>167</v>
      </c>
      <c r="G454" s="11">
        <v>4.5</v>
      </c>
      <c r="H454" s="11">
        <v>4.5</v>
      </c>
      <c r="I454" s="7"/>
      <c r="J454" s="7"/>
      <c r="K454" s="7"/>
      <c r="L454" s="7" t="s">
        <v>1329</v>
      </c>
      <c r="M454" s="8" t="b">
        <v>0</v>
      </c>
      <c r="N454" s="8" t="b">
        <v>0</v>
      </c>
      <c r="O454" s="7" t="s">
        <v>1246</v>
      </c>
      <c r="P454" s="7" t="s">
        <v>1247</v>
      </c>
      <c r="Q454" s="8" t="b">
        <v>0</v>
      </c>
      <c r="R454" s="8" t="b">
        <v>1</v>
      </c>
      <c r="S454" s="7" t="s">
        <v>89</v>
      </c>
      <c r="T454" s="12"/>
      <c r="U454" s="28"/>
      <c r="V454" s="29">
        <v>1.2E-2</v>
      </c>
      <c r="W454" s="30" t="b">
        <v>1</v>
      </c>
      <c r="X454" s="28" t="s">
        <v>90</v>
      </c>
    </row>
    <row r="455" spans="1:24" ht="15">
      <c r="A455" s="7">
        <v>442</v>
      </c>
      <c r="B455" s="7">
        <v>98747</v>
      </c>
      <c r="C455" s="7" t="s">
        <v>1330</v>
      </c>
      <c r="D455" s="7" t="s">
        <v>1331</v>
      </c>
      <c r="E455" s="7" t="s">
        <v>55</v>
      </c>
      <c r="F455" s="7" t="s">
        <v>85</v>
      </c>
      <c r="G455" s="11">
        <v>5</v>
      </c>
      <c r="H455" s="11">
        <v>5</v>
      </c>
      <c r="I455" s="7"/>
      <c r="J455" s="7"/>
      <c r="K455" s="7"/>
      <c r="L455" s="7" t="s">
        <v>1332</v>
      </c>
      <c r="M455" s="8" t="b">
        <v>0</v>
      </c>
      <c r="N455" s="8" t="b">
        <v>0</v>
      </c>
      <c r="O455" s="7" t="s">
        <v>1333</v>
      </c>
      <c r="P455" s="7" t="s">
        <v>1334</v>
      </c>
      <c r="Q455" s="8" t="b">
        <v>1</v>
      </c>
      <c r="R455" s="8" t="b">
        <v>1</v>
      </c>
      <c r="S455" s="7" t="s">
        <v>89</v>
      </c>
      <c r="T455" s="12"/>
      <c r="U455" s="28"/>
      <c r="V455" s="29">
        <v>1.1000000000000001E-2</v>
      </c>
      <c r="W455" s="30" t="b">
        <v>1</v>
      </c>
      <c r="X455" s="28" t="s">
        <v>90</v>
      </c>
    </row>
    <row r="456" spans="1:24" ht="15">
      <c r="A456" s="7">
        <v>443</v>
      </c>
      <c r="B456" s="7">
        <v>81441</v>
      </c>
      <c r="C456" s="7" t="s">
        <v>1335</v>
      </c>
      <c r="D456" s="7" t="s">
        <v>1336</v>
      </c>
      <c r="E456" s="7" t="s">
        <v>55</v>
      </c>
      <c r="F456" s="7" t="s">
        <v>85</v>
      </c>
      <c r="G456" s="11">
        <v>4.5</v>
      </c>
      <c r="H456" s="11">
        <v>4.5</v>
      </c>
      <c r="I456" s="7"/>
      <c r="J456" s="7"/>
      <c r="K456" s="7"/>
      <c r="L456" s="7" t="s">
        <v>1337</v>
      </c>
      <c r="M456" s="8" t="b">
        <v>0</v>
      </c>
      <c r="N456" s="8" t="b">
        <v>0</v>
      </c>
      <c r="O456" s="7" t="s">
        <v>1333</v>
      </c>
      <c r="P456" s="7" t="s">
        <v>1334</v>
      </c>
      <c r="Q456" s="8" t="b">
        <v>1</v>
      </c>
      <c r="R456" s="8" t="b">
        <v>1</v>
      </c>
      <c r="S456" s="7" t="s">
        <v>89</v>
      </c>
      <c r="T456" s="12"/>
      <c r="U456" s="28"/>
      <c r="V456" s="29">
        <v>1E-3</v>
      </c>
      <c r="W456" s="30" t="b">
        <v>1</v>
      </c>
      <c r="X456" s="28" t="s">
        <v>90</v>
      </c>
    </row>
    <row r="457" spans="1:24" ht="15">
      <c r="A457" s="7">
        <v>444</v>
      </c>
      <c r="B457" s="7">
        <v>554578</v>
      </c>
      <c r="C457" s="7" t="s">
        <v>1338</v>
      </c>
      <c r="D457" s="7" t="s">
        <v>1339</v>
      </c>
      <c r="E457" s="7" t="s">
        <v>55</v>
      </c>
      <c r="F457" s="7" t="s">
        <v>85</v>
      </c>
      <c r="G457" s="11">
        <v>4.5</v>
      </c>
      <c r="H457" s="11">
        <v>4.5</v>
      </c>
      <c r="I457" s="7"/>
      <c r="J457" s="7"/>
      <c r="K457" s="7"/>
      <c r="L457" s="7" t="s">
        <v>377</v>
      </c>
      <c r="M457" s="8" t="b">
        <v>1</v>
      </c>
      <c r="N457" s="8" t="b">
        <v>0</v>
      </c>
      <c r="O457" s="7" t="s">
        <v>1333</v>
      </c>
      <c r="P457" s="7" t="s">
        <v>1334</v>
      </c>
      <c r="Q457" s="8" t="b">
        <v>1</v>
      </c>
      <c r="R457" s="8" t="b">
        <v>1</v>
      </c>
      <c r="S457" s="7" t="s">
        <v>89</v>
      </c>
      <c r="T457" s="12"/>
      <c r="U457" s="28"/>
      <c r="V457" s="29">
        <v>1E-3</v>
      </c>
      <c r="W457" s="30" t="b">
        <v>1</v>
      </c>
      <c r="X457" s="28" t="s">
        <v>90</v>
      </c>
    </row>
    <row r="458" spans="1:24" ht="15">
      <c r="A458" s="7">
        <v>445</v>
      </c>
      <c r="B458" s="7">
        <v>465642</v>
      </c>
      <c r="C458" s="7" t="s">
        <v>1340</v>
      </c>
      <c r="D458" s="7" t="s">
        <v>1341</v>
      </c>
      <c r="E458" s="7" t="s">
        <v>55</v>
      </c>
      <c r="F458" s="7" t="s">
        <v>99</v>
      </c>
      <c r="G458" s="11">
        <v>5</v>
      </c>
      <c r="H458" s="11">
        <v>5</v>
      </c>
      <c r="I458" s="7"/>
      <c r="J458" s="7"/>
      <c r="K458" s="7"/>
      <c r="L458" s="7" t="s">
        <v>1342</v>
      </c>
      <c r="M458" s="8" t="b">
        <v>0</v>
      </c>
      <c r="N458" s="8" t="b">
        <v>0</v>
      </c>
      <c r="O458" s="7" t="s">
        <v>1333</v>
      </c>
      <c r="P458" s="7" t="s">
        <v>1334</v>
      </c>
      <c r="Q458" s="8" t="b">
        <v>1</v>
      </c>
      <c r="R458" s="8" t="b">
        <v>1</v>
      </c>
      <c r="S458" s="7" t="s">
        <v>89</v>
      </c>
      <c r="T458" s="12"/>
      <c r="U458" s="28"/>
      <c r="V458" s="29">
        <v>2.1000000000000001E-2</v>
      </c>
      <c r="W458" s="30" t="b">
        <v>1</v>
      </c>
      <c r="X458" s="28" t="s">
        <v>90</v>
      </c>
    </row>
    <row r="459" spans="1:24" ht="15">
      <c r="A459" s="7">
        <v>446</v>
      </c>
      <c r="B459" s="7">
        <v>119471</v>
      </c>
      <c r="C459" s="7" t="s">
        <v>1343</v>
      </c>
      <c r="D459" s="7" t="s">
        <v>1344</v>
      </c>
      <c r="E459" s="7" t="s">
        <v>55</v>
      </c>
      <c r="F459" s="7" t="s">
        <v>99</v>
      </c>
      <c r="G459" s="11">
        <v>5</v>
      </c>
      <c r="H459" s="11">
        <v>5</v>
      </c>
      <c r="I459" s="7"/>
      <c r="J459" s="7">
        <v>3</v>
      </c>
      <c r="K459" s="7"/>
      <c r="L459" s="7" t="s">
        <v>1345</v>
      </c>
      <c r="M459" s="8" t="b">
        <v>0</v>
      </c>
      <c r="N459" s="8" t="b">
        <v>0</v>
      </c>
      <c r="O459" s="7" t="s">
        <v>1333</v>
      </c>
      <c r="P459" s="7" t="s">
        <v>1334</v>
      </c>
      <c r="Q459" s="8" t="b">
        <v>1</v>
      </c>
      <c r="R459" s="8" t="b">
        <v>1</v>
      </c>
      <c r="S459" s="7" t="s">
        <v>89</v>
      </c>
      <c r="T459" s="12">
        <v>100</v>
      </c>
      <c r="U459" s="28"/>
      <c r="V459" s="29">
        <v>2E-3</v>
      </c>
      <c r="W459" s="30" t="b">
        <v>1</v>
      </c>
      <c r="X459" s="28" t="s">
        <v>90</v>
      </c>
    </row>
    <row r="460" spans="1:24" ht="15">
      <c r="A460" s="7">
        <v>447</v>
      </c>
      <c r="B460" s="7">
        <v>220237</v>
      </c>
      <c r="C460" s="7" t="s">
        <v>1346</v>
      </c>
      <c r="D460" s="7" t="s">
        <v>1347</v>
      </c>
      <c r="E460" s="7" t="s">
        <v>55</v>
      </c>
      <c r="F460" s="7" t="s">
        <v>99</v>
      </c>
      <c r="G460" s="11">
        <v>5</v>
      </c>
      <c r="H460" s="11">
        <v>5</v>
      </c>
      <c r="I460" s="7"/>
      <c r="J460" s="7"/>
      <c r="K460" s="7"/>
      <c r="L460" s="7" t="s">
        <v>1348</v>
      </c>
      <c r="M460" s="8" t="b">
        <v>0</v>
      </c>
      <c r="N460" s="8" t="b">
        <v>0</v>
      </c>
      <c r="O460" s="7" t="s">
        <v>1333</v>
      </c>
      <c r="P460" s="7" t="s">
        <v>1334</v>
      </c>
      <c r="Q460" s="8" t="b">
        <v>1</v>
      </c>
      <c r="R460" s="8" t="b">
        <v>1</v>
      </c>
      <c r="S460" s="7" t="s">
        <v>89</v>
      </c>
      <c r="T460" s="12"/>
      <c r="U460" s="28"/>
      <c r="V460" s="29">
        <v>4.0000000000000001E-3</v>
      </c>
      <c r="W460" s="30" t="b">
        <v>1</v>
      </c>
      <c r="X460" s="28" t="s">
        <v>90</v>
      </c>
    </row>
    <row r="461" spans="1:24" ht="15">
      <c r="A461" s="7">
        <v>448</v>
      </c>
      <c r="B461" s="7">
        <v>78916</v>
      </c>
      <c r="C461" s="7" t="s">
        <v>1349</v>
      </c>
      <c r="D461" s="7" t="s">
        <v>1350</v>
      </c>
      <c r="E461" s="7" t="s">
        <v>55</v>
      </c>
      <c r="F461" s="7" t="s">
        <v>99</v>
      </c>
      <c r="G461" s="11">
        <v>5</v>
      </c>
      <c r="H461" s="11">
        <v>5</v>
      </c>
      <c r="I461" s="7"/>
      <c r="J461" s="7"/>
      <c r="K461" s="7"/>
      <c r="L461" s="7" t="s">
        <v>739</v>
      </c>
      <c r="M461" s="8" t="b">
        <v>0</v>
      </c>
      <c r="N461" s="8" t="b">
        <v>0</v>
      </c>
      <c r="O461" s="7" t="s">
        <v>1333</v>
      </c>
      <c r="P461" s="7" t="s">
        <v>1334</v>
      </c>
      <c r="Q461" s="8" t="b">
        <v>1</v>
      </c>
      <c r="R461" s="8" t="b">
        <v>1</v>
      </c>
      <c r="S461" s="7" t="s">
        <v>89</v>
      </c>
      <c r="T461" s="12"/>
      <c r="U461" s="28"/>
      <c r="V461" s="29">
        <v>2.7000000000000003E-2</v>
      </c>
      <c r="W461" s="30" t="b">
        <v>1</v>
      </c>
      <c r="X461" s="28" t="s">
        <v>90</v>
      </c>
    </row>
    <row r="462" spans="1:24" ht="15">
      <c r="A462" s="7">
        <v>449</v>
      </c>
      <c r="B462" s="7">
        <v>487838</v>
      </c>
      <c r="C462" s="7" t="s">
        <v>1351</v>
      </c>
      <c r="D462" s="7" t="s">
        <v>1352</v>
      </c>
      <c r="E462" s="7" t="s">
        <v>55</v>
      </c>
      <c r="F462" s="7" t="s">
        <v>99</v>
      </c>
      <c r="G462" s="11">
        <v>5</v>
      </c>
      <c r="H462" s="11">
        <v>5</v>
      </c>
      <c r="I462" s="7"/>
      <c r="J462" s="7">
        <v>1</v>
      </c>
      <c r="K462" s="7">
        <v>5</v>
      </c>
      <c r="L462" s="7" t="s">
        <v>229</v>
      </c>
      <c r="M462" s="8" t="b">
        <v>0</v>
      </c>
      <c r="N462" s="8" t="b">
        <v>0</v>
      </c>
      <c r="O462" s="7" t="s">
        <v>1333</v>
      </c>
      <c r="P462" s="7" t="s">
        <v>1334</v>
      </c>
      <c r="Q462" s="8" t="b">
        <v>1</v>
      </c>
      <c r="R462" s="8" t="b">
        <v>1</v>
      </c>
      <c r="S462" s="7" t="s">
        <v>89</v>
      </c>
      <c r="T462" s="12"/>
      <c r="U462" s="28"/>
      <c r="V462" s="29">
        <v>4.2000000000000003E-2</v>
      </c>
      <c r="W462" s="30" t="b">
        <v>1</v>
      </c>
      <c r="X462" s="28" t="s">
        <v>90</v>
      </c>
    </row>
    <row r="463" spans="1:24" ht="15">
      <c r="A463" s="7">
        <v>450</v>
      </c>
      <c r="B463" s="7">
        <v>441191</v>
      </c>
      <c r="C463" s="7" t="s">
        <v>1353</v>
      </c>
      <c r="D463" s="7" t="s">
        <v>1354</v>
      </c>
      <c r="E463" s="7" t="s">
        <v>55</v>
      </c>
      <c r="F463" s="7" t="s">
        <v>99</v>
      </c>
      <c r="G463" s="11">
        <v>5</v>
      </c>
      <c r="H463" s="11">
        <v>5</v>
      </c>
      <c r="I463" s="7"/>
      <c r="J463" s="7"/>
      <c r="K463" s="7"/>
      <c r="L463" s="7" t="s">
        <v>1355</v>
      </c>
      <c r="M463" s="8" t="b">
        <v>0</v>
      </c>
      <c r="N463" s="8" t="b">
        <v>0</v>
      </c>
      <c r="O463" s="7" t="s">
        <v>1333</v>
      </c>
      <c r="P463" s="7" t="s">
        <v>1334</v>
      </c>
      <c r="Q463" s="8" t="b">
        <v>1</v>
      </c>
      <c r="R463" s="8" t="b">
        <v>1</v>
      </c>
      <c r="S463" s="7" t="s">
        <v>233</v>
      </c>
      <c r="T463" s="12">
        <v>75</v>
      </c>
      <c r="U463" s="28" t="s">
        <v>1356</v>
      </c>
      <c r="V463" s="29">
        <v>1E-3</v>
      </c>
      <c r="W463" s="30" t="b">
        <v>1</v>
      </c>
      <c r="X463" s="28" t="s">
        <v>90</v>
      </c>
    </row>
    <row r="464" spans="1:24" ht="15">
      <c r="A464" s="7">
        <v>451</v>
      </c>
      <c r="B464" s="7">
        <v>545477</v>
      </c>
      <c r="C464" s="7" t="s">
        <v>1357</v>
      </c>
      <c r="D464" s="7" t="s">
        <v>1358</v>
      </c>
      <c r="E464" s="7" t="s">
        <v>55</v>
      </c>
      <c r="F464" s="7" t="s">
        <v>99</v>
      </c>
      <c r="G464" s="11">
        <v>4</v>
      </c>
      <c r="H464" s="11">
        <v>4</v>
      </c>
      <c r="I464" s="7"/>
      <c r="J464" s="7"/>
      <c r="K464" s="7"/>
      <c r="L464" s="7" t="s">
        <v>1051</v>
      </c>
      <c r="M464" s="8" t="b">
        <v>0</v>
      </c>
      <c r="N464" s="8" t="b">
        <v>0</v>
      </c>
      <c r="O464" s="7" t="s">
        <v>1333</v>
      </c>
      <c r="P464" s="7" t="s">
        <v>1334</v>
      </c>
      <c r="Q464" s="8" t="b">
        <v>1</v>
      </c>
      <c r="R464" s="8" t="b">
        <v>1</v>
      </c>
      <c r="S464" s="7" t="s">
        <v>89</v>
      </c>
      <c r="T464" s="12"/>
      <c r="U464" s="28"/>
      <c r="V464" s="29">
        <v>8.0000000000000002E-3</v>
      </c>
      <c r="W464" s="30" t="b">
        <v>1</v>
      </c>
      <c r="X464" s="28" t="s">
        <v>90</v>
      </c>
    </row>
    <row r="465" spans="1:24" ht="15">
      <c r="A465" s="7">
        <v>452</v>
      </c>
      <c r="B465" s="7">
        <v>208706</v>
      </c>
      <c r="C465" s="7" t="s">
        <v>1359</v>
      </c>
      <c r="D465" s="7" t="s">
        <v>1360</v>
      </c>
      <c r="E465" s="7" t="s">
        <v>55</v>
      </c>
      <c r="F465" s="7" t="s">
        <v>112</v>
      </c>
      <c r="G465" s="11">
        <v>7</v>
      </c>
      <c r="H465" s="11">
        <v>7</v>
      </c>
      <c r="I465" s="7">
        <v>3</v>
      </c>
      <c r="J465" s="7">
        <v>2</v>
      </c>
      <c r="K465" s="7">
        <v>6</v>
      </c>
      <c r="L465" s="7" t="s">
        <v>1361</v>
      </c>
      <c r="M465" s="8" t="b">
        <v>0</v>
      </c>
      <c r="N465" s="8" t="b">
        <v>0</v>
      </c>
      <c r="O465" s="7" t="s">
        <v>1333</v>
      </c>
      <c r="P465" s="7" t="s">
        <v>1334</v>
      </c>
      <c r="Q465" s="8" t="b">
        <v>1</v>
      </c>
      <c r="R465" s="8" t="b">
        <v>1</v>
      </c>
      <c r="S465" s="7" t="s">
        <v>89</v>
      </c>
      <c r="T465" s="12"/>
      <c r="U465" s="28"/>
      <c r="V465" s="29">
        <v>8.3000000000000004E-2</v>
      </c>
      <c r="W465" s="30" t="b">
        <v>1</v>
      </c>
      <c r="X465" s="28" t="s">
        <v>90</v>
      </c>
    </row>
    <row r="466" spans="1:24" ht="15">
      <c r="A466" s="7">
        <v>453</v>
      </c>
      <c r="B466" s="7">
        <v>201666</v>
      </c>
      <c r="C466" s="7" t="s">
        <v>1362</v>
      </c>
      <c r="D466" s="7" t="s">
        <v>1363</v>
      </c>
      <c r="E466" s="7" t="s">
        <v>55</v>
      </c>
      <c r="F466" s="7" t="s">
        <v>112</v>
      </c>
      <c r="G466" s="11">
        <v>6</v>
      </c>
      <c r="H466" s="11">
        <v>6</v>
      </c>
      <c r="I466" s="7"/>
      <c r="J466" s="7"/>
      <c r="K466" s="7"/>
      <c r="L466" s="7" t="s">
        <v>1364</v>
      </c>
      <c r="M466" s="8" t="b">
        <v>0</v>
      </c>
      <c r="N466" s="8" t="b">
        <v>0</v>
      </c>
      <c r="O466" s="7" t="s">
        <v>1333</v>
      </c>
      <c r="P466" s="7" t="s">
        <v>1334</v>
      </c>
      <c r="Q466" s="8" t="b">
        <v>1</v>
      </c>
      <c r="R466" s="8" t="b">
        <v>1</v>
      </c>
      <c r="S466" s="7" t="s">
        <v>89</v>
      </c>
      <c r="T466" s="12"/>
      <c r="U466" s="28"/>
      <c r="V466" s="29">
        <v>1.2E-2</v>
      </c>
      <c r="W466" s="30" t="b">
        <v>1</v>
      </c>
      <c r="X466" s="28" t="s">
        <v>90</v>
      </c>
    </row>
    <row r="467" spans="1:24" ht="15">
      <c r="A467" s="7">
        <v>454</v>
      </c>
      <c r="B467" s="7">
        <v>449434</v>
      </c>
      <c r="C467" s="7" t="s">
        <v>1365</v>
      </c>
      <c r="D467" s="7" t="s">
        <v>1366</v>
      </c>
      <c r="E467" s="7" t="s">
        <v>55</v>
      </c>
      <c r="F467" s="7" t="s">
        <v>112</v>
      </c>
      <c r="G467" s="11">
        <v>6</v>
      </c>
      <c r="H467" s="11">
        <v>6</v>
      </c>
      <c r="I467" s="7"/>
      <c r="J467" s="7"/>
      <c r="K467" s="7">
        <v>8</v>
      </c>
      <c r="L467" s="7" t="s">
        <v>693</v>
      </c>
      <c r="M467" s="8" t="b">
        <v>0</v>
      </c>
      <c r="N467" s="8" t="b">
        <v>0</v>
      </c>
      <c r="O467" s="7" t="s">
        <v>1333</v>
      </c>
      <c r="P467" s="7" t="s">
        <v>1334</v>
      </c>
      <c r="Q467" s="8" t="b">
        <v>1</v>
      </c>
      <c r="R467" s="8" t="b">
        <v>1</v>
      </c>
      <c r="S467" s="7" t="s">
        <v>89</v>
      </c>
      <c r="T467" s="12"/>
      <c r="U467" s="28"/>
      <c r="V467" s="29">
        <v>6.9999999999999993E-3</v>
      </c>
      <c r="W467" s="30" t="b">
        <v>1</v>
      </c>
      <c r="X467" s="28" t="s">
        <v>90</v>
      </c>
    </row>
    <row r="468" spans="1:24" ht="15">
      <c r="A468" s="7">
        <v>456</v>
      </c>
      <c r="B468" s="7">
        <v>232653</v>
      </c>
      <c r="C468" s="7" t="s">
        <v>1367</v>
      </c>
      <c r="D468" s="7" t="s">
        <v>1368</v>
      </c>
      <c r="E468" s="7" t="s">
        <v>55</v>
      </c>
      <c r="F468" s="7" t="s">
        <v>112</v>
      </c>
      <c r="G468" s="11">
        <v>5</v>
      </c>
      <c r="H468" s="11">
        <v>5</v>
      </c>
      <c r="I468" s="7"/>
      <c r="J468" s="7"/>
      <c r="K468" s="7"/>
      <c r="L468" s="7" t="s">
        <v>1369</v>
      </c>
      <c r="M468" s="8" t="b">
        <v>0</v>
      </c>
      <c r="N468" s="8" t="b">
        <v>0</v>
      </c>
      <c r="O468" s="7" t="s">
        <v>1333</v>
      </c>
      <c r="P468" s="7" t="s">
        <v>1334</v>
      </c>
      <c r="Q468" s="8" t="b">
        <v>1</v>
      </c>
      <c r="R468" s="8" t="b">
        <v>1</v>
      </c>
      <c r="S468" s="7" t="s">
        <v>89</v>
      </c>
      <c r="T468" s="12"/>
      <c r="U468" s="28"/>
      <c r="V468" s="29">
        <v>5.0000000000000001E-3</v>
      </c>
      <c r="W468" s="30" t="b">
        <v>1</v>
      </c>
      <c r="X468" s="28" t="s">
        <v>90</v>
      </c>
    </row>
    <row r="469" spans="1:24" ht="15">
      <c r="A469" s="7">
        <v>457</v>
      </c>
      <c r="B469" s="7">
        <v>114243</v>
      </c>
      <c r="C469" s="7" t="s">
        <v>1370</v>
      </c>
      <c r="D469" s="7" t="s">
        <v>1371</v>
      </c>
      <c r="E469" s="7" t="s">
        <v>55</v>
      </c>
      <c r="F469" s="7" t="s">
        <v>112</v>
      </c>
      <c r="G469" s="11">
        <v>6</v>
      </c>
      <c r="H469" s="11">
        <v>6</v>
      </c>
      <c r="I469" s="7"/>
      <c r="J469" s="7"/>
      <c r="K469" s="7"/>
      <c r="L469" s="7" t="s">
        <v>1372</v>
      </c>
      <c r="M469" s="8" t="b">
        <v>0</v>
      </c>
      <c r="N469" s="8" t="b">
        <v>0</v>
      </c>
      <c r="O469" s="7" t="s">
        <v>1333</v>
      </c>
      <c r="P469" s="7" t="s">
        <v>1334</v>
      </c>
      <c r="Q469" s="8" t="b">
        <v>1</v>
      </c>
      <c r="R469" s="8" t="b">
        <v>1</v>
      </c>
      <c r="S469" s="7" t="s">
        <v>89</v>
      </c>
      <c r="T469" s="12"/>
      <c r="U469" s="28"/>
      <c r="V469" s="29">
        <v>2E-3</v>
      </c>
      <c r="W469" s="30" t="b">
        <v>1</v>
      </c>
      <c r="X469" s="28" t="s">
        <v>90</v>
      </c>
    </row>
    <row r="470" spans="1:24" ht="15">
      <c r="A470" s="7">
        <v>458</v>
      </c>
      <c r="B470" s="7">
        <v>180974</v>
      </c>
      <c r="C470" s="7" t="s">
        <v>1373</v>
      </c>
      <c r="D470" s="7" t="s">
        <v>1374</v>
      </c>
      <c r="E470" s="7" t="s">
        <v>55</v>
      </c>
      <c r="F470" s="7" t="s">
        <v>112</v>
      </c>
      <c r="G470" s="11">
        <v>5.5</v>
      </c>
      <c r="H470" s="11">
        <v>5.5</v>
      </c>
      <c r="I470" s="7"/>
      <c r="J470" s="7"/>
      <c r="K470" s="7"/>
      <c r="L470" s="7" t="s">
        <v>1375</v>
      </c>
      <c r="M470" s="8" t="b">
        <v>0</v>
      </c>
      <c r="N470" s="8" t="b">
        <v>0</v>
      </c>
      <c r="O470" s="7" t="s">
        <v>1333</v>
      </c>
      <c r="P470" s="7" t="s">
        <v>1334</v>
      </c>
      <c r="Q470" s="8" t="b">
        <v>1</v>
      </c>
      <c r="R470" s="8" t="b">
        <v>1</v>
      </c>
      <c r="S470" s="7" t="s">
        <v>233</v>
      </c>
      <c r="T470" s="12">
        <v>75</v>
      </c>
      <c r="U470" s="28" t="s">
        <v>1272</v>
      </c>
      <c r="V470" s="29">
        <v>0</v>
      </c>
      <c r="W470" s="30" t="b">
        <v>1</v>
      </c>
      <c r="X470" s="28" t="s">
        <v>90</v>
      </c>
    </row>
    <row r="471" spans="1:24" ht="15">
      <c r="A471" s="7">
        <v>459</v>
      </c>
      <c r="B471" s="7">
        <v>547719</v>
      </c>
      <c r="C471" s="7" t="s">
        <v>1376</v>
      </c>
      <c r="D471" s="7" t="s">
        <v>1377</v>
      </c>
      <c r="E471" s="7" t="s">
        <v>55</v>
      </c>
      <c r="F471" s="7" t="s">
        <v>112</v>
      </c>
      <c r="G471" s="11">
        <v>5.5</v>
      </c>
      <c r="H471" s="11">
        <v>5.5</v>
      </c>
      <c r="I471" s="7"/>
      <c r="J471" s="7"/>
      <c r="K471" s="7">
        <v>7</v>
      </c>
      <c r="L471" s="7" t="s">
        <v>1378</v>
      </c>
      <c r="M471" s="8" t="b">
        <v>0</v>
      </c>
      <c r="N471" s="8" t="b">
        <v>0</v>
      </c>
      <c r="O471" s="7" t="s">
        <v>1333</v>
      </c>
      <c r="P471" s="7" t="s">
        <v>1334</v>
      </c>
      <c r="Q471" s="8" t="b">
        <v>1</v>
      </c>
      <c r="R471" s="8" t="b">
        <v>1</v>
      </c>
      <c r="S471" s="7" t="s">
        <v>104</v>
      </c>
      <c r="T471" s="12">
        <v>0</v>
      </c>
      <c r="U471" s="28" t="s">
        <v>1379</v>
      </c>
      <c r="V471" s="29">
        <v>0</v>
      </c>
      <c r="W471" s="30" t="b">
        <v>1</v>
      </c>
      <c r="X471" s="28" t="s">
        <v>90</v>
      </c>
    </row>
    <row r="472" spans="1:24" ht="15">
      <c r="A472" s="7">
        <v>460</v>
      </c>
      <c r="B472" s="7">
        <v>200089</v>
      </c>
      <c r="C472" s="7" t="s">
        <v>1380</v>
      </c>
      <c r="D472" s="7" t="s">
        <v>1381</v>
      </c>
      <c r="E472" s="7" t="s">
        <v>55</v>
      </c>
      <c r="F472" s="7" t="s">
        <v>112</v>
      </c>
      <c r="G472" s="11">
        <v>5</v>
      </c>
      <c r="H472" s="11">
        <v>5</v>
      </c>
      <c r="I472" s="7"/>
      <c r="J472" s="7"/>
      <c r="K472" s="7"/>
      <c r="L472" s="7" t="s">
        <v>1382</v>
      </c>
      <c r="M472" s="8" t="b">
        <v>0</v>
      </c>
      <c r="N472" s="8" t="b">
        <v>0</v>
      </c>
      <c r="O472" s="7" t="s">
        <v>1333</v>
      </c>
      <c r="P472" s="7" t="s">
        <v>1334</v>
      </c>
      <c r="Q472" s="8" t="b">
        <v>1</v>
      </c>
      <c r="R472" s="8" t="b">
        <v>1</v>
      </c>
      <c r="S472" s="7" t="s">
        <v>89</v>
      </c>
      <c r="T472" s="12"/>
      <c r="U472" s="28"/>
      <c r="V472" s="29">
        <v>1E-3</v>
      </c>
      <c r="W472" s="30" t="b">
        <v>1</v>
      </c>
      <c r="X472" s="28" t="s">
        <v>90</v>
      </c>
    </row>
    <row r="473" spans="1:24" ht="15">
      <c r="A473" s="7">
        <v>461</v>
      </c>
      <c r="B473" s="7">
        <v>611665</v>
      </c>
      <c r="C473" s="7" t="s">
        <v>1383</v>
      </c>
      <c r="D473" s="7" t="s">
        <v>1384</v>
      </c>
      <c r="E473" s="7" t="s">
        <v>55</v>
      </c>
      <c r="F473" s="7" t="s">
        <v>112</v>
      </c>
      <c r="G473" s="11">
        <v>6</v>
      </c>
      <c r="H473" s="11">
        <v>6</v>
      </c>
      <c r="I473" s="7"/>
      <c r="J473" s="7"/>
      <c r="K473" s="7"/>
      <c r="L473" s="7" t="s">
        <v>1385</v>
      </c>
      <c r="M473" s="8" t="b">
        <v>1</v>
      </c>
      <c r="N473" s="8" t="b">
        <v>0</v>
      </c>
      <c r="O473" s="7" t="s">
        <v>1333</v>
      </c>
      <c r="P473" s="7" t="s">
        <v>1334</v>
      </c>
      <c r="Q473" s="8" t="b">
        <v>1</v>
      </c>
      <c r="R473" s="8" t="b">
        <v>1</v>
      </c>
      <c r="S473" s="7" t="s">
        <v>89</v>
      </c>
      <c r="T473" s="12"/>
      <c r="U473" s="28"/>
      <c r="V473" s="29">
        <v>2E-3</v>
      </c>
      <c r="W473" s="30" t="b">
        <v>1</v>
      </c>
      <c r="X473" s="28" t="s">
        <v>90</v>
      </c>
    </row>
    <row r="474" spans="1:24" ht="15">
      <c r="A474" s="7">
        <v>462</v>
      </c>
      <c r="B474" s="7">
        <v>636852</v>
      </c>
      <c r="C474" s="7" t="s">
        <v>1386</v>
      </c>
      <c r="D474" s="7" t="s">
        <v>1387</v>
      </c>
      <c r="E474" s="7" t="s">
        <v>55</v>
      </c>
      <c r="F474" s="7" t="s">
        <v>112</v>
      </c>
      <c r="G474" s="11">
        <v>5</v>
      </c>
      <c r="H474" s="11">
        <v>5</v>
      </c>
      <c r="I474" s="7"/>
      <c r="J474" s="7"/>
      <c r="K474" s="7"/>
      <c r="L474" s="7" t="s">
        <v>96</v>
      </c>
      <c r="M474" s="8" t="b">
        <v>1</v>
      </c>
      <c r="N474" s="8" t="b">
        <v>0</v>
      </c>
      <c r="O474" s="7" t="s">
        <v>1333</v>
      </c>
      <c r="P474" s="7" t="s">
        <v>1334</v>
      </c>
      <c r="Q474" s="8" t="b">
        <v>1</v>
      </c>
      <c r="R474" s="8" t="b">
        <v>1</v>
      </c>
      <c r="S474" s="7" t="s">
        <v>89</v>
      </c>
      <c r="T474" s="12"/>
      <c r="U474" s="28"/>
      <c r="V474" s="29">
        <v>1E-3</v>
      </c>
      <c r="W474" s="30" t="b">
        <v>1</v>
      </c>
      <c r="X474" s="28" t="s">
        <v>90</v>
      </c>
    </row>
    <row r="475" spans="1:24" ht="15">
      <c r="A475" s="7">
        <v>463</v>
      </c>
      <c r="B475" s="7">
        <v>470313</v>
      </c>
      <c r="C475" s="7" t="s">
        <v>1388</v>
      </c>
      <c r="D475" s="7" t="s">
        <v>1389</v>
      </c>
      <c r="E475" s="7" t="s">
        <v>55</v>
      </c>
      <c r="F475" s="7" t="s">
        <v>167</v>
      </c>
      <c r="G475" s="11">
        <v>6</v>
      </c>
      <c r="H475" s="11">
        <v>6</v>
      </c>
      <c r="I475" s="7">
        <v>1</v>
      </c>
      <c r="J475" s="7"/>
      <c r="K475" s="7"/>
      <c r="L475" s="7" t="s">
        <v>1390</v>
      </c>
      <c r="M475" s="8" t="b">
        <v>0</v>
      </c>
      <c r="N475" s="8" t="b">
        <v>0</v>
      </c>
      <c r="O475" s="7" t="s">
        <v>1333</v>
      </c>
      <c r="P475" s="7" t="s">
        <v>1334</v>
      </c>
      <c r="Q475" s="8" t="b">
        <v>1</v>
      </c>
      <c r="R475" s="8" t="b">
        <v>1</v>
      </c>
      <c r="S475" s="7" t="s">
        <v>89</v>
      </c>
      <c r="T475" s="12"/>
      <c r="U475" s="28"/>
      <c r="V475" s="29">
        <v>1.7000000000000001E-2</v>
      </c>
      <c r="W475" s="30" t="b">
        <v>1</v>
      </c>
      <c r="X475" s="28" t="s">
        <v>90</v>
      </c>
    </row>
    <row r="476" spans="1:24" ht="15">
      <c r="A476" s="7">
        <v>464</v>
      </c>
      <c r="B476" s="7">
        <v>216646</v>
      </c>
      <c r="C476" s="7" t="s">
        <v>1391</v>
      </c>
      <c r="D476" s="7" t="s">
        <v>1392</v>
      </c>
      <c r="E476" s="7" t="s">
        <v>55</v>
      </c>
      <c r="F476" s="7" t="s">
        <v>167</v>
      </c>
      <c r="G476" s="11">
        <v>6</v>
      </c>
      <c r="H476" s="11">
        <v>6</v>
      </c>
      <c r="I476" s="7">
        <v>4</v>
      </c>
      <c r="J476" s="7"/>
      <c r="K476" s="7"/>
      <c r="L476" s="7" t="s">
        <v>209</v>
      </c>
      <c r="M476" s="8" t="b">
        <v>0</v>
      </c>
      <c r="N476" s="8" t="b">
        <v>0</v>
      </c>
      <c r="O476" s="7" t="s">
        <v>1333</v>
      </c>
      <c r="P476" s="7" t="s">
        <v>1334</v>
      </c>
      <c r="Q476" s="8" t="b">
        <v>1</v>
      </c>
      <c r="R476" s="8" t="b">
        <v>1</v>
      </c>
      <c r="S476" s="7" t="s">
        <v>89</v>
      </c>
      <c r="T476" s="12"/>
      <c r="U476" s="28"/>
      <c r="V476" s="29">
        <v>1.3999999999999999E-2</v>
      </c>
      <c r="W476" s="30" t="b">
        <v>1</v>
      </c>
      <c r="X476" s="28" t="s">
        <v>90</v>
      </c>
    </row>
    <row r="477" spans="1:24" ht="15">
      <c r="A477" s="7">
        <v>465</v>
      </c>
      <c r="B477" s="7">
        <v>538207</v>
      </c>
      <c r="C477" s="7" t="s">
        <v>1393</v>
      </c>
      <c r="D477" s="7" t="s">
        <v>1394</v>
      </c>
      <c r="E477" s="7" t="s">
        <v>55</v>
      </c>
      <c r="F477" s="7" t="s">
        <v>167</v>
      </c>
      <c r="G477" s="11">
        <v>6</v>
      </c>
      <c r="H477" s="11">
        <v>6</v>
      </c>
      <c r="I477" s="7">
        <v>2</v>
      </c>
      <c r="J477" s="7"/>
      <c r="K477" s="7"/>
      <c r="L477" s="7" t="s">
        <v>600</v>
      </c>
      <c r="M477" s="8" t="b">
        <v>0</v>
      </c>
      <c r="N477" s="8" t="b">
        <v>0</v>
      </c>
      <c r="O477" s="7" t="s">
        <v>1333</v>
      </c>
      <c r="P477" s="7" t="s">
        <v>1334</v>
      </c>
      <c r="Q477" s="8" t="b">
        <v>1</v>
      </c>
      <c r="R477" s="8" t="b">
        <v>1</v>
      </c>
      <c r="S477" s="7" t="s">
        <v>89</v>
      </c>
      <c r="T477" s="12"/>
      <c r="U477" s="28"/>
      <c r="V477" s="29">
        <v>1.8000000000000002E-2</v>
      </c>
      <c r="W477" s="30" t="b">
        <v>1</v>
      </c>
      <c r="X477" s="28" t="s">
        <v>90</v>
      </c>
    </row>
    <row r="478" spans="1:24" ht="15">
      <c r="A478" s="7">
        <v>466</v>
      </c>
      <c r="B478" s="7">
        <v>599303</v>
      </c>
      <c r="C478" s="7" t="s">
        <v>1395</v>
      </c>
      <c r="D478" s="7" t="s">
        <v>1396</v>
      </c>
      <c r="E478" s="7" t="s">
        <v>55</v>
      </c>
      <c r="F478" s="7" t="s">
        <v>167</v>
      </c>
      <c r="G478" s="11">
        <v>4.5</v>
      </c>
      <c r="H478" s="11">
        <v>4.5</v>
      </c>
      <c r="I478" s="7"/>
      <c r="J478" s="7"/>
      <c r="K478" s="7"/>
      <c r="L478" s="7" t="s">
        <v>1397</v>
      </c>
      <c r="M478" s="8" t="b">
        <v>0</v>
      </c>
      <c r="N478" s="8" t="b">
        <v>0</v>
      </c>
      <c r="O478" s="7" t="s">
        <v>1333</v>
      </c>
      <c r="P478" s="7" t="s">
        <v>1334</v>
      </c>
      <c r="Q478" s="8" t="b">
        <v>1</v>
      </c>
      <c r="R478" s="8" t="b">
        <v>1</v>
      </c>
      <c r="S478" s="7" t="s">
        <v>89</v>
      </c>
      <c r="T478" s="12"/>
      <c r="U478" s="28"/>
      <c r="V478" s="29">
        <v>6.9999999999999993E-3</v>
      </c>
      <c r="W478" s="30" t="b">
        <v>1</v>
      </c>
      <c r="X478" s="28" t="s">
        <v>90</v>
      </c>
    </row>
    <row r="479" spans="1:24" ht="15">
      <c r="A479" s="7">
        <v>559</v>
      </c>
      <c r="B479" s="7">
        <v>632794</v>
      </c>
      <c r="C479" s="7" t="s">
        <v>1398</v>
      </c>
      <c r="D479" s="7" t="s">
        <v>1399</v>
      </c>
      <c r="E479" s="7" t="s">
        <v>55</v>
      </c>
      <c r="F479" s="7" t="s">
        <v>112</v>
      </c>
      <c r="G479" s="11">
        <v>5</v>
      </c>
      <c r="H479" s="11">
        <v>5</v>
      </c>
      <c r="I479" s="7"/>
      <c r="J479" s="7"/>
      <c r="K479" s="7"/>
      <c r="L479" s="7" t="s">
        <v>941</v>
      </c>
      <c r="M479" s="8" t="b">
        <v>1</v>
      </c>
      <c r="N479" s="8" t="b">
        <v>0</v>
      </c>
      <c r="O479" s="7" t="s">
        <v>1333</v>
      </c>
      <c r="P479" s="7" t="s">
        <v>1334</v>
      </c>
      <c r="Q479" s="8" t="b">
        <v>1</v>
      </c>
      <c r="R479" s="8" t="b">
        <v>1</v>
      </c>
      <c r="S479" s="7" t="s">
        <v>89</v>
      </c>
      <c r="T479" s="12"/>
      <c r="U479" s="28"/>
      <c r="V479" s="29">
        <v>1E-3</v>
      </c>
      <c r="W479" s="30" t="b">
        <v>1</v>
      </c>
      <c r="X479" s="28" t="s">
        <v>90</v>
      </c>
    </row>
    <row r="480" spans="1:24" ht="15">
      <c r="A480" s="7">
        <v>567</v>
      </c>
      <c r="B480" s="7">
        <v>470551</v>
      </c>
      <c r="C480" s="7" t="s">
        <v>1400</v>
      </c>
      <c r="D480" s="7" t="s">
        <v>1401</v>
      </c>
      <c r="E480" s="7" t="s">
        <v>55</v>
      </c>
      <c r="F480" s="7" t="s">
        <v>85</v>
      </c>
      <c r="G480" s="11">
        <v>5</v>
      </c>
      <c r="H480" s="11">
        <v>5</v>
      </c>
      <c r="I480" s="7"/>
      <c r="J480" s="7"/>
      <c r="K480" s="7"/>
      <c r="L480" s="7" t="s">
        <v>1402</v>
      </c>
      <c r="M480" s="8" t="b">
        <v>1</v>
      </c>
      <c r="N480" s="8" t="b">
        <v>0</v>
      </c>
      <c r="O480" s="7" t="s">
        <v>1333</v>
      </c>
      <c r="P480" s="7" t="s">
        <v>1334</v>
      </c>
      <c r="Q480" s="8" t="b">
        <v>1</v>
      </c>
      <c r="R480" s="8" t="b">
        <v>1</v>
      </c>
      <c r="S480" s="7" t="s">
        <v>89</v>
      </c>
      <c r="T480" s="12"/>
      <c r="U480" s="28"/>
      <c r="V480" s="29">
        <v>0</v>
      </c>
      <c r="W480" s="30" t="b">
        <v>1</v>
      </c>
      <c r="X480" s="28" t="s">
        <v>90</v>
      </c>
    </row>
    <row r="481" spans="1:24" ht="15">
      <c r="A481" s="7">
        <v>467</v>
      </c>
      <c r="B481" s="7">
        <v>85633</v>
      </c>
      <c r="C481" s="7" t="s">
        <v>1403</v>
      </c>
      <c r="D481" s="7" t="s">
        <v>1404</v>
      </c>
      <c r="E481" s="7" t="s">
        <v>56</v>
      </c>
      <c r="F481" s="7" t="s">
        <v>85</v>
      </c>
      <c r="G481" s="11">
        <v>5</v>
      </c>
      <c r="H481" s="11">
        <v>5</v>
      </c>
      <c r="I481" s="7"/>
      <c r="J481" s="7"/>
      <c r="K481" s="7"/>
      <c r="L481" s="7" t="s">
        <v>646</v>
      </c>
      <c r="M481" s="8" t="b">
        <v>0</v>
      </c>
      <c r="N481" s="8" t="b">
        <v>0</v>
      </c>
      <c r="O481" s="7" t="s">
        <v>1405</v>
      </c>
      <c r="P481" s="7" t="s">
        <v>796</v>
      </c>
      <c r="Q481" s="8" t="b">
        <v>1</v>
      </c>
      <c r="R481" s="8" t="b">
        <v>1</v>
      </c>
      <c r="S481" s="7" t="s">
        <v>89</v>
      </c>
      <c r="T481" s="12"/>
      <c r="U481" s="28"/>
      <c r="V481" s="29">
        <v>1.3999999999999999E-2</v>
      </c>
      <c r="W481" s="30" t="b">
        <v>1</v>
      </c>
      <c r="X481" s="28" t="s">
        <v>90</v>
      </c>
    </row>
    <row r="482" spans="1:24" ht="15">
      <c r="A482" s="7">
        <v>468</v>
      </c>
      <c r="B482" s="7">
        <v>221389</v>
      </c>
      <c r="C482" s="7" t="s">
        <v>1406</v>
      </c>
      <c r="D482" s="7" t="s">
        <v>1407</v>
      </c>
      <c r="E482" s="7" t="s">
        <v>56</v>
      </c>
      <c r="F482" s="7" t="s">
        <v>85</v>
      </c>
      <c r="G482" s="11">
        <v>4.5</v>
      </c>
      <c r="H482" s="11">
        <v>4.5</v>
      </c>
      <c r="I482" s="7"/>
      <c r="J482" s="7"/>
      <c r="K482" s="7"/>
      <c r="L482" s="7" t="s">
        <v>1408</v>
      </c>
      <c r="M482" s="8" t="b">
        <v>0</v>
      </c>
      <c r="N482" s="8" t="b">
        <v>0</v>
      </c>
      <c r="O482" s="7" t="s">
        <v>1405</v>
      </c>
      <c r="P482" s="7" t="s">
        <v>796</v>
      </c>
      <c r="Q482" s="8" t="b">
        <v>1</v>
      </c>
      <c r="R482" s="8" t="b">
        <v>1</v>
      </c>
      <c r="S482" s="7" t="s">
        <v>89</v>
      </c>
      <c r="T482" s="12"/>
      <c r="U482" s="28"/>
      <c r="V482" s="29">
        <v>1E-3</v>
      </c>
      <c r="W482" s="30" t="b">
        <v>1</v>
      </c>
      <c r="X482" s="28" t="s">
        <v>90</v>
      </c>
    </row>
    <row r="483" spans="1:24" ht="15">
      <c r="A483" s="7">
        <v>469</v>
      </c>
      <c r="B483" s="7">
        <v>215136</v>
      </c>
      <c r="C483" s="7" t="s">
        <v>1409</v>
      </c>
      <c r="D483" s="7" t="s">
        <v>1410</v>
      </c>
      <c r="E483" s="7" t="s">
        <v>56</v>
      </c>
      <c r="F483" s="7" t="s">
        <v>99</v>
      </c>
      <c r="G483" s="11">
        <v>5</v>
      </c>
      <c r="H483" s="11">
        <v>5</v>
      </c>
      <c r="I483" s="7"/>
      <c r="J483" s="7">
        <v>3</v>
      </c>
      <c r="K483" s="7">
        <v>5</v>
      </c>
      <c r="L483" s="7" t="s">
        <v>725</v>
      </c>
      <c r="M483" s="8" t="b">
        <v>0</v>
      </c>
      <c r="N483" s="8" t="b">
        <v>0</v>
      </c>
      <c r="O483" s="7" t="s">
        <v>1405</v>
      </c>
      <c r="P483" s="7" t="s">
        <v>796</v>
      </c>
      <c r="Q483" s="8" t="b">
        <v>1</v>
      </c>
      <c r="R483" s="8" t="b">
        <v>1</v>
      </c>
      <c r="S483" s="7" t="s">
        <v>89</v>
      </c>
      <c r="T483" s="12"/>
      <c r="U483" s="28"/>
      <c r="V483" s="29">
        <v>0.13200000000000001</v>
      </c>
      <c r="W483" s="30" t="b">
        <v>1</v>
      </c>
      <c r="X483" s="28" t="s">
        <v>90</v>
      </c>
    </row>
    <row r="484" spans="1:24" ht="15">
      <c r="A484" s="7">
        <v>470</v>
      </c>
      <c r="B484" s="7">
        <v>485047</v>
      </c>
      <c r="C484" s="7" t="s">
        <v>1411</v>
      </c>
      <c r="D484" s="7" t="s">
        <v>1412</v>
      </c>
      <c r="E484" s="7" t="s">
        <v>56</v>
      </c>
      <c r="F484" s="7" t="s">
        <v>99</v>
      </c>
      <c r="G484" s="11">
        <v>5</v>
      </c>
      <c r="H484" s="11">
        <v>5</v>
      </c>
      <c r="I484" s="7"/>
      <c r="J484" s="7"/>
      <c r="K484" s="7"/>
      <c r="L484" s="7" t="s">
        <v>742</v>
      </c>
      <c r="M484" s="8" t="b">
        <v>0</v>
      </c>
      <c r="N484" s="8" t="b">
        <v>0</v>
      </c>
      <c r="O484" s="7" t="s">
        <v>1405</v>
      </c>
      <c r="P484" s="7" t="s">
        <v>796</v>
      </c>
      <c r="Q484" s="8" t="b">
        <v>1</v>
      </c>
      <c r="R484" s="8" t="b">
        <v>1</v>
      </c>
      <c r="S484" s="7" t="s">
        <v>89</v>
      </c>
      <c r="T484" s="12"/>
      <c r="U484" s="28"/>
      <c r="V484" s="29">
        <v>1E-3</v>
      </c>
      <c r="W484" s="30" t="b">
        <v>1</v>
      </c>
      <c r="X484" s="28" t="s">
        <v>90</v>
      </c>
    </row>
    <row r="485" spans="1:24" ht="15">
      <c r="A485" s="7">
        <v>471</v>
      </c>
      <c r="B485" s="7">
        <v>227444</v>
      </c>
      <c r="C485" s="7" t="s">
        <v>1413</v>
      </c>
      <c r="D485" s="7" t="s">
        <v>1414</v>
      </c>
      <c r="E485" s="7" t="s">
        <v>56</v>
      </c>
      <c r="F485" s="7" t="s">
        <v>99</v>
      </c>
      <c r="G485" s="11">
        <v>5.5</v>
      </c>
      <c r="H485" s="11">
        <v>5.5</v>
      </c>
      <c r="I485" s="7"/>
      <c r="J485" s="7"/>
      <c r="K485" s="7"/>
      <c r="L485" s="7" t="s">
        <v>1224</v>
      </c>
      <c r="M485" s="8" t="b">
        <v>0</v>
      </c>
      <c r="N485" s="8" t="b">
        <v>0</v>
      </c>
      <c r="O485" s="7" t="s">
        <v>1405</v>
      </c>
      <c r="P485" s="7" t="s">
        <v>796</v>
      </c>
      <c r="Q485" s="8" t="b">
        <v>1</v>
      </c>
      <c r="R485" s="8" t="b">
        <v>1</v>
      </c>
      <c r="S485" s="7" t="s">
        <v>89</v>
      </c>
      <c r="T485" s="12"/>
      <c r="U485" s="28"/>
      <c r="V485" s="29">
        <v>2.2000000000000002E-2</v>
      </c>
      <c r="W485" s="30" t="b">
        <v>1</v>
      </c>
      <c r="X485" s="28" t="s">
        <v>90</v>
      </c>
    </row>
    <row r="486" spans="1:24" ht="15">
      <c r="A486" s="7">
        <v>472</v>
      </c>
      <c r="B486" s="7">
        <v>575476</v>
      </c>
      <c r="C486" s="7" t="s">
        <v>1415</v>
      </c>
      <c r="D486" s="7" t="s">
        <v>1416</v>
      </c>
      <c r="E486" s="7" t="s">
        <v>56</v>
      </c>
      <c r="F486" s="7" t="s">
        <v>99</v>
      </c>
      <c r="G486" s="11">
        <v>5.5</v>
      </c>
      <c r="H486" s="11">
        <v>5.5</v>
      </c>
      <c r="I486" s="7"/>
      <c r="J486" s="7">
        <v>2</v>
      </c>
      <c r="K486" s="7"/>
      <c r="L486" s="7" t="s">
        <v>676</v>
      </c>
      <c r="M486" s="8" t="b">
        <v>0</v>
      </c>
      <c r="N486" s="8" t="b">
        <v>0</v>
      </c>
      <c r="O486" s="7" t="s">
        <v>1405</v>
      </c>
      <c r="P486" s="7" t="s">
        <v>796</v>
      </c>
      <c r="Q486" s="8" t="b">
        <v>1</v>
      </c>
      <c r="R486" s="8" t="b">
        <v>1</v>
      </c>
      <c r="S486" s="7" t="s">
        <v>233</v>
      </c>
      <c r="T486" s="12">
        <v>75</v>
      </c>
      <c r="U486" s="28" t="s">
        <v>1417</v>
      </c>
      <c r="V486" s="29">
        <v>2E-3</v>
      </c>
      <c r="W486" s="30" t="b">
        <v>1</v>
      </c>
      <c r="X486" s="28" t="s">
        <v>90</v>
      </c>
    </row>
    <row r="487" spans="1:24" ht="15">
      <c r="A487" s="7">
        <v>473</v>
      </c>
      <c r="B487" s="7">
        <v>159506</v>
      </c>
      <c r="C487" s="7" t="s">
        <v>1418</v>
      </c>
      <c r="D487" s="7" t="s">
        <v>1419</v>
      </c>
      <c r="E487" s="7" t="s">
        <v>56</v>
      </c>
      <c r="F487" s="7" t="s">
        <v>99</v>
      </c>
      <c r="G487" s="11">
        <v>4.5</v>
      </c>
      <c r="H487" s="11">
        <v>4.5</v>
      </c>
      <c r="I487" s="7"/>
      <c r="J487" s="7"/>
      <c r="K487" s="7"/>
      <c r="L487" s="7" t="s">
        <v>612</v>
      </c>
      <c r="M487" s="8" t="b">
        <v>0</v>
      </c>
      <c r="N487" s="8" t="b">
        <v>0</v>
      </c>
      <c r="O487" s="7" t="s">
        <v>1405</v>
      </c>
      <c r="P487" s="7" t="s">
        <v>796</v>
      </c>
      <c r="Q487" s="8" t="b">
        <v>1</v>
      </c>
      <c r="R487" s="8" t="b">
        <v>1</v>
      </c>
      <c r="S487" s="7" t="s">
        <v>89</v>
      </c>
      <c r="T487" s="12"/>
      <c r="U487" s="28"/>
      <c r="V487" s="29">
        <v>4.8000000000000001E-2</v>
      </c>
      <c r="W487" s="30" t="b">
        <v>1</v>
      </c>
      <c r="X487" s="28" t="s">
        <v>90</v>
      </c>
    </row>
    <row r="488" spans="1:24" ht="15">
      <c r="A488" s="7">
        <v>474</v>
      </c>
      <c r="B488" s="7">
        <v>575458</v>
      </c>
      <c r="C488" s="7" t="s">
        <v>1420</v>
      </c>
      <c r="D488" s="7" t="s">
        <v>1421</v>
      </c>
      <c r="E488" s="7" t="s">
        <v>56</v>
      </c>
      <c r="F488" s="7" t="s">
        <v>99</v>
      </c>
      <c r="G488" s="11">
        <v>4.5</v>
      </c>
      <c r="H488" s="11">
        <v>4.5</v>
      </c>
      <c r="I488" s="7"/>
      <c r="J488" s="7"/>
      <c r="K488" s="7"/>
      <c r="L488" s="7" t="s">
        <v>693</v>
      </c>
      <c r="M488" s="8" t="b">
        <v>0</v>
      </c>
      <c r="N488" s="8" t="b">
        <v>0</v>
      </c>
      <c r="O488" s="7" t="s">
        <v>1405</v>
      </c>
      <c r="P488" s="7" t="s">
        <v>796</v>
      </c>
      <c r="Q488" s="8" t="b">
        <v>1</v>
      </c>
      <c r="R488" s="8" t="b">
        <v>1</v>
      </c>
      <c r="S488" s="7" t="s">
        <v>89</v>
      </c>
      <c r="T488" s="12"/>
      <c r="U488" s="28"/>
      <c r="V488" s="29">
        <v>5.0000000000000001E-3</v>
      </c>
      <c r="W488" s="30" t="b">
        <v>1</v>
      </c>
      <c r="X488" s="28" t="s">
        <v>90</v>
      </c>
    </row>
    <row r="489" spans="1:24" ht="15">
      <c r="A489" s="7">
        <v>475</v>
      </c>
      <c r="B489" s="7">
        <v>500151</v>
      </c>
      <c r="C489" s="7" t="s">
        <v>1422</v>
      </c>
      <c r="D489" s="7" t="s">
        <v>1423</v>
      </c>
      <c r="E489" s="7" t="s">
        <v>56</v>
      </c>
      <c r="F489" s="7" t="s">
        <v>99</v>
      </c>
      <c r="G489" s="11">
        <v>4.5</v>
      </c>
      <c r="H489" s="11">
        <v>4.5</v>
      </c>
      <c r="I489" s="7"/>
      <c r="J489" s="7"/>
      <c r="K489" s="7"/>
      <c r="L489" s="7" t="s">
        <v>1390</v>
      </c>
      <c r="M489" s="8" t="b">
        <v>0</v>
      </c>
      <c r="N489" s="8" t="b">
        <v>0</v>
      </c>
      <c r="O489" s="7" t="s">
        <v>1405</v>
      </c>
      <c r="P489" s="7" t="s">
        <v>796</v>
      </c>
      <c r="Q489" s="8" t="b">
        <v>1</v>
      </c>
      <c r="R489" s="8" t="b">
        <v>1</v>
      </c>
      <c r="S489" s="7" t="s">
        <v>104</v>
      </c>
      <c r="T489" s="12">
        <v>0</v>
      </c>
      <c r="U489" s="28" t="s">
        <v>238</v>
      </c>
      <c r="V489" s="29">
        <v>0</v>
      </c>
      <c r="W489" s="30" t="b">
        <v>1</v>
      </c>
      <c r="X489" s="28" t="s">
        <v>90</v>
      </c>
    </row>
    <row r="490" spans="1:24" ht="15">
      <c r="A490" s="7">
        <v>476</v>
      </c>
      <c r="B490" s="7">
        <v>204822</v>
      </c>
      <c r="C490" s="7" t="s">
        <v>1424</v>
      </c>
      <c r="D490" s="7" t="s">
        <v>1425</v>
      </c>
      <c r="E490" s="7" t="s">
        <v>56</v>
      </c>
      <c r="F490" s="7" t="s">
        <v>99</v>
      </c>
      <c r="G490" s="11">
        <v>4</v>
      </c>
      <c r="H490" s="11">
        <v>4</v>
      </c>
      <c r="I490" s="7"/>
      <c r="J490" s="7"/>
      <c r="K490" s="7"/>
      <c r="L490" s="7" t="s">
        <v>1426</v>
      </c>
      <c r="M490" s="8" t="b">
        <v>0</v>
      </c>
      <c r="N490" s="8" t="b">
        <v>0</v>
      </c>
      <c r="O490" s="7" t="s">
        <v>1405</v>
      </c>
      <c r="P490" s="7" t="s">
        <v>796</v>
      </c>
      <c r="Q490" s="8" t="b">
        <v>1</v>
      </c>
      <c r="R490" s="8" t="b">
        <v>1</v>
      </c>
      <c r="S490" s="7" t="s">
        <v>89</v>
      </c>
      <c r="T490" s="12"/>
      <c r="U490" s="28"/>
      <c r="V490" s="29">
        <v>2E-3</v>
      </c>
      <c r="W490" s="30" t="b">
        <v>1</v>
      </c>
      <c r="X490" s="28" t="s">
        <v>90</v>
      </c>
    </row>
    <row r="491" spans="1:24" ht="15">
      <c r="A491" s="7">
        <v>477</v>
      </c>
      <c r="B491" s="7">
        <v>549067</v>
      </c>
      <c r="C491" s="7" t="s">
        <v>1427</v>
      </c>
      <c r="D491" s="7" t="s">
        <v>1428</v>
      </c>
      <c r="E491" s="7" t="s">
        <v>56</v>
      </c>
      <c r="F491" s="7" t="s">
        <v>99</v>
      </c>
      <c r="G491" s="11">
        <v>4</v>
      </c>
      <c r="H491" s="11">
        <v>4</v>
      </c>
      <c r="I491" s="7"/>
      <c r="J491" s="7"/>
      <c r="K491" s="7"/>
      <c r="L491" s="7" t="s">
        <v>1429</v>
      </c>
      <c r="M491" s="8" t="b">
        <v>0</v>
      </c>
      <c r="N491" s="8" t="b">
        <v>0</v>
      </c>
      <c r="O491" s="7" t="s">
        <v>1405</v>
      </c>
      <c r="P491" s="7" t="s">
        <v>796</v>
      </c>
      <c r="Q491" s="8" t="b">
        <v>1</v>
      </c>
      <c r="R491" s="8" t="b">
        <v>1</v>
      </c>
      <c r="S491" s="7" t="s">
        <v>89</v>
      </c>
      <c r="T491" s="12"/>
      <c r="U491" s="28"/>
      <c r="V491" s="29">
        <v>2E-3</v>
      </c>
      <c r="W491" s="30" t="b">
        <v>1</v>
      </c>
      <c r="X491" s="28" t="s">
        <v>90</v>
      </c>
    </row>
    <row r="492" spans="1:24" ht="15">
      <c r="A492" s="7">
        <v>478</v>
      </c>
      <c r="B492" s="7">
        <v>470315</v>
      </c>
      <c r="C492" s="7" t="s">
        <v>1430</v>
      </c>
      <c r="D492" s="7" t="s">
        <v>1431</v>
      </c>
      <c r="E492" s="7" t="s">
        <v>56</v>
      </c>
      <c r="F492" s="7" t="s">
        <v>99</v>
      </c>
      <c r="G492" s="11">
        <v>4.5</v>
      </c>
      <c r="H492" s="11">
        <v>4.5</v>
      </c>
      <c r="I492" s="7"/>
      <c r="J492" s="7"/>
      <c r="K492" s="7"/>
      <c r="L492" s="7" t="s">
        <v>736</v>
      </c>
      <c r="M492" s="8" t="b">
        <v>0</v>
      </c>
      <c r="N492" s="8" t="b">
        <v>0</v>
      </c>
      <c r="O492" s="7" t="s">
        <v>1405</v>
      </c>
      <c r="P492" s="7" t="s">
        <v>796</v>
      </c>
      <c r="Q492" s="8" t="b">
        <v>1</v>
      </c>
      <c r="R492" s="8" t="b">
        <v>1</v>
      </c>
      <c r="S492" s="7" t="s">
        <v>89</v>
      </c>
      <c r="T492" s="12"/>
      <c r="U492" s="28"/>
      <c r="V492" s="29">
        <v>0</v>
      </c>
      <c r="W492" s="30" t="b">
        <v>1</v>
      </c>
      <c r="X492" s="28" t="s">
        <v>90</v>
      </c>
    </row>
    <row r="493" spans="1:24" ht="15">
      <c r="A493" s="7">
        <v>479</v>
      </c>
      <c r="B493" s="7">
        <v>538638</v>
      </c>
      <c r="C493" s="7" t="s">
        <v>1432</v>
      </c>
      <c r="D493" s="7" t="s">
        <v>1433</v>
      </c>
      <c r="E493" s="7" t="s">
        <v>56</v>
      </c>
      <c r="F493" s="7" t="s">
        <v>99</v>
      </c>
      <c r="G493" s="11">
        <v>4</v>
      </c>
      <c r="H493" s="11">
        <v>4</v>
      </c>
      <c r="I493" s="7"/>
      <c r="J493" s="7"/>
      <c r="K493" s="7"/>
      <c r="L493" s="7" t="s">
        <v>494</v>
      </c>
      <c r="M493" s="8" t="b">
        <v>0</v>
      </c>
      <c r="N493" s="8" t="b">
        <v>0</v>
      </c>
      <c r="O493" s="7" t="s">
        <v>1405</v>
      </c>
      <c r="P493" s="7" t="s">
        <v>796</v>
      </c>
      <c r="Q493" s="8" t="b">
        <v>1</v>
      </c>
      <c r="R493" s="8" t="b">
        <v>1</v>
      </c>
      <c r="S493" s="7" t="s">
        <v>89</v>
      </c>
      <c r="T493" s="12"/>
      <c r="U493" s="28"/>
      <c r="V493" s="29">
        <v>2E-3</v>
      </c>
      <c r="W493" s="30" t="b">
        <v>1</v>
      </c>
      <c r="X493" s="28" t="s">
        <v>90</v>
      </c>
    </row>
    <row r="494" spans="1:24" ht="15">
      <c r="A494" s="7">
        <v>480</v>
      </c>
      <c r="B494" s="7">
        <v>222531</v>
      </c>
      <c r="C494" s="7" t="s">
        <v>1434</v>
      </c>
      <c r="D494" s="7" t="s">
        <v>1435</v>
      </c>
      <c r="E494" s="7" t="s">
        <v>56</v>
      </c>
      <c r="F494" s="7" t="s">
        <v>112</v>
      </c>
      <c r="G494" s="11">
        <v>8</v>
      </c>
      <c r="H494" s="11">
        <v>8</v>
      </c>
      <c r="I494" s="7">
        <v>2</v>
      </c>
      <c r="J494" s="7">
        <v>1</v>
      </c>
      <c r="K494" s="7"/>
      <c r="L494" s="7" t="s">
        <v>1436</v>
      </c>
      <c r="M494" s="8" t="b">
        <v>0</v>
      </c>
      <c r="N494" s="8" t="b">
        <v>0</v>
      </c>
      <c r="O494" s="7" t="s">
        <v>1405</v>
      </c>
      <c r="P494" s="7" t="s">
        <v>796</v>
      </c>
      <c r="Q494" s="8" t="b">
        <v>1</v>
      </c>
      <c r="R494" s="8" t="b">
        <v>1</v>
      </c>
      <c r="S494" s="7" t="s">
        <v>89</v>
      </c>
      <c r="T494" s="12"/>
      <c r="U494" s="28"/>
      <c r="V494" s="29">
        <v>0.11800000000000001</v>
      </c>
      <c r="W494" s="30" t="b">
        <v>1</v>
      </c>
      <c r="X494" s="28" t="s">
        <v>90</v>
      </c>
    </row>
    <row r="495" spans="1:24" ht="15">
      <c r="A495" s="7">
        <v>482</v>
      </c>
      <c r="B495" s="7">
        <v>209046</v>
      </c>
      <c r="C495" s="7" t="s">
        <v>1437</v>
      </c>
      <c r="D495" s="7" t="s">
        <v>1438</v>
      </c>
      <c r="E495" s="7" t="s">
        <v>56</v>
      </c>
      <c r="F495" s="7" t="s">
        <v>112</v>
      </c>
      <c r="G495" s="11">
        <v>6</v>
      </c>
      <c r="H495" s="11">
        <v>6</v>
      </c>
      <c r="I495" s="7"/>
      <c r="J495" s="7">
        <v>4</v>
      </c>
      <c r="K495" s="7"/>
      <c r="L495" s="7" t="s">
        <v>555</v>
      </c>
      <c r="M495" s="8" t="b">
        <v>0</v>
      </c>
      <c r="N495" s="8" t="b">
        <v>0</v>
      </c>
      <c r="O495" s="7" t="s">
        <v>1405</v>
      </c>
      <c r="P495" s="7" t="s">
        <v>796</v>
      </c>
      <c r="Q495" s="8" t="b">
        <v>1</v>
      </c>
      <c r="R495" s="8" t="b">
        <v>1</v>
      </c>
      <c r="S495" s="7" t="s">
        <v>233</v>
      </c>
      <c r="T495" s="12">
        <v>75</v>
      </c>
      <c r="U495" s="28" t="s">
        <v>1272</v>
      </c>
      <c r="V495" s="29">
        <v>0</v>
      </c>
      <c r="W495" s="30" t="b">
        <v>1</v>
      </c>
      <c r="X495" s="28" t="s">
        <v>90</v>
      </c>
    </row>
    <row r="496" spans="1:24" ht="15">
      <c r="A496" s="7">
        <v>483</v>
      </c>
      <c r="B496" s="7">
        <v>456512</v>
      </c>
      <c r="C496" s="7" t="s">
        <v>1439</v>
      </c>
      <c r="D496" s="7" t="s">
        <v>1440</v>
      </c>
      <c r="E496" s="7" t="s">
        <v>56</v>
      </c>
      <c r="F496" s="7" t="s">
        <v>112</v>
      </c>
      <c r="G496" s="11">
        <v>5.5</v>
      </c>
      <c r="H496" s="11">
        <v>5.5</v>
      </c>
      <c r="I496" s="7"/>
      <c r="J496" s="7"/>
      <c r="K496" s="7"/>
      <c r="L496" s="7" t="s">
        <v>1441</v>
      </c>
      <c r="M496" s="8" t="b">
        <v>0</v>
      </c>
      <c r="N496" s="8" t="b">
        <v>0</v>
      </c>
      <c r="O496" s="7" t="s">
        <v>1405</v>
      </c>
      <c r="P496" s="7" t="s">
        <v>796</v>
      </c>
      <c r="Q496" s="8" t="b">
        <v>1</v>
      </c>
      <c r="R496" s="8" t="b">
        <v>1</v>
      </c>
      <c r="S496" s="7" t="s">
        <v>89</v>
      </c>
      <c r="T496" s="12"/>
      <c r="U496" s="28"/>
      <c r="V496" s="29">
        <v>6.0000000000000001E-3</v>
      </c>
      <c r="W496" s="30" t="b">
        <v>1</v>
      </c>
      <c r="X496" s="28" t="s">
        <v>90</v>
      </c>
    </row>
    <row r="497" spans="1:24" ht="15">
      <c r="A497" s="7">
        <v>484</v>
      </c>
      <c r="B497" s="7">
        <v>503301</v>
      </c>
      <c r="C497" s="7" t="s">
        <v>1442</v>
      </c>
      <c r="D497" s="7" t="s">
        <v>1443</v>
      </c>
      <c r="E497" s="7" t="s">
        <v>56</v>
      </c>
      <c r="F497" s="7" t="s">
        <v>112</v>
      </c>
      <c r="G497" s="11">
        <v>5.5</v>
      </c>
      <c r="H497" s="11">
        <v>5.5</v>
      </c>
      <c r="I497" s="7"/>
      <c r="J497" s="7"/>
      <c r="K497" s="7">
        <v>4</v>
      </c>
      <c r="L497" s="7" t="s">
        <v>382</v>
      </c>
      <c r="M497" s="8" t="b">
        <v>0</v>
      </c>
      <c r="N497" s="8" t="b">
        <v>0</v>
      </c>
      <c r="O497" s="7" t="s">
        <v>1405</v>
      </c>
      <c r="P497" s="7" t="s">
        <v>796</v>
      </c>
      <c r="Q497" s="8" t="b">
        <v>1</v>
      </c>
      <c r="R497" s="8" t="b">
        <v>1</v>
      </c>
      <c r="S497" s="7" t="s">
        <v>89</v>
      </c>
      <c r="T497" s="12"/>
      <c r="U497" s="28"/>
      <c r="V497" s="29">
        <v>1E-3</v>
      </c>
      <c r="W497" s="30" t="b">
        <v>1</v>
      </c>
      <c r="X497" s="28" t="s">
        <v>90</v>
      </c>
    </row>
    <row r="498" spans="1:24" ht="15">
      <c r="A498" s="7">
        <v>485</v>
      </c>
      <c r="B498" s="7">
        <v>476887</v>
      </c>
      <c r="C498" s="7" t="s">
        <v>1444</v>
      </c>
      <c r="D498" s="7" t="s">
        <v>1445</v>
      </c>
      <c r="E498" s="7" t="s">
        <v>56</v>
      </c>
      <c r="F498" s="7" t="s">
        <v>112</v>
      </c>
      <c r="G498" s="11">
        <v>5.5</v>
      </c>
      <c r="H498" s="11">
        <v>5.5</v>
      </c>
      <c r="I498" s="7"/>
      <c r="J498" s="7"/>
      <c r="K498" s="7">
        <v>6</v>
      </c>
      <c r="L498" s="7" t="s">
        <v>209</v>
      </c>
      <c r="M498" s="8" t="b">
        <v>0</v>
      </c>
      <c r="N498" s="8" t="b">
        <v>0</v>
      </c>
      <c r="O498" s="7" t="s">
        <v>1405</v>
      </c>
      <c r="P498" s="7" t="s">
        <v>796</v>
      </c>
      <c r="Q498" s="8" t="b">
        <v>1</v>
      </c>
      <c r="R498" s="8" t="b">
        <v>1</v>
      </c>
      <c r="S498" s="7" t="s">
        <v>89</v>
      </c>
      <c r="T498" s="12"/>
      <c r="U498" s="28"/>
      <c r="V498" s="29">
        <v>0</v>
      </c>
      <c r="W498" s="30" t="b">
        <v>1</v>
      </c>
      <c r="X498" s="28" t="s">
        <v>90</v>
      </c>
    </row>
    <row r="499" spans="1:24" ht="15">
      <c r="A499" s="7">
        <v>486</v>
      </c>
      <c r="B499" s="7">
        <v>432714</v>
      </c>
      <c r="C499" s="7" t="s">
        <v>1446</v>
      </c>
      <c r="D499" s="7" t="s">
        <v>1447</v>
      </c>
      <c r="E499" s="7" t="s">
        <v>56</v>
      </c>
      <c r="F499" s="7" t="s">
        <v>112</v>
      </c>
      <c r="G499" s="11">
        <v>5.5</v>
      </c>
      <c r="H499" s="11">
        <v>5.5</v>
      </c>
      <c r="I499" s="7"/>
      <c r="J499" s="7"/>
      <c r="K499" s="7"/>
      <c r="L499" s="7" t="s">
        <v>382</v>
      </c>
      <c r="M499" s="8" t="b">
        <v>0</v>
      </c>
      <c r="N499" s="8" t="b">
        <v>0</v>
      </c>
      <c r="O499" s="7" t="s">
        <v>1405</v>
      </c>
      <c r="P499" s="7" t="s">
        <v>796</v>
      </c>
      <c r="Q499" s="8" t="b">
        <v>1</v>
      </c>
      <c r="R499" s="8" t="b">
        <v>1</v>
      </c>
      <c r="S499" s="7" t="s">
        <v>89</v>
      </c>
      <c r="T499" s="12"/>
      <c r="U499" s="28"/>
      <c r="V499" s="29">
        <v>1E-3</v>
      </c>
      <c r="W499" s="30" t="b">
        <v>1</v>
      </c>
      <c r="X499" s="28" t="s">
        <v>90</v>
      </c>
    </row>
    <row r="500" spans="1:24" ht="15">
      <c r="A500" s="7">
        <v>487</v>
      </c>
      <c r="B500" s="7">
        <v>250199</v>
      </c>
      <c r="C500" s="7" t="s">
        <v>1448</v>
      </c>
      <c r="D500" s="7" t="s">
        <v>1449</v>
      </c>
      <c r="E500" s="7" t="s">
        <v>56</v>
      </c>
      <c r="F500" s="7" t="s">
        <v>112</v>
      </c>
      <c r="G500" s="11">
        <v>5</v>
      </c>
      <c r="H500" s="11">
        <v>5</v>
      </c>
      <c r="I500" s="7"/>
      <c r="J500" s="7"/>
      <c r="K500" s="7"/>
      <c r="L500" s="7" t="s">
        <v>555</v>
      </c>
      <c r="M500" s="8" t="b">
        <v>0</v>
      </c>
      <c r="N500" s="8" t="b">
        <v>0</v>
      </c>
      <c r="O500" s="7" t="s">
        <v>1405</v>
      </c>
      <c r="P500" s="7" t="s">
        <v>796</v>
      </c>
      <c r="Q500" s="8" t="b">
        <v>1</v>
      </c>
      <c r="R500" s="8" t="b">
        <v>1</v>
      </c>
      <c r="S500" s="7" t="s">
        <v>89</v>
      </c>
      <c r="T500" s="12"/>
      <c r="U500" s="28"/>
      <c r="V500" s="29">
        <v>1E-3</v>
      </c>
      <c r="W500" s="30" t="b">
        <v>1</v>
      </c>
      <c r="X500" s="28" t="s">
        <v>90</v>
      </c>
    </row>
    <row r="501" spans="1:24" ht="15">
      <c r="A501" s="7">
        <v>488</v>
      </c>
      <c r="B501" s="7">
        <v>210462</v>
      </c>
      <c r="C501" s="7" t="s">
        <v>418</v>
      </c>
      <c r="D501" s="7" t="s">
        <v>1450</v>
      </c>
      <c r="E501" s="7" t="s">
        <v>56</v>
      </c>
      <c r="F501" s="7" t="s">
        <v>112</v>
      </c>
      <c r="G501" s="11">
        <v>5</v>
      </c>
      <c r="H501" s="11">
        <v>5</v>
      </c>
      <c r="I501" s="7"/>
      <c r="J501" s="7"/>
      <c r="K501" s="7"/>
      <c r="L501" s="7" t="s">
        <v>555</v>
      </c>
      <c r="M501" s="8" t="b">
        <v>0</v>
      </c>
      <c r="N501" s="8" t="b">
        <v>0</v>
      </c>
      <c r="O501" s="7" t="s">
        <v>1405</v>
      </c>
      <c r="P501" s="7" t="s">
        <v>796</v>
      </c>
      <c r="Q501" s="8" t="b">
        <v>1</v>
      </c>
      <c r="R501" s="8" t="b">
        <v>1</v>
      </c>
      <c r="S501" s="7" t="s">
        <v>89</v>
      </c>
      <c r="T501" s="12"/>
      <c r="U501" s="28"/>
      <c r="V501" s="29">
        <v>5.0000000000000001E-3</v>
      </c>
      <c r="W501" s="30" t="b">
        <v>1</v>
      </c>
      <c r="X501" s="28" t="s">
        <v>90</v>
      </c>
    </row>
    <row r="502" spans="1:24" ht="15">
      <c r="A502" s="7">
        <v>489</v>
      </c>
      <c r="B502" s="7">
        <v>204968</v>
      </c>
      <c r="C502" s="7" t="s">
        <v>1451</v>
      </c>
      <c r="D502" s="7" t="s">
        <v>1452</v>
      </c>
      <c r="E502" s="7" t="s">
        <v>56</v>
      </c>
      <c r="F502" s="7" t="s">
        <v>112</v>
      </c>
      <c r="G502" s="11">
        <v>4.5</v>
      </c>
      <c r="H502" s="11">
        <v>4.5</v>
      </c>
      <c r="I502" s="7"/>
      <c r="J502" s="7"/>
      <c r="K502" s="7"/>
      <c r="L502" s="7" t="s">
        <v>1453</v>
      </c>
      <c r="M502" s="8" t="b">
        <v>0</v>
      </c>
      <c r="N502" s="8" t="b">
        <v>0</v>
      </c>
      <c r="O502" s="7" t="s">
        <v>1405</v>
      </c>
      <c r="P502" s="7" t="s">
        <v>796</v>
      </c>
      <c r="Q502" s="8" t="b">
        <v>1</v>
      </c>
      <c r="R502" s="8" t="b">
        <v>1</v>
      </c>
      <c r="S502" s="7" t="s">
        <v>89</v>
      </c>
      <c r="T502" s="12"/>
      <c r="U502" s="28"/>
      <c r="V502" s="29">
        <v>7.400000000000001E-2</v>
      </c>
      <c r="W502" s="30" t="b">
        <v>1</v>
      </c>
      <c r="X502" s="28" t="s">
        <v>90</v>
      </c>
    </row>
    <row r="503" spans="1:24" ht="15">
      <c r="A503" s="7">
        <v>490</v>
      </c>
      <c r="B503" s="7">
        <v>60689</v>
      </c>
      <c r="C503" s="7" t="s">
        <v>1454</v>
      </c>
      <c r="D503" s="7" t="s">
        <v>1455</v>
      </c>
      <c r="E503" s="7" t="s">
        <v>56</v>
      </c>
      <c r="F503" s="7" t="s">
        <v>167</v>
      </c>
      <c r="G503" s="11">
        <v>6</v>
      </c>
      <c r="H503" s="11">
        <v>6</v>
      </c>
      <c r="I503" s="7">
        <v>1</v>
      </c>
      <c r="J503" s="7"/>
      <c r="K503" s="7"/>
      <c r="L503" s="7" t="s">
        <v>303</v>
      </c>
      <c r="M503" s="8" t="b">
        <v>0</v>
      </c>
      <c r="N503" s="8" t="b">
        <v>0</v>
      </c>
      <c r="O503" s="7" t="s">
        <v>1405</v>
      </c>
      <c r="P503" s="7" t="s">
        <v>796</v>
      </c>
      <c r="Q503" s="8" t="b">
        <v>1</v>
      </c>
      <c r="R503" s="8" t="b">
        <v>1</v>
      </c>
      <c r="S503" s="7" t="s">
        <v>89</v>
      </c>
      <c r="T503" s="12"/>
      <c r="U503" s="28"/>
      <c r="V503" s="29">
        <v>1.8000000000000002E-2</v>
      </c>
      <c r="W503" s="30" t="b">
        <v>1</v>
      </c>
      <c r="X503" s="28" t="s">
        <v>90</v>
      </c>
    </row>
    <row r="504" spans="1:24" ht="15">
      <c r="A504" s="7">
        <v>491</v>
      </c>
      <c r="B504" s="7">
        <v>482973</v>
      </c>
      <c r="C504" s="7" t="s">
        <v>1456</v>
      </c>
      <c r="D504" s="7" t="s">
        <v>1457</v>
      </c>
      <c r="E504" s="7" t="s">
        <v>56</v>
      </c>
      <c r="F504" s="7" t="s">
        <v>167</v>
      </c>
      <c r="G504" s="11">
        <v>6</v>
      </c>
      <c r="H504" s="11">
        <v>6</v>
      </c>
      <c r="I504" s="7">
        <v>3</v>
      </c>
      <c r="J504" s="7"/>
      <c r="K504" s="7"/>
      <c r="L504" s="7" t="s">
        <v>436</v>
      </c>
      <c r="M504" s="8" t="b">
        <v>0</v>
      </c>
      <c r="N504" s="8" t="b">
        <v>0</v>
      </c>
      <c r="O504" s="7" t="s">
        <v>1405</v>
      </c>
      <c r="P504" s="7" t="s">
        <v>796</v>
      </c>
      <c r="Q504" s="8" t="b">
        <v>1</v>
      </c>
      <c r="R504" s="8" t="b">
        <v>1</v>
      </c>
      <c r="S504" s="7" t="s">
        <v>89</v>
      </c>
      <c r="T504" s="12"/>
      <c r="U504" s="28"/>
      <c r="V504" s="29">
        <v>4.9000000000000002E-2</v>
      </c>
      <c r="W504" s="30" t="b">
        <v>1</v>
      </c>
      <c r="X504" s="28" t="s">
        <v>90</v>
      </c>
    </row>
    <row r="505" spans="1:24" ht="15">
      <c r="A505" s="7">
        <v>492</v>
      </c>
      <c r="B505" s="7">
        <v>210156</v>
      </c>
      <c r="C505" s="7" t="s">
        <v>1458</v>
      </c>
      <c r="D505" s="7" t="s">
        <v>1459</v>
      </c>
      <c r="E505" s="7" t="s">
        <v>56</v>
      </c>
      <c r="F505" s="7" t="s">
        <v>167</v>
      </c>
      <c r="G505" s="11">
        <v>5.5</v>
      </c>
      <c r="H505" s="11">
        <v>5.5</v>
      </c>
      <c r="I505" s="7"/>
      <c r="J505" s="7"/>
      <c r="K505" s="7"/>
      <c r="L505" s="7" t="s">
        <v>1460</v>
      </c>
      <c r="M505" s="8" t="b">
        <v>0</v>
      </c>
      <c r="N505" s="8" t="b">
        <v>0</v>
      </c>
      <c r="O505" s="7" t="s">
        <v>1405</v>
      </c>
      <c r="P505" s="7" t="s">
        <v>796</v>
      </c>
      <c r="Q505" s="8" t="b">
        <v>1</v>
      </c>
      <c r="R505" s="8" t="b">
        <v>1</v>
      </c>
      <c r="S505" s="7" t="s">
        <v>89</v>
      </c>
      <c r="T505" s="12"/>
      <c r="U505" s="28"/>
      <c r="V505" s="29">
        <v>4.0000000000000001E-3</v>
      </c>
      <c r="W505" s="30" t="b">
        <v>1</v>
      </c>
      <c r="X505" s="28" t="s">
        <v>90</v>
      </c>
    </row>
    <row r="506" spans="1:24" ht="15">
      <c r="A506" s="7">
        <v>493</v>
      </c>
      <c r="B506" s="7">
        <v>465680</v>
      </c>
      <c r="C506" s="7" t="s">
        <v>1461</v>
      </c>
      <c r="D506" s="7" t="s">
        <v>1462</v>
      </c>
      <c r="E506" s="7" t="s">
        <v>56</v>
      </c>
      <c r="F506" s="7" t="s">
        <v>167</v>
      </c>
      <c r="G506" s="11">
        <v>5.5</v>
      </c>
      <c r="H506" s="11">
        <v>5.5</v>
      </c>
      <c r="I506" s="7"/>
      <c r="J506" s="7"/>
      <c r="K506" s="7"/>
      <c r="L506" s="7" t="s">
        <v>309</v>
      </c>
      <c r="M506" s="8" t="b">
        <v>0</v>
      </c>
      <c r="N506" s="8" t="b">
        <v>0</v>
      </c>
      <c r="O506" s="7" t="s">
        <v>1405</v>
      </c>
      <c r="P506" s="7" t="s">
        <v>796</v>
      </c>
      <c r="Q506" s="8" t="b">
        <v>1</v>
      </c>
      <c r="R506" s="8" t="b">
        <v>1</v>
      </c>
      <c r="S506" s="7" t="s">
        <v>89</v>
      </c>
      <c r="T506" s="12"/>
      <c r="U506" s="28"/>
      <c r="V506" s="29">
        <v>1E-3</v>
      </c>
      <c r="W506" s="30" t="b">
        <v>1</v>
      </c>
      <c r="X506" s="28" t="s">
        <v>90</v>
      </c>
    </row>
    <row r="507" spans="1:24" ht="15">
      <c r="A507" s="7">
        <v>558</v>
      </c>
      <c r="B507" s="7">
        <v>204561</v>
      </c>
      <c r="C507" s="7" t="s">
        <v>1463</v>
      </c>
      <c r="D507" s="7" t="s">
        <v>1464</v>
      </c>
      <c r="E507" s="7" t="s">
        <v>56</v>
      </c>
      <c r="F507" s="7" t="s">
        <v>112</v>
      </c>
      <c r="G507" s="11">
        <v>5</v>
      </c>
      <c r="H507" s="11">
        <v>5</v>
      </c>
      <c r="I507" s="7"/>
      <c r="J507" s="7"/>
      <c r="K507" s="7"/>
      <c r="L507" s="7" t="s">
        <v>177</v>
      </c>
      <c r="M507" s="8" t="b">
        <v>1</v>
      </c>
      <c r="N507" s="8" t="b">
        <v>0</v>
      </c>
      <c r="O507" s="7" t="s">
        <v>1405</v>
      </c>
      <c r="P507" s="7" t="s">
        <v>796</v>
      </c>
      <c r="Q507" s="8" t="b">
        <v>1</v>
      </c>
      <c r="R507" s="8" t="b">
        <v>1</v>
      </c>
      <c r="S507" s="7" t="s">
        <v>89</v>
      </c>
      <c r="T507" s="12"/>
      <c r="U507" s="28"/>
      <c r="V507" s="29">
        <v>1E-3</v>
      </c>
      <c r="W507" s="30" t="b">
        <v>1</v>
      </c>
      <c r="X507" s="28" t="s">
        <v>90</v>
      </c>
    </row>
    <row r="508" spans="1:24" ht="15">
      <c r="A508" s="7">
        <v>112</v>
      </c>
      <c r="B508" s="7">
        <v>469142</v>
      </c>
      <c r="C508" s="7" t="s">
        <v>1465</v>
      </c>
      <c r="D508" s="7" t="s">
        <v>1466</v>
      </c>
      <c r="E508" s="7" t="s">
        <v>57</v>
      </c>
      <c r="F508" s="7" t="s">
        <v>99</v>
      </c>
      <c r="G508" s="11">
        <v>5</v>
      </c>
      <c r="H508" s="11">
        <v>5</v>
      </c>
      <c r="I508" s="7"/>
      <c r="J508" s="7"/>
      <c r="K508" s="7"/>
      <c r="L508" s="7" t="s">
        <v>1151</v>
      </c>
      <c r="M508" s="8" t="b">
        <v>1</v>
      </c>
      <c r="N508" s="8" t="b">
        <v>0</v>
      </c>
      <c r="O508" s="7" t="s">
        <v>1467</v>
      </c>
      <c r="P508" s="7" t="s">
        <v>1468</v>
      </c>
      <c r="Q508" s="8" t="b">
        <v>0</v>
      </c>
      <c r="R508" s="8" t="b">
        <v>1</v>
      </c>
      <c r="S508" s="7" t="s">
        <v>89</v>
      </c>
      <c r="T508" s="12"/>
      <c r="U508" s="28"/>
      <c r="V508" s="29">
        <v>8.199999999999999E-2</v>
      </c>
      <c r="W508" s="30" t="b">
        <v>1</v>
      </c>
      <c r="X508" s="28" t="s">
        <v>90</v>
      </c>
    </row>
    <row r="509" spans="1:24" ht="15">
      <c r="A509" s="7">
        <v>455</v>
      </c>
      <c r="B509" s="7">
        <v>432422</v>
      </c>
      <c r="C509" s="7" t="s">
        <v>1469</v>
      </c>
      <c r="D509" s="7" t="s">
        <v>1470</v>
      </c>
      <c r="E509" s="7" t="s">
        <v>57</v>
      </c>
      <c r="F509" s="7" t="s">
        <v>112</v>
      </c>
      <c r="G509" s="11">
        <v>5.5</v>
      </c>
      <c r="H509" s="11">
        <v>5.5</v>
      </c>
      <c r="I509" s="7"/>
      <c r="J509" s="7">
        <v>4</v>
      </c>
      <c r="K509" s="7">
        <v>10</v>
      </c>
      <c r="L509" s="7" t="s">
        <v>796</v>
      </c>
      <c r="M509" s="8" t="b">
        <v>1</v>
      </c>
      <c r="N509" s="8" t="b">
        <v>0</v>
      </c>
      <c r="O509" s="7" t="s">
        <v>1467</v>
      </c>
      <c r="P509" s="7" t="s">
        <v>1468</v>
      </c>
      <c r="Q509" s="8" t="b">
        <v>0</v>
      </c>
      <c r="R509" s="8" t="b">
        <v>1</v>
      </c>
      <c r="S509" s="7" t="s">
        <v>89</v>
      </c>
      <c r="T509" s="12"/>
      <c r="U509" s="28"/>
      <c r="V509" s="29">
        <v>3.9E-2</v>
      </c>
      <c r="W509" s="30" t="b">
        <v>1</v>
      </c>
      <c r="X509" s="28" t="s">
        <v>90</v>
      </c>
    </row>
    <row r="510" spans="1:24" ht="15">
      <c r="A510" s="7">
        <v>494</v>
      </c>
      <c r="B510" s="7">
        <v>184254</v>
      </c>
      <c r="C510" s="7" t="s">
        <v>1471</v>
      </c>
      <c r="D510" s="7" t="s">
        <v>1472</v>
      </c>
      <c r="E510" s="7" t="s">
        <v>57</v>
      </c>
      <c r="F510" s="7" t="s">
        <v>85</v>
      </c>
      <c r="G510" s="11">
        <v>4.5</v>
      </c>
      <c r="H510" s="11">
        <v>4.5</v>
      </c>
      <c r="I510" s="7"/>
      <c r="J510" s="7"/>
      <c r="K510" s="7"/>
      <c r="L510" s="7" t="s">
        <v>303</v>
      </c>
      <c r="M510" s="8" t="b">
        <v>0</v>
      </c>
      <c r="N510" s="8" t="b">
        <v>0</v>
      </c>
      <c r="O510" s="7" t="s">
        <v>1467</v>
      </c>
      <c r="P510" s="7" t="s">
        <v>1468</v>
      </c>
      <c r="Q510" s="8" t="b">
        <v>0</v>
      </c>
      <c r="R510" s="8" t="b">
        <v>1</v>
      </c>
      <c r="S510" s="7" t="s">
        <v>89</v>
      </c>
      <c r="T510" s="12"/>
      <c r="U510" s="28"/>
      <c r="V510" s="29">
        <v>1.4999999999999999E-2</v>
      </c>
      <c r="W510" s="30" t="b">
        <v>1</v>
      </c>
      <c r="X510" s="28" t="s">
        <v>90</v>
      </c>
    </row>
    <row r="511" spans="1:24" ht="15">
      <c r="A511" s="7">
        <v>495</v>
      </c>
      <c r="B511" s="7">
        <v>214572</v>
      </c>
      <c r="C511" s="7" t="s">
        <v>1473</v>
      </c>
      <c r="D511" s="7" t="s">
        <v>1474</v>
      </c>
      <c r="E511" s="7" t="s">
        <v>57</v>
      </c>
      <c r="F511" s="7" t="s">
        <v>85</v>
      </c>
      <c r="G511" s="11">
        <v>4</v>
      </c>
      <c r="H511" s="11">
        <v>4</v>
      </c>
      <c r="I511" s="7"/>
      <c r="J511" s="7"/>
      <c r="K511" s="7"/>
      <c r="L511" s="7" t="s">
        <v>1475</v>
      </c>
      <c r="M511" s="8" t="b">
        <v>0</v>
      </c>
      <c r="N511" s="8" t="b">
        <v>0</v>
      </c>
      <c r="O511" s="7" t="s">
        <v>1467</v>
      </c>
      <c r="P511" s="7" t="s">
        <v>1468</v>
      </c>
      <c r="Q511" s="8" t="b">
        <v>0</v>
      </c>
      <c r="R511" s="8" t="b">
        <v>1</v>
      </c>
      <c r="S511" s="7" t="s">
        <v>89</v>
      </c>
      <c r="T511" s="12"/>
      <c r="U511" s="28"/>
      <c r="V511" s="29">
        <v>6.0000000000000001E-3</v>
      </c>
      <c r="W511" s="30" t="b">
        <v>1</v>
      </c>
      <c r="X511" s="28" t="s">
        <v>90</v>
      </c>
    </row>
    <row r="512" spans="1:24" ht="15">
      <c r="A512" s="7">
        <v>496</v>
      </c>
      <c r="B512" s="7">
        <v>485055</v>
      </c>
      <c r="C512" s="7" t="s">
        <v>1476</v>
      </c>
      <c r="D512" s="7" t="s">
        <v>1477</v>
      </c>
      <c r="E512" s="7" t="s">
        <v>57</v>
      </c>
      <c r="F512" s="7" t="s">
        <v>85</v>
      </c>
      <c r="G512" s="11">
        <v>4.5</v>
      </c>
      <c r="H512" s="11">
        <v>4.5</v>
      </c>
      <c r="I512" s="7"/>
      <c r="J512" s="7"/>
      <c r="K512" s="7"/>
      <c r="L512" s="7" t="s">
        <v>1478</v>
      </c>
      <c r="M512" s="8" t="b">
        <v>0</v>
      </c>
      <c r="N512" s="8" t="b">
        <v>0</v>
      </c>
      <c r="O512" s="7" t="s">
        <v>1467</v>
      </c>
      <c r="P512" s="7" t="s">
        <v>1468</v>
      </c>
      <c r="Q512" s="8" t="b">
        <v>0</v>
      </c>
      <c r="R512" s="8" t="b">
        <v>1</v>
      </c>
      <c r="S512" s="7" t="s">
        <v>89</v>
      </c>
      <c r="T512" s="12"/>
      <c r="U512" s="28"/>
      <c r="V512" s="29">
        <v>0.187</v>
      </c>
      <c r="W512" s="30" t="b">
        <v>1</v>
      </c>
      <c r="X512" s="28" t="s">
        <v>90</v>
      </c>
    </row>
    <row r="513" spans="1:24" ht="15">
      <c r="A513" s="7">
        <v>497</v>
      </c>
      <c r="B513" s="7">
        <v>67089</v>
      </c>
      <c r="C513" s="7" t="s">
        <v>1479</v>
      </c>
      <c r="D513" s="7" t="s">
        <v>1480</v>
      </c>
      <c r="E513" s="7" t="s">
        <v>57</v>
      </c>
      <c r="F513" s="7" t="s">
        <v>85</v>
      </c>
      <c r="G513" s="11">
        <v>4</v>
      </c>
      <c r="H513" s="11">
        <v>4</v>
      </c>
      <c r="I513" s="7"/>
      <c r="J513" s="7"/>
      <c r="K513" s="7"/>
      <c r="L513" s="7" t="s">
        <v>119</v>
      </c>
      <c r="M513" s="8" t="b">
        <v>1</v>
      </c>
      <c r="N513" s="8" t="b">
        <v>0</v>
      </c>
      <c r="O513" s="7" t="s">
        <v>1467</v>
      </c>
      <c r="P513" s="7" t="s">
        <v>1468</v>
      </c>
      <c r="Q513" s="8" t="b">
        <v>0</v>
      </c>
      <c r="R513" s="8" t="b">
        <v>1</v>
      </c>
      <c r="S513" s="7" t="s">
        <v>89</v>
      </c>
      <c r="T513" s="12"/>
      <c r="U513" s="28"/>
      <c r="V513" s="29">
        <v>0.24600000000000002</v>
      </c>
      <c r="W513" s="30" t="b">
        <v>1</v>
      </c>
      <c r="X513" s="28" t="s">
        <v>90</v>
      </c>
    </row>
    <row r="514" spans="1:24" ht="15">
      <c r="A514" s="7">
        <v>498</v>
      </c>
      <c r="B514" s="7">
        <v>221466</v>
      </c>
      <c r="C514" s="7" t="s">
        <v>1481</v>
      </c>
      <c r="D514" s="7" t="s">
        <v>1482</v>
      </c>
      <c r="E514" s="7" t="s">
        <v>57</v>
      </c>
      <c r="F514" s="7" t="s">
        <v>99</v>
      </c>
      <c r="G514" s="11">
        <v>6</v>
      </c>
      <c r="H514" s="11">
        <v>6</v>
      </c>
      <c r="I514" s="7"/>
      <c r="J514" s="7"/>
      <c r="K514" s="7"/>
      <c r="L514" s="7" t="s">
        <v>119</v>
      </c>
      <c r="M514" s="8" t="b">
        <v>1</v>
      </c>
      <c r="N514" s="8" t="b">
        <v>0</v>
      </c>
      <c r="O514" s="7" t="s">
        <v>1467</v>
      </c>
      <c r="P514" s="7" t="s">
        <v>1468</v>
      </c>
      <c r="Q514" s="8" t="b">
        <v>0</v>
      </c>
      <c r="R514" s="8" t="b">
        <v>1</v>
      </c>
      <c r="S514" s="7" t="s">
        <v>89</v>
      </c>
      <c r="T514" s="12"/>
      <c r="U514" s="28"/>
      <c r="V514" s="29">
        <v>0.109</v>
      </c>
      <c r="W514" s="30" t="b">
        <v>1</v>
      </c>
      <c r="X514" s="28" t="s">
        <v>90</v>
      </c>
    </row>
    <row r="515" spans="1:24" ht="15">
      <c r="A515" s="7">
        <v>499</v>
      </c>
      <c r="B515" s="7">
        <v>441164</v>
      </c>
      <c r="C515" s="7" t="s">
        <v>1483</v>
      </c>
      <c r="D515" s="7" t="s">
        <v>1484</v>
      </c>
      <c r="E515" s="7" t="s">
        <v>57</v>
      </c>
      <c r="F515" s="7" t="s">
        <v>99</v>
      </c>
      <c r="G515" s="11">
        <v>5.5</v>
      </c>
      <c r="H515" s="11">
        <v>5.5</v>
      </c>
      <c r="I515" s="7"/>
      <c r="J515" s="7">
        <v>1</v>
      </c>
      <c r="K515" s="7">
        <v>6</v>
      </c>
      <c r="L515" s="7" t="s">
        <v>303</v>
      </c>
      <c r="M515" s="8" t="b">
        <v>0</v>
      </c>
      <c r="N515" s="8" t="b">
        <v>0</v>
      </c>
      <c r="O515" s="7" t="s">
        <v>1467</v>
      </c>
      <c r="P515" s="7" t="s">
        <v>1468</v>
      </c>
      <c r="Q515" s="8" t="b">
        <v>0</v>
      </c>
      <c r="R515" s="8" t="b">
        <v>1</v>
      </c>
      <c r="S515" s="7" t="s">
        <v>89</v>
      </c>
      <c r="T515" s="12"/>
      <c r="U515" s="28"/>
      <c r="V515" s="29">
        <v>0.23899999999999999</v>
      </c>
      <c r="W515" s="30" t="b">
        <v>1</v>
      </c>
      <c r="X515" s="28" t="s">
        <v>90</v>
      </c>
    </row>
    <row r="516" spans="1:24" ht="15">
      <c r="A516" s="7">
        <v>500</v>
      </c>
      <c r="B516" s="7">
        <v>221632</v>
      </c>
      <c r="C516" s="7" t="s">
        <v>1485</v>
      </c>
      <c r="D516" s="7" t="s">
        <v>1486</v>
      </c>
      <c r="E516" s="7" t="s">
        <v>57</v>
      </c>
      <c r="F516" s="7" t="s">
        <v>99</v>
      </c>
      <c r="G516" s="11">
        <v>5</v>
      </c>
      <c r="H516" s="11">
        <v>5</v>
      </c>
      <c r="I516" s="7"/>
      <c r="J516" s="7"/>
      <c r="K516" s="7"/>
      <c r="L516" s="7" t="s">
        <v>1487</v>
      </c>
      <c r="M516" s="8" t="b">
        <v>0</v>
      </c>
      <c r="N516" s="8" t="b">
        <v>0</v>
      </c>
      <c r="O516" s="7" t="s">
        <v>1467</v>
      </c>
      <c r="P516" s="7" t="s">
        <v>1468</v>
      </c>
      <c r="Q516" s="8" t="b">
        <v>0</v>
      </c>
      <c r="R516" s="8" t="b">
        <v>1</v>
      </c>
      <c r="S516" s="7" t="s">
        <v>89</v>
      </c>
      <c r="T516" s="12"/>
      <c r="U516" s="28"/>
      <c r="V516" s="29">
        <v>1.1000000000000001E-2</v>
      </c>
      <c r="W516" s="30" t="b">
        <v>1</v>
      </c>
      <c r="X516" s="28" t="s">
        <v>90</v>
      </c>
    </row>
    <row r="517" spans="1:24" ht="15">
      <c r="A517" s="7">
        <v>501</v>
      </c>
      <c r="B517" s="7">
        <v>135720</v>
      </c>
      <c r="C517" s="7" t="s">
        <v>1488</v>
      </c>
      <c r="D517" s="7" t="s">
        <v>1489</v>
      </c>
      <c r="E517" s="7" t="s">
        <v>57</v>
      </c>
      <c r="F517" s="7" t="s">
        <v>99</v>
      </c>
      <c r="G517" s="11">
        <v>5</v>
      </c>
      <c r="H517" s="11">
        <v>5</v>
      </c>
      <c r="I517" s="7"/>
      <c r="J517" s="7"/>
      <c r="K517" s="7"/>
      <c r="L517" s="7" t="s">
        <v>93</v>
      </c>
      <c r="M517" s="8" t="b">
        <v>0</v>
      </c>
      <c r="N517" s="8" t="b">
        <v>0</v>
      </c>
      <c r="O517" s="7" t="s">
        <v>1467</v>
      </c>
      <c r="P517" s="7" t="s">
        <v>1468</v>
      </c>
      <c r="Q517" s="8" t="b">
        <v>0</v>
      </c>
      <c r="R517" s="8" t="b">
        <v>1</v>
      </c>
      <c r="S517" s="7" t="s">
        <v>89</v>
      </c>
      <c r="T517" s="12"/>
      <c r="U517" s="28"/>
      <c r="V517" s="29">
        <v>2E-3</v>
      </c>
      <c r="W517" s="30" t="b">
        <v>1</v>
      </c>
      <c r="X517" s="28" t="s">
        <v>90</v>
      </c>
    </row>
    <row r="518" spans="1:24" ht="15">
      <c r="A518" s="7">
        <v>502</v>
      </c>
      <c r="B518" s="7">
        <v>122798</v>
      </c>
      <c r="C518" s="7" t="s">
        <v>1490</v>
      </c>
      <c r="D518" s="7" t="s">
        <v>1491</v>
      </c>
      <c r="E518" s="7" t="s">
        <v>57</v>
      </c>
      <c r="F518" s="7" t="s">
        <v>99</v>
      </c>
      <c r="G518" s="11">
        <v>4.5</v>
      </c>
      <c r="H518" s="11">
        <v>4.5</v>
      </c>
      <c r="I518" s="7"/>
      <c r="J518" s="7"/>
      <c r="K518" s="7"/>
      <c r="L518" s="7" t="s">
        <v>119</v>
      </c>
      <c r="M518" s="8" t="b">
        <v>1</v>
      </c>
      <c r="N518" s="8" t="b">
        <v>0</v>
      </c>
      <c r="O518" s="7" t="s">
        <v>1467</v>
      </c>
      <c r="P518" s="7" t="s">
        <v>1468</v>
      </c>
      <c r="Q518" s="8" t="b">
        <v>0</v>
      </c>
      <c r="R518" s="8" t="b">
        <v>1</v>
      </c>
      <c r="S518" s="7" t="s">
        <v>89</v>
      </c>
      <c r="T518" s="12"/>
      <c r="U518" s="28"/>
      <c r="V518" s="29">
        <v>1.8000000000000002E-2</v>
      </c>
      <c r="W518" s="30" t="b">
        <v>1</v>
      </c>
      <c r="X518" s="28" t="s">
        <v>90</v>
      </c>
    </row>
    <row r="519" spans="1:24" ht="15">
      <c r="A519" s="7">
        <v>503</v>
      </c>
      <c r="B519" s="7">
        <v>491279</v>
      </c>
      <c r="C519" s="7" t="s">
        <v>1492</v>
      </c>
      <c r="D519" s="7" t="s">
        <v>1493</v>
      </c>
      <c r="E519" s="7" t="s">
        <v>57</v>
      </c>
      <c r="F519" s="7" t="s">
        <v>99</v>
      </c>
      <c r="G519" s="11">
        <v>5</v>
      </c>
      <c r="H519" s="11">
        <v>5</v>
      </c>
      <c r="I519" s="7"/>
      <c r="J519" s="7"/>
      <c r="K519" s="7"/>
      <c r="L519" s="7" t="s">
        <v>1355</v>
      </c>
      <c r="M519" s="8" t="b">
        <v>0</v>
      </c>
      <c r="N519" s="8" t="b">
        <v>0</v>
      </c>
      <c r="O519" s="7" t="s">
        <v>1467</v>
      </c>
      <c r="P519" s="7" t="s">
        <v>1468</v>
      </c>
      <c r="Q519" s="8" t="b">
        <v>0</v>
      </c>
      <c r="R519" s="8" t="b">
        <v>1</v>
      </c>
      <c r="S519" s="7" t="s">
        <v>89</v>
      </c>
      <c r="T519" s="12"/>
      <c r="U519" s="28"/>
      <c r="V519" s="29">
        <v>6.4000000000000001E-2</v>
      </c>
      <c r="W519" s="30" t="b">
        <v>1</v>
      </c>
      <c r="X519" s="28" t="s">
        <v>90</v>
      </c>
    </row>
    <row r="520" spans="1:24" ht="15">
      <c r="A520" s="7">
        <v>505</v>
      </c>
      <c r="B520" s="7">
        <v>232859</v>
      </c>
      <c r="C520" s="7" t="s">
        <v>1494</v>
      </c>
      <c r="D520" s="7" t="s">
        <v>1495</v>
      </c>
      <c r="E520" s="7" t="s">
        <v>57</v>
      </c>
      <c r="F520" s="7" t="s">
        <v>99</v>
      </c>
      <c r="G520" s="11">
        <v>4.5</v>
      </c>
      <c r="H520" s="11">
        <v>4.5</v>
      </c>
      <c r="I520" s="7"/>
      <c r="J520" s="7"/>
      <c r="K520" s="7"/>
      <c r="L520" s="7" t="s">
        <v>1496</v>
      </c>
      <c r="M520" s="8" t="b">
        <v>0</v>
      </c>
      <c r="N520" s="8" t="b">
        <v>0</v>
      </c>
      <c r="O520" s="7" t="s">
        <v>1467</v>
      </c>
      <c r="P520" s="7" t="s">
        <v>1468</v>
      </c>
      <c r="Q520" s="8" t="b">
        <v>0</v>
      </c>
      <c r="R520" s="8" t="b">
        <v>1</v>
      </c>
      <c r="S520" s="7" t="s">
        <v>89</v>
      </c>
      <c r="T520" s="12"/>
      <c r="U520" s="28"/>
      <c r="V520" s="29">
        <v>9.6000000000000002E-2</v>
      </c>
      <c r="W520" s="30" t="b">
        <v>1</v>
      </c>
      <c r="X520" s="28" t="s">
        <v>90</v>
      </c>
    </row>
    <row r="521" spans="1:24" ht="15">
      <c r="A521" s="7">
        <v>506</v>
      </c>
      <c r="B521" s="7">
        <v>487053</v>
      </c>
      <c r="C521" s="7" t="s">
        <v>1497</v>
      </c>
      <c r="D521" s="7" t="s">
        <v>1498</v>
      </c>
      <c r="E521" s="7" t="s">
        <v>57</v>
      </c>
      <c r="F521" s="7" t="s">
        <v>99</v>
      </c>
      <c r="G521" s="11">
        <v>4.5</v>
      </c>
      <c r="H521" s="11">
        <v>4.5</v>
      </c>
      <c r="I521" s="7"/>
      <c r="J521" s="7"/>
      <c r="K521" s="7"/>
      <c r="L521" s="7" t="s">
        <v>1499</v>
      </c>
      <c r="M521" s="8" t="b">
        <v>0</v>
      </c>
      <c r="N521" s="8" t="b">
        <v>0</v>
      </c>
      <c r="O521" s="7" t="s">
        <v>1467</v>
      </c>
      <c r="P521" s="7" t="s">
        <v>1468</v>
      </c>
      <c r="Q521" s="8" t="b">
        <v>0</v>
      </c>
      <c r="R521" s="8" t="b">
        <v>1</v>
      </c>
      <c r="S521" s="7" t="s">
        <v>89</v>
      </c>
      <c r="T521" s="12"/>
      <c r="U521" s="28"/>
      <c r="V521" s="29">
        <v>4.0000000000000001E-3</v>
      </c>
      <c r="W521" s="30" t="b">
        <v>1</v>
      </c>
      <c r="X521" s="28" t="s">
        <v>90</v>
      </c>
    </row>
    <row r="522" spans="1:24" ht="15">
      <c r="A522" s="7">
        <v>507</v>
      </c>
      <c r="B522" s="7">
        <v>548308</v>
      </c>
      <c r="C522" s="7" t="s">
        <v>869</v>
      </c>
      <c r="D522" s="7" t="s">
        <v>1500</v>
      </c>
      <c r="E522" s="7" t="s">
        <v>57</v>
      </c>
      <c r="F522" s="7" t="s">
        <v>99</v>
      </c>
      <c r="G522" s="11">
        <v>4.5</v>
      </c>
      <c r="H522" s="11">
        <v>4.5</v>
      </c>
      <c r="I522" s="7"/>
      <c r="J522" s="7"/>
      <c r="K522" s="7"/>
      <c r="L522" s="7" t="s">
        <v>514</v>
      </c>
      <c r="M522" s="8" t="b">
        <v>0</v>
      </c>
      <c r="N522" s="8" t="b">
        <v>0</v>
      </c>
      <c r="O522" s="7" t="s">
        <v>1467</v>
      </c>
      <c r="P522" s="7" t="s">
        <v>1468</v>
      </c>
      <c r="Q522" s="8" t="b">
        <v>0</v>
      </c>
      <c r="R522" s="8" t="b">
        <v>1</v>
      </c>
      <c r="S522" s="7" t="s">
        <v>89</v>
      </c>
      <c r="T522" s="12"/>
      <c r="U522" s="28"/>
      <c r="V522" s="29">
        <v>1E-3</v>
      </c>
      <c r="W522" s="30" t="b">
        <v>1</v>
      </c>
      <c r="X522" s="28" t="s">
        <v>90</v>
      </c>
    </row>
    <row r="523" spans="1:24" ht="15">
      <c r="A523" s="7">
        <v>508</v>
      </c>
      <c r="B523" s="7">
        <v>115556</v>
      </c>
      <c r="C523" s="7" t="s">
        <v>1091</v>
      </c>
      <c r="D523" s="7" t="s">
        <v>1501</v>
      </c>
      <c r="E523" s="7" t="s">
        <v>57</v>
      </c>
      <c r="F523" s="7" t="s">
        <v>99</v>
      </c>
      <c r="G523" s="11">
        <v>4</v>
      </c>
      <c r="H523" s="11">
        <v>4</v>
      </c>
      <c r="I523" s="7"/>
      <c r="J523" s="7"/>
      <c r="K523" s="7"/>
      <c r="L523" s="7" t="s">
        <v>1502</v>
      </c>
      <c r="M523" s="8" t="b">
        <v>0</v>
      </c>
      <c r="N523" s="8" t="b">
        <v>0</v>
      </c>
      <c r="O523" s="7" t="s">
        <v>1467</v>
      </c>
      <c r="P523" s="7" t="s">
        <v>1468</v>
      </c>
      <c r="Q523" s="8" t="b">
        <v>0</v>
      </c>
      <c r="R523" s="8" t="b">
        <v>1</v>
      </c>
      <c r="S523" s="7" t="s">
        <v>89</v>
      </c>
      <c r="T523" s="12"/>
      <c r="U523" s="28"/>
      <c r="V523" s="29">
        <v>8.0000000000000002E-3</v>
      </c>
      <c r="W523" s="30" t="b">
        <v>1</v>
      </c>
      <c r="X523" s="28" t="s">
        <v>90</v>
      </c>
    </row>
    <row r="524" spans="1:24" ht="15">
      <c r="A524" s="7">
        <v>509</v>
      </c>
      <c r="B524" s="7">
        <v>640419</v>
      </c>
      <c r="C524" s="7" t="s">
        <v>1503</v>
      </c>
      <c r="D524" s="7" t="s">
        <v>1504</v>
      </c>
      <c r="E524" s="7" t="s">
        <v>57</v>
      </c>
      <c r="F524" s="7" t="s">
        <v>99</v>
      </c>
      <c r="G524" s="11">
        <v>4</v>
      </c>
      <c r="H524" s="11">
        <v>4</v>
      </c>
      <c r="I524" s="7"/>
      <c r="J524" s="7"/>
      <c r="K524" s="7"/>
      <c r="L524" s="7" t="s">
        <v>152</v>
      </c>
      <c r="M524" s="8" t="b">
        <v>1</v>
      </c>
      <c r="N524" s="8" t="b">
        <v>0</v>
      </c>
      <c r="O524" s="7" t="s">
        <v>1467</v>
      </c>
      <c r="P524" s="7" t="s">
        <v>1468</v>
      </c>
      <c r="Q524" s="8" t="b">
        <v>0</v>
      </c>
      <c r="R524" s="8" t="b">
        <v>1</v>
      </c>
      <c r="S524" s="7" t="s">
        <v>89</v>
      </c>
      <c r="T524" s="12"/>
      <c r="U524" s="28"/>
      <c r="V524" s="29">
        <v>1E-3</v>
      </c>
      <c r="W524" s="30" t="b">
        <v>1</v>
      </c>
      <c r="X524" s="28" t="s">
        <v>90</v>
      </c>
    </row>
    <row r="525" spans="1:24" ht="15">
      <c r="A525" s="7">
        <v>510</v>
      </c>
      <c r="B525" s="7">
        <v>499716</v>
      </c>
      <c r="C525" s="7" t="s">
        <v>1505</v>
      </c>
      <c r="D525" s="7" t="s">
        <v>1506</v>
      </c>
      <c r="E525" s="7" t="s">
        <v>57</v>
      </c>
      <c r="F525" s="7" t="s">
        <v>99</v>
      </c>
      <c r="G525" s="11">
        <v>4</v>
      </c>
      <c r="H525" s="11">
        <v>4</v>
      </c>
      <c r="I525" s="7"/>
      <c r="J525" s="7"/>
      <c r="K525" s="7"/>
      <c r="L525" s="7" t="s">
        <v>152</v>
      </c>
      <c r="M525" s="8" t="b">
        <v>1</v>
      </c>
      <c r="N525" s="8" t="b">
        <v>0</v>
      </c>
      <c r="O525" s="7" t="s">
        <v>1467</v>
      </c>
      <c r="P525" s="7" t="s">
        <v>1468</v>
      </c>
      <c r="Q525" s="8" t="b">
        <v>0</v>
      </c>
      <c r="R525" s="8" t="b">
        <v>1</v>
      </c>
      <c r="S525" s="7" t="s">
        <v>89</v>
      </c>
      <c r="T525" s="12"/>
      <c r="U525" s="28"/>
      <c r="V525" s="29">
        <v>1E-3</v>
      </c>
      <c r="W525" s="30" t="b">
        <v>1</v>
      </c>
      <c r="X525" s="28" t="s">
        <v>90</v>
      </c>
    </row>
    <row r="526" spans="1:24" ht="15">
      <c r="A526" s="7">
        <v>511</v>
      </c>
      <c r="B526" s="7">
        <v>616221</v>
      </c>
      <c r="C526" s="7" t="s">
        <v>1507</v>
      </c>
      <c r="D526" s="7" t="s">
        <v>1508</v>
      </c>
      <c r="E526" s="7" t="s">
        <v>57</v>
      </c>
      <c r="F526" s="7" t="s">
        <v>99</v>
      </c>
      <c r="G526" s="11">
        <v>4</v>
      </c>
      <c r="H526" s="11">
        <v>4</v>
      </c>
      <c r="I526" s="7"/>
      <c r="J526" s="7"/>
      <c r="K526" s="7"/>
      <c r="L526" s="7" t="s">
        <v>1509</v>
      </c>
      <c r="M526" s="8" t="b">
        <v>0</v>
      </c>
      <c r="N526" s="8" t="b">
        <v>0</v>
      </c>
      <c r="O526" s="7" t="s">
        <v>1467</v>
      </c>
      <c r="P526" s="7" t="s">
        <v>1468</v>
      </c>
      <c r="Q526" s="8" t="b">
        <v>0</v>
      </c>
      <c r="R526" s="8" t="b">
        <v>1</v>
      </c>
      <c r="S526" s="7" t="s">
        <v>89</v>
      </c>
      <c r="T526" s="12"/>
      <c r="U526" s="28"/>
      <c r="V526" s="29">
        <v>3.0000000000000001E-3</v>
      </c>
      <c r="W526" s="30" t="b">
        <v>1</v>
      </c>
      <c r="X526" s="28" t="s">
        <v>90</v>
      </c>
    </row>
    <row r="527" spans="1:24" ht="15">
      <c r="A527" s="7">
        <v>512</v>
      </c>
      <c r="B527" s="7">
        <v>460842</v>
      </c>
      <c r="C527" s="7" t="s">
        <v>1510</v>
      </c>
      <c r="D527" s="7" t="s">
        <v>1511</v>
      </c>
      <c r="E527" s="7" t="s">
        <v>57</v>
      </c>
      <c r="F527" s="7" t="s">
        <v>112</v>
      </c>
      <c r="G527" s="11">
        <v>6.5</v>
      </c>
      <c r="H527" s="11">
        <v>6.5</v>
      </c>
      <c r="I527" s="7">
        <v>2</v>
      </c>
      <c r="J527" s="7">
        <v>3</v>
      </c>
      <c r="K527" s="7">
        <v>7</v>
      </c>
      <c r="L527" s="7" t="s">
        <v>155</v>
      </c>
      <c r="M527" s="8" t="b">
        <v>0</v>
      </c>
      <c r="N527" s="8" t="b">
        <v>0</v>
      </c>
      <c r="O527" s="7" t="s">
        <v>1467</v>
      </c>
      <c r="P527" s="7" t="s">
        <v>1468</v>
      </c>
      <c r="Q527" s="8" t="b">
        <v>0</v>
      </c>
      <c r="R527" s="8" t="b">
        <v>1</v>
      </c>
      <c r="S527" s="7" t="s">
        <v>233</v>
      </c>
      <c r="T527" s="12">
        <v>75</v>
      </c>
      <c r="U527" s="28" t="s">
        <v>1272</v>
      </c>
      <c r="V527" s="29">
        <v>2E-3</v>
      </c>
      <c r="W527" s="30" t="b">
        <v>1</v>
      </c>
      <c r="X527" s="28" t="s">
        <v>90</v>
      </c>
    </row>
    <row r="528" spans="1:24" ht="15">
      <c r="A528" s="7">
        <v>513</v>
      </c>
      <c r="B528" s="7">
        <v>493362</v>
      </c>
      <c r="C528" s="7" t="s">
        <v>1512</v>
      </c>
      <c r="D528" s="7" t="s">
        <v>1513</v>
      </c>
      <c r="E528" s="7" t="s">
        <v>57</v>
      </c>
      <c r="F528" s="7" t="s">
        <v>112</v>
      </c>
      <c r="G528" s="11">
        <v>6</v>
      </c>
      <c r="H528" s="11">
        <v>6</v>
      </c>
      <c r="I528" s="7">
        <v>3</v>
      </c>
      <c r="J528" s="7">
        <v>2</v>
      </c>
      <c r="K528" s="7">
        <v>8</v>
      </c>
      <c r="L528" s="7" t="s">
        <v>707</v>
      </c>
      <c r="M528" s="8" t="b">
        <v>0</v>
      </c>
      <c r="N528" s="8" t="b">
        <v>0</v>
      </c>
      <c r="O528" s="7" t="s">
        <v>1467</v>
      </c>
      <c r="P528" s="7" t="s">
        <v>1468</v>
      </c>
      <c r="Q528" s="8" t="b">
        <v>0</v>
      </c>
      <c r="R528" s="8" t="b">
        <v>1</v>
      </c>
      <c r="S528" s="7" t="s">
        <v>104</v>
      </c>
      <c r="T528" s="12">
        <v>0</v>
      </c>
      <c r="U528" s="28" t="s">
        <v>238</v>
      </c>
      <c r="V528" s="29">
        <v>0</v>
      </c>
      <c r="W528" s="30" t="b">
        <v>1</v>
      </c>
      <c r="X528" s="28" t="s">
        <v>90</v>
      </c>
    </row>
    <row r="529" spans="1:24" ht="15">
      <c r="A529" s="7">
        <v>514</v>
      </c>
      <c r="B529" s="7">
        <v>511499</v>
      </c>
      <c r="C529" s="7" t="s">
        <v>1514</v>
      </c>
      <c r="D529" s="7" t="s">
        <v>1515</v>
      </c>
      <c r="E529" s="7" t="s">
        <v>57</v>
      </c>
      <c r="F529" s="7" t="s">
        <v>112</v>
      </c>
      <c r="G529" s="11">
        <v>6</v>
      </c>
      <c r="H529" s="11">
        <v>6</v>
      </c>
      <c r="I529" s="7"/>
      <c r="J529" s="7"/>
      <c r="K529" s="7">
        <v>9</v>
      </c>
      <c r="L529" s="7" t="s">
        <v>93</v>
      </c>
      <c r="M529" s="8" t="b">
        <v>0</v>
      </c>
      <c r="N529" s="8" t="b">
        <v>0</v>
      </c>
      <c r="O529" s="7" t="s">
        <v>1467</v>
      </c>
      <c r="P529" s="7" t="s">
        <v>1468</v>
      </c>
      <c r="Q529" s="8" t="b">
        <v>0</v>
      </c>
      <c r="R529" s="8" t="b">
        <v>1</v>
      </c>
      <c r="S529" s="7" t="s">
        <v>89</v>
      </c>
      <c r="T529" s="12"/>
      <c r="U529" s="28"/>
      <c r="V529" s="29">
        <v>4.0000000000000001E-3</v>
      </c>
      <c r="W529" s="30" t="b">
        <v>1</v>
      </c>
      <c r="X529" s="28" t="s">
        <v>90</v>
      </c>
    </row>
    <row r="530" spans="1:24" ht="15">
      <c r="A530" s="7">
        <v>515</v>
      </c>
      <c r="B530" s="7">
        <v>172780</v>
      </c>
      <c r="C530" s="7" t="s">
        <v>1516</v>
      </c>
      <c r="D530" s="7" t="s">
        <v>1517</v>
      </c>
      <c r="E530" s="7" t="s">
        <v>57</v>
      </c>
      <c r="F530" s="7" t="s">
        <v>112</v>
      </c>
      <c r="G530" s="11">
        <v>6.5</v>
      </c>
      <c r="H530" s="11">
        <v>6.5</v>
      </c>
      <c r="I530" s="7"/>
      <c r="J530" s="7"/>
      <c r="K530" s="7"/>
      <c r="L530" s="7" t="s">
        <v>171</v>
      </c>
      <c r="M530" s="8" t="b">
        <v>0</v>
      </c>
      <c r="N530" s="8" t="b">
        <v>0</v>
      </c>
      <c r="O530" s="7" t="s">
        <v>1467</v>
      </c>
      <c r="P530" s="7" t="s">
        <v>1468</v>
      </c>
      <c r="Q530" s="8" t="b">
        <v>0</v>
      </c>
      <c r="R530" s="8" t="b">
        <v>1</v>
      </c>
      <c r="S530" s="7" t="s">
        <v>89</v>
      </c>
      <c r="T530" s="12"/>
      <c r="U530" s="28"/>
      <c r="V530" s="29">
        <v>2.1000000000000001E-2</v>
      </c>
      <c r="W530" s="30" t="b">
        <v>1</v>
      </c>
      <c r="X530" s="28" t="s">
        <v>90</v>
      </c>
    </row>
    <row r="531" spans="1:24" ht="15">
      <c r="A531" s="7">
        <v>516</v>
      </c>
      <c r="B531" s="7">
        <v>202993</v>
      </c>
      <c r="C531" s="7" t="s">
        <v>1518</v>
      </c>
      <c r="D531" s="7" t="s">
        <v>1519</v>
      </c>
      <c r="E531" s="7" t="s">
        <v>57</v>
      </c>
      <c r="F531" s="7" t="s">
        <v>112</v>
      </c>
      <c r="G531" s="11">
        <v>5.5</v>
      </c>
      <c r="H531" s="11">
        <v>5.5</v>
      </c>
      <c r="I531" s="7"/>
      <c r="J531" s="7"/>
      <c r="K531" s="7"/>
      <c r="L531" s="7" t="s">
        <v>739</v>
      </c>
      <c r="M531" s="8" t="b">
        <v>0</v>
      </c>
      <c r="N531" s="8" t="b">
        <v>0</v>
      </c>
      <c r="O531" s="7" t="s">
        <v>1467</v>
      </c>
      <c r="P531" s="7" t="s">
        <v>1468</v>
      </c>
      <c r="Q531" s="8" t="b">
        <v>0</v>
      </c>
      <c r="R531" s="8" t="b">
        <v>1</v>
      </c>
      <c r="S531" s="7" t="s">
        <v>89</v>
      </c>
      <c r="T531" s="12"/>
      <c r="U531" s="28"/>
      <c r="V531" s="29">
        <v>1E-3</v>
      </c>
      <c r="W531" s="30" t="b">
        <v>1</v>
      </c>
      <c r="X531" s="28" t="s">
        <v>90</v>
      </c>
    </row>
    <row r="532" spans="1:24" ht="15">
      <c r="A532" s="7">
        <v>517</v>
      </c>
      <c r="B532" s="7">
        <v>550839</v>
      </c>
      <c r="C532" s="7" t="s">
        <v>1520</v>
      </c>
      <c r="D532" s="7" t="s">
        <v>1521</v>
      </c>
      <c r="E532" s="7" t="s">
        <v>57</v>
      </c>
      <c r="F532" s="7" t="s">
        <v>112</v>
      </c>
      <c r="G532" s="11">
        <v>5.5</v>
      </c>
      <c r="H532" s="11">
        <v>5.5</v>
      </c>
      <c r="I532" s="7"/>
      <c r="J532" s="7"/>
      <c r="K532" s="7"/>
      <c r="L532" s="7" t="s">
        <v>333</v>
      </c>
      <c r="M532" s="8" t="b">
        <v>0</v>
      </c>
      <c r="N532" s="8" t="b">
        <v>0</v>
      </c>
      <c r="O532" s="7" t="s">
        <v>1467</v>
      </c>
      <c r="P532" s="7" t="s">
        <v>1468</v>
      </c>
      <c r="Q532" s="8" t="b">
        <v>0</v>
      </c>
      <c r="R532" s="8" t="b">
        <v>1</v>
      </c>
      <c r="S532" s="7" t="s">
        <v>104</v>
      </c>
      <c r="T532" s="12">
        <v>0</v>
      </c>
      <c r="U532" s="28" t="s">
        <v>238</v>
      </c>
      <c r="V532" s="29">
        <v>0</v>
      </c>
      <c r="W532" s="30" t="b">
        <v>1</v>
      </c>
      <c r="X532" s="28" t="s">
        <v>90</v>
      </c>
    </row>
    <row r="533" spans="1:24" ht="15">
      <c r="A533" s="7">
        <v>518</v>
      </c>
      <c r="B533" s="7">
        <v>482442</v>
      </c>
      <c r="C533" s="7" t="s">
        <v>1522</v>
      </c>
      <c r="D533" s="7" t="s">
        <v>1523</v>
      </c>
      <c r="E533" s="7" t="s">
        <v>57</v>
      </c>
      <c r="F533" s="7" t="s">
        <v>112</v>
      </c>
      <c r="G533" s="11">
        <v>5</v>
      </c>
      <c r="H533" s="11">
        <v>5</v>
      </c>
      <c r="I533" s="7"/>
      <c r="J533" s="7"/>
      <c r="K533" s="7"/>
      <c r="L533" s="7" t="s">
        <v>1524</v>
      </c>
      <c r="M533" s="8" t="b">
        <v>0</v>
      </c>
      <c r="N533" s="8" t="b">
        <v>0</v>
      </c>
      <c r="O533" s="7" t="s">
        <v>1467</v>
      </c>
      <c r="P533" s="7" t="s">
        <v>1468</v>
      </c>
      <c r="Q533" s="8" t="b">
        <v>0</v>
      </c>
      <c r="R533" s="8" t="b">
        <v>1</v>
      </c>
      <c r="S533" s="7" t="s">
        <v>89</v>
      </c>
      <c r="T533" s="12"/>
      <c r="U533" s="28"/>
      <c r="V533" s="29">
        <v>4.0000000000000001E-3</v>
      </c>
      <c r="W533" s="30" t="b">
        <v>1</v>
      </c>
      <c r="X533" s="28" t="s">
        <v>90</v>
      </c>
    </row>
    <row r="534" spans="1:24" ht="15">
      <c r="A534" s="7">
        <v>519</v>
      </c>
      <c r="B534" s="7">
        <v>232787</v>
      </c>
      <c r="C534" s="7" t="s">
        <v>1525</v>
      </c>
      <c r="D534" s="7" t="s">
        <v>1526</v>
      </c>
      <c r="E534" s="7" t="s">
        <v>57</v>
      </c>
      <c r="F534" s="7" t="s">
        <v>112</v>
      </c>
      <c r="G534" s="11">
        <v>5.5</v>
      </c>
      <c r="H534" s="11">
        <v>5.5</v>
      </c>
      <c r="I534" s="7"/>
      <c r="J534" s="7"/>
      <c r="K534" s="7"/>
      <c r="L534" s="7" t="s">
        <v>1527</v>
      </c>
      <c r="M534" s="8" t="b">
        <v>0</v>
      </c>
      <c r="N534" s="8" t="b">
        <v>0</v>
      </c>
      <c r="O534" s="7" t="s">
        <v>1467</v>
      </c>
      <c r="P534" s="7" t="s">
        <v>1468</v>
      </c>
      <c r="Q534" s="8" t="b">
        <v>0</v>
      </c>
      <c r="R534" s="8" t="b">
        <v>1</v>
      </c>
      <c r="S534" s="7" t="s">
        <v>89</v>
      </c>
      <c r="T534" s="12"/>
      <c r="U534" s="28"/>
      <c r="V534" s="29">
        <v>2E-3</v>
      </c>
      <c r="W534" s="30" t="b">
        <v>1</v>
      </c>
      <c r="X534" s="28" t="s">
        <v>90</v>
      </c>
    </row>
    <row r="535" spans="1:24" ht="15">
      <c r="A535" s="7">
        <v>520</v>
      </c>
      <c r="B535" s="7">
        <v>570526</v>
      </c>
      <c r="C535" s="7" t="s">
        <v>1528</v>
      </c>
      <c r="D535" s="7" t="s">
        <v>1529</v>
      </c>
      <c r="E535" s="7" t="s">
        <v>57</v>
      </c>
      <c r="F535" s="7" t="s">
        <v>112</v>
      </c>
      <c r="G535" s="11">
        <v>5.5</v>
      </c>
      <c r="H535" s="11">
        <v>5.5</v>
      </c>
      <c r="I535" s="7"/>
      <c r="J535" s="7"/>
      <c r="K535" s="7"/>
      <c r="L535" s="7" t="s">
        <v>229</v>
      </c>
      <c r="M535" s="8" t="b">
        <v>0</v>
      </c>
      <c r="N535" s="8" t="b">
        <v>0</v>
      </c>
      <c r="O535" s="7" t="s">
        <v>1467</v>
      </c>
      <c r="P535" s="7" t="s">
        <v>1468</v>
      </c>
      <c r="Q535" s="8" t="b">
        <v>0</v>
      </c>
      <c r="R535" s="8" t="b">
        <v>1</v>
      </c>
      <c r="S535" s="7" t="s">
        <v>89</v>
      </c>
      <c r="T535" s="12"/>
      <c r="U535" s="28"/>
      <c r="V535" s="29">
        <v>2E-3</v>
      </c>
      <c r="W535" s="30" t="b">
        <v>1</v>
      </c>
      <c r="X535" s="28" t="s">
        <v>90</v>
      </c>
    </row>
    <row r="536" spans="1:24" ht="15">
      <c r="A536" s="7">
        <v>521</v>
      </c>
      <c r="B536" s="7">
        <v>445044</v>
      </c>
      <c r="C536" s="7" t="s">
        <v>1530</v>
      </c>
      <c r="D536" s="7" t="s">
        <v>1531</v>
      </c>
      <c r="E536" s="7" t="s">
        <v>57</v>
      </c>
      <c r="F536" s="7" t="s">
        <v>112</v>
      </c>
      <c r="G536" s="11">
        <v>6.5</v>
      </c>
      <c r="H536" s="11">
        <v>6.5</v>
      </c>
      <c r="I536" s="7"/>
      <c r="J536" s="7"/>
      <c r="K536" s="7"/>
      <c r="L536" s="7" t="s">
        <v>303</v>
      </c>
      <c r="M536" s="8" t="b">
        <v>0</v>
      </c>
      <c r="N536" s="8" t="b">
        <v>0</v>
      </c>
      <c r="O536" s="7" t="s">
        <v>1467</v>
      </c>
      <c r="P536" s="7" t="s">
        <v>1468</v>
      </c>
      <c r="Q536" s="8" t="b">
        <v>0</v>
      </c>
      <c r="R536" s="8" t="b">
        <v>1</v>
      </c>
      <c r="S536" s="7" t="s">
        <v>104</v>
      </c>
      <c r="T536" s="12">
        <v>0</v>
      </c>
      <c r="U536" s="28" t="s">
        <v>238</v>
      </c>
      <c r="V536" s="29">
        <v>0</v>
      </c>
      <c r="W536" s="30" t="b">
        <v>1</v>
      </c>
      <c r="X536" s="28" t="s">
        <v>90</v>
      </c>
    </row>
    <row r="537" spans="1:24" ht="15">
      <c r="A537" s="7">
        <v>522</v>
      </c>
      <c r="B537" s="7">
        <v>547701</v>
      </c>
      <c r="C537" s="7" t="s">
        <v>1532</v>
      </c>
      <c r="D537" s="7" t="s">
        <v>1533</v>
      </c>
      <c r="E537" s="7" t="s">
        <v>57</v>
      </c>
      <c r="F537" s="7" t="s">
        <v>112</v>
      </c>
      <c r="G537" s="11">
        <v>5</v>
      </c>
      <c r="H537" s="11">
        <v>5</v>
      </c>
      <c r="I537" s="7"/>
      <c r="J537" s="7"/>
      <c r="K537" s="7"/>
      <c r="L537" s="7" t="s">
        <v>1029</v>
      </c>
      <c r="M537" s="8" t="b">
        <v>0</v>
      </c>
      <c r="N537" s="8" t="b">
        <v>0</v>
      </c>
      <c r="O537" s="7" t="s">
        <v>1467</v>
      </c>
      <c r="P537" s="7" t="s">
        <v>1468</v>
      </c>
      <c r="Q537" s="8" t="b">
        <v>0</v>
      </c>
      <c r="R537" s="8" t="b">
        <v>1</v>
      </c>
      <c r="S537" s="7" t="s">
        <v>89</v>
      </c>
      <c r="T537" s="12"/>
      <c r="U537" s="28"/>
      <c r="V537" s="29">
        <v>2E-3</v>
      </c>
      <c r="W537" s="30" t="b">
        <v>1</v>
      </c>
      <c r="X537" s="28" t="s">
        <v>90</v>
      </c>
    </row>
    <row r="538" spans="1:24" ht="15">
      <c r="A538" s="7">
        <v>523</v>
      </c>
      <c r="B538" s="7">
        <v>499721</v>
      </c>
      <c r="C538" s="7" t="s">
        <v>1534</v>
      </c>
      <c r="D538" s="7" t="s">
        <v>1535</v>
      </c>
      <c r="E538" s="7" t="s">
        <v>57</v>
      </c>
      <c r="F538" s="7" t="s">
        <v>112</v>
      </c>
      <c r="G538" s="11">
        <v>5</v>
      </c>
      <c r="H538" s="11">
        <v>5</v>
      </c>
      <c r="I538" s="7"/>
      <c r="J538" s="7"/>
      <c r="K538" s="7"/>
      <c r="L538" s="7" t="s">
        <v>1536</v>
      </c>
      <c r="M538" s="8" t="b">
        <v>0</v>
      </c>
      <c r="N538" s="8" t="b">
        <v>0</v>
      </c>
      <c r="O538" s="7" t="s">
        <v>1467</v>
      </c>
      <c r="P538" s="7" t="s">
        <v>1468</v>
      </c>
      <c r="Q538" s="8" t="b">
        <v>0</v>
      </c>
      <c r="R538" s="8" t="b">
        <v>1</v>
      </c>
      <c r="S538" s="7" t="s">
        <v>89</v>
      </c>
      <c r="T538" s="12"/>
      <c r="U538" s="28"/>
      <c r="V538" s="29">
        <v>1E-3</v>
      </c>
      <c r="W538" s="30" t="b">
        <v>1</v>
      </c>
      <c r="X538" s="28" t="s">
        <v>90</v>
      </c>
    </row>
    <row r="539" spans="1:24" ht="15">
      <c r="A539" s="7">
        <v>524</v>
      </c>
      <c r="B539" s="7">
        <v>499726</v>
      </c>
      <c r="C539" s="7" t="s">
        <v>1537</v>
      </c>
      <c r="D539" s="7" t="s">
        <v>1538</v>
      </c>
      <c r="E539" s="7" t="s">
        <v>57</v>
      </c>
      <c r="F539" s="7" t="s">
        <v>112</v>
      </c>
      <c r="G539" s="11">
        <v>4.5</v>
      </c>
      <c r="H539" s="11">
        <v>4.5</v>
      </c>
      <c r="I539" s="7"/>
      <c r="J539" s="7"/>
      <c r="K539" s="7"/>
      <c r="L539" s="7" t="s">
        <v>152</v>
      </c>
      <c r="M539" s="8" t="b">
        <v>1</v>
      </c>
      <c r="N539" s="8" t="b">
        <v>0</v>
      </c>
      <c r="O539" s="7" t="s">
        <v>1467</v>
      </c>
      <c r="P539" s="7" t="s">
        <v>1468</v>
      </c>
      <c r="Q539" s="8" t="b">
        <v>0</v>
      </c>
      <c r="R539" s="8" t="b">
        <v>1</v>
      </c>
      <c r="S539" s="7" t="s">
        <v>89</v>
      </c>
      <c r="T539" s="12"/>
      <c r="U539" s="28"/>
      <c r="V539" s="29">
        <v>9.0000000000000011E-3</v>
      </c>
      <c r="W539" s="30" t="b">
        <v>1</v>
      </c>
      <c r="X539" s="28" t="s">
        <v>90</v>
      </c>
    </row>
    <row r="540" spans="1:24" ht="15">
      <c r="A540" s="7">
        <v>525</v>
      </c>
      <c r="B540" s="7">
        <v>551226</v>
      </c>
      <c r="C540" s="7" t="s">
        <v>1539</v>
      </c>
      <c r="D540" s="7" t="s">
        <v>1540</v>
      </c>
      <c r="E540" s="7" t="s">
        <v>57</v>
      </c>
      <c r="F540" s="7" t="s">
        <v>112</v>
      </c>
      <c r="G540" s="11">
        <v>6</v>
      </c>
      <c r="H540" s="11">
        <v>6</v>
      </c>
      <c r="I540" s="7"/>
      <c r="J540" s="7"/>
      <c r="K540" s="7"/>
      <c r="L540" s="7" t="s">
        <v>449</v>
      </c>
      <c r="M540" s="8" t="b">
        <v>1</v>
      </c>
      <c r="N540" s="8" t="b">
        <v>0</v>
      </c>
      <c r="O540" s="7" t="s">
        <v>1467</v>
      </c>
      <c r="P540" s="7" t="s">
        <v>1468</v>
      </c>
      <c r="Q540" s="8" t="b">
        <v>0</v>
      </c>
      <c r="R540" s="8" t="b">
        <v>1</v>
      </c>
      <c r="S540" s="7" t="s">
        <v>89</v>
      </c>
      <c r="T540" s="12"/>
      <c r="U540" s="28"/>
      <c r="V540" s="29">
        <v>3.7000000000000005E-2</v>
      </c>
      <c r="W540" s="30" t="b">
        <v>1</v>
      </c>
      <c r="X540" s="28" t="s">
        <v>90</v>
      </c>
    </row>
    <row r="541" spans="1:24" ht="15">
      <c r="A541" s="7">
        <v>526</v>
      </c>
      <c r="B541" s="7">
        <v>154566</v>
      </c>
      <c r="C541" s="7" t="s">
        <v>1541</v>
      </c>
      <c r="D541" s="7" t="s">
        <v>1542</v>
      </c>
      <c r="E541" s="7" t="s">
        <v>57</v>
      </c>
      <c r="F541" s="7" t="s">
        <v>167</v>
      </c>
      <c r="G541" s="11">
        <v>6</v>
      </c>
      <c r="H541" s="11">
        <v>6</v>
      </c>
      <c r="I541" s="7">
        <v>1</v>
      </c>
      <c r="J541" s="7"/>
      <c r="K541" s="7"/>
      <c r="L541" s="7" t="s">
        <v>1543</v>
      </c>
      <c r="M541" s="8" t="b">
        <v>0</v>
      </c>
      <c r="N541" s="8" t="b">
        <v>0</v>
      </c>
      <c r="O541" s="7" t="s">
        <v>1467</v>
      </c>
      <c r="P541" s="7" t="s">
        <v>1468</v>
      </c>
      <c r="Q541" s="8" t="b">
        <v>0</v>
      </c>
      <c r="R541" s="8" t="b">
        <v>1</v>
      </c>
      <c r="S541" s="7" t="s">
        <v>89</v>
      </c>
      <c r="T541" s="12"/>
      <c r="U541" s="28"/>
      <c r="V541" s="29">
        <v>2.6000000000000002E-2</v>
      </c>
      <c r="W541" s="30" t="b">
        <v>1</v>
      </c>
      <c r="X541" s="28" t="s">
        <v>90</v>
      </c>
    </row>
    <row r="542" spans="1:24" ht="15">
      <c r="A542" s="7">
        <v>527</v>
      </c>
      <c r="B542" s="7">
        <v>212319</v>
      </c>
      <c r="C542" s="7" t="s">
        <v>1544</v>
      </c>
      <c r="D542" s="7" t="s">
        <v>1545</v>
      </c>
      <c r="E542" s="7" t="s">
        <v>57</v>
      </c>
      <c r="F542" s="7" t="s">
        <v>167</v>
      </c>
      <c r="G542" s="11">
        <v>6</v>
      </c>
      <c r="H542" s="11">
        <v>6</v>
      </c>
      <c r="I542" s="7">
        <v>4</v>
      </c>
      <c r="J542" s="7"/>
      <c r="K542" s="7"/>
      <c r="L542" s="7" t="s">
        <v>541</v>
      </c>
      <c r="M542" s="8" t="b">
        <v>0</v>
      </c>
      <c r="N542" s="8" t="b">
        <v>0</v>
      </c>
      <c r="O542" s="7" t="s">
        <v>1467</v>
      </c>
      <c r="P542" s="7" t="s">
        <v>1468</v>
      </c>
      <c r="Q542" s="8" t="b">
        <v>0</v>
      </c>
      <c r="R542" s="8" t="b">
        <v>1</v>
      </c>
      <c r="S542" s="7" t="s">
        <v>89</v>
      </c>
      <c r="T542" s="12"/>
      <c r="U542" s="28"/>
      <c r="V542" s="29">
        <v>1.9E-2</v>
      </c>
      <c r="W542" s="30" t="b">
        <v>1</v>
      </c>
      <c r="X542" s="28" t="s">
        <v>90</v>
      </c>
    </row>
    <row r="543" spans="1:24" ht="15">
      <c r="A543" s="7">
        <v>528</v>
      </c>
      <c r="B543" s="7">
        <v>490145</v>
      </c>
      <c r="C543" s="7" t="s">
        <v>1546</v>
      </c>
      <c r="D543" s="7" t="s">
        <v>1547</v>
      </c>
      <c r="E543" s="7" t="s">
        <v>57</v>
      </c>
      <c r="F543" s="7" t="s">
        <v>167</v>
      </c>
      <c r="G543" s="11">
        <v>4.5</v>
      </c>
      <c r="H543" s="11">
        <v>4.5</v>
      </c>
      <c r="I543" s="7"/>
      <c r="J543" s="7"/>
      <c r="K543" s="7"/>
      <c r="L543" s="7" t="s">
        <v>1548</v>
      </c>
      <c r="M543" s="8" t="b">
        <v>0</v>
      </c>
      <c r="N543" s="8" t="b">
        <v>0</v>
      </c>
      <c r="O543" s="7" t="s">
        <v>1467</v>
      </c>
      <c r="P543" s="7" t="s">
        <v>1468</v>
      </c>
      <c r="Q543" s="8" t="b">
        <v>0</v>
      </c>
      <c r="R543" s="8" t="b">
        <v>1</v>
      </c>
      <c r="S543" s="7" t="s">
        <v>89</v>
      </c>
      <c r="T543" s="12"/>
      <c r="U543" s="28"/>
      <c r="V543" s="29">
        <v>1.7000000000000001E-2</v>
      </c>
      <c r="W543" s="30" t="b">
        <v>1</v>
      </c>
      <c r="X543" s="28" t="s">
        <v>90</v>
      </c>
    </row>
    <row r="544" spans="1:24" ht="15">
      <c r="A544" s="7">
        <v>529</v>
      </c>
      <c r="B544" s="7">
        <v>498016</v>
      </c>
      <c r="C544" s="7" t="s">
        <v>1549</v>
      </c>
      <c r="D544" s="7" t="s">
        <v>1550</v>
      </c>
      <c r="E544" s="7" t="s">
        <v>58</v>
      </c>
      <c r="F544" s="7" t="s">
        <v>85</v>
      </c>
      <c r="G544" s="11">
        <v>5</v>
      </c>
      <c r="H544" s="11">
        <v>5</v>
      </c>
      <c r="I544" s="7"/>
      <c r="J544" s="7"/>
      <c r="K544" s="7"/>
      <c r="L544" s="7" t="s">
        <v>933</v>
      </c>
      <c r="M544" s="8" t="b">
        <v>0</v>
      </c>
      <c r="N544" s="8" t="b">
        <v>0</v>
      </c>
      <c r="O544" s="7" t="s">
        <v>1551</v>
      </c>
      <c r="P544" s="7" t="s">
        <v>229</v>
      </c>
      <c r="Q544" s="8" t="b">
        <v>0</v>
      </c>
      <c r="R544" s="8" t="b">
        <v>0</v>
      </c>
      <c r="S544" s="7" t="s">
        <v>89</v>
      </c>
      <c r="T544" s="12"/>
      <c r="U544" s="28"/>
      <c r="V544" s="29">
        <v>5.2999999999999999E-2</v>
      </c>
      <c r="W544" s="30" t="b">
        <v>1</v>
      </c>
      <c r="X544" s="28" t="s">
        <v>90</v>
      </c>
    </row>
    <row r="545" spans="1:24" ht="15">
      <c r="A545" s="7">
        <v>530</v>
      </c>
      <c r="B545" s="7">
        <v>232571</v>
      </c>
      <c r="C545" s="7" t="s">
        <v>772</v>
      </c>
      <c r="D545" s="7" t="s">
        <v>1552</v>
      </c>
      <c r="E545" s="7" t="s">
        <v>58</v>
      </c>
      <c r="F545" s="7" t="s">
        <v>85</v>
      </c>
      <c r="G545" s="11">
        <v>4</v>
      </c>
      <c r="H545" s="11">
        <v>4</v>
      </c>
      <c r="I545" s="7"/>
      <c r="J545" s="7"/>
      <c r="K545" s="7"/>
      <c r="L545" s="7" t="s">
        <v>1553</v>
      </c>
      <c r="M545" s="8" t="b">
        <v>0</v>
      </c>
      <c r="N545" s="8" t="b">
        <v>0</v>
      </c>
      <c r="O545" s="7" t="s">
        <v>1551</v>
      </c>
      <c r="P545" s="7" t="s">
        <v>229</v>
      </c>
      <c r="Q545" s="8" t="b">
        <v>0</v>
      </c>
      <c r="R545" s="8" t="b">
        <v>0</v>
      </c>
      <c r="S545" s="7" t="s">
        <v>89</v>
      </c>
      <c r="T545" s="12"/>
      <c r="U545" s="28"/>
      <c r="V545" s="29">
        <v>1.1000000000000001E-2</v>
      </c>
      <c r="W545" s="30" t="b">
        <v>1</v>
      </c>
      <c r="X545" s="28" t="s">
        <v>90</v>
      </c>
    </row>
    <row r="546" spans="1:24" ht="15">
      <c r="A546" s="7">
        <v>531</v>
      </c>
      <c r="B546" s="7">
        <v>515046</v>
      </c>
      <c r="C546" s="7" t="s">
        <v>1554</v>
      </c>
      <c r="D546" s="7" t="s">
        <v>1555</v>
      </c>
      <c r="E546" s="7" t="s">
        <v>58</v>
      </c>
      <c r="F546" s="7" t="s">
        <v>85</v>
      </c>
      <c r="G546" s="11">
        <v>4.5</v>
      </c>
      <c r="H546" s="11">
        <v>4.5</v>
      </c>
      <c r="I546" s="7"/>
      <c r="J546" s="7"/>
      <c r="K546" s="7"/>
      <c r="L546" s="7" t="s">
        <v>1556</v>
      </c>
      <c r="M546" s="8" t="b">
        <v>0</v>
      </c>
      <c r="N546" s="8" t="b">
        <v>0</v>
      </c>
      <c r="O546" s="7" t="s">
        <v>1551</v>
      </c>
      <c r="P546" s="7" t="s">
        <v>229</v>
      </c>
      <c r="Q546" s="8" t="b">
        <v>0</v>
      </c>
      <c r="R546" s="8" t="b">
        <v>0</v>
      </c>
      <c r="S546" s="7" t="s">
        <v>89</v>
      </c>
      <c r="T546" s="12"/>
      <c r="U546" s="28"/>
      <c r="V546" s="29">
        <v>1E-3</v>
      </c>
      <c r="W546" s="30" t="b">
        <v>1</v>
      </c>
      <c r="X546" s="28" t="s">
        <v>90</v>
      </c>
    </row>
    <row r="547" spans="1:24" ht="15">
      <c r="A547" s="7">
        <v>532</v>
      </c>
      <c r="B547" s="7">
        <v>223827</v>
      </c>
      <c r="C547" s="7" t="s">
        <v>1557</v>
      </c>
      <c r="D547" s="7" t="s">
        <v>1558</v>
      </c>
      <c r="E547" s="7" t="s">
        <v>58</v>
      </c>
      <c r="F547" s="7" t="s">
        <v>99</v>
      </c>
      <c r="G547" s="11">
        <v>5</v>
      </c>
      <c r="H547" s="11">
        <v>5</v>
      </c>
      <c r="I547" s="7"/>
      <c r="J547" s="7"/>
      <c r="K547" s="7"/>
      <c r="L547" s="7" t="s">
        <v>541</v>
      </c>
      <c r="M547" s="8" t="b">
        <v>0</v>
      </c>
      <c r="N547" s="8" t="b">
        <v>0</v>
      </c>
      <c r="O547" s="7" t="s">
        <v>1551</v>
      </c>
      <c r="P547" s="7" t="s">
        <v>229</v>
      </c>
      <c r="Q547" s="8" t="b">
        <v>0</v>
      </c>
      <c r="R547" s="8" t="b">
        <v>0</v>
      </c>
      <c r="S547" s="7" t="s">
        <v>89</v>
      </c>
      <c r="T547" s="12"/>
      <c r="U547" s="28"/>
      <c r="V547" s="29">
        <v>3.4000000000000002E-2</v>
      </c>
      <c r="W547" s="30" t="b">
        <v>1</v>
      </c>
      <c r="X547" s="28" t="s">
        <v>90</v>
      </c>
    </row>
    <row r="548" spans="1:24" ht="15">
      <c r="A548" s="7">
        <v>533</v>
      </c>
      <c r="B548" s="7">
        <v>200834</v>
      </c>
      <c r="C548" s="7" t="s">
        <v>1559</v>
      </c>
      <c r="D548" s="7" t="s">
        <v>1560</v>
      </c>
      <c r="E548" s="7" t="s">
        <v>58</v>
      </c>
      <c r="F548" s="7" t="s">
        <v>99</v>
      </c>
      <c r="G548" s="11">
        <v>5.5</v>
      </c>
      <c r="H548" s="11">
        <v>5.5</v>
      </c>
      <c r="I548" s="7"/>
      <c r="J548" s="7"/>
      <c r="K548" s="7"/>
      <c r="L548" s="7" t="s">
        <v>1369</v>
      </c>
      <c r="M548" s="8" t="b">
        <v>0</v>
      </c>
      <c r="N548" s="8" t="b">
        <v>0</v>
      </c>
      <c r="O548" s="7" t="s">
        <v>1551</v>
      </c>
      <c r="P548" s="7" t="s">
        <v>229</v>
      </c>
      <c r="Q548" s="8" t="b">
        <v>0</v>
      </c>
      <c r="R548" s="8" t="b">
        <v>0</v>
      </c>
      <c r="S548" s="7" t="s">
        <v>89</v>
      </c>
      <c r="T548" s="12"/>
      <c r="U548" s="28"/>
      <c r="V548" s="29">
        <v>7.6999999999999999E-2</v>
      </c>
      <c r="W548" s="30" t="b">
        <v>1</v>
      </c>
      <c r="X548" s="28" t="s">
        <v>90</v>
      </c>
    </row>
    <row r="549" spans="1:24" ht="15">
      <c r="A549" s="7">
        <v>534</v>
      </c>
      <c r="B549" s="7">
        <v>487676</v>
      </c>
      <c r="C549" s="7" t="s">
        <v>1561</v>
      </c>
      <c r="D549" s="7" t="s">
        <v>1562</v>
      </c>
      <c r="E549" s="7" t="s">
        <v>58</v>
      </c>
      <c r="F549" s="7" t="s">
        <v>99</v>
      </c>
      <c r="G549" s="11">
        <v>4.5</v>
      </c>
      <c r="H549" s="11">
        <v>4.5</v>
      </c>
      <c r="I549" s="7"/>
      <c r="J549" s="7"/>
      <c r="K549" s="7">
        <v>5</v>
      </c>
      <c r="L549" s="7" t="s">
        <v>774</v>
      </c>
      <c r="M549" s="8" t="b">
        <v>0</v>
      </c>
      <c r="N549" s="8" t="b">
        <v>0</v>
      </c>
      <c r="O549" s="7" t="s">
        <v>1551</v>
      </c>
      <c r="P549" s="7" t="s">
        <v>229</v>
      </c>
      <c r="Q549" s="8" t="b">
        <v>0</v>
      </c>
      <c r="R549" s="8" t="b">
        <v>0</v>
      </c>
      <c r="S549" s="7" t="s">
        <v>89</v>
      </c>
      <c r="T549" s="12"/>
      <c r="U549" s="28"/>
      <c r="V549" s="29">
        <v>0.02</v>
      </c>
      <c r="W549" s="30" t="b">
        <v>1</v>
      </c>
      <c r="X549" s="28" t="s">
        <v>90</v>
      </c>
    </row>
    <row r="550" spans="1:24" ht="15">
      <c r="A550" s="7">
        <v>535</v>
      </c>
      <c r="B550" s="7">
        <v>201895</v>
      </c>
      <c r="C550" s="7" t="s">
        <v>1563</v>
      </c>
      <c r="D550" s="7" t="s">
        <v>1564</v>
      </c>
      <c r="E550" s="7" t="s">
        <v>58</v>
      </c>
      <c r="F550" s="7" t="s">
        <v>99</v>
      </c>
      <c r="G550" s="11">
        <v>5</v>
      </c>
      <c r="H550" s="11">
        <v>5</v>
      </c>
      <c r="I550" s="7"/>
      <c r="J550" s="7"/>
      <c r="K550" s="7"/>
      <c r="L550" s="7" t="s">
        <v>1342</v>
      </c>
      <c r="M550" s="8" t="b">
        <v>0</v>
      </c>
      <c r="N550" s="8" t="b">
        <v>0</v>
      </c>
      <c r="O550" s="7" t="s">
        <v>1551</v>
      </c>
      <c r="P550" s="7" t="s">
        <v>229</v>
      </c>
      <c r="Q550" s="8" t="b">
        <v>0</v>
      </c>
      <c r="R550" s="8" t="b">
        <v>0</v>
      </c>
      <c r="S550" s="7" t="s">
        <v>89</v>
      </c>
      <c r="T550" s="12"/>
      <c r="U550" s="28"/>
      <c r="V550" s="29">
        <v>1.2E-2</v>
      </c>
      <c r="W550" s="30" t="b">
        <v>1</v>
      </c>
      <c r="X550" s="28" t="s">
        <v>90</v>
      </c>
    </row>
    <row r="551" spans="1:24" ht="15">
      <c r="A551" s="7">
        <v>536</v>
      </c>
      <c r="B551" s="7">
        <v>434399</v>
      </c>
      <c r="C551" s="7" t="s">
        <v>1565</v>
      </c>
      <c r="D551" s="7" t="s">
        <v>1566</v>
      </c>
      <c r="E551" s="7" t="s">
        <v>58</v>
      </c>
      <c r="F551" s="7" t="s">
        <v>99</v>
      </c>
      <c r="G551" s="11">
        <v>4.5</v>
      </c>
      <c r="H551" s="11">
        <v>4.5</v>
      </c>
      <c r="I551" s="7"/>
      <c r="J551" s="7"/>
      <c r="K551" s="7"/>
      <c r="L551" s="7" t="s">
        <v>1035</v>
      </c>
      <c r="M551" s="8" t="b">
        <v>0</v>
      </c>
      <c r="N551" s="8" t="b">
        <v>0</v>
      </c>
      <c r="O551" s="7" t="s">
        <v>1551</v>
      </c>
      <c r="P551" s="7" t="s">
        <v>229</v>
      </c>
      <c r="Q551" s="8" t="b">
        <v>0</v>
      </c>
      <c r="R551" s="8" t="b">
        <v>0</v>
      </c>
      <c r="S551" s="7" t="s">
        <v>89</v>
      </c>
      <c r="T551" s="12"/>
      <c r="U551" s="28"/>
      <c r="V551" s="29">
        <v>5.0000000000000001E-3</v>
      </c>
      <c r="W551" s="30" t="b">
        <v>1</v>
      </c>
      <c r="X551" s="28" t="s">
        <v>90</v>
      </c>
    </row>
    <row r="552" spans="1:24" ht="15">
      <c r="A552" s="7">
        <v>537</v>
      </c>
      <c r="B552" s="7">
        <v>519634</v>
      </c>
      <c r="C552" s="7" t="s">
        <v>1567</v>
      </c>
      <c r="D552" s="7" t="s">
        <v>1568</v>
      </c>
      <c r="E552" s="7" t="s">
        <v>58</v>
      </c>
      <c r="F552" s="7" t="s">
        <v>99</v>
      </c>
      <c r="G552" s="11">
        <v>4.5</v>
      </c>
      <c r="H552" s="11">
        <v>4.5</v>
      </c>
      <c r="I552" s="7"/>
      <c r="J552" s="7"/>
      <c r="K552" s="7"/>
      <c r="L552" s="7" t="s">
        <v>303</v>
      </c>
      <c r="M552" s="8" t="b">
        <v>0</v>
      </c>
      <c r="N552" s="8" t="b">
        <v>0</v>
      </c>
      <c r="O552" s="7" t="s">
        <v>1551</v>
      </c>
      <c r="P552" s="7" t="s">
        <v>229</v>
      </c>
      <c r="Q552" s="8" t="b">
        <v>0</v>
      </c>
      <c r="R552" s="8" t="b">
        <v>0</v>
      </c>
      <c r="S552" s="7" t="s">
        <v>89</v>
      </c>
      <c r="T552" s="12"/>
      <c r="U552" s="28"/>
      <c r="V552" s="29">
        <v>0</v>
      </c>
      <c r="W552" s="30" t="b">
        <v>1</v>
      </c>
      <c r="X552" s="28" t="s">
        <v>90</v>
      </c>
    </row>
    <row r="553" spans="1:24" ht="15">
      <c r="A553" s="7">
        <v>538</v>
      </c>
      <c r="B553" s="7">
        <v>477547</v>
      </c>
      <c r="C553" s="7" t="s">
        <v>1569</v>
      </c>
      <c r="D553" s="7" t="s">
        <v>1570</v>
      </c>
      <c r="E553" s="7" t="s">
        <v>58</v>
      </c>
      <c r="F553" s="7" t="s">
        <v>99</v>
      </c>
      <c r="G553" s="11">
        <v>4</v>
      </c>
      <c r="H553" s="11">
        <v>4</v>
      </c>
      <c r="I553" s="7"/>
      <c r="J553" s="7"/>
      <c r="K553" s="7"/>
      <c r="L553" s="7" t="s">
        <v>682</v>
      </c>
      <c r="M553" s="8" t="b">
        <v>0</v>
      </c>
      <c r="N553" s="8" t="b">
        <v>0</v>
      </c>
      <c r="O553" s="7" t="s">
        <v>1551</v>
      </c>
      <c r="P553" s="7" t="s">
        <v>229</v>
      </c>
      <c r="Q553" s="8" t="b">
        <v>0</v>
      </c>
      <c r="R553" s="8" t="b">
        <v>0</v>
      </c>
      <c r="S553" s="7" t="s">
        <v>89</v>
      </c>
      <c r="T553" s="12"/>
      <c r="U553" s="28"/>
      <c r="V553" s="29">
        <v>3.0000000000000001E-3</v>
      </c>
      <c r="W553" s="30" t="b">
        <v>1</v>
      </c>
      <c r="X553" s="28" t="s">
        <v>90</v>
      </c>
    </row>
    <row r="554" spans="1:24" ht="15">
      <c r="A554" s="7">
        <v>539</v>
      </c>
      <c r="B554" s="7">
        <v>167512</v>
      </c>
      <c r="C554" s="7" t="s">
        <v>1571</v>
      </c>
      <c r="D554" s="7" t="s">
        <v>1572</v>
      </c>
      <c r="E554" s="7" t="s">
        <v>58</v>
      </c>
      <c r="F554" s="7" t="s">
        <v>99</v>
      </c>
      <c r="G554" s="11">
        <v>4</v>
      </c>
      <c r="H554" s="11">
        <v>4</v>
      </c>
      <c r="I554" s="7"/>
      <c r="J554" s="7"/>
      <c r="K554" s="7"/>
      <c r="L554" s="7" t="s">
        <v>1573</v>
      </c>
      <c r="M554" s="8" t="b">
        <v>0</v>
      </c>
      <c r="N554" s="8" t="b">
        <v>0</v>
      </c>
      <c r="O554" s="7" t="s">
        <v>1551</v>
      </c>
      <c r="P554" s="7" t="s">
        <v>229</v>
      </c>
      <c r="Q554" s="8" t="b">
        <v>0</v>
      </c>
      <c r="R554" s="8" t="b">
        <v>0</v>
      </c>
      <c r="S554" s="7" t="s">
        <v>89</v>
      </c>
      <c r="T554" s="12"/>
      <c r="U554" s="28"/>
      <c r="V554" s="29">
        <v>2.3E-2</v>
      </c>
      <c r="W554" s="30" t="b">
        <v>1</v>
      </c>
      <c r="X554" s="28" t="s">
        <v>90</v>
      </c>
    </row>
    <row r="555" spans="1:24" ht="15">
      <c r="A555" s="7">
        <v>540</v>
      </c>
      <c r="B555" s="7">
        <v>105717</v>
      </c>
      <c r="C555" s="7" t="s">
        <v>1574</v>
      </c>
      <c r="D555" s="7" t="s">
        <v>1575</v>
      </c>
      <c r="E555" s="7" t="s">
        <v>58</v>
      </c>
      <c r="F555" s="7" t="s">
        <v>99</v>
      </c>
      <c r="G555" s="11">
        <v>4</v>
      </c>
      <c r="H555" s="11">
        <v>4</v>
      </c>
      <c r="I555" s="7"/>
      <c r="J555" s="7"/>
      <c r="K555" s="7"/>
      <c r="L555" s="7" t="s">
        <v>1576</v>
      </c>
      <c r="M555" s="8" t="b">
        <v>0</v>
      </c>
      <c r="N555" s="8" t="b">
        <v>0</v>
      </c>
      <c r="O555" s="7" t="s">
        <v>1551</v>
      </c>
      <c r="P555" s="7" t="s">
        <v>229</v>
      </c>
      <c r="Q555" s="8" t="b">
        <v>0</v>
      </c>
      <c r="R555" s="8" t="b">
        <v>0</v>
      </c>
      <c r="S555" s="7" t="s">
        <v>89</v>
      </c>
      <c r="T555" s="12"/>
      <c r="U555" s="28"/>
      <c r="V555" s="29">
        <v>1.3999999999999999E-2</v>
      </c>
      <c r="W555" s="30" t="b">
        <v>1</v>
      </c>
      <c r="X555" s="28" t="s">
        <v>90</v>
      </c>
    </row>
    <row r="556" spans="1:24" ht="15">
      <c r="A556" s="7">
        <v>541</v>
      </c>
      <c r="B556" s="7">
        <v>93605</v>
      </c>
      <c r="C556" s="7" t="s">
        <v>1577</v>
      </c>
      <c r="D556" s="7" t="s">
        <v>1578</v>
      </c>
      <c r="E556" s="7" t="s">
        <v>58</v>
      </c>
      <c r="F556" s="7" t="s">
        <v>99</v>
      </c>
      <c r="G556" s="11">
        <v>4.5</v>
      </c>
      <c r="H556" s="11">
        <v>4.5</v>
      </c>
      <c r="I556" s="7"/>
      <c r="J556" s="7"/>
      <c r="K556" s="7"/>
      <c r="L556" s="7" t="s">
        <v>1579</v>
      </c>
      <c r="M556" s="8" t="b">
        <v>1</v>
      </c>
      <c r="N556" s="8" t="b">
        <v>0</v>
      </c>
      <c r="O556" s="7" t="s">
        <v>1551</v>
      </c>
      <c r="P556" s="7" t="s">
        <v>229</v>
      </c>
      <c r="Q556" s="8" t="b">
        <v>0</v>
      </c>
      <c r="R556" s="8" t="b">
        <v>0</v>
      </c>
      <c r="S556" s="7" t="s">
        <v>89</v>
      </c>
      <c r="T556" s="12"/>
      <c r="U556" s="28"/>
      <c r="V556" s="29">
        <v>5.0000000000000001E-3</v>
      </c>
      <c r="W556" s="30" t="b">
        <v>1</v>
      </c>
      <c r="X556" s="28" t="s">
        <v>90</v>
      </c>
    </row>
    <row r="557" spans="1:24" ht="15">
      <c r="A557" s="7">
        <v>542</v>
      </c>
      <c r="B557" s="7">
        <v>484420</v>
      </c>
      <c r="C557" s="7" t="s">
        <v>1580</v>
      </c>
      <c r="D557" s="7" t="s">
        <v>1581</v>
      </c>
      <c r="E557" s="7" t="s">
        <v>58</v>
      </c>
      <c r="F557" s="7" t="s">
        <v>112</v>
      </c>
      <c r="G557" s="11">
        <v>6</v>
      </c>
      <c r="H557" s="11">
        <v>6</v>
      </c>
      <c r="I557" s="7">
        <v>2</v>
      </c>
      <c r="J557" s="7">
        <v>2</v>
      </c>
      <c r="K557" s="7">
        <v>6</v>
      </c>
      <c r="L557" s="7" t="s">
        <v>93</v>
      </c>
      <c r="M557" s="8" t="b">
        <v>0</v>
      </c>
      <c r="N557" s="8" t="b">
        <v>0</v>
      </c>
      <c r="O557" s="7" t="s">
        <v>1551</v>
      </c>
      <c r="P557" s="7" t="s">
        <v>229</v>
      </c>
      <c r="Q557" s="8" t="b">
        <v>0</v>
      </c>
      <c r="R557" s="8" t="b">
        <v>0</v>
      </c>
      <c r="S557" s="7" t="s">
        <v>89</v>
      </c>
      <c r="T557" s="12"/>
      <c r="U557" s="28"/>
      <c r="V557" s="29">
        <v>0.12300000000000001</v>
      </c>
      <c r="W557" s="30" t="b">
        <v>1</v>
      </c>
      <c r="X557" s="28" t="s">
        <v>90</v>
      </c>
    </row>
    <row r="558" spans="1:24" ht="15">
      <c r="A558" s="7">
        <v>543</v>
      </c>
      <c r="B558" s="7">
        <v>547027</v>
      </c>
      <c r="C558" s="7" t="s">
        <v>1582</v>
      </c>
      <c r="D558" s="7" t="s">
        <v>1583</v>
      </c>
      <c r="E558" s="7" t="s">
        <v>58</v>
      </c>
      <c r="F558" s="7" t="s">
        <v>112</v>
      </c>
      <c r="G558" s="11">
        <v>5.5</v>
      </c>
      <c r="H558" s="11">
        <v>5.5</v>
      </c>
      <c r="I558" s="7">
        <v>1</v>
      </c>
      <c r="J558" s="7"/>
      <c r="K558" s="7"/>
      <c r="L558" s="7" t="s">
        <v>93</v>
      </c>
      <c r="M558" s="8" t="b">
        <v>0</v>
      </c>
      <c r="N558" s="8" t="b">
        <v>0</v>
      </c>
      <c r="O558" s="7" t="s">
        <v>1551</v>
      </c>
      <c r="P558" s="7" t="s">
        <v>229</v>
      </c>
      <c r="Q558" s="8" t="b">
        <v>0</v>
      </c>
      <c r="R558" s="8" t="b">
        <v>0</v>
      </c>
      <c r="S558" s="7" t="s">
        <v>89</v>
      </c>
      <c r="T558" s="12"/>
      <c r="U558" s="28"/>
      <c r="V558" s="29">
        <v>1E-3</v>
      </c>
      <c r="W558" s="30" t="b">
        <v>1</v>
      </c>
      <c r="X558" s="28" t="s">
        <v>90</v>
      </c>
    </row>
    <row r="559" spans="1:24" ht="15">
      <c r="A559" s="7">
        <v>544</v>
      </c>
      <c r="B559" s="7">
        <v>84450</v>
      </c>
      <c r="C559" s="7" t="s">
        <v>1584</v>
      </c>
      <c r="D559" s="7" t="s">
        <v>1585</v>
      </c>
      <c r="E559" s="7" t="s">
        <v>58</v>
      </c>
      <c r="F559" s="7" t="s">
        <v>112</v>
      </c>
      <c r="G559" s="11">
        <v>5.5</v>
      </c>
      <c r="H559" s="11">
        <v>5.5</v>
      </c>
      <c r="I559" s="7"/>
      <c r="J559" s="7">
        <v>1</v>
      </c>
      <c r="K559" s="7">
        <v>4</v>
      </c>
      <c r="L559" s="7" t="s">
        <v>1586</v>
      </c>
      <c r="M559" s="8" t="b">
        <v>0</v>
      </c>
      <c r="N559" s="8" t="b">
        <v>0</v>
      </c>
      <c r="O559" s="7" t="s">
        <v>1551</v>
      </c>
      <c r="P559" s="7" t="s">
        <v>229</v>
      </c>
      <c r="Q559" s="8" t="b">
        <v>0</v>
      </c>
      <c r="R559" s="8" t="b">
        <v>0</v>
      </c>
      <c r="S559" s="7" t="s">
        <v>89</v>
      </c>
      <c r="T559" s="12"/>
      <c r="U559" s="28"/>
      <c r="V559" s="29">
        <v>0.06</v>
      </c>
      <c r="W559" s="30" t="b">
        <v>1</v>
      </c>
      <c r="X559" s="28" t="s">
        <v>90</v>
      </c>
    </row>
    <row r="560" spans="1:24" ht="15">
      <c r="A560" s="7">
        <v>545</v>
      </c>
      <c r="B560" s="7">
        <v>577669</v>
      </c>
      <c r="C560" s="7" t="s">
        <v>1587</v>
      </c>
      <c r="D560" s="7" t="s">
        <v>1588</v>
      </c>
      <c r="E560" s="7" t="s">
        <v>58</v>
      </c>
      <c r="F560" s="7" t="s">
        <v>112</v>
      </c>
      <c r="G560" s="11">
        <v>5</v>
      </c>
      <c r="H560" s="11">
        <v>5</v>
      </c>
      <c r="I560" s="7"/>
      <c r="J560" s="7"/>
      <c r="K560" s="7"/>
      <c r="L560" s="7" t="s">
        <v>953</v>
      </c>
      <c r="M560" s="8" t="b">
        <v>0</v>
      </c>
      <c r="N560" s="8" t="b">
        <v>0</v>
      </c>
      <c r="O560" s="7" t="s">
        <v>1551</v>
      </c>
      <c r="P560" s="7" t="s">
        <v>229</v>
      </c>
      <c r="Q560" s="8" t="b">
        <v>0</v>
      </c>
      <c r="R560" s="8" t="b">
        <v>0</v>
      </c>
      <c r="S560" s="7" t="s">
        <v>89</v>
      </c>
      <c r="T560" s="12"/>
      <c r="U560" s="28"/>
      <c r="V560" s="29">
        <v>4.0000000000000001E-3</v>
      </c>
      <c r="W560" s="30" t="b">
        <v>1</v>
      </c>
      <c r="X560" s="28" t="s">
        <v>90</v>
      </c>
    </row>
    <row r="561" spans="1:24" ht="15">
      <c r="A561" s="7">
        <v>546</v>
      </c>
      <c r="B561" s="7">
        <v>535818</v>
      </c>
      <c r="C561" s="7" t="s">
        <v>1589</v>
      </c>
      <c r="D561" s="7" t="s">
        <v>1590</v>
      </c>
      <c r="E561" s="7" t="s">
        <v>58</v>
      </c>
      <c r="F561" s="7" t="s">
        <v>112</v>
      </c>
      <c r="G561" s="11">
        <v>5</v>
      </c>
      <c r="H561" s="11">
        <v>5</v>
      </c>
      <c r="I561" s="7"/>
      <c r="J561" s="7"/>
      <c r="K561" s="7"/>
      <c r="L561" s="7" t="s">
        <v>155</v>
      </c>
      <c r="M561" s="8" t="b">
        <v>0</v>
      </c>
      <c r="N561" s="8" t="b">
        <v>0</v>
      </c>
      <c r="O561" s="7" t="s">
        <v>1551</v>
      </c>
      <c r="P561" s="7" t="s">
        <v>229</v>
      </c>
      <c r="Q561" s="8" t="b">
        <v>0</v>
      </c>
      <c r="R561" s="8" t="b">
        <v>0</v>
      </c>
      <c r="S561" s="7" t="s">
        <v>89</v>
      </c>
      <c r="T561" s="12"/>
      <c r="U561" s="28"/>
      <c r="V561" s="29">
        <v>3.0000000000000001E-3</v>
      </c>
      <c r="W561" s="30" t="b">
        <v>1</v>
      </c>
      <c r="X561" s="28" t="s">
        <v>90</v>
      </c>
    </row>
    <row r="562" spans="1:24" ht="15">
      <c r="A562" s="7">
        <v>547</v>
      </c>
      <c r="B562" s="7">
        <v>461199</v>
      </c>
      <c r="C562" s="7" t="s">
        <v>1591</v>
      </c>
      <c r="D562" s="7" t="s">
        <v>1592</v>
      </c>
      <c r="E562" s="7" t="s">
        <v>58</v>
      </c>
      <c r="F562" s="7" t="s">
        <v>112</v>
      </c>
      <c r="G562" s="11">
        <v>5</v>
      </c>
      <c r="H562" s="11">
        <v>5</v>
      </c>
      <c r="I562" s="7"/>
      <c r="J562" s="7"/>
      <c r="K562" s="7"/>
      <c r="L562" s="7" t="s">
        <v>646</v>
      </c>
      <c r="M562" s="8" t="b">
        <v>0</v>
      </c>
      <c r="N562" s="8" t="b">
        <v>0</v>
      </c>
      <c r="O562" s="7" t="s">
        <v>1551</v>
      </c>
      <c r="P562" s="7" t="s">
        <v>229</v>
      </c>
      <c r="Q562" s="8" t="b">
        <v>0</v>
      </c>
      <c r="R562" s="8" t="b">
        <v>0</v>
      </c>
      <c r="S562" s="7" t="s">
        <v>89</v>
      </c>
      <c r="T562" s="12"/>
      <c r="U562" s="28"/>
      <c r="V562" s="29">
        <v>0</v>
      </c>
      <c r="W562" s="30" t="b">
        <v>1</v>
      </c>
      <c r="X562" s="28" t="s">
        <v>90</v>
      </c>
    </row>
    <row r="563" spans="1:24" ht="15">
      <c r="A563" s="7">
        <v>548</v>
      </c>
      <c r="B563" s="7">
        <v>554197</v>
      </c>
      <c r="C563" s="7" t="s">
        <v>1593</v>
      </c>
      <c r="D563" s="7" t="s">
        <v>1594</v>
      </c>
      <c r="E563" s="7" t="s">
        <v>58</v>
      </c>
      <c r="F563" s="7" t="s">
        <v>112</v>
      </c>
      <c r="G563" s="11">
        <v>5</v>
      </c>
      <c r="H563" s="11">
        <v>5</v>
      </c>
      <c r="I563" s="7"/>
      <c r="J563" s="7"/>
      <c r="K563" s="7"/>
      <c r="L563" s="7" t="s">
        <v>1595</v>
      </c>
      <c r="M563" s="8" t="b">
        <v>0</v>
      </c>
      <c r="N563" s="8" t="b">
        <v>0</v>
      </c>
      <c r="O563" s="7" t="s">
        <v>1551</v>
      </c>
      <c r="P563" s="7" t="s">
        <v>229</v>
      </c>
      <c r="Q563" s="8" t="b">
        <v>0</v>
      </c>
      <c r="R563" s="8" t="b">
        <v>0</v>
      </c>
      <c r="S563" s="7" t="s">
        <v>89</v>
      </c>
      <c r="T563" s="12"/>
      <c r="U563" s="28"/>
      <c r="V563" s="29">
        <v>1E-3</v>
      </c>
      <c r="W563" s="30" t="b">
        <v>1</v>
      </c>
      <c r="X563" s="28" t="s">
        <v>90</v>
      </c>
    </row>
    <row r="564" spans="1:24" ht="15">
      <c r="A564" s="7">
        <v>549</v>
      </c>
      <c r="B564" s="7">
        <v>549912</v>
      </c>
      <c r="C564" s="7" t="s">
        <v>1596</v>
      </c>
      <c r="D564" s="7" t="s">
        <v>1597</v>
      </c>
      <c r="E564" s="7" t="s">
        <v>58</v>
      </c>
      <c r="F564" s="7" t="s">
        <v>112</v>
      </c>
      <c r="G564" s="11">
        <v>5.5</v>
      </c>
      <c r="H564" s="11">
        <v>5.5</v>
      </c>
      <c r="I564" s="7"/>
      <c r="J564" s="7"/>
      <c r="K564" s="7"/>
      <c r="L564" s="7" t="s">
        <v>813</v>
      </c>
      <c r="M564" s="8" t="b">
        <v>0</v>
      </c>
      <c r="N564" s="8" t="b">
        <v>0</v>
      </c>
      <c r="O564" s="7" t="s">
        <v>1551</v>
      </c>
      <c r="P564" s="7" t="s">
        <v>229</v>
      </c>
      <c r="Q564" s="8" t="b">
        <v>0</v>
      </c>
      <c r="R564" s="8" t="b">
        <v>0</v>
      </c>
      <c r="S564" s="7" t="s">
        <v>89</v>
      </c>
      <c r="T564" s="12"/>
      <c r="U564" s="28"/>
      <c r="V564" s="29">
        <v>2E-3</v>
      </c>
      <c r="W564" s="30" t="b">
        <v>1</v>
      </c>
      <c r="X564" s="28" t="s">
        <v>90</v>
      </c>
    </row>
    <row r="565" spans="1:24" ht="15">
      <c r="A565" s="7">
        <v>550</v>
      </c>
      <c r="B565" s="7">
        <v>699989</v>
      </c>
      <c r="C565" s="7" t="s">
        <v>1598</v>
      </c>
      <c r="D565" s="7" t="s">
        <v>1599</v>
      </c>
      <c r="E565" s="7" t="s">
        <v>58</v>
      </c>
      <c r="F565" s="7" t="s">
        <v>112</v>
      </c>
      <c r="G565" s="11">
        <v>5</v>
      </c>
      <c r="H565" s="11">
        <v>5</v>
      </c>
      <c r="I565" s="7"/>
      <c r="J565" s="7"/>
      <c r="K565" s="7"/>
      <c r="L565" s="7" t="s">
        <v>1600</v>
      </c>
      <c r="M565" s="8" t="b">
        <v>0</v>
      </c>
      <c r="N565" s="8" t="b">
        <v>0</v>
      </c>
      <c r="O565" s="7" t="s">
        <v>1551</v>
      </c>
      <c r="P565" s="7" t="s">
        <v>229</v>
      </c>
      <c r="Q565" s="8" t="b">
        <v>0</v>
      </c>
      <c r="R565" s="8" t="b">
        <v>0</v>
      </c>
      <c r="S565" s="7" t="s">
        <v>89</v>
      </c>
      <c r="T565" s="12"/>
      <c r="U565" s="28"/>
      <c r="V565" s="29">
        <v>0</v>
      </c>
      <c r="W565" s="30" t="b">
        <v>1</v>
      </c>
      <c r="X565" s="28" t="s">
        <v>90</v>
      </c>
    </row>
    <row r="566" spans="1:24" ht="15">
      <c r="A566" s="7">
        <v>551</v>
      </c>
      <c r="B566" s="7">
        <v>536661</v>
      </c>
      <c r="C566" s="7" t="s">
        <v>1601</v>
      </c>
      <c r="D566" s="7" t="s">
        <v>1602</v>
      </c>
      <c r="E566" s="7" t="s">
        <v>58</v>
      </c>
      <c r="F566" s="7" t="s">
        <v>112</v>
      </c>
      <c r="G566" s="11">
        <v>5</v>
      </c>
      <c r="H566" s="11">
        <v>5</v>
      </c>
      <c r="I566" s="7"/>
      <c r="J566" s="7"/>
      <c r="K566" s="7"/>
      <c r="L566" s="7" t="s">
        <v>736</v>
      </c>
      <c r="M566" s="8" t="b">
        <v>0</v>
      </c>
      <c r="N566" s="8" t="b">
        <v>0</v>
      </c>
      <c r="O566" s="7" t="s">
        <v>1551</v>
      </c>
      <c r="P566" s="7" t="s">
        <v>229</v>
      </c>
      <c r="Q566" s="8" t="b">
        <v>0</v>
      </c>
      <c r="R566" s="8" t="b">
        <v>0</v>
      </c>
      <c r="S566" s="7" t="s">
        <v>89</v>
      </c>
      <c r="T566" s="12"/>
      <c r="U566" s="28"/>
      <c r="V566" s="29">
        <v>1E-3</v>
      </c>
      <c r="W566" s="30" t="b">
        <v>1</v>
      </c>
      <c r="X566" s="28" t="s">
        <v>90</v>
      </c>
    </row>
    <row r="567" spans="1:24" ht="15">
      <c r="A567" s="7">
        <v>552</v>
      </c>
      <c r="B567" s="7">
        <v>441264</v>
      </c>
      <c r="C567" s="7" t="s">
        <v>1603</v>
      </c>
      <c r="D567" s="7" t="s">
        <v>1604</v>
      </c>
      <c r="E567" s="7" t="s">
        <v>58</v>
      </c>
      <c r="F567" s="7" t="s">
        <v>167</v>
      </c>
      <c r="G567" s="11">
        <v>6</v>
      </c>
      <c r="H567" s="11">
        <v>6</v>
      </c>
      <c r="I567" s="7"/>
      <c r="J567" s="7"/>
      <c r="K567" s="7"/>
      <c r="L567" s="7" t="s">
        <v>209</v>
      </c>
      <c r="M567" s="8" t="b">
        <v>0</v>
      </c>
      <c r="N567" s="8" t="b">
        <v>0</v>
      </c>
      <c r="O567" s="7" t="s">
        <v>1551</v>
      </c>
      <c r="P567" s="7" t="s">
        <v>229</v>
      </c>
      <c r="Q567" s="8" t="b">
        <v>0</v>
      </c>
      <c r="R567" s="8" t="b">
        <v>0</v>
      </c>
      <c r="S567" s="7" t="s">
        <v>89</v>
      </c>
      <c r="T567" s="12"/>
      <c r="U567" s="28"/>
      <c r="V567" s="29">
        <v>0.20800000000000002</v>
      </c>
      <c r="W567" s="30" t="b">
        <v>1</v>
      </c>
      <c r="X567" s="28" t="s">
        <v>90</v>
      </c>
    </row>
    <row r="568" spans="1:24" ht="15">
      <c r="A568" s="7">
        <v>553</v>
      </c>
      <c r="B568" s="7">
        <v>437505</v>
      </c>
      <c r="C568" s="7" t="s">
        <v>1605</v>
      </c>
      <c r="D568" s="7" t="s">
        <v>1606</v>
      </c>
      <c r="E568" s="7" t="s">
        <v>58</v>
      </c>
      <c r="F568" s="7" t="s">
        <v>167</v>
      </c>
      <c r="G568" s="11">
        <v>5.5</v>
      </c>
      <c r="H568" s="11">
        <v>5.5</v>
      </c>
      <c r="I568" s="7"/>
      <c r="J568" s="7"/>
      <c r="K568" s="7"/>
      <c r="L568" s="7" t="s">
        <v>1277</v>
      </c>
      <c r="M568" s="8" t="b">
        <v>0</v>
      </c>
      <c r="N568" s="8" t="b">
        <v>0</v>
      </c>
      <c r="O568" s="7" t="s">
        <v>1551</v>
      </c>
      <c r="P568" s="7" t="s">
        <v>229</v>
      </c>
      <c r="Q568" s="8" t="b">
        <v>0</v>
      </c>
      <c r="R568" s="8" t="b">
        <v>0</v>
      </c>
      <c r="S568" s="7" t="s">
        <v>89</v>
      </c>
      <c r="T568" s="12"/>
      <c r="U568" s="28"/>
      <c r="V568" s="29">
        <v>1.2E-2</v>
      </c>
      <c r="W568" s="30" t="b">
        <v>1</v>
      </c>
      <c r="X568" s="28" t="s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568"/>
  <sheetViews>
    <sheetView workbookViewId="0"/>
  </sheetViews>
  <sheetFormatPr baseColWidth="10" defaultColWidth="8.83203125" defaultRowHeight="14"/>
  <cols>
    <col min="1" max="1" width="9" customWidth="1"/>
    <col min="2" max="2" width="17" customWidth="1"/>
    <col min="3" max="3" width="18" customWidth="1"/>
    <col min="4" max="4" width="9" customWidth="1"/>
    <col min="5" max="6" width="18" customWidth="1"/>
    <col min="7" max="7" width="11" customWidth="1"/>
    <col min="8" max="15" width="12" customWidth="1"/>
    <col min="16" max="22" width="13" customWidth="1"/>
    <col min="23" max="26" width="14" customWidth="1"/>
    <col min="27" max="28" width="15" customWidth="1"/>
    <col min="29" max="30" width="16" customWidth="1"/>
    <col min="31" max="31" width="12" customWidth="1"/>
    <col min="32" max="32" width="20" customWidth="1"/>
    <col min="33" max="35" width="11" customWidth="1"/>
    <col min="36" max="36" width="14" customWidth="1"/>
    <col min="37" max="37" width="27" customWidth="1"/>
    <col min="38" max="38" width="34" customWidth="1"/>
    <col min="39" max="39" width="28" customWidth="1"/>
    <col min="40" max="41" width="14" customWidth="1"/>
    <col min="42" max="42" width="18" customWidth="1"/>
    <col min="43" max="43" width="42" customWidth="1"/>
  </cols>
  <sheetData>
    <row r="1" spans="1:43" ht="15">
      <c r="A1" s="3" t="s">
        <v>60</v>
      </c>
      <c r="B1" s="3" t="s">
        <v>62</v>
      </c>
      <c r="C1" s="3" t="s">
        <v>33</v>
      </c>
      <c r="D1" s="3" t="s">
        <v>64</v>
      </c>
      <c r="E1" s="3" t="s">
        <v>1607</v>
      </c>
      <c r="F1" s="3" t="s">
        <v>1608</v>
      </c>
      <c r="G1" s="3" t="s">
        <v>1609</v>
      </c>
      <c r="H1" s="3" t="s">
        <v>1610</v>
      </c>
      <c r="I1" s="3" t="s">
        <v>1611</v>
      </c>
      <c r="J1" s="3" t="s">
        <v>1612</v>
      </c>
      <c r="K1" s="3" t="s">
        <v>1613</v>
      </c>
      <c r="L1" s="3" t="s">
        <v>1614</v>
      </c>
      <c r="M1" s="3" t="s">
        <v>1615</v>
      </c>
      <c r="N1" s="3" t="s">
        <v>1616</v>
      </c>
      <c r="O1" s="3" t="s">
        <v>1617</v>
      </c>
      <c r="P1" s="3" t="s">
        <v>1618</v>
      </c>
      <c r="Q1" s="3" t="s">
        <v>1619</v>
      </c>
      <c r="R1" s="3" t="s">
        <v>1620</v>
      </c>
      <c r="S1" s="3" t="s">
        <v>1621</v>
      </c>
      <c r="T1" s="3" t="s">
        <v>75</v>
      </c>
      <c r="U1" s="3" t="s">
        <v>1622</v>
      </c>
      <c r="V1" s="3" t="s">
        <v>1623</v>
      </c>
      <c r="W1" s="3" t="s">
        <v>1624</v>
      </c>
      <c r="X1" s="3" t="s">
        <v>1625</v>
      </c>
      <c r="Y1" s="3" t="s">
        <v>1626</v>
      </c>
      <c r="Z1" s="3" t="s">
        <v>1627</v>
      </c>
      <c r="AA1" s="3" t="s">
        <v>1628</v>
      </c>
      <c r="AB1" s="3" t="s">
        <v>1629</v>
      </c>
      <c r="AC1" s="3" t="s">
        <v>1630</v>
      </c>
      <c r="AD1" s="3" t="s">
        <v>1631</v>
      </c>
      <c r="AE1" s="3" t="s">
        <v>1632</v>
      </c>
      <c r="AF1" s="3" t="s">
        <v>1633</v>
      </c>
      <c r="AG1" s="3" t="s">
        <v>67</v>
      </c>
      <c r="AH1" s="3" t="s">
        <v>68</v>
      </c>
      <c r="AI1" s="3" t="s">
        <v>69</v>
      </c>
      <c r="AJ1" s="3" t="s">
        <v>1634</v>
      </c>
      <c r="AK1" s="3" t="s">
        <v>1635</v>
      </c>
      <c r="AL1" s="3" t="s">
        <v>1636</v>
      </c>
      <c r="AM1" s="3" t="s">
        <v>1637</v>
      </c>
      <c r="AN1" s="35" t="s">
        <v>1638</v>
      </c>
      <c r="AO1" s="35" t="s">
        <v>1639</v>
      </c>
      <c r="AP1" s="35" t="s">
        <v>1640</v>
      </c>
      <c r="AQ1" s="35" t="s">
        <v>1641</v>
      </c>
    </row>
    <row r="2" spans="1:43" ht="30">
      <c r="A2" s="7">
        <v>1</v>
      </c>
      <c r="B2" s="7" t="s">
        <v>83</v>
      </c>
      <c r="C2" s="7" t="s">
        <v>39</v>
      </c>
      <c r="D2" s="7" t="s">
        <v>85</v>
      </c>
      <c r="E2" s="7" t="s">
        <v>1642</v>
      </c>
      <c r="F2" s="7" t="s">
        <v>39</v>
      </c>
      <c r="G2" s="14">
        <v>3330</v>
      </c>
      <c r="H2" s="15">
        <v>0</v>
      </c>
      <c r="I2" s="15">
        <v>7.0000000000000007E-2</v>
      </c>
      <c r="J2" s="15">
        <v>0</v>
      </c>
      <c r="K2" s="15">
        <v>1.8918918918918921E-3</v>
      </c>
      <c r="L2" s="15">
        <v>65.599999999999994</v>
      </c>
      <c r="M2" s="15">
        <v>1.726315789473684</v>
      </c>
      <c r="N2" s="16">
        <v>0</v>
      </c>
      <c r="O2" s="16">
        <v>1.0959129861568889E-3</v>
      </c>
      <c r="P2" s="17">
        <f>IFERROR(G2/(G2+Priors!$H$3),0)</f>
        <v>0.76905311778290997</v>
      </c>
      <c r="Q2" s="18">
        <f>IF(E2="Premier League",Priors!$H$4,IF(E2="Championship",Priors!$H$5,Priors!$H$8))</f>
        <v>1</v>
      </c>
      <c r="R2" s="19" t="b">
        <v>0</v>
      </c>
      <c r="S2" s="18">
        <f>IF(R2=TRUE,Priors!$H$6,1)</f>
        <v>1</v>
      </c>
      <c r="T2" s="19" t="b">
        <v>0</v>
      </c>
      <c r="U2" s="18">
        <f>IF(T2=TRUE,Priors!$H$7,1)</f>
        <v>1</v>
      </c>
      <c r="V2" s="18">
        <f t="shared" ref="V2:V65" si="0">P2*Q2*S2*U2</f>
        <v>0.76905311778290997</v>
      </c>
      <c r="W2" s="20">
        <f>VLOOKUP(D2,Priors!$A$3:$C$6,2,FALSE)</f>
        <v>1.6719534964712218E-4</v>
      </c>
      <c r="X2" s="20">
        <f>VLOOKUP(D2,Priors!$A$3:$C$6,3,FALSE)</f>
        <v>1.379361634588758E-3</v>
      </c>
      <c r="Y2" s="20">
        <f t="shared" ref="Y2:Y65" si="1">IF(N2="",W2,V2*N2+(1-V2)*W2)</f>
        <v>3.8613244722199114E-5</v>
      </c>
      <c r="Z2" s="20">
        <f t="shared" ref="Z2:Z65" si="2">IF(O2="",X2,V2*O2+(1-V2)*X2)</f>
        <v>1.1613745677808772E-3</v>
      </c>
      <c r="AA2" s="21">
        <v>1</v>
      </c>
      <c r="AB2" s="21">
        <v>1</v>
      </c>
      <c r="AC2" s="22">
        <f t="shared" ref="AC2:AC65" si="3">Y2*AA2</f>
        <v>3.8613244722199114E-5</v>
      </c>
      <c r="AD2" s="22">
        <f t="shared" ref="AD2:AD65" si="4">Z2*AB2</f>
        <v>1.1613745677808772E-3</v>
      </c>
      <c r="AE2" s="22">
        <f t="shared" ref="AE2:AE65" si="5">1-V2</f>
        <v>0.23094688221709003</v>
      </c>
      <c r="AF2" s="7" t="s">
        <v>1643</v>
      </c>
      <c r="AG2" s="7"/>
      <c r="AH2" s="7"/>
      <c r="AI2" s="7"/>
      <c r="AJ2" s="8" t="b">
        <v>0</v>
      </c>
      <c r="AK2" s="28" t="s">
        <v>1644</v>
      </c>
      <c r="AL2" s="28" t="s">
        <v>1645</v>
      </c>
      <c r="AM2" s="28"/>
      <c r="AN2" s="7"/>
      <c r="AO2" s="7">
        <v>0</v>
      </c>
      <c r="AP2" s="8" t="b">
        <v>0</v>
      </c>
      <c r="AQ2" s="28" t="s">
        <v>1646</v>
      </c>
    </row>
    <row r="3" spans="1:43" ht="30">
      <c r="A3" s="7">
        <v>2</v>
      </c>
      <c r="B3" s="7" t="s">
        <v>91</v>
      </c>
      <c r="C3" s="7" t="s">
        <v>39</v>
      </c>
      <c r="D3" s="7" t="s">
        <v>85</v>
      </c>
      <c r="E3" s="7" t="s">
        <v>1642</v>
      </c>
      <c r="F3" s="7" t="s">
        <v>39</v>
      </c>
      <c r="G3" s="14">
        <v>90</v>
      </c>
      <c r="H3" s="15">
        <v>0</v>
      </c>
      <c r="I3" s="15">
        <v>0</v>
      </c>
      <c r="J3" s="15">
        <v>0</v>
      </c>
      <c r="K3" s="15">
        <v>0</v>
      </c>
      <c r="L3" s="15">
        <v>65.599999999999994</v>
      </c>
      <c r="M3" s="15">
        <v>1.726315789473684</v>
      </c>
      <c r="N3" s="16">
        <v>0</v>
      </c>
      <c r="O3" s="16">
        <v>0</v>
      </c>
      <c r="P3" s="17">
        <f>IFERROR(G3/(G3+Priors!$H$3),0)</f>
        <v>8.2568807339449546E-2</v>
      </c>
      <c r="Q3" s="18">
        <f>IF(E3="Premier League",Priors!$H$4,IF(E3="Championship",Priors!$H$5,Priors!$H$8))</f>
        <v>1</v>
      </c>
      <c r="R3" s="19" t="b">
        <v>0</v>
      </c>
      <c r="S3" s="18">
        <f>IF(R3=TRUE,Priors!$H$6,1)</f>
        <v>1</v>
      </c>
      <c r="T3" s="19" t="b">
        <v>0</v>
      </c>
      <c r="U3" s="18">
        <f>IF(T3=TRUE,Priors!$H$7,1)</f>
        <v>1</v>
      </c>
      <c r="V3" s="18">
        <f t="shared" si="0"/>
        <v>8.2568807339449546E-2</v>
      </c>
      <c r="W3" s="20">
        <f>VLOOKUP(D3,Priors!$A$3:$C$6,2,FALSE)</f>
        <v>1.6719534964712218E-4</v>
      </c>
      <c r="X3" s="20">
        <f>VLOOKUP(D3,Priors!$A$3:$C$6,3,FALSE)</f>
        <v>1.379361634588758E-3</v>
      </c>
      <c r="Y3" s="20">
        <f t="shared" si="1"/>
        <v>1.5339022903405707E-4</v>
      </c>
      <c r="Z3" s="20">
        <f t="shared" si="2"/>
        <v>1.2654693895309708E-3</v>
      </c>
      <c r="AA3" s="21">
        <v>1</v>
      </c>
      <c r="AB3" s="21">
        <v>1</v>
      </c>
      <c r="AC3" s="22">
        <f t="shared" si="3"/>
        <v>1.5339022903405707E-4</v>
      </c>
      <c r="AD3" s="22">
        <f t="shared" si="4"/>
        <v>1.2654693895309708E-3</v>
      </c>
      <c r="AE3" s="22">
        <f t="shared" si="5"/>
        <v>0.91743119266055051</v>
      </c>
      <c r="AF3" s="7" t="s">
        <v>1643</v>
      </c>
      <c r="AG3" s="7"/>
      <c r="AH3" s="7"/>
      <c r="AI3" s="7"/>
      <c r="AJ3" s="8" t="b">
        <v>1</v>
      </c>
      <c r="AK3" s="28" t="s">
        <v>1644</v>
      </c>
      <c r="AL3" s="28" t="s">
        <v>1645</v>
      </c>
      <c r="AM3" s="28"/>
      <c r="AN3" s="7"/>
      <c r="AO3" s="7">
        <v>0</v>
      </c>
      <c r="AP3" s="8" t="b">
        <v>0</v>
      </c>
      <c r="AQ3" s="28" t="s">
        <v>1646</v>
      </c>
    </row>
    <row r="4" spans="1:43" ht="15">
      <c r="A4" s="7">
        <v>3</v>
      </c>
      <c r="B4" s="7" t="s">
        <v>94</v>
      </c>
      <c r="C4" s="7" t="s">
        <v>39</v>
      </c>
      <c r="D4" s="7" t="s">
        <v>85</v>
      </c>
      <c r="E4" s="7" t="s">
        <v>1647</v>
      </c>
      <c r="F4" s="7"/>
      <c r="G4" s="14"/>
      <c r="H4" s="15"/>
      <c r="I4" s="15"/>
      <c r="J4" s="15"/>
      <c r="K4" s="15"/>
      <c r="L4" s="15"/>
      <c r="M4" s="15"/>
      <c r="N4" s="16"/>
      <c r="O4" s="16"/>
      <c r="P4" s="17">
        <f>IFERROR(G4/(G4+Priors!$H$3),0)</f>
        <v>0</v>
      </c>
      <c r="Q4" s="18">
        <f>IF(E4="Premier League",Priors!$H$4,IF(E4="Championship",Priors!$H$5,Priors!$H$8))</f>
        <v>0</v>
      </c>
      <c r="R4" s="19" t="b">
        <v>0</v>
      </c>
      <c r="S4" s="18">
        <f>IF(R4=TRUE,Priors!$H$6,1)</f>
        <v>1</v>
      </c>
      <c r="T4" s="19" t="b">
        <v>0</v>
      </c>
      <c r="U4" s="18">
        <f>IF(T4=TRUE,Priors!$H$7,1)</f>
        <v>1</v>
      </c>
      <c r="V4" s="18">
        <f t="shared" si="0"/>
        <v>0</v>
      </c>
      <c r="W4" s="20">
        <f>VLOOKUP(D4,Priors!$A$3:$C$6,2,FALSE)</f>
        <v>1.6719534964712218E-4</v>
      </c>
      <c r="X4" s="20">
        <f>VLOOKUP(D4,Priors!$A$3:$C$6,3,FALSE)</f>
        <v>1.379361634588758E-3</v>
      </c>
      <c r="Y4" s="20">
        <f t="shared" si="1"/>
        <v>1.6719534964712218E-4</v>
      </c>
      <c r="Z4" s="20">
        <f t="shared" si="2"/>
        <v>1.379361634588758E-3</v>
      </c>
      <c r="AA4" s="21">
        <v>1</v>
      </c>
      <c r="AB4" s="21">
        <v>1</v>
      </c>
      <c r="AC4" s="22">
        <f t="shared" si="3"/>
        <v>1.6719534964712218E-4</v>
      </c>
      <c r="AD4" s="22">
        <f t="shared" si="4"/>
        <v>1.379361634588758E-3</v>
      </c>
      <c r="AE4" s="22">
        <f t="shared" si="5"/>
        <v>1</v>
      </c>
      <c r="AF4" s="7" t="s">
        <v>1647</v>
      </c>
      <c r="AG4" s="7"/>
      <c r="AH4" s="7"/>
      <c r="AI4" s="7"/>
      <c r="AJ4" s="8" t="b">
        <v>1</v>
      </c>
      <c r="AK4" s="28" t="s">
        <v>1648</v>
      </c>
      <c r="AL4" s="28"/>
      <c r="AM4" s="28"/>
      <c r="AN4" s="7"/>
      <c r="AO4" s="7">
        <v>0</v>
      </c>
      <c r="AP4" s="8" t="b">
        <v>0</v>
      </c>
      <c r="AQ4" s="28" t="s">
        <v>1646</v>
      </c>
    </row>
    <row r="5" spans="1:43" ht="30">
      <c r="A5" s="7">
        <v>4</v>
      </c>
      <c r="B5" s="7" t="s">
        <v>97</v>
      </c>
      <c r="C5" s="7" t="s">
        <v>39</v>
      </c>
      <c r="D5" s="7" t="s">
        <v>99</v>
      </c>
      <c r="E5" s="7" t="s">
        <v>1642</v>
      </c>
      <c r="F5" s="7" t="s">
        <v>39</v>
      </c>
      <c r="G5" s="14">
        <v>2750</v>
      </c>
      <c r="H5" s="15">
        <v>2.94</v>
      </c>
      <c r="I5" s="15">
        <v>1.75</v>
      </c>
      <c r="J5" s="15">
        <v>9.6218181818181828E-2</v>
      </c>
      <c r="K5" s="15">
        <v>5.7272727272727274E-2</v>
      </c>
      <c r="L5" s="15">
        <v>65.599999999999994</v>
      </c>
      <c r="M5" s="15">
        <v>1.726315789473684</v>
      </c>
      <c r="N5" s="16">
        <v>5.5736141906873628E-2</v>
      </c>
      <c r="O5" s="16">
        <v>3.3176274944567631E-2</v>
      </c>
      <c r="P5" s="17">
        <f>IFERROR(G5/(G5+Priors!$H$3),0)</f>
        <v>0.73333333333333328</v>
      </c>
      <c r="Q5" s="18">
        <f>IF(E5="Premier League",Priors!$H$4,IF(E5="Championship",Priors!$H$5,Priors!$H$8))</f>
        <v>1</v>
      </c>
      <c r="R5" s="19" t="b">
        <v>0</v>
      </c>
      <c r="S5" s="18">
        <f>IF(R5=TRUE,Priors!$H$6,1)</f>
        <v>1</v>
      </c>
      <c r="T5" s="19" t="b">
        <v>0</v>
      </c>
      <c r="U5" s="18">
        <f>IF(T5=TRUE,Priors!$H$7,1)</f>
        <v>1</v>
      </c>
      <c r="V5" s="18">
        <f t="shared" si="0"/>
        <v>0.73333333333333328</v>
      </c>
      <c r="W5" s="20">
        <f>VLOOKUP(D5,Priors!$A$3:$C$6,2,FALSE)</f>
        <v>4.1142361271531161E-2</v>
      </c>
      <c r="X5" s="20">
        <f>VLOOKUP(D5,Priors!$A$3:$C$6,3,FALSE)</f>
        <v>4.0513079897554365E-2</v>
      </c>
      <c r="Y5" s="20">
        <f t="shared" si="1"/>
        <v>5.1844467070782302E-2</v>
      </c>
      <c r="Z5" s="20">
        <f t="shared" si="2"/>
        <v>3.5132756265364093E-2</v>
      </c>
      <c r="AA5" s="21">
        <v>1</v>
      </c>
      <c r="AB5" s="21">
        <v>1</v>
      </c>
      <c r="AC5" s="22">
        <f t="shared" si="3"/>
        <v>5.1844467070782302E-2</v>
      </c>
      <c r="AD5" s="22">
        <f t="shared" si="4"/>
        <v>3.5132756265364093E-2</v>
      </c>
      <c r="AE5" s="22">
        <f t="shared" si="5"/>
        <v>0.26666666666666672</v>
      </c>
      <c r="AF5" s="7" t="s">
        <v>1643</v>
      </c>
      <c r="AG5" s="7"/>
      <c r="AH5" s="7"/>
      <c r="AI5" s="7"/>
      <c r="AJ5" s="8" t="b">
        <v>0</v>
      </c>
      <c r="AK5" s="28" t="s">
        <v>1644</v>
      </c>
      <c r="AL5" s="28" t="s">
        <v>1645</v>
      </c>
      <c r="AM5" s="28"/>
      <c r="AN5" s="7"/>
      <c r="AO5" s="7">
        <v>0</v>
      </c>
      <c r="AP5" s="8" t="b">
        <v>0</v>
      </c>
      <c r="AQ5" s="28" t="s">
        <v>1646</v>
      </c>
    </row>
    <row r="6" spans="1:43" ht="30">
      <c r="A6" s="7">
        <v>5</v>
      </c>
      <c r="B6" s="7" t="s">
        <v>101</v>
      </c>
      <c r="C6" s="7" t="s">
        <v>39</v>
      </c>
      <c r="D6" s="7" t="s">
        <v>99</v>
      </c>
      <c r="E6" s="7" t="s">
        <v>1642</v>
      </c>
      <c r="F6" s="7" t="s">
        <v>39</v>
      </c>
      <c r="G6" s="14">
        <v>2452</v>
      </c>
      <c r="H6" s="15">
        <v>4.71</v>
      </c>
      <c r="I6" s="15">
        <v>1.53</v>
      </c>
      <c r="J6" s="15">
        <v>0.17287928221859705</v>
      </c>
      <c r="K6" s="15">
        <v>5.6158238172920059E-2</v>
      </c>
      <c r="L6" s="15">
        <v>65.599999999999994</v>
      </c>
      <c r="M6" s="15">
        <v>1.726315789473684</v>
      </c>
      <c r="N6" s="16">
        <v>0.10014348665101659</v>
      </c>
      <c r="O6" s="16">
        <v>3.2530686746508573E-2</v>
      </c>
      <c r="P6" s="17">
        <f>IFERROR(G6/(G6+Priors!$H$3),0)</f>
        <v>0.71031286210892242</v>
      </c>
      <c r="Q6" s="18">
        <f>IF(E6="Premier League",Priors!$H$4,IF(E6="Championship",Priors!$H$5,Priors!$H$8))</f>
        <v>1</v>
      </c>
      <c r="R6" s="19" t="b">
        <v>0</v>
      </c>
      <c r="S6" s="18">
        <f>IF(R6=TRUE,Priors!$H$6,1)</f>
        <v>1</v>
      </c>
      <c r="T6" s="19" t="b">
        <v>0</v>
      </c>
      <c r="U6" s="18">
        <f>IF(T6=TRUE,Priors!$H$7,1)</f>
        <v>1</v>
      </c>
      <c r="V6" s="18">
        <f t="shared" si="0"/>
        <v>0.71031286210892242</v>
      </c>
      <c r="W6" s="20">
        <f>VLOOKUP(D6,Priors!$A$3:$C$6,2,FALSE)</f>
        <v>4.1142361271531161E-2</v>
      </c>
      <c r="X6" s="20">
        <f>VLOOKUP(D6,Priors!$A$3:$C$6,3,FALSE)</f>
        <v>4.0513079897554365E-2</v>
      </c>
      <c r="Y6" s="20">
        <f t="shared" si="1"/>
        <v>8.3051619507480842E-2</v>
      </c>
      <c r="Z6" s="20">
        <f t="shared" si="2"/>
        <v>3.4843083371956365E-2</v>
      </c>
      <c r="AA6" s="21">
        <v>1</v>
      </c>
      <c r="AB6" s="21">
        <v>1</v>
      </c>
      <c r="AC6" s="22">
        <f t="shared" si="3"/>
        <v>8.3051619507480842E-2</v>
      </c>
      <c r="AD6" s="22">
        <f t="shared" si="4"/>
        <v>3.4843083371956365E-2</v>
      </c>
      <c r="AE6" s="22">
        <f t="shared" si="5"/>
        <v>0.28968713789107758</v>
      </c>
      <c r="AF6" s="7" t="s">
        <v>1643</v>
      </c>
      <c r="AG6" s="7"/>
      <c r="AH6" s="7"/>
      <c r="AI6" s="7"/>
      <c r="AJ6" s="8" t="b">
        <v>0</v>
      </c>
      <c r="AK6" s="28" t="s">
        <v>1644</v>
      </c>
      <c r="AL6" s="28" t="s">
        <v>1645</v>
      </c>
      <c r="AM6" s="28"/>
      <c r="AN6" s="7"/>
      <c r="AO6" s="7">
        <v>0</v>
      </c>
      <c r="AP6" s="8" t="b">
        <v>0</v>
      </c>
      <c r="AQ6" s="28" t="s">
        <v>1646</v>
      </c>
    </row>
    <row r="7" spans="1:43" ht="30">
      <c r="A7" s="7">
        <v>6</v>
      </c>
      <c r="B7" s="7" t="s">
        <v>106</v>
      </c>
      <c r="C7" s="7" t="s">
        <v>39</v>
      </c>
      <c r="D7" s="7" t="s">
        <v>99</v>
      </c>
      <c r="E7" s="7" t="s">
        <v>1642</v>
      </c>
      <c r="F7" s="7" t="s">
        <v>39</v>
      </c>
      <c r="G7" s="14">
        <v>2614</v>
      </c>
      <c r="H7" s="15">
        <v>0.88</v>
      </c>
      <c r="I7" s="15">
        <v>1.21</v>
      </c>
      <c r="J7" s="15">
        <v>3.0298393267023719E-2</v>
      </c>
      <c r="K7" s="15">
        <v>4.1660290742157609E-2</v>
      </c>
      <c r="L7" s="15">
        <v>65.599999999999994</v>
      </c>
      <c r="M7" s="15">
        <v>1.726315789473684</v>
      </c>
      <c r="N7" s="16">
        <v>1.7550898538824716E-2</v>
      </c>
      <c r="O7" s="16">
        <v>2.4132485490883985E-2</v>
      </c>
      <c r="P7" s="17">
        <f>IFERROR(G7/(G7+Priors!$H$3),0)</f>
        <v>0.72329828444936362</v>
      </c>
      <c r="Q7" s="18">
        <f>IF(E7="Premier League",Priors!$H$4,IF(E7="Championship",Priors!$H$5,Priors!$H$8))</f>
        <v>1</v>
      </c>
      <c r="R7" s="19" t="b">
        <v>0</v>
      </c>
      <c r="S7" s="18">
        <f>IF(R7=TRUE,Priors!$H$6,1)</f>
        <v>1</v>
      </c>
      <c r="T7" s="19" t="b">
        <v>0</v>
      </c>
      <c r="U7" s="18">
        <f>IF(T7=TRUE,Priors!$H$7,1)</f>
        <v>1</v>
      </c>
      <c r="V7" s="18">
        <f t="shared" si="0"/>
        <v>0.72329828444936362</v>
      </c>
      <c r="W7" s="20">
        <f>VLOOKUP(D7,Priors!$A$3:$C$6,2,FALSE)</f>
        <v>4.1142361271531161E-2</v>
      </c>
      <c r="X7" s="20">
        <f>VLOOKUP(D7,Priors!$A$3:$C$6,3,FALSE)</f>
        <v>4.0513079897554365E-2</v>
      </c>
      <c r="Y7" s="20">
        <f t="shared" si="1"/>
        <v>2.4078696749313493E-2</v>
      </c>
      <c r="Z7" s="20">
        <f t="shared" si="2"/>
        <v>2.8665024064948835E-2</v>
      </c>
      <c r="AA7" s="21">
        <v>1</v>
      </c>
      <c r="AB7" s="21">
        <v>1</v>
      </c>
      <c r="AC7" s="22">
        <f t="shared" si="3"/>
        <v>2.4078696749313493E-2</v>
      </c>
      <c r="AD7" s="22">
        <f t="shared" si="4"/>
        <v>2.8665024064948835E-2</v>
      </c>
      <c r="AE7" s="22">
        <f t="shared" si="5"/>
        <v>0.27670171555063638</v>
      </c>
      <c r="AF7" s="7" t="s">
        <v>1643</v>
      </c>
      <c r="AG7" s="7"/>
      <c r="AH7" s="7"/>
      <c r="AI7" s="7"/>
      <c r="AJ7" s="8" t="b">
        <v>0</v>
      </c>
      <c r="AK7" s="28" t="s">
        <v>1644</v>
      </c>
      <c r="AL7" s="28" t="s">
        <v>1645</v>
      </c>
      <c r="AM7" s="28"/>
      <c r="AN7" s="7"/>
      <c r="AO7" s="7">
        <v>0</v>
      </c>
      <c r="AP7" s="8" t="b">
        <v>0</v>
      </c>
      <c r="AQ7" s="28" t="s">
        <v>1646</v>
      </c>
    </row>
    <row r="8" spans="1:43" ht="30">
      <c r="A8" s="7">
        <v>7</v>
      </c>
      <c r="B8" s="7" t="s">
        <v>110</v>
      </c>
      <c r="C8" s="7" t="s">
        <v>39</v>
      </c>
      <c r="D8" s="7" t="s">
        <v>112</v>
      </c>
      <c r="E8" s="7" t="s">
        <v>1642</v>
      </c>
      <c r="F8" s="7" t="s">
        <v>39</v>
      </c>
      <c r="G8" s="14">
        <v>697</v>
      </c>
      <c r="H8" s="15">
        <v>0.1</v>
      </c>
      <c r="I8" s="15">
        <v>0.2</v>
      </c>
      <c r="J8" s="15">
        <v>1.2912482065997131E-2</v>
      </c>
      <c r="K8" s="15">
        <v>2.5824964131994262E-2</v>
      </c>
      <c r="L8" s="15">
        <v>65.599999999999994</v>
      </c>
      <c r="M8" s="15">
        <v>1.726315789473684</v>
      </c>
      <c r="N8" s="16">
        <v>7.4797914406690702E-3</v>
      </c>
      <c r="O8" s="16">
        <v>1.495958288133814E-2</v>
      </c>
      <c r="P8" s="17">
        <f>IFERROR(G8/(G8+Priors!$H$3),0)</f>
        <v>0.41072480848556275</v>
      </c>
      <c r="Q8" s="18">
        <f>IF(E8="Premier League",Priors!$H$4,IF(E8="Championship",Priors!$H$5,Priors!$H$8))</f>
        <v>1</v>
      </c>
      <c r="R8" s="19" t="b">
        <v>0</v>
      </c>
      <c r="S8" s="18">
        <f>IF(R8=TRUE,Priors!$H$6,1)</f>
        <v>1</v>
      </c>
      <c r="T8" s="19" t="b">
        <v>0</v>
      </c>
      <c r="U8" s="18">
        <f>IF(T8=TRUE,Priors!$H$7,1)</f>
        <v>1</v>
      </c>
      <c r="V8" s="18">
        <f t="shared" si="0"/>
        <v>0.41072480848556275</v>
      </c>
      <c r="W8" s="20">
        <f>VLOOKUP(D8,Priors!$A$3:$C$6,2,FALSE)</f>
        <v>0.10751786102217777</v>
      </c>
      <c r="X8" s="20">
        <f>VLOOKUP(D8,Priors!$A$3:$C$6,3,FALSE)</f>
        <v>9.0240671969462088E-2</v>
      </c>
      <c r="Y8" s="20">
        <f t="shared" si="1"/>
        <v>6.6429744052047199E-2</v>
      </c>
      <c r="Z8" s="20">
        <f t="shared" si="2"/>
        <v>5.9320861071157784E-2</v>
      </c>
      <c r="AA8" s="21">
        <v>1</v>
      </c>
      <c r="AB8" s="21">
        <v>1</v>
      </c>
      <c r="AC8" s="22">
        <f t="shared" si="3"/>
        <v>6.6429744052047199E-2</v>
      </c>
      <c r="AD8" s="22">
        <f t="shared" si="4"/>
        <v>5.9320861071157784E-2</v>
      </c>
      <c r="AE8" s="22">
        <f t="shared" si="5"/>
        <v>0.58927519151443719</v>
      </c>
      <c r="AF8" s="7" t="s">
        <v>1643</v>
      </c>
      <c r="AG8" s="7"/>
      <c r="AH8" s="7"/>
      <c r="AI8" s="7"/>
      <c r="AJ8" s="8" t="b">
        <v>1</v>
      </c>
      <c r="AK8" s="28" t="s">
        <v>1644</v>
      </c>
      <c r="AL8" s="28" t="s">
        <v>1645</v>
      </c>
      <c r="AM8" s="28"/>
      <c r="AN8" s="7"/>
      <c r="AO8" s="7">
        <v>0</v>
      </c>
      <c r="AP8" s="8" t="b">
        <v>0</v>
      </c>
      <c r="AQ8" s="28" t="s">
        <v>1646</v>
      </c>
    </row>
    <row r="9" spans="1:43" ht="30">
      <c r="A9" s="7">
        <v>8</v>
      </c>
      <c r="B9" s="7" t="s">
        <v>114</v>
      </c>
      <c r="C9" s="7" t="s">
        <v>39</v>
      </c>
      <c r="D9" s="7" t="s">
        <v>99</v>
      </c>
      <c r="E9" s="7" t="s">
        <v>1642</v>
      </c>
      <c r="F9" s="7" t="s">
        <v>39</v>
      </c>
      <c r="G9" s="14">
        <v>1697</v>
      </c>
      <c r="H9" s="15">
        <v>3.36</v>
      </c>
      <c r="I9" s="15">
        <v>0.76</v>
      </c>
      <c r="J9" s="15">
        <v>0.1781968179139658</v>
      </c>
      <c r="K9" s="15">
        <v>4.0306423099587513E-2</v>
      </c>
      <c r="L9" s="15">
        <v>65.599999999999994</v>
      </c>
      <c r="M9" s="15">
        <v>1.726315789473684</v>
      </c>
      <c r="N9" s="16">
        <v>0.10322376647455338</v>
      </c>
      <c r="O9" s="16">
        <v>2.3348232893053746E-2</v>
      </c>
      <c r="P9" s="17">
        <f>IFERROR(G9/(G9+Priors!$H$3),0)</f>
        <v>0.6292176492398962</v>
      </c>
      <c r="Q9" s="18">
        <f>IF(E9="Premier League",Priors!$H$4,IF(E9="Championship",Priors!$H$5,Priors!$H$8))</f>
        <v>1</v>
      </c>
      <c r="R9" s="19" t="b">
        <v>0</v>
      </c>
      <c r="S9" s="18">
        <f>IF(R9=TRUE,Priors!$H$6,1)</f>
        <v>1</v>
      </c>
      <c r="T9" s="19" t="b">
        <v>0</v>
      </c>
      <c r="U9" s="18">
        <f>IF(T9=TRUE,Priors!$H$7,1)</f>
        <v>1</v>
      </c>
      <c r="V9" s="18">
        <f t="shared" si="0"/>
        <v>0.6292176492398962</v>
      </c>
      <c r="W9" s="20">
        <f>VLOOKUP(D9,Priors!$A$3:$C$6,2,FALSE)</f>
        <v>4.1142361271531161E-2</v>
      </c>
      <c r="X9" s="20">
        <f>VLOOKUP(D9,Priors!$A$3:$C$6,3,FALSE)</f>
        <v>4.0513079897554365E-2</v>
      </c>
      <c r="Y9" s="20">
        <f t="shared" si="1"/>
        <v>8.0205077114886253E-2</v>
      </c>
      <c r="Z9" s="20">
        <f t="shared" si="2"/>
        <v>2.9712655215820012E-2</v>
      </c>
      <c r="AA9" s="21">
        <v>1</v>
      </c>
      <c r="AB9" s="21">
        <v>1</v>
      </c>
      <c r="AC9" s="22">
        <f t="shared" si="3"/>
        <v>8.0205077114886253E-2</v>
      </c>
      <c r="AD9" s="22">
        <f t="shared" si="4"/>
        <v>2.9712655215820012E-2</v>
      </c>
      <c r="AE9" s="22">
        <f t="shared" si="5"/>
        <v>0.3707823507601038</v>
      </c>
      <c r="AF9" s="7" t="s">
        <v>1643</v>
      </c>
      <c r="AG9" s="7"/>
      <c r="AH9" s="7"/>
      <c r="AI9" s="7"/>
      <c r="AJ9" s="8" t="b">
        <v>0</v>
      </c>
      <c r="AK9" s="28" t="s">
        <v>1644</v>
      </c>
      <c r="AL9" s="28" t="s">
        <v>1645</v>
      </c>
      <c r="AM9" s="28"/>
      <c r="AN9" s="7"/>
      <c r="AO9" s="7">
        <v>0</v>
      </c>
      <c r="AP9" s="8" t="b">
        <v>0</v>
      </c>
      <c r="AQ9" s="28" t="s">
        <v>1646</v>
      </c>
    </row>
    <row r="10" spans="1:43" ht="30">
      <c r="A10" s="7">
        <v>9</v>
      </c>
      <c r="B10" s="7" t="s">
        <v>117</v>
      </c>
      <c r="C10" s="7" t="s">
        <v>39</v>
      </c>
      <c r="D10" s="7" t="s">
        <v>99</v>
      </c>
      <c r="E10" s="7" t="s">
        <v>1642</v>
      </c>
      <c r="F10" s="7" t="s">
        <v>39</v>
      </c>
      <c r="G10" s="14">
        <v>1787</v>
      </c>
      <c r="H10" s="15">
        <v>0.36</v>
      </c>
      <c r="I10" s="15">
        <v>1.67</v>
      </c>
      <c r="J10" s="15">
        <v>1.8130945719082261E-2</v>
      </c>
      <c r="K10" s="15">
        <v>8.4107442641298255E-2</v>
      </c>
      <c r="L10" s="15">
        <v>65.599999999999994</v>
      </c>
      <c r="M10" s="15">
        <v>1.726315789473684</v>
      </c>
      <c r="N10" s="16">
        <v>1.0502681971419604E-2</v>
      </c>
      <c r="O10" s="16">
        <v>4.8720774700752041E-2</v>
      </c>
      <c r="P10" s="17">
        <f>IFERROR(G10/(G10+Priors!$H$3),0)</f>
        <v>0.64119124506637959</v>
      </c>
      <c r="Q10" s="18">
        <f>IF(E10="Premier League",Priors!$H$4,IF(E10="Championship",Priors!$H$5,Priors!$H$8))</f>
        <v>1</v>
      </c>
      <c r="R10" s="19" t="b">
        <v>0</v>
      </c>
      <c r="S10" s="18">
        <f>IF(R10=TRUE,Priors!$H$6,1)</f>
        <v>1</v>
      </c>
      <c r="T10" s="19" t="b">
        <v>0</v>
      </c>
      <c r="U10" s="18">
        <f>IF(T10=TRUE,Priors!$H$7,1)</f>
        <v>1</v>
      </c>
      <c r="V10" s="18">
        <f t="shared" si="0"/>
        <v>0.64119124506637959</v>
      </c>
      <c r="W10" s="20">
        <f>VLOOKUP(D10,Priors!$A$3:$C$6,2,FALSE)</f>
        <v>4.1142361271531161E-2</v>
      </c>
      <c r="X10" s="20">
        <f>VLOOKUP(D10,Priors!$A$3:$C$6,3,FALSE)</f>
        <v>4.0513079897554365E-2</v>
      </c>
      <c r="Y10" s="20">
        <f t="shared" si="1"/>
        <v>2.1496467152658055E-2</v>
      </c>
      <c r="Z10" s="20">
        <f t="shared" si="2"/>
        <v>4.5775781947541533E-2</v>
      </c>
      <c r="AA10" s="21">
        <v>1</v>
      </c>
      <c r="AB10" s="21">
        <v>1</v>
      </c>
      <c r="AC10" s="22">
        <f t="shared" si="3"/>
        <v>2.1496467152658055E-2</v>
      </c>
      <c r="AD10" s="22">
        <f t="shared" si="4"/>
        <v>4.5775781947541533E-2</v>
      </c>
      <c r="AE10" s="22">
        <f t="shared" si="5"/>
        <v>0.35880875493362041</v>
      </c>
      <c r="AF10" s="7" t="s">
        <v>1643</v>
      </c>
      <c r="AG10" s="7"/>
      <c r="AH10" s="7"/>
      <c r="AI10" s="7"/>
      <c r="AJ10" s="8" t="b">
        <v>0</v>
      </c>
      <c r="AK10" s="28" t="s">
        <v>1644</v>
      </c>
      <c r="AL10" s="28" t="s">
        <v>1645</v>
      </c>
      <c r="AM10" s="28"/>
      <c r="AN10" s="7"/>
      <c r="AO10" s="7">
        <v>0</v>
      </c>
      <c r="AP10" s="8" t="b">
        <v>0</v>
      </c>
      <c r="AQ10" s="28" t="s">
        <v>1646</v>
      </c>
    </row>
    <row r="11" spans="1:43" ht="30">
      <c r="A11" s="7">
        <v>10</v>
      </c>
      <c r="B11" s="7" t="s">
        <v>120</v>
      </c>
      <c r="C11" s="7" t="s">
        <v>39</v>
      </c>
      <c r="D11" s="7" t="s">
        <v>99</v>
      </c>
      <c r="E11" s="7" t="s">
        <v>1642</v>
      </c>
      <c r="F11" s="7" t="s">
        <v>39</v>
      </c>
      <c r="G11" s="14">
        <v>699</v>
      </c>
      <c r="H11" s="15">
        <v>0.45</v>
      </c>
      <c r="I11" s="15">
        <v>0.69</v>
      </c>
      <c r="J11" s="15">
        <v>5.7939914163090127E-2</v>
      </c>
      <c r="K11" s="15">
        <v>8.8841201716738191E-2</v>
      </c>
      <c r="L11" s="15">
        <v>65.599999999999994</v>
      </c>
      <c r="M11" s="15">
        <v>1.726315789473684</v>
      </c>
      <c r="N11" s="16">
        <v>3.356275515544855E-2</v>
      </c>
      <c r="O11" s="16">
        <v>5.1462891238354444E-2</v>
      </c>
      <c r="P11" s="17">
        <f>IFERROR(G11/(G11+Priors!$H$3),0)</f>
        <v>0.41141848145968218</v>
      </c>
      <c r="Q11" s="18">
        <f>IF(E11="Premier League",Priors!$H$4,IF(E11="Championship",Priors!$H$5,Priors!$H$8))</f>
        <v>1</v>
      </c>
      <c r="R11" s="19" t="b">
        <v>0</v>
      </c>
      <c r="S11" s="18">
        <f>IF(R11=TRUE,Priors!$H$6,1)</f>
        <v>1</v>
      </c>
      <c r="T11" s="19" t="b">
        <v>0</v>
      </c>
      <c r="U11" s="18">
        <f>IF(T11=TRUE,Priors!$H$7,1)</f>
        <v>1</v>
      </c>
      <c r="V11" s="18">
        <f t="shared" si="0"/>
        <v>0.41141848145968218</v>
      </c>
      <c r="W11" s="20">
        <f>VLOOKUP(D11,Priors!$A$3:$C$6,2,FALSE)</f>
        <v>4.1142361271531161E-2</v>
      </c>
      <c r="X11" s="20">
        <f>VLOOKUP(D11,Priors!$A$3:$C$6,3,FALSE)</f>
        <v>4.0513079897554365E-2</v>
      </c>
      <c r="Y11" s="20">
        <f t="shared" si="1"/>
        <v>3.8023971233189936E-2</v>
      </c>
      <c r="Z11" s="20">
        <f t="shared" si="2"/>
        <v>4.5018034651656338E-2</v>
      </c>
      <c r="AA11" s="21">
        <v>1</v>
      </c>
      <c r="AB11" s="21">
        <v>1</v>
      </c>
      <c r="AC11" s="22">
        <f t="shared" si="3"/>
        <v>3.8023971233189936E-2</v>
      </c>
      <c r="AD11" s="22">
        <f t="shared" si="4"/>
        <v>4.5018034651656338E-2</v>
      </c>
      <c r="AE11" s="22">
        <f t="shared" si="5"/>
        <v>0.58858151854031782</v>
      </c>
      <c r="AF11" s="7" t="s">
        <v>1643</v>
      </c>
      <c r="AG11" s="7"/>
      <c r="AH11" s="7"/>
      <c r="AI11" s="7"/>
      <c r="AJ11" s="8" t="b">
        <v>1</v>
      </c>
      <c r="AK11" s="28" t="s">
        <v>1644</v>
      </c>
      <c r="AL11" s="28" t="s">
        <v>1645</v>
      </c>
      <c r="AM11" s="28"/>
      <c r="AN11" s="7"/>
      <c r="AO11" s="7">
        <v>0</v>
      </c>
      <c r="AP11" s="8" t="b">
        <v>0</v>
      </c>
      <c r="AQ11" s="28" t="s">
        <v>1646</v>
      </c>
    </row>
    <row r="12" spans="1:43" ht="30">
      <c r="A12" s="7">
        <v>11</v>
      </c>
      <c r="B12" s="7" t="s">
        <v>123</v>
      </c>
      <c r="C12" s="7" t="s">
        <v>39</v>
      </c>
      <c r="D12" s="7" t="s">
        <v>99</v>
      </c>
      <c r="E12" s="7" t="s">
        <v>1642</v>
      </c>
      <c r="F12" s="7" t="s">
        <v>39</v>
      </c>
      <c r="G12" s="14">
        <v>986</v>
      </c>
      <c r="H12" s="15">
        <v>0.1</v>
      </c>
      <c r="I12" s="15">
        <v>0.63</v>
      </c>
      <c r="J12" s="15">
        <v>9.1277890466531439E-3</v>
      </c>
      <c r="K12" s="15">
        <v>5.750507099391481E-2</v>
      </c>
      <c r="L12" s="15">
        <v>65.599999999999994</v>
      </c>
      <c r="M12" s="15">
        <v>1.726315789473684</v>
      </c>
      <c r="N12" s="16">
        <v>5.2874387770246879E-3</v>
      </c>
      <c r="O12" s="16">
        <v>3.3310864295255531E-2</v>
      </c>
      <c r="P12" s="17">
        <f>IFERROR(G12/(G12+Priors!$H$3),0)</f>
        <v>0.49647532729103727</v>
      </c>
      <c r="Q12" s="18">
        <f>IF(E12="Premier League",Priors!$H$4,IF(E12="Championship",Priors!$H$5,Priors!$H$8))</f>
        <v>1</v>
      </c>
      <c r="R12" s="19" t="b">
        <v>0</v>
      </c>
      <c r="S12" s="18">
        <f>IF(R12=TRUE,Priors!$H$6,1)</f>
        <v>1</v>
      </c>
      <c r="T12" s="19" t="b">
        <v>0</v>
      </c>
      <c r="U12" s="18">
        <f>IF(T12=TRUE,Priors!$H$7,1)</f>
        <v>1</v>
      </c>
      <c r="V12" s="18">
        <f t="shared" si="0"/>
        <v>0.49647532729103727</v>
      </c>
      <c r="W12" s="20">
        <f>VLOOKUP(D12,Priors!$A$3:$C$6,2,FALSE)</f>
        <v>4.1142361271531161E-2</v>
      </c>
      <c r="X12" s="20">
        <f>VLOOKUP(D12,Priors!$A$3:$C$6,3,FALSE)</f>
        <v>4.0513079897554365E-2</v>
      </c>
      <c r="Y12" s="20">
        <f t="shared" si="1"/>
        <v>2.3341276891076283E-2</v>
      </c>
      <c r="Z12" s="20">
        <f t="shared" si="2"/>
        <v>3.693735754918244E-2</v>
      </c>
      <c r="AA12" s="21">
        <v>1</v>
      </c>
      <c r="AB12" s="21">
        <v>1</v>
      </c>
      <c r="AC12" s="22">
        <f t="shared" si="3"/>
        <v>2.3341276891076283E-2</v>
      </c>
      <c r="AD12" s="22">
        <f t="shared" si="4"/>
        <v>3.693735754918244E-2</v>
      </c>
      <c r="AE12" s="22">
        <f t="shared" si="5"/>
        <v>0.50352467270896273</v>
      </c>
      <c r="AF12" s="7" t="s">
        <v>1643</v>
      </c>
      <c r="AG12" s="7"/>
      <c r="AH12" s="7"/>
      <c r="AI12" s="7"/>
      <c r="AJ12" s="8" t="b">
        <v>0</v>
      </c>
      <c r="AK12" s="28" t="s">
        <v>1644</v>
      </c>
      <c r="AL12" s="28" t="s">
        <v>1645</v>
      </c>
      <c r="AM12" s="28"/>
      <c r="AN12" s="7"/>
      <c r="AO12" s="7">
        <v>0</v>
      </c>
      <c r="AP12" s="8" t="b">
        <v>0</v>
      </c>
      <c r="AQ12" s="28" t="s">
        <v>1646</v>
      </c>
    </row>
    <row r="13" spans="1:43" ht="30">
      <c r="A13" s="7">
        <v>12</v>
      </c>
      <c r="B13" s="7" t="s">
        <v>126</v>
      </c>
      <c r="C13" s="7" t="s">
        <v>39</v>
      </c>
      <c r="D13" s="7" t="s">
        <v>112</v>
      </c>
      <c r="E13" s="7" t="s">
        <v>1642</v>
      </c>
      <c r="F13" s="7" t="s">
        <v>39</v>
      </c>
      <c r="G13" s="14">
        <v>2218</v>
      </c>
      <c r="H13" s="15">
        <v>7.57</v>
      </c>
      <c r="I13" s="15">
        <v>7.16</v>
      </c>
      <c r="J13" s="15">
        <v>0.30716862037871961</v>
      </c>
      <c r="K13" s="15">
        <v>0.29053201082055907</v>
      </c>
      <c r="L13" s="15">
        <v>65.599999999999994</v>
      </c>
      <c r="M13" s="15">
        <v>1.726315789473684</v>
      </c>
      <c r="N13" s="16">
        <v>0.17793304229255102</v>
      </c>
      <c r="O13" s="16">
        <v>0.1682959818777629</v>
      </c>
      <c r="P13" s="17">
        <f>IFERROR(G13/(G13+Priors!$H$3),0)</f>
        <v>0.68924798011187072</v>
      </c>
      <c r="Q13" s="18">
        <f>IF(E13="Premier League",Priors!$H$4,IF(E13="Championship",Priors!$H$5,Priors!$H$8))</f>
        <v>1</v>
      </c>
      <c r="R13" s="19" t="b">
        <v>0</v>
      </c>
      <c r="S13" s="18">
        <f>IF(R13=TRUE,Priors!$H$6,1)</f>
        <v>1</v>
      </c>
      <c r="T13" s="19" t="b">
        <v>0</v>
      </c>
      <c r="U13" s="18">
        <f>IF(T13=TRUE,Priors!$H$7,1)</f>
        <v>1</v>
      </c>
      <c r="V13" s="18">
        <f t="shared" si="0"/>
        <v>0.68924798011187072</v>
      </c>
      <c r="W13" s="20">
        <f>VLOOKUP(D13,Priors!$A$3:$C$6,2,FALSE)</f>
        <v>0.10751786102217777</v>
      </c>
      <c r="X13" s="20">
        <f>VLOOKUP(D13,Priors!$A$3:$C$6,3,FALSE)</f>
        <v>9.0240671969462088E-2</v>
      </c>
      <c r="Y13" s="20">
        <f t="shared" si="1"/>
        <v>0.15605138248199377</v>
      </c>
      <c r="Z13" s="20">
        <f t="shared" si="2"/>
        <v>0.14404013666076451</v>
      </c>
      <c r="AA13" s="21">
        <v>1</v>
      </c>
      <c r="AB13" s="21">
        <v>1</v>
      </c>
      <c r="AC13" s="22">
        <f t="shared" si="3"/>
        <v>0.15605138248199377</v>
      </c>
      <c r="AD13" s="22">
        <f t="shared" si="4"/>
        <v>0.14404013666076451</v>
      </c>
      <c r="AE13" s="22">
        <f t="shared" si="5"/>
        <v>0.31075201988812928</v>
      </c>
      <c r="AF13" s="7" t="s">
        <v>1643</v>
      </c>
      <c r="AG13" s="7">
        <v>1</v>
      </c>
      <c r="AH13" s="7">
        <v>2</v>
      </c>
      <c r="AI13" s="7">
        <v>6</v>
      </c>
      <c r="AJ13" s="8" t="b">
        <v>0</v>
      </c>
      <c r="AK13" s="28" t="s">
        <v>1644</v>
      </c>
      <c r="AL13" s="28" t="s">
        <v>1645</v>
      </c>
      <c r="AM13" s="28"/>
      <c r="AN13" s="7">
        <v>1</v>
      </c>
      <c r="AO13" s="7">
        <v>0</v>
      </c>
      <c r="AP13" s="8" t="b">
        <v>1</v>
      </c>
      <c r="AQ13" s="28" t="s">
        <v>1649</v>
      </c>
    </row>
    <row r="14" spans="1:43" ht="30">
      <c r="A14" s="7">
        <v>13</v>
      </c>
      <c r="B14" s="7" t="s">
        <v>129</v>
      </c>
      <c r="C14" s="7" t="s">
        <v>39</v>
      </c>
      <c r="D14" s="7" t="s">
        <v>112</v>
      </c>
      <c r="E14" s="7" t="s">
        <v>1642</v>
      </c>
      <c r="F14" s="7" t="s">
        <v>39</v>
      </c>
      <c r="G14" s="14">
        <v>3093</v>
      </c>
      <c r="H14" s="15">
        <v>3.15</v>
      </c>
      <c r="I14" s="15">
        <v>7.32</v>
      </c>
      <c r="J14" s="15">
        <v>9.1658583899127066E-2</v>
      </c>
      <c r="K14" s="15">
        <v>0.21299709020368576</v>
      </c>
      <c r="L14" s="15">
        <v>65.599999999999994</v>
      </c>
      <c r="M14" s="15">
        <v>1.726315789473684</v>
      </c>
      <c r="N14" s="16">
        <v>5.3094911404982147E-2</v>
      </c>
      <c r="O14" s="16">
        <v>0.12338246078872042</v>
      </c>
      <c r="P14" s="17">
        <f>IFERROR(G14/(G14+Priors!$H$3),0)</f>
        <v>0.75568043000244323</v>
      </c>
      <c r="Q14" s="18">
        <f>IF(E14="Premier League",Priors!$H$4,IF(E14="Championship",Priors!$H$5,Priors!$H$8))</f>
        <v>1</v>
      </c>
      <c r="R14" s="19" t="b">
        <v>0</v>
      </c>
      <c r="S14" s="18">
        <f>IF(R14=TRUE,Priors!$H$6,1)</f>
        <v>1</v>
      </c>
      <c r="T14" s="19" t="b">
        <v>0</v>
      </c>
      <c r="U14" s="18">
        <f>IF(T14=TRUE,Priors!$H$7,1)</f>
        <v>1</v>
      </c>
      <c r="V14" s="18">
        <f t="shared" si="0"/>
        <v>0.75568043000244323</v>
      </c>
      <c r="W14" s="20">
        <f>VLOOKUP(D14,Priors!$A$3:$C$6,2,FALSE)</f>
        <v>0.10751786102217777</v>
      </c>
      <c r="X14" s="20">
        <f>VLOOKUP(D14,Priors!$A$3:$C$6,3,FALSE)</f>
        <v>9.0240671969462088E-2</v>
      </c>
      <c r="Y14" s="20">
        <f t="shared" si="1"/>
        <v>6.6391503053454079E-2</v>
      </c>
      <c r="Z14" s="20">
        <f t="shared" si="2"/>
        <v>0.11528527319544939</v>
      </c>
      <c r="AA14" s="21">
        <v>1</v>
      </c>
      <c r="AB14" s="21">
        <v>1</v>
      </c>
      <c r="AC14" s="22">
        <f t="shared" si="3"/>
        <v>6.6391503053454079E-2</v>
      </c>
      <c r="AD14" s="22">
        <f t="shared" si="4"/>
        <v>0.11528527319544939</v>
      </c>
      <c r="AE14" s="22">
        <f t="shared" si="5"/>
        <v>0.24431956999755677</v>
      </c>
      <c r="AF14" s="7" t="s">
        <v>1643</v>
      </c>
      <c r="AG14" s="7"/>
      <c r="AH14" s="7">
        <v>1</v>
      </c>
      <c r="AI14" s="7">
        <v>5</v>
      </c>
      <c r="AJ14" s="8" t="b">
        <v>0</v>
      </c>
      <c r="AK14" s="28" t="s">
        <v>1644</v>
      </c>
      <c r="AL14" s="28" t="s">
        <v>1645</v>
      </c>
      <c r="AM14" s="28"/>
      <c r="AN14" s="7"/>
      <c r="AO14" s="7">
        <v>0</v>
      </c>
      <c r="AP14" s="8" t="b">
        <v>0</v>
      </c>
      <c r="AQ14" s="28" t="s">
        <v>1646</v>
      </c>
    </row>
    <row r="15" spans="1:43" ht="30">
      <c r="A15" s="7">
        <v>14</v>
      </c>
      <c r="B15" s="7" t="s">
        <v>132</v>
      </c>
      <c r="C15" s="7" t="s">
        <v>39</v>
      </c>
      <c r="D15" s="7" t="s">
        <v>112</v>
      </c>
      <c r="E15" s="7" t="s">
        <v>1642</v>
      </c>
      <c r="F15" s="7" t="s">
        <v>39</v>
      </c>
      <c r="G15" s="14">
        <v>1885</v>
      </c>
      <c r="H15" s="15">
        <v>5.18</v>
      </c>
      <c r="I15" s="15">
        <v>2.66</v>
      </c>
      <c r="J15" s="15">
        <v>0.2473209549071618</v>
      </c>
      <c r="K15" s="15">
        <v>0.1270026525198939</v>
      </c>
      <c r="L15" s="15">
        <v>65.599999999999994</v>
      </c>
      <c r="M15" s="15">
        <v>1.726315789473684</v>
      </c>
      <c r="N15" s="16">
        <v>0.14326518729378276</v>
      </c>
      <c r="O15" s="16">
        <v>7.3568609691401957E-2</v>
      </c>
      <c r="P15" s="17">
        <f>IFERROR(G15/(G15+Priors!$H$3),0)</f>
        <v>0.65337954939341425</v>
      </c>
      <c r="Q15" s="18">
        <f>IF(E15="Premier League",Priors!$H$4,IF(E15="Championship",Priors!$H$5,Priors!$H$8))</f>
        <v>1</v>
      </c>
      <c r="R15" s="19" t="b">
        <v>0</v>
      </c>
      <c r="S15" s="18">
        <f>IF(R15=TRUE,Priors!$H$6,1)</f>
        <v>1</v>
      </c>
      <c r="T15" s="19" t="b">
        <v>0</v>
      </c>
      <c r="U15" s="18">
        <f>IF(T15=TRUE,Priors!$H$7,1)</f>
        <v>1</v>
      </c>
      <c r="V15" s="18">
        <f t="shared" si="0"/>
        <v>0.65337954939341425</v>
      </c>
      <c r="W15" s="20">
        <f>VLOOKUP(D15,Priors!$A$3:$C$6,2,FALSE)</f>
        <v>0.10751786102217777</v>
      </c>
      <c r="X15" s="20">
        <f>VLOOKUP(D15,Priors!$A$3:$C$6,3,FALSE)</f>
        <v>9.0240671969462088E-2</v>
      </c>
      <c r="Y15" s="20">
        <f t="shared" si="1"/>
        <v>0.1308744329535384</v>
      </c>
      <c r="Z15" s="20">
        <f t="shared" si="2"/>
        <v>7.9347487430764224E-2</v>
      </c>
      <c r="AA15" s="21">
        <v>1</v>
      </c>
      <c r="AB15" s="21">
        <v>1</v>
      </c>
      <c r="AC15" s="22">
        <f t="shared" si="3"/>
        <v>0.1308744329535384</v>
      </c>
      <c r="AD15" s="22">
        <f t="shared" si="4"/>
        <v>7.9347487430764224E-2</v>
      </c>
      <c r="AE15" s="22">
        <f t="shared" si="5"/>
        <v>0.34662045060658575</v>
      </c>
      <c r="AF15" s="7" t="s">
        <v>1643</v>
      </c>
      <c r="AG15" s="7"/>
      <c r="AH15" s="7">
        <v>3</v>
      </c>
      <c r="AI15" s="7"/>
      <c r="AJ15" s="8" t="b">
        <v>0</v>
      </c>
      <c r="AK15" s="28" t="s">
        <v>1644</v>
      </c>
      <c r="AL15" s="28" t="s">
        <v>1645</v>
      </c>
      <c r="AM15" s="28"/>
      <c r="AN15" s="7"/>
      <c r="AO15" s="7">
        <v>0</v>
      </c>
      <c r="AP15" s="8" t="b">
        <v>0</v>
      </c>
      <c r="AQ15" s="28" t="s">
        <v>1646</v>
      </c>
    </row>
    <row r="16" spans="1:43" ht="30">
      <c r="A16" s="7">
        <v>15</v>
      </c>
      <c r="B16" s="7" t="s">
        <v>135</v>
      </c>
      <c r="C16" s="7" t="s">
        <v>39</v>
      </c>
      <c r="D16" s="7" t="s">
        <v>112</v>
      </c>
      <c r="E16" s="7" t="s">
        <v>1642</v>
      </c>
      <c r="F16" s="7" t="s">
        <v>39</v>
      </c>
      <c r="G16" s="14">
        <v>1363</v>
      </c>
      <c r="H16" s="15">
        <v>1.25</v>
      </c>
      <c r="I16" s="15">
        <v>3.65</v>
      </c>
      <c r="J16" s="15">
        <v>8.2538517975055029E-2</v>
      </c>
      <c r="K16" s="15">
        <v>0.24101247248716068</v>
      </c>
      <c r="L16" s="15">
        <v>65.599999999999994</v>
      </c>
      <c r="M16" s="15">
        <v>1.726315789473684</v>
      </c>
      <c r="N16" s="16">
        <v>4.7811946387989197E-2</v>
      </c>
      <c r="O16" s="16">
        <v>0.13961088345292846</v>
      </c>
      <c r="P16" s="17">
        <f>IFERROR(G16/(G16+Priors!$H$3),0)</f>
        <v>0.57680914092255609</v>
      </c>
      <c r="Q16" s="18">
        <f>IF(E16="Premier League",Priors!$H$4,IF(E16="Championship",Priors!$H$5,Priors!$H$8))</f>
        <v>1</v>
      </c>
      <c r="R16" s="19" t="b">
        <v>0</v>
      </c>
      <c r="S16" s="18">
        <f>IF(R16=TRUE,Priors!$H$6,1)</f>
        <v>1</v>
      </c>
      <c r="T16" s="19" t="b">
        <v>0</v>
      </c>
      <c r="U16" s="18">
        <f>IF(T16=TRUE,Priors!$H$7,1)</f>
        <v>1</v>
      </c>
      <c r="V16" s="18">
        <f t="shared" si="0"/>
        <v>0.57680914092255609</v>
      </c>
      <c r="W16" s="20">
        <f>VLOOKUP(D16,Priors!$A$3:$C$6,2,FALSE)</f>
        <v>0.10751786102217777</v>
      </c>
      <c r="X16" s="20">
        <f>VLOOKUP(D16,Priors!$A$3:$C$6,3,FALSE)</f>
        <v>9.0240671969462088E-2</v>
      </c>
      <c r="Y16" s="20">
        <f t="shared" si="1"/>
        <v>7.3078943694035989E-2</v>
      </c>
      <c r="Z16" s="20">
        <f t="shared" si="2"/>
        <v>0.11871786124240524</v>
      </c>
      <c r="AA16" s="21">
        <v>1</v>
      </c>
      <c r="AB16" s="21">
        <v>1</v>
      </c>
      <c r="AC16" s="22">
        <f t="shared" si="3"/>
        <v>7.3078943694035989E-2</v>
      </c>
      <c r="AD16" s="22">
        <f t="shared" si="4"/>
        <v>0.11871786124240524</v>
      </c>
      <c r="AE16" s="22">
        <f t="shared" si="5"/>
        <v>0.42319085907744391</v>
      </c>
      <c r="AF16" s="7" t="s">
        <v>1643</v>
      </c>
      <c r="AG16" s="7">
        <v>3</v>
      </c>
      <c r="AH16" s="7"/>
      <c r="AI16" s="7">
        <v>8</v>
      </c>
      <c r="AJ16" s="8" t="b">
        <v>0</v>
      </c>
      <c r="AK16" s="28" t="s">
        <v>1644</v>
      </c>
      <c r="AL16" s="28" t="s">
        <v>1645</v>
      </c>
      <c r="AM16" s="28"/>
      <c r="AN16" s="7">
        <v>3</v>
      </c>
      <c r="AO16" s="7">
        <v>0</v>
      </c>
      <c r="AP16" s="8" t="b">
        <v>0</v>
      </c>
      <c r="AQ16" s="28" t="s">
        <v>1646</v>
      </c>
    </row>
    <row r="17" spans="1:43" ht="30">
      <c r="A17" s="7">
        <v>16</v>
      </c>
      <c r="B17" s="7" t="s">
        <v>138</v>
      </c>
      <c r="C17" s="7" t="s">
        <v>39</v>
      </c>
      <c r="D17" s="7" t="s">
        <v>112</v>
      </c>
      <c r="E17" s="7" t="s">
        <v>1642</v>
      </c>
      <c r="F17" s="7" t="s">
        <v>39</v>
      </c>
      <c r="G17" s="14">
        <v>1205</v>
      </c>
      <c r="H17" s="15">
        <v>1.23</v>
      </c>
      <c r="I17" s="15">
        <v>2.86</v>
      </c>
      <c r="J17" s="15">
        <v>9.1867219917012452E-2</v>
      </c>
      <c r="K17" s="15">
        <v>0.21360995850622405</v>
      </c>
      <c r="L17" s="15">
        <v>65.599999999999994</v>
      </c>
      <c r="M17" s="15">
        <v>1.726315789473684</v>
      </c>
      <c r="N17" s="16">
        <v>5.3215767634854777E-2</v>
      </c>
      <c r="O17" s="16">
        <v>0.12373747596397126</v>
      </c>
      <c r="P17" s="17">
        <f>IFERROR(G17/(G17+Priors!$H$3),0)</f>
        <v>0.54648526077097503</v>
      </c>
      <c r="Q17" s="18">
        <f>IF(E17="Premier League",Priors!$H$4,IF(E17="Championship",Priors!$H$5,Priors!$H$8))</f>
        <v>1</v>
      </c>
      <c r="R17" s="19" t="b">
        <v>0</v>
      </c>
      <c r="S17" s="18">
        <f>IF(R17=TRUE,Priors!$H$6,1)</f>
        <v>1</v>
      </c>
      <c r="T17" s="19" t="b">
        <v>0</v>
      </c>
      <c r="U17" s="18">
        <f>IF(T17=TRUE,Priors!$H$7,1)</f>
        <v>1</v>
      </c>
      <c r="V17" s="18">
        <f t="shared" si="0"/>
        <v>0.54648526077097503</v>
      </c>
      <c r="W17" s="20">
        <f>VLOOKUP(D17,Priors!$A$3:$C$6,2,FALSE)</f>
        <v>0.10751786102217777</v>
      </c>
      <c r="X17" s="20">
        <f>VLOOKUP(D17,Priors!$A$3:$C$6,3,FALSE)</f>
        <v>9.0240671969462088E-2</v>
      </c>
      <c r="Y17" s="20">
        <f t="shared" si="1"/>
        <v>7.7842567356996725E-2</v>
      </c>
      <c r="Z17" s="20">
        <f t="shared" si="2"/>
        <v>0.10854618163539567</v>
      </c>
      <c r="AA17" s="21">
        <v>1</v>
      </c>
      <c r="AB17" s="21">
        <v>1</v>
      </c>
      <c r="AC17" s="22">
        <f t="shared" si="3"/>
        <v>7.7842567356996725E-2</v>
      </c>
      <c r="AD17" s="22">
        <f t="shared" si="4"/>
        <v>0.10854618163539567</v>
      </c>
      <c r="AE17" s="22">
        <f t="shared" si="5"/>
        <v>0.45351473922902497</v>
      </c>
      <c r="AF17" s="7" t="s">
        <v>1643</v>
      </c>
      <c r="AG17" s="7"/>
      <c r="AH17" s="7"/>
      <c r="AI17" s="7">
        <v>7</v>
      </c>
      <c r="AJ17" s="8" t="b">
        <v>0</v>
      </c>
      <c r="AK17" s="28" t="s">
        <v>1644</v>
      </c>
      <c r="AL17" s="28" t="s">
        <v>1645</v>
      </c>
      <c r="AM17" s="28"/>
      <c r="AN17" s="7"/>
      <c r="AO17" s="7">
        <v>0</v>
      </c>
      <c r="AP17" s="8" t="b">
        <v>0</v>
      </c>
      <c r="AQ17" s="28" t="s">
        <v>1646</v>
      </c>
    </row>
    <row r="18" spans="1:43" ht="30">
      <c r="A18" s="7">
        <v>17</v>
      </c>
      <c r="B18" s="7" t="s">
        <v>141</v>
      </c>
      <c r="C18" s="7" t="s">
        <v>39</v>
      </c>
      <c r="D18" s="7" t="s">
        <v>112</v>
      </c>
      <c r="E18" s="7" t="s">
        <v>1642</v>
      </c>
      <c r="F18" s="7" t="s">
        <v>39</v>
      </c>
      <c r="G18" s="14">
        <v>1024</v>
      </c>
      <c r="H18" s="15">
        <v>3.36</v>
      </c>
      <c r="I18" s="15">
        <v>1.45</v>
      </c>
      <c r="J18" s="15">
        <v>0.29531249999999998</v>
      </c>
      <c r="K18" s="15">
        <v>0.12744140625</v>
      </c>
      <c r="L18" s="15">
        <v>65.599999999999994</v>
      </c>
      <c r="M18" s="15">
        <v>1.726315789473684</v>
      </c>
      <c r="N18" s="16">
        <v>0.17106516768292684</v>
      </c>
      <c r="O18" s="16">
        <v>7.3822765815548794E-2</v>
      </c>
      <c r="P18" s="17">
        <f>IFERROR(G18/(G18+Priors!$H$3),0)</f>
        <v>0.50592885375494068</v>
      </c>
      <c r="Q18" s="18">
        <f>IF(E18="Premier League",Priors!$H$4,IF(E18="Championship",Priors!$H$5,Priors!$H$8))</f>
        <v>1</v>
      </c>
      <c r="R18" s="19" t="b">
        <v>0</v>
      </c>
      <c r="S18" s="18">
        <f>IF(R18=TRUE,Priors!$H$6,1)</f>
        <v>1</v>
      </c>
      <c r="T18" s="19" t="b">
        <v>0</v>
      </c>
      <c r="U18" s="18">
        <f>IF(T18=TRUE,Priors!$H$7,1)</f>
        <v>1</v>
      </c>
      <c r="V18" s="18">
        <f t="shared" si="0"/>
        <v>0.50592885375494068</v>
      </c>
      <c r="W18" s="20">
        <f>VLOOKUP(D18,Priors!$A$3:$C$6,2,FALSE)</f>
        <v>0.10751786102217777</v>
      </c>
      <c r="X18" s="20">
        <f>VLOOKUP(D18,Priors!$A$3:$C$6,3,FALSE)</f>
        <v>9.0240671969462088E-2</v>
      </c>
      <c r="Y18" s="20">
        <f t="shared" si="1"/>
        <v>0.13966827704026424</v>
      </c>
      <c r="Z18" s="20">
        <f t="shared" si="2"/>
        <v>8.1934379527956541E-2</v>
      </c>
      <c r="AA18" s="21">
        <v>1</v>
      </c>
      <c r="AB18" s="21">
        <v>1</v>
      </c>
      <c r="AC18" s="22">
        <f t="shared" si="3"/>
        <v>0.13966827704026424</v>
      </c>
      <c r="AD18" s="22">
        <f t="shared" si="4"/>
        <v>8.1934379527956541E-2</v>
      </c>
      <c r="AE18" s="22">
        <f t="shared" si="5"/>
        <v>0.49407114624505932</v>
      </c>
      <c r="AF18" s="7" t="s">
        <v>1643</v>
      </c>
      <c r="AG18" s="7"/>
      <c r="AH18" s="7"/>
      <c r="AI18" s="7"/>
      <c r="AJ18" s="8" t="b">
        <v>0</v>
      </c>
      <c r="AK18" s="28" t="s">
        <v>1644</v>
      </c>
      <c r="AL18" s="28" t="s">
        <v>1645</v>
      </c>
      <c r="AM18" s="28"/>
      <c r="AN18" s="7"/>
      <c r="AO18" s="7">
        <v>0</v>
      </c>
      <c r="AP18" s="8" t="b">
        <v>0</v>
      </c>
      <c r="AQ18" s="28" t="s">
        <v>1646</v>
      </c>
    </row>
    <row r="19" spans="1:43" ht="30">
      <c r="A19" s="7">
        <v>18</v>
      </c>
      <c r="B19" s="7" t="s">
        <v>144</v>
      </c>
      <c r="C19" s="7" t="s">
        <v>39</v>
      </c>
      <c r="D19" s="7" t="s">
        <v>112</v>
      </c>
      <c r="E19" s="7" t="s">
        <v>1642</v>
      </c>
      <c r="F19" s="7" t="s">
        <v>39</v>
      </c>
      <c r="G19" s="14">
        <v>1065</v>
      </c>
      <c r="H19" s="15">
        <v>4.12</v>
      </c>
      <c r="I19" s="15">
        <v>1.27</v>
      </c>
      <c r="J19" s="15">
        <v>0.34816901408450707</v>
      </c>
      <c r="K19" s="15">
        <v>0.10732394366197183</v>
      </c>
      <c r="L19" s="15">
        <v>65.599999999999994</v>
      </c>
      <c r="M19" s="15">
        <v>1.726315789473684</v>
      </c>
      <c r="N19" s="16">
        <v>0.20168327035383032</v>
      </c>
      <c r="O19" s="16">
        <v>6.2169357609069054E-2</v>
      </c>
      <c r="P19" s="17">
        <f>IFERROR(G19/(G19+Priors!$H$3),0)</f>
        <v>0.5157384987893463</v>
      </c>
      <c r="Q19" s="18">
        <f>IF(E19="Premier League",Priors!$H$4,IF(E19="Championship",Priors!$H$5,Priors!$H$8))</f>
        <v>1</v>
      </c>
      <c r="R19" s="19" t="b">
        <v>0</v>
      </c>
      <c r="S19" s="18">
        <f>IF(R19=TRUE,Priors!$H$6,1)</f>
        <v>1</v>
      </c>
      <c r="T19" s="19" t="b">
        <v>0</v>
      </c>
      <c r="U19" s="18">
        <f>IF(T19=TRUE,Priors!$H$7,1)</f>
        <v>1</v>
      </c>
      <c r="V19" s="18">
        <f t="shared" si="0"/>
        <v>0.5157384987893463</v>
      </c>
      <c r="W19" s="20">
        <f>VLOOKUP(D19,Priors!$A$3:$C$6,2,FALSE)</f>
        <v>0.10751786102217777</v>
      </c>
      <c r="X19" s="20">
        <f>VLOOKUP(D19,Priors!$A$3:$C$6,3,FALSE)</f>
        <v>9.0240671969462088E-2</v>
      </c>
      <c r="Y19" s="20">
        <f t="shared" si="1"/>
        <v>0.15608258786876855</v>
      </c>
      <c r="Z19" s="20">
        <f t="shared" si="2"/>
        <v>7.576321444218917E-2</v>
      </c>
      <c r="AA19" s="21">
        <v>1</v>
      </c>
      <c r="AB19" s="21">
        <v>1</v>
      </c>
      <c r="AC19" s="22">
        <f t="shared" si="3"/>
        <v>0.15608258786876855</v>
      </c>
      <c r="AD19" s="22">
        <f t="shared" si="4"/>
        <v>7.576321444218917E-2</v>
      </c>
      <c r="AE19" s="22">
        <f t="shared" si="5"/>
        <v>0.4842615012106537</v>
      </c>
      <c r="AF19" s="7" t="s">
        <v>1643</v>
      </c>
      <c r="AG19" s="7"/>
      <c r="AH19" s="7"/>
      <c r="AI19" s="7"/>
      <c r="AJ19" s="8" t="b">
        <v>0</v>
      </c>
      <c r="AK19" s="28" t="s">
        <v>1644</v>
      </c>
      <c r="AL19" s="28" t="s">
        <v>1645</v>
      </c>
      <c r="AM19" s="28"/>
      <c r="AN19" s="7"/>
      <c r="AO19" s="7">
        <v>0</v>
      </c>
      <c r="AP19" s="8" t="b">
        <v>0</v>
      </c>
      <c r="AQ19" s="28" t="s">
        <v>1646</v>
      </c>
    </row>
    <row r="20" spans="1:43" ht="30">
      <c r="A20" s="7">
        <v>19</v>
      </c>
      <c r="B20" s="7" t="s">
        <v>147</v>
      </c>
      <c r="C20" s="7" t="s">
        <v>39</v>
      </c>
      <c r="D20" s="7" t="s">
        <v>112</v>
      </c>
      <c r="E20" s="7" t="s">
        <v>1642</v>
      </c>
      <c r="F20" s="7" t="s">
        <v>39</v>
      </c>
      <c r="G20" s="14">
        <v>2991</v>
      </c>
      <c r="H20" s="15">
        <v>2.84</v>
      </c>
      <c r="I20" s="15">
        <v>2.27</v>
      </c>
      <c r="J20" s="15">
        <v>8.5456369107321961E-2</v>
      </c>
      <c r="K20" s="15">
        <v>6.8304914744232698E-2</v>
      </c>
      <c r="L20" s="15">
        <v>65.599999999999994</v>
      </c>
      <c r="M20" s="15">
        <v>1.726315789473684</v>
      </c>
      <c r="N20" s="16">
        <v>4.9502165031680409E-2</v>
      </c>
      <c r="O20" s="16">
        <v>3.9566871345744555E-2</v>
      </c>
      <c r="P20" s="17">
        <f>IFERROR(G20/(G20+Priors!$H$3),0)</f>
        <v>0.74943623152092209</v>
      </c>
      <c r="Q20" s="18">
        <f>IF(E20="Premier League",Priors!$H$4,IF(E20="Championship",Priors!$H$5,Priors!$H$8))</f>
        <v>1</v>
      </c>
      <c r="R20" s="19" t="b">
        <v>0</v>
      </c>
      <c r="S20" s="18">
        <f>IF(R20=TRUE,Priors!$H$6,1)</f>
        <v>1</v>
      </c>
      <c r="T20" s="19" t="b">
        <v>0</v>
      </c>
      <c r="U20" s="18">
        <f>IF(T20=TRUE,Priors!$H$7,1)</f>
        <v>1</v>
      </c>
      <c r="V20" s="18">
        <f t="shared" si="0"/>
        <v>0.74943623152092209</v>
      </c>
      <c r="W20" s="20">
        <f>VLOOKUP(D20,Priors!$A$3:$C$6,2,FALSE)</f>
        <v>0.10751786102217777</v>
      </c>
      <c r="X20" s="20">
        <f>VLOOKUP(D20,Priors!$A$3:$C$6,3,FALSE)</f>
        <v>9.0240671969462088E-2</v>
      </c>
      <c r="Y20" s="20">
        <f t="shared" si="1"/>
        <v>6.4038796449995966E-2</v>
      </c>
      <c r="Z20" s="20">
        <f t="shared" si="2"/>
        <v>5.2263889793180668E-2</v>
      </c>
      <c r="AA20" s="21">
        <v>1</v>
      </c>
      <c r="AB20" s="21">
        <v>1</v>
      </c>
      <c r="AC20" s="22">
        <f t="shared" si="3"/>
        <v>6.4038796449995966E-2</v>
      </c>
      <c r="AD20" s="22">
        <f t="shared" si="4"/>
        <v>5.2263889793180668E-2</v>
      </c>
      <c r="AE20" s="22">
        <f t="shared" si="5"/>
        <v>0.25056376847907791</v>
      </c>
      <c r="AF20" s="7" t="s">
        <v>1643</v>
      </c>
      <c r="AG20" s="7"/>
      <c r="AH20" s="7"/>
      <c r="AI20" s="7"/>
      <c r="AJ20" s="8" t="b">
        <v>0</v>
      </c>
      <c r="AK20" s="28" t="s">
        <v>1644</v>
      </c>
      <c r="AL20" s="28" t="s">
        <v>1645</v>
      </c>
      <c r="AM20" s="28"/>
      <c r="AN20" s="7"/>
      <c r="AO20" s="7">
        <v>0</v>
      </c>
      <c r="AP20" s="8" t="b">
        <v>0</v>
      </c>
      <c r="AQ20" s="28" t="s">
        <v>1646</v>
      </c>
    </row>
    <row r="21" spans="1:43" ht="30">
      <c r="A21" s="7">
        <v>20</v>
      </c>
      <c r="B21" s="7" t="s">
        <v>150</v>
      </c>
      <c r="C21" s="7" t="s">
        <v>39</v>
      </c>
      <c r="D21" s="7" t="s">
        <v>112</v>
      </c>
      <c r="E21" s="7" t="s">
        <v>1642</v>
      </c>
      <c r="F21" s="7" t="s">
        <v>39</v>
      </c>
      <c r="G21" s="14">
        <v>152</v>
      </c>
      <c r="H21" s="15">
        <v>1.19</v>
      </c>
      <c r="I21" s="15">
        <v>0.3</v>
      </c>
      <c r="J21" s="15">
        <v>0.70460526315789473</v>
      </c>
      <c r="K21" s="15">
        <v>0.17763157894736842</v>
      </c>
      <c r="L21" s="15">
        <v>65.599999999999994</v>
      </c>
      <c r="M21" s="15">
        <v>1.726315789473684</v>
      </c>
      <c r="N21" s="16">
        <v>0.40815548780487809</v>
      </c>
      <c r="O21" s="16">
        <v>0.10289634146341464</v>
      </c>
      <c r="P21" s="17">
        <f>IFERROR(G21/(G21+Priors!$H$3),0)</f>
        <v>0.13194444444444445</v>
      </c>
      <c r="Q21" s="18">
        <f>IF(E21="Premier League",Priors!$H$4,IF(E21="Championship",Priors!$H$5,Priors!$H$8))</f>
        <v>1</v>
      </c>
      <c r="R21" s="19" t="b">
        <v>0</v>
      </c>
      <c r="S21" s="18">
        <f>IF(R21=TRUE,Priors!$H$6,1)</f>
        <v>1</v>
      </c>
      <c r="T21" s="19" t="b">
        <v>0</v>
      </c>
      <c r="U21" s="18">
        <f>IF(T21=TRUE,Priors!$H$7,1)</f>
        <v>1</v>
      </c>
      <c r="V21" s="18">
        <f t="shared" si="0"/>
        <v>0.13194444444444445</v>
      </c>
      <c r="W21" s="20">
        <f>VLOOKUP(D21,Priors!$A$3:$C$6,2,FALSE)</f>
        <v>0.10751786102217777</v>
      </c>
      <c r="X21" s="20">
        <f>VLOOKUP(D21,Priors!$A$3:$C$6,3,FALSE)</f>
        <v>9.0240671969462088E-2</v>
      </c>
      <c r="Y21" s="20">
        <f t="shared" si="1"/>
        <v>0.14718532566711739</v>
      </c>
      <c r="Z21" s="20">
        <f t="shared" si="2"/>
        <v>9.191051724991417E-2</v>
      </c>
      <c r="AA21" s="21">
        <v>1</v>
      </c>
      <c r="AB21" s="21">
        <v>1</v>
      </c>
      <c r="AC21" s="22">
        <f t="shared" si="3"/>
        <v>0.14718532566711739</v>
      </c>
      <c r="AD21" s="22">
        <f t="shared" si="4"/>
        <v>9.191051724991417E-2</v>
      </c>
      <c r="AE21" s="22">
        <f t="shared" si="5"/>
        <v>0.86805555555555558</v>
      </c>
      <c r="AF21" s="7" t="s">
        <v>1643</v>
      </c>
      <c r="AG21" s="7"/>
      <c r="AH21" s="7"/>
      <c r="AI21" s="7"/>
      <c r="AJ21" s="8" t="b">
        <v>1</v>
      </c>
      <c r="AK21" s="28" t="s">
        <v>1644</v>
      </c>
      <c r="AL21" s="28" t="s">
        <v>1645</v>
      </c>
      <c r="AM21" s="28"/>
      <c r="AN21" s="7"/>
      <c r="AO21" s="7">
        <v>0</v>
      </c>
      <c r="AP21" s="8" t="b">
        <v>0</v>
      </c>
      <c r="AQ21" s="28" t="s">
        <v>1646</v>
      </c>
    </row>
    <row r="22" spans="1:43" ht="30">
      <c r="A22" s="7">
        <v>21</v>
      </c>
      <c r="B22" s="7" t="s">
        <v>153</v>
      </c>
      <c r="C22" s="7" t="s">
        <v>39</v>
      </c>
      <c r="D22" s="7" t="s">
        <v>112</v>
      </c>
      <c r="E22" s="7" t="s">
        <v>1642</v>
      </c>
      <c r="F22" s="7" t="s">
        <v>39</v>
      </c>
      <c r="G22" s="14">
        <v>101</v>
      </c>
      <c r="H22" s="15">
        <v>0.08</v>
      </c>
      <c r="I22" s="15">
        <v>0.04</v>
      </c>
      <c r="J22" s="15">
        <v>7.1287128712871295E-2</v>
      </c>
      <c r="K22" s="15">
        <v>3.5643564356435647E-2</v>
      </c>
      <c r="L22" s="15">
        <v>65.599999999999994</v>
      </c>
      <c r="M22" s="15">
        <v>1.726315789473684</v>
      </c>
      <c r="N22" s="16">
        <v>4.1294373339773011E-2</v>
      </c>
      <c r="O22" s="16">
        <v>2.0647186669886505E-2</v>
      </c>
      <c r="P22" s="17">
        <f>IFERROR(G22/(G22+Priors!$H$3),0)</f>
        <v>9.1734786557674836E-2</v>
      </c>
      <c r="Q22" s="18">
        <f>IF(E22="Premier League",Priors!$H$4,IF(E22="Championship",Priors!$H$5,Priors!$H$8))</f>
        <v>1</v>
      </c>
      <c r="R22" s="19" t="b">
        <v>0</v>
      </c>
      <c r="S22" s="18">
        <f>IF(R22=TRUE,Priors!$H$6,1)</f>
        <v>1</v>
      </c>
      <c r="T22" s="19" t="b">
        <v>0</v>
      </c>
      <c r="U22" s="18">
        <f>IF(T22=TRUE,Priors!$H$7,1)</f>
        <v>1</v>
      </c>
      <c r="V22" s="18">
        <f t="shared" si="0"/>
        <v>9.1734786557674836E-2</v>
      </c>
      <c r="W22" s="20">
        <f>VLOOKUP(D22,Priors!$A$3:$C$6,2,FALSE)</f>
        <v>0.10751786102217777</v>
      </c>
      <c r="X22" s="20">
        <f>VLOOKUP(D22,Priors!$A$3:$C$6,3,FALSE)</f>
        <v>9.0240671969462088E-2</v>
      </c>
      <c r="Y22" s="20">
        <f t="shared" si="1"/>
        <v>0.10144286351452755</v>
      </c>
      <c r="Z22" s="20">
        <f t="shared" si="2"/>
        <v>8.3856528449700832E-2</v>
      </c>
      <c r="AA22" s="21">
        <v>1</v>
      </c>
      <c r="AB22" s="21">
        <v>1</v>
      </c>
      <c r="AC22" s="22">
        <f t="shared" si="3"/>
        <v>0.10144286351452755</v>
      </c>
      <c r="AD22" s="22">
        <f t="shared" si="4"/>
        <v>8.3856528449700832E-2</v>
      </c>
      <c r="AE22" s="22">
        <f t="shared" si="5"/>
        <v>0.90826521344232514</v>
      </c>
      <c r="AF22" s="7" t="s">
        <v>1643</v>
      </c>
      <c r="AG22" s="7"/>
      <c r="AH22" s="7"/>
      <c r="AI22" s="7"/>
      <c r="AJ22" s="8" t="b">
        <v>1</v>
      </c>
      <c r="AK22" s="28" t="s">
        <v>1644</v>
      </c>
      <c r="AL22" s="28" t="s">
        <v>1645</v>
      </c>
      <c r="AM22" s="28"/>
      <c r="AN22" s="7"/>
      <c r="AO22" s="7">
        <v>0</v>
      </c>
      <c r="AP22" s="8" t="b">
        <v>0</v>
      </c>
      <c r="AQ22" s="28" t="s">
        <v>1646</v>
      </c>
    </row>
    <row r="23" spans="1:43" ht="30">
      <c r="A23" s="7">
        <v>22</v>
      </c>
      <c r="B23" s="7" t="s">
        <v>156</v>
      </c>
      <c r="C23" s="7" t="s">
        <v>39</v>
      </c>
      <c r="D23" s="7" t="s">
        <v>112</v>
      </c>
      <c r="E23" s="7" t="s">
        <v>1642</v>
      </c>
      <c r="F23" s="7" t="s">
        <v>39</v>
      </c>
      <c r="G23" s="14">
        <v>165</v>
      </c>
      <c r="H23" s="15">
        <v>0.23</v>
      </c>
      <c r="I23" s="15">
        <v>0.08</v>
      </c>
      <c r="J23" s="15">
        <v>0.12545454545454546</v>
      </c>
      <c r="K23" s="15">
        <v>4.363636363636364E-2</v>
      </c>
      <c r="L23" s="15">
        <v>65.599999999999994</v>
      </c>
      <c r="M23" s="15">
        <v>1.726315789473684</v>
      </c>
      <c r="N23" s="16">
        <v>7.2671840354767189E-2</v>
      </c>
      <c r="O23" s="16">
        <v>2.5277161862527722E-2</v>
      </c>
      <c r="P23" s="17">
        <f>IFERROR(G23/(G23+Priors!$H$3),0)</f>
        <v>0.14163090128755365</v>
      </c>
      <c r="Q23" s="18">
        <f>IF(E23="Premier League",Priors!$H$4,IF(E23="Championship",Priors!$H$5,Priors!$H$8))</f>
        <v>1</v>
      </c>
      <c r="R23" s="19" t="b">
        <v>0</v>
      </c>
      <c r="S23" s="18">
        <f>IF(R23=TRUE,Priors!$H$6,1)</f>
        <v>1</v>
      </c>
      <c r="T23" s="19" t="b">
        <v>0</v>
      </c>
      <c r="U23" s="18">
        <f>IF(T23=TRUE,Priors!$H$7,1)</f>
        <v>1</v>
      </c>
      <c r="V23" s="18">
        <f t="shared" si="0"/>
        <v>0.14163090128755365</v>
      </c>
      <c r="W23" s="20">
        <f>VLOOKUP(D23,Priors!$A$3:$C$6,2,FALSE)</f>
        <v>0.10751786102217777</v>
      </c>
      <c r="X23" s="20">
        <f>VLOOKUP(D23,Priors!$A$3:$C$6,3,FALSE)</f>
        <v>9.0240671969462088E-2</v>
      </c>
      <c r="Y23" s="20">
        <f t="shared" si="1"/>
        <v>0.10258258770876769</v>
      </c>
      <c r="Z23" s="20">
        <f t="shared" si="2"/>
        <v>8.1039831482213873E-2</v>
      </c>
      <c r="AA23" s="21">
        <v>1</v>
      </c>
      <c r="AB23" s="21">
        <v>1</v>
      </c>
      <c r="AC23" s="22">
        <f t="shared" si="3"/>
        <v>0.10258258770876769</v>
      </c>
      <c r="AD23" s="22">
        <f t="shared" si="4"/>
        <v>8.1039831482213873E-2</v>
      </c>
      <c r="AE23" s="22">
        <f t="shared" si="5"/>
        <v>0.85836909871244638</v>
      </c>
      <c r="AF23" s="7" t="s">
        <v>1643</v>
      </c>
      <c r="AG23" s="7"/>
      <c r="AH23" s="7"/>
      <c r="AI23" s="7"/>
      <c r="AJ23" s="8" t="b">
        <v>1</v>
      </c>
      <c r="AK23" s="28" t="s">
        <v>1644</v>
      </c>
      <c r="AL23" s="28" t="s">
        <v>1645</v>
      </c>
      <c r="AM23" s="28"/>
      <c r="AN23" s="7"/>
      <c r="AO23" s="7">
        <v>0</v>
      </c>
      <c r="AP23" s="8" t="b">
        <v>0</v>
      </c>
      <c r="AQ23" s="28" t="s">
        <v>1646</v>
      </c>
    </row>
    <row r="24" spans="1:43" ht="15">
      <c r="A24" s="7">
        <v>23</v>
      </c>
      <c r="B24" s="7" t="s">
        <v>159</v>
      </c>
      <c r="C24" s="7" t="s">
        <v>39</v>
      </c>
      <c r="D24" s="7" t="s">
        <v>112</v>
      </c>
      <c r="E24" s="7" t="s">
        <v>1647</v>
      </c>
      <c r="F24" s="7"/>
      <c r="G24" s="14"/>
      <c r="H24" s="15"/>
      <c r="I24" s="15"/>
      <c r="J24" s="15"/>
      <c r="K24" s="15"/>
      <c r="L24" s="15"/>
      <c r="M24" s="15"/>
      <c r="N24" s="16"/>
      <c r="O24" s="16"/>
      <c r="P24" s="17">
        <f>IFERROR(G24/(G24+Priors!$H$3),0)</f>
        <v>0</v>
      </c>
      <c r="Q24" s="18">
        <f>IF(E24="Premier League",Priors!$H$4,IF(E24="Championship",Priors!$H$5,Priors!$H$8))</f>
        <v>0</v>
      </c>
      <c r="R24" s="19" t="b">
        <v>0</v>
      </c>
      <c r="S24" s="18">
        <f>IF(R24=TRUE,Priors!$H$6,1)</f>
        <v>1</v>
      </c>
      <c r="T24" s="19" t="b">
        <v>0</v>
      </c>
      <c r="U24" s="18">
        <f>IF(T24=TRUE,Priors!$H$7,1)</f>
        <v>1</v>
      </c>
      <c r="V24" s="18">
        <f t="shared" si="0"/>
        <v>0</v>
      </c>
      <c r="W24" s="20">
        <f>VLOOKUP(D24,Priors!$A$3:$C$6,2,FALSE)</f>
        <v>0.10751786102217777</v>
      </c>
      <c r="X24" s="20">
        <f>VLOOKUP(D24,Priors!$A$3:$C$6,3,FALSE)</f>
        <v>9.0240671969462088E-2</v>
      </c>
      <c r="Y24" s="20">
        <f t="shared" si="1"/>
        <v>0.10751786102217777</v>
      </c>
      <c r="Z24" s="20">
        <f t="shared" si="2"/>
        <v>9.0240671969462088E-2</v>
      </c>
      <c r="AA24" s="21">
        <v>1</v>
      </c>
      <c r="AB24" s="21">
        <v>1</v>
      </c>
      <c r="AC24" s="22">
        <f t="shared" si="3"/>
        <v>0.10751786102217777</v>
      </c>
      <c r="AD24" s="22">
        <f t="shared" si="4"/>
        <v>9.0240671969462088E-2</v>
      </c>
      <c r="AE24" s="22">
        <f t="shared" si="5"/>
        <v>1</v>
      </c>
      <c r="AF24" s="7" t="s">
        <v>1647</v>
      </c>
      <c r="AG24" s="7"/>
      <c r="AH24" s="7"/>
      <c r="AI24" s="7"/>
      <c r="AJ24" s="8" t="b">
        <v>1</v>
      </c>
      <c r="AK24" s="28" t="s">
        <v>1648</v>
      </c>
      <c r="AL24" s="28"/>
      <c r="AM24" s="28"/>
      <c r="AN24" s="7"/>
      <c r="AO24" s="7">
        <v>0</v>
      </c>
      <c r="AP24" s="8" t="b">
        <v>0</v>
      </c>
      <c r="AQ24" s="28" t="s">
        <v>1646</v>
      </c>
    </row>
    <row r="25" spans="1:43" ht="30">
      <c r="A25" s="7">
        <v>24</v>
      </c>
      <c r="B25" s="7" t="s">
        <v>162</v>
      </c>
      <c r="C25" s="7" t="s">
        <v>39</v>
      </c>
      <c r="D25" s="7" t="s">
        <v>112</v>
      </c>
      <c r="E25" s="7" t="s">
        <v>1642</v>
      </c>
      <c r="F25" s="7" t="s">
        <v>42</v>
      </c>
      <c r="G25" s="14">
        <v>118</v>
      </c>
      <c r="H25" s="15">
        <v>0.71</v>
      </c>
      <c r="I25" s="15">
        <v>0.11</v>
      </c>
      <c r="J25" s="15">
        <v>0.54152542372881352</v>
      </c>
      <c r="K25" s="15">
        <v>8.3898305084745772E-2</v>
      </c>
      <c r="L25" s="15">
        <v>60.3</v>
      </c>
      <c r="M25" s="15">
        <v>1.5868421052631578</v>
      </c>
      <c r="N25" s="16">
        <v>0.34125980268150768</v>
      </c>
      <c r="O25" s="16">
        <v>5.2871237035163172E-2</v>
      </c>
      <c r="P25" s="17">
        <f>IFERROR(G25/(G25+Priors!$H$3),0)</f>
        <v>0.10554561717352415</v>
      </c>
      <c r="Q25" s="18">
        <f>IF(E25="Premier League",Priors!$H$4,IF(E25="Championship",Priors!$H$5,Priors!$H$8))</f>
        <v>1</v>
      </c>
      <c r="R25" s="19" t="b">
        <v>1</v>
      </c>
      <c r="S25" s="18">
        <f>IF(R25=TRUE,Priors!$H$6,1)</f>
        <v>0.85</v>
      </c>
      <c r="T25" s="19" t="b">
        <v>0</v>
      </c>
      <c r="U25" s="18">
        <f>IF(T25=TRUE,Priors!$H$7,1)</f>
        <v>1</v>
      </c>
      <c r="V25" s="18">
        <f t="shared" si="0"/>
        <v>8.9713774597495521E-2</v>
      </c>
      <c r="W25" s="20">
        <f>VLOOKUP(D25,Priors!$A$3:$C$6,2,FALSE)</f>
        <v>0.10751786102217777</v>
      </c>
      <c r="X25" s="20">
        <f>VLOOKUP(D25,Priors!$A$3:$C$6,3,FALSE)</f>
        <v>9.0240671969462088E-2</v>
      </c>
      <c r="Y25" s="20">
        <f t="shared" si="1"/>
        <v>0.12848773289018384</v>
      </c>
      <c r="Z25" s="20">
        <f t="shared" si="2"/>
        <v>8.6888118906930628E-2</v>
      </c>
      <c r="AA25" s="21">
        <v>1</v>
      </c>
      <c r="AB25" s="21">
        <v>1</v>
      </c>
      <c r="AC25" s="22">
        <f t="shared" si="3"/>
        <v>0.12848773289018384</v>
      </c>
      <c r="AD25" s="22">
        <f t="shared" si="4"/>
        <v>8.6888118906930628E-2</v>
      </c>
      <c r="AE25" s="22">
        <f t="shared" si="5"/>
        <v>0.91028622540250448</v>
      </c>
      <c r="AF25" s="7" t="s">
        <v>1643</v>
      </c>
      <c r="AG25" s="7"/>
      <c r="AH25" s="7"/>
      <c r="AI25" s="7"/>
      <c r="AJ25" s="8" t="b">
        <v>1</v>
      </c>
      <c r="AK25" s="28" t="s">
        <v>1644</v>
      </c>
      <c r="AL25" s="28" t="s">
        <v>1645</v>
      </c>
      <c r="AM25" s="28"/>
      <c r="AN25" s="7"/>
      <c r="AO25" s="7">
        <v>0</v>
      </c>
      <c r="AP25" s="8" t="b">
        <v>0</v>
      </c>
      <c r="AQ25" s="28" t="s">
        <v>1646</v>
      </c>
    </row>
    <row r="26" spans="1:43" ht="30">
      <c r="A26" s="7">
        <v>25</v>
      </c>
      <c r="B26" s="7" t="s">
        <v>165</v>
      </c>
      <c r="C26" s="7" t="s">
        <v>39</v>
      </c>
      <c r="D26" s="7" t="s">
        <v>167</v>
      </c>
      <c r="E26" s="7" t="s">
        <v>1642</v>
      </c>
      <c r="F26" s="7" t="s">
        <v>39</v>
      </c>
      <c r="G26" s="14">
        <v>2217</v>
      </c>
      <c r="H26" s="15">
        <v>12.26</v>
      </c>
      <c r="I26" s="15">
        <v>1.94</v>
      </c>
      <c r="J26" s="15">
        <v>0.49769959404600816</v>
      </c>
      <c r="K26" s="15">
        <v>7.8755074424898514E-2</v>
      </c>
      <c r="L26" s="15">
        <v>65.599999999999994</v>
      </c>
      <c r="M26" s="15">
        <v>1.726315789473684</v>
      </c>
      <c r="N26" s="16">
        <v>0.28830159411201695</v>
      </c>
      <c r="O26" s="16">
        <v>4.5620317502227802E-2</v>
      </c>
      <c r="P26" s="17">
        <f>IFERROR(G26/(G26+Priors!$H$3),0)</f>
        <v>0.6891513832763444</v>
      </c>
      <c r="Q26" s="18">
        <f>IF(E26="Premier League",Priors!$H$4,IF(E26="Championship",Priors!$H$5,Priors!$H$8))</f>
        <v>1</v>
      </c>
      <c r="R26" s="19" t="b">
        <v>0</v>
      </c>
      <c r="S26" s="18">
        <f>IF(R26=TRUE,Priors!$H$6,1)</f>
        <v>1</v>
      </c>
      <c r="T26" s="19" t="b">
        <v>0</v>
      </c>
      <c r="U26" s="18">
        <f>IF(T26=TRUE,Priors!$H$7,1)</f>
        <v>1</v>
      </c>
      <c r="V26" s="18">
        <f t="shared" si="0"/>
        <v>0.6891513832763444</v>
      </c>
      <c r="W26" s="20">
        <f>VLOOKUP(D26,Priors!$A$3:$C$6,2,FALSE)</f>
        <v>0.30461525508032317</v>
      </c>
      <c r="X26" s="20">
        <f>VLOOKUP(D26,Priors!$A$3:$C$6,3,FALSE)</f>
        <v>3.9258061548584466E-2</v>
      </c>
      <c r="Y26" s="20">
        <f t="shared" si="1"/>
        <v>0.29337267305771364</v>
      </c>
      <c r="Z26" s="20">
        <f t="shared" si="2"/>
        <v>4.3642619039795931E-2</v>
      </c>
      <c r="AA26" s="21">
        <v>1</v>
      </c>
      <c r="AB26" s="21">
        <v>1</v>
      </c>
      <c r="AC26" s="22">
        <f t="shared" si="3"/>
        <v>0.29337267305771364</v>
      </c>
      <c r="AD26" s="22">
        <f t="shared" si="4"/>
        <v>4.3642619039795931E-2</v>
      </c>
      <c r="AE26" s="22">
        <f t="shared" si="5"/>
        <v>0.3108486167236556</v>
      </c>
      <c r="AF26" s="7" t="s">
        <v>1643</v>
      </c>
      <c r="AG26" s="7">
        <v>2</v>
      </c>
      <c r="AH26" s="7"/>
      <c r="AI26" s="7"/>
      <c r="AJ26" s="8" t="b">
        <v>0</v>
      </c>
      <c r="AK26" s="28" t="s">
        <v>1644</v>
      </c>
      <c r="AL26" s="28" t="s">
        <v>1645</v>
      </c>
      <c r="AM26" s="28"/>
      <c r="AN26" s="7">
        <v>2</v>
      </c>
      <c r="AO26" s="7">
        <v>0</v>
      </c>
      <c r="AP26" s="8" t="b">
        <v>1</v>
      </c>
      <c r="AQ26" s="28" t="s">
        <v>1649</v>
      </c>
    </row>
    <row r="27" spans="1:43" ht="30">
      <c r="A27" s="7">
        <v>26</v>
      </c>
      <c r="B27" s="7" t="s">
        <v>169</v>
      </c>
      <c r="C27" s="7" t="s">
        <v>39</v>
      </c>
      <c r="D27" s="7" t="s">
        <v>167</v>
      </c>
      <c r="E27" s="7" t="s">
        <v>1642</v>
      </c>
      <c r="F27" s="7" t="s">
        <v>39</v>
      </c>
      <c r="G27" s="14">
        <v>577</v>
      </c>
      <c r="H27" s="15">
        <v>3.31</v>
      </c>
      <c r="I27" s="15">
        <v>0.64</v>
      </c>
      <c r="J27" s="15">
        <v>0.51629116117850948</v>
      </c>
      <c r="K27" s="15">
        <v>9.9826689774696706E-2</v>
      </c>
      <c r="L27" s="15">
        <v>65.599999999999994</v>
      </c>
      <c r="M27" s="15">
        <v>1.726315789473684</v>
      </c>
      <c r="N27" s="16">
        <v>0.29907109946316102</v>
      </c>
      <c r="O27" s="16">
        <v>5.7826436149976755E-2</v>
      </c>
      <c r="P27" s="17">
        <f>IFERROR(G27/(G27+Priors!$H$3),0)</f>
        <v>0.3658845909955612</v>
      </c>
      <c r="Q27" s="18">
        <f>IF(E27="Premier League",Priors!$H$4,IF(E27="Championship",Priors!$H$5,Priors!$H$8))</f>
        <v>1</v>
      </c>
      <c r="R27" s="19" t="b">
        <v>0</v>
      </c>
      <c r="S27" s="18">
        <f>IF(R27=TRUE,Priors!$H$6,1)</f>
        <v>1</v>
      </c>
      <c r="T27" s="19" t="b">
        <v>0</v>
      </c>
      <c r="U27" s="18">
        <f>IF(T27=TRUE,Priors!$H$7,1)</f>
        <v>1</v>
      </c>
      <c r="V27" s="18">
        <f t="shared" si="0"/>
        <v>0.3658845909955612</v>
      </c>
      <c r="W27" s="20">
        <f>VLOOKUP(D27,Priors!$A$3:$C$6,2,FALSE)</f>
        <v>0.30461525508032317</v>
      </c>
      <c r="X27" s="20">
        <f>VLOOKUP(D27,Priors!$A$3:$C$6,3,FALSE)</f>
        <v>3.9258061548584466E-2</v>
      </c>
      <c r="Y27" s="20">
        <f t="shared" si="1"/>
        <v>0.30258673396992203</v>
      </c>
      <c r="Z27" s="20">
        <f t="shared" si="2"/>
        <v>4.6051943695067252E-2</v>
      </c>
      <c r="AA27" s="21">
        <v>1</v>
      </c>
      <c r="AB27" s="21">
        <v>1</v>
      </c>
      <c r="AC27" s="22">
        <f t="shared" si="3"/>
        <v>0.30258673396992203</v>
      </c>
      <c r="AD27" s="22">
        <f t="shared" si="4"/>
        <v>4.6051943695067252E-2</v>
      </c>
      <c r="AE27" s="22">
        <f t="shared" si="5"/>
        <v>0.63411540900443875</v>
      </c>
      <c r="AF27" s="7" t="s">
        <v>1643</v>
      </c>
      <c r="AG27" s="7"/>
      <c r="AH27" s="7"/>
      <c r="AI27" s="7"/>
      <c r="AJ27" s="8" t="b">
        <v>1</v>
      </c>
      <c r="AK27" s="28" t="s">
        <v>1644</v>
      </c>
      <c r="AL27" s="28" t="s">
        <v>1645</v>
      </c>
      <c r="AM27" s="28"/>
      <c r="AN27" s="7"/>
      <c r="AO27" s="7">
        <v>0</v>
      </c>
      <c r="AP27" s="8" t="b">
        <v>0</v>
      </c>
      <c r="AQ27" s="28" t="s">
        <v>1646</v>
      </c>
    </row>
    <row r="28" spans="1:43" ht="30">
      <c r="A28" s="7">
        <v>27</v>
      </c>
      <c r="B28" s="7" t="s">
        <v>172</v>
      </c>
      <c r="C28" s="7" t="s">
        <v>39</v>
      </c>
      <c r="D28" s="7" t="s">
        <v>167</v>
      </c>
      <c r="E28" s="7" t="s">
        <v>1642</v>
      </c>
      <c r="F28" s="7" t="s">
        <v>39</v>
      </c>
      <c r="G28" s="14">
        <v>418</v>
      </c>
      <c r="H28" s="15">
        <v>2.71</v>
      </c>
      <c r="I28" s="15">
        <v>0.26</v>
      </c>
      <c r="J28" s="15">
        <v>0.58349282296650717</v>
      </c>
      <c r="K28" s="15">
        <v>5.5980861244019145E-2</v>
      </c>
      <c r="L28" s="15">
        <v>65.599999999999994</v>
      </c>
      <c r="M28" s="15">
        <v>1.726315789473684</v>
      </c>
      <c r="N28" s="16">
        <v>0.3379988913525499</v>
      </c>
      <c r="O28" s="16">
        <v>3.2427937915742798E-2</v>
      </c>
      <c r="P28" s="17">
        <f>IFERROR(G28/(G28+Priors!$H$3),0)</f>
        <v>0.29478138222849082</v>
      </c>
      <c r="Q28" s="18">
        <f>IF(E28="Premier League",Priors!$H$4,IF(E28="Championship",Priors!$H$5,Priors!$H$8))</f>
        <v>1</v>
      </c>
      <c r="R28" s="19" t="b">
        <v>0</v>
      </c>
      <c r="S28" s="18">
        <f>IF(R28=TRUE,Priors!$H$6,1)</f>
        <v>1</v>
      </c>
      <c r="T28" s="19" t="b">
        <v>0</v>
      </c>
      <c r="U28" s="18">
        <f>IF(T28=TRUE,Priors!$H$7,1)</f>
        <v>1</v>
      </c>
      <c r="V28" s="18">
        <f t="shared" si="0"/>
        <v>0.29478138222849082</v>
      </c>
      <c r="W28" s="20">
        <f>VLOOKUP(D28,Priors!$A$3:$C$6,2,FALSE)</f>
        <v>0.30461525508032317</v>
      </c>
      <c r="X28" s="20">
        <f>VLOOKUP(D28,Priors!$A$3:$C$6,3,FALSE)</f>
        <v>3.9258061548584466E-2</v>
      </c>
      <c r="Y28" s="20">
        <f t="shared" si="1"/>
        <v>0.31445612952446333</v>
      </c>
      <c r="Z28" s="20">
        <f t="shared" si="2"/>
        <v>3.7244668263303915E-2</v>
      </c>
      <c r="AA28" s="21">
        <v>1</v>
      </c>
      <c r="AB28" s="21">
        <v>1</v>
      </c>
      <c r="AC28" s="22">
        <f t="shared" si="3"/>
        <v>0.31445612952446333</v>
      </c>
      <c r="AD28" s="22">
        <f t="shared" si="4"/>
        <v>3.7244668263303915E-2</v>
      </c>
      <c r="AE28" s="22">
        <f t="shared" si="5"/>
        <v>0.70521861777150918</v>
      </c>
      <c r="AF28" s="7" t="s">
        <v>1643</v>
      </c>
      <c r="AG28" s="7"/>
      <c r="AH28" s="7"/>
      <c r="AI28" s="7"/>
      <c r="AJ28" s="8" t="b">
        <v>1</v>
      </c>
      <c r="AK28" s="28" t="s">
        <v>1644</v>
      </c>
      <c r="AL28" s="28" t="s">
        <v>1645</v>
      </c>
      <c r="AM28" s="28"/>
      <c r="AN28" s="7"/>
      <c r="AO28" s="7">
        <v>0</v>
      </c>
      <c r="AP28" s="8" t="b">
        <v>0</v>
      </c>
      <c r="AQ28" s="28" t="s">
        <v>1646</v>
      </c>
    </row>
    <row r="29" spans="1:43" ht="15">
      <c r="A29" s="7">
        <v>557</v>
      </c>
      <c r="B29" s="7" t="s">
        <v>175</v>
      </c>
      <c r="C29" s="7" t="s">
        <v>39</v>
      </c>
      <c r="D29" s="7" t="s">
        <v>112</v>
      </c>
      <c r="E29" s="7" t="s">
        <v>1647</v>
      </c>
      <c r="F29" s="7"/>
      <c r="G29" s="14"/>
      <c r="H29" s="15"/>
      <c r="I29" s="15"/>
      <c r="J29" s="15"/>
      <c r="K29" s="15"/>
      <c r="L29" s="15"/>
      <c r="M29" s="15"/>
      <c r="N29" s="16"/>
      <c r="O29" s="16"/>
      <c r="P29" s="17">
        <f>IFERROR(G29/(G29+Priors!$H$3),0)</f>
        <v>0</v>
      </c>
      <c r="Q29" s="18">
        <f>IF(E29="Premier League",Priors!$H$4,IF(E29="Championship",Priors!$H$5,Priors!$H$8))</f>
        <v>0</v>
      </c>
      <c r="R29" s="19" t="b">
        <v>0</v>
      </c>
      <c r="S29" s="18">
        <f>IF(R29=TRUE,Priors!$H$6,1)</f>
        <v>1</v>
      </c>
      <c r="T29" s="19" t="b">
        <v>0</v>
      </c>
      <c r="U29" s="18">
        <f>IF(T29=TRUE,Priors!$H$7,1)</f>
        <v>1</v>
      </c>
      <c r="V29" s="18">
        <f t="shared" si="0"/>
        <v>0</v>
      </c>
      <c r="W29" s="20">
        <f>VLOOKUP(D29,Priors!$A$3:$C$6,2,FALSE)</f>
        <v>0.10751786102217777</v>
      </c>
      <c r="X29" s="20">
        <f>VLOOKUP(D29,Priors!$A$3:$C$6,3,FALSE)</f>
        <v>9.0240671969462088E-2</v>
      </c>
      <c r="Y29" s="20">
        <f t="shared" si="1"/>
        <v>0.10751786102217777</v>
      </c>
      <c r="Z29" s="20">
        <f t="shared" si="2"/>
        <v>9.0240671969462088E-2</v>
      </c>
      <c r="AA29" s="21">
        <v>1</v>
      </c>
      <c r="AB29" s="21">
        <v>1</v>
      </c>
      <c r="AC29" s="22">
        <f t="shared" si="3"/>
        <v>0.10751786102217777</v>
      </c>
      <c r="AD29" s="22">
        <f t="shared" si="4"/>
        <v>9.0240671969462088E-2</v>
      </c>
      <c r="AE29" s="22">
        <f t="shared" si="5"/>
        <v>1</v>
      </c>
      <c r="AF29" s="7" t="s">
        <v>1647</v>
      </c>
      <c r="AG29" s="7"/>
      <c r="AH29" s="7"/>
      <c r="AI29" s="7"/>
      <c r="AJ29" s="8" t="b">
        <v>1</v>
      </c>
      <c r="AK29" s="28" t="s">
        <v>1648</v>
      </c>
      <c r="AL29" s="28"/>
      <c r="AM29" s="28"/>
      <c r="AN29" s="7"/>
      <c r="AO29" s="7">
        <v>0</v>
      </c>
      <c r="AP29" s="8" t="b">
        <v>0</v>
      </c>
      <c r="AQ29" s="28" t="s">
        <v>1646</v>
      </c>
    </row>
    <row r="30" spans="1:43" ht="30">
      <c r="A30" s="7">
        <v>28</v>
      </c>
      <c r="B30" s="7" t="s">
        <v>178</v>
      </c>
      <c r="C30" s="7" t="s">
        <v>40</v>
      </c>
      <c r="D30" s="7" t="s">
        <v>85</v>
      </c>
      <c r="E30" s="7" t="s">
        <v>1642</v>
      </c>
      <c r="F30" s="7" t="s">
        <v>40</v>
      </c>
      <c r="G30" s="14">
        <v>2835</v>
      </c>
      <c r="H30" s="15">
        <v>0</v>
      </c>
      <c r="I30" s="15">
        <v>0.08</v>
      </c>
      <c r="J30" s="15">
        <v>0</v>
      </c>
      <c r="K30" s="15">
        <v>2.5396825396825397E-3</v>
      </c>
      <c r="L30" s="15">
        <v>48.2</v>
      </c>
      <c r="M30" s="15">
        <v>1.2684210526315791</v>
      </c>
      <c r="N30" s="16">
        <v>0</v>
      </c>
      <c r="O30" s="16">
        <v>2.0022393466376867E-3</v>
      </c>
      <c r="P30" s="17">
        <f>IFERROR(G30/(G30+Priors!$H$3),0)</f>
        <v>0.73924380704041726</v>
      </c>
      <c r="Q30" s="18">
        <f>IF(E30="Premier League",Priors!$H$4,IF(E30="Championship",Priors!$H$5,Priors!$H$8))</f>
        <v>1</v>
      </c>
      <c r="R30" s="19" t="b">
        <v>0</v>
      </c>
      <c r="S30" s="18">
        <f>IF(R30=TRUE,Priors!$H$6,1)</f>
        <v>1</v>
      </c>
      <c r="T30" s="19" t="b">
        <v>0</v>
      </c>
      <c r="U30" s="18">
        <f>IF(T30=TRUE,Priors!$H$7,1)</f>
        <v>1</v>
      </c>
      <c r="V30" s="18">
        <f t="shared" si="0"/>
        <v>0.73924380704041726</v>
      </c>
      <c r="W30" s="20">
        <f>VLOOKUP(D30,Priors!$A$3:$C$6,2,FALSE)</f>
        <v>1.6719534964712218E-4</v>
      </c>
      <c r="X30" s="20">
        <f>VLOOKUP(D30,Priors!$A$3:$C$6,3,FALSE)</f>
        <v>1.379361634588758E-3</v>
      </c>
      <c r="Y30" s="20">
        <f t="shared" si="1"/>
        <v>4.3597222854529897E-5</v>
      </c>
      <c r="Z30" s="20">
        <f t="shared" si="2"/>
        <v>1.839820125764433E-3</v>
      </c>
      <c r="AA30" s="21">
        <v>1</v>
      </c>
      <c r="AB30" s="21">
        <v>1</v>
      </c>
      <c r="AC30" s="22">
        <f t="shared" si="3"/>
        <v>4.3597222854529897E-5</v>
      </c>
      <c r="AD30" s="22">
        <f t="shared" si="4"/>
        <v>1.839820125764433E-3</v>
      </c>
      <c r="AE30" s="22">
        <f t="shared" si="5"/>
        <v>0.26075619295958274</v>
      </c>
      <c r="AF30" s="7" t="s">
        <v>1643</v>
      </c>
      <c r="AG30" s="7"/>
      <c r="AH30" s="7"/>
      <c r="AI30" s="7"/>
      <c r="AJ30" s="8" t="b">
        <v>0</v>
      </c>
      <c r="AK30" s="28" t="s">
        <v>1644</v>
      </c>
      <c r="AL30" s="28" t="s">
        <v>1645</v>
      </c>
      <c r="AM30" s="28"/>
      <c r="AN30" s="7"/>
      <c r="AO30" s="7">
        <v>0</v>
      </c>
      <c r="AP30" s="8" t="b">
        <v>0</v>
      </c>
      <c r="AQ30" s="28" t="s">
        <v>1646</v>
      </c>
    </row>
    <row r="31" spans="1:43" ht="30">
      <c r="A31" s="7">
        <v>29</v>
      </c>
      <c r="B31" s="7" t="s">
        <v>183</v>
      </c>
      <c r="C31" s="7" t="s">
        <v>40</v>
      </c>
      <c r="D31" s="7" t="s">
        <v>85</v>
      </c>
      <c r="E31" s="7" t="s">
        <v>1642</v>
      </c>
      <c r="F31" s="7" t="s">
        <v>40</v>
      </c>
      <c r="G31" s="14">
        <v>585</v>
      </c>
      <c r="H31" s="15">
        <v>0</v>
      </c>
      <c r="I31" s="15">
        <v>0</v>
      </c>
      <c r="J31" s="15">
        <v>0</v>
      </c>
      <c r="K31" s="15">
        <v>0</v>
      </c>
      <c r="L31" s="15">
        <v>48.2</v>
      </c>
      <c r="M31" s="15">
        <v>1.2684210526315791</v>
      </c>
      <c r="N31" s="16">
        <v>0</v>
      </c>
      <c r="O31" s="16">
        <v>0</v>
      </c>
      <c r="P31" s="17">
        <f>IFERROR(G31/(G31+Priors!$H$3),0)</f>
        <v>0.36908517350157727</v>
      </c>
      <c r="Q31" s="18">
        <f>IF(E31="Premier League",Priors!$H$4,IF(E31="Championship",Priors!$H$5,Priors!$H$8))</f>
        <v>1</v>
      </c>
      <c r="R31" s="19" t="b">
        <v>0</v>
      </c>
      <c r="S31" s="18">
        <f>IF(R31=TRUE,Priors!$H$6,1)</f>
        <v>1</v>
      </c>
      <c r="T31" s="19" t="b">
        <v>0</v>
      </c>
      <c r="U31" s="18">
        <f>IF(T31=TRUE,Priors!$H$7,1)</f>
        <v>1</v>
      </c>
      <c r="V31" s="18">
        <f t="shared" si="0"/>
        <v>0.36908517350157727</v>
      </c>
      <c r="W31" s="20">
        <f>VLOOKUP(D31,Priors!$A$3:$C$6,2,FALSE)</f>
        <v>1.6719534964712218E-4</v>
      </c>
      <c r="X31" s="20">
        <f>VLOOKUP(D31,Priors!$A$3:$C$6,3,FALSE)</f>
        <v>1.379361634588758E-3</v>
      </c>
      <c r="Y31" s="20">
        <f t="shared" si="1"/>
        <v>1.0548602501395723E-4</v>
      </c>
      <c r="Z31" s="20">
        <f t="shared" si="2"/>
        <v>8.7025970636514711E-4</v>
      </c>
      <c r="AA31" s="21">
        <v>1</v>
      </c>
      <c r="AB31" s="21">
        <v>1</v>
      </c>
      <c r="AC31" s="22">
        <f t="shared" si="3"/>
        <v>1.0548602501395723E-4</v>
      </c>
      <c r="AD31" s="22">
        <f t="shared" si="4"/>
        <v>8.7025970636514711E-4</v>
      </c>
      <c r="AE31" s="22">
        <f t="shared" si="5"/>
        <v>0.63091482649842279</v>
      </c>
      <c r="AF31" s="7" t="s">
        <v>1643</v>
      </c>
      <c r="AG31" s="7"/>
      <c r="AH31" s="7"/>
      <c r="AI31" s="7"/>
      <c r="AJ31" s="8" t="b">
        <v>1</v>
      </c>
      <c r="AK31" s="28" t="s">
        <v>1644</v>
      </c>
      <c r="AL31" s="28" t="s">
        <v>1645</v>
      </c>
      <c r="AM31" s="28"/>
      <c r="AN31" s="7"/>
      <c r="AO31" s="7">
        <v>0</v>
      </c>
      <c r="AP31" s="8" t="b">
        <v>0</v>
      </c>
      <c r="AQ31" s="28" t="s">
        <v>1646</v>
      </c>
    </row>
    <row r="32" spans="1:43" ht="30">
      <c r="A32" s="7">
        <v>30</v>
      </c>
      <c r="B32" s="7" t="s">
        <v>186</v>
      </c>
      <c r="C32" s="7" t="s">
        <v>40</v>
      </c>
      <c r="D32" s="7" t="s">
        <v>99</v>
      </c>
      <c r="E32" s="7" t="s">
        <v>1642</v>
      </c>
      <c r="F32" s="7" t="s">
        <v>40</v>
      </c>
      <c r="G32" s="14">
        <v>1842</v>
      </c>
      <c r="H32" s="15">
        <v>0.67</v>
      </c>
      <c r="I32" s="15">
        <v>3.28</v>
      </c>
      <c r="J32" s="15">
        <v>3.2736156351791536E-2</v>
      </c>
      <c r="K32" s="15">
        <v>0.16026058631921825</v>
      </c>
      <c r="L32" s="15">
        <v>48.2</v>
      </c>
      <c r="M32" s="15">
        <v>1.2684210526315791</v>
      </c>
      <c r="N32" s="16">
        <v>2.5808587995188346E-2</v>
      </c>
      <c r="O32" s="16">
        <v>0.12634652033465338</v>
      </c>
      <c r="P32" s="17">
        <f>IFERROR(G32/(G32+Priors!$H$3),0)</f>
        <v>0.64813511611541164</v>
      </c>
      <c r="Q32" s="18">
        <f>IF(E32="Premier League",Priors!$H$4,IF(E32="Championship",Priors!$H$5,Priors!$H$8))</f>
        <v>1</v>
      </c>
      <c r="R32" s="19" t="b">
        <v>0</v>
      </c>
      <c r="S32" s="18">
        <f>IF(R32=TRUE,Priors!$H$6,1)</f>
        <v>1</v>
      </c>
      <c r="T32" s="19" t="b">
        <v>0</v>
      </c>
      <c r="U32" s="18">
        <f>IF(T32=TRUE,Priors!$H$7,1)</f>
        <v>1</v>
      </c>
      <c r="V32" s="18">
        <f t="shared" si="0"/>
        <v>0.64813511611541164</v>
      </c>
      <c r="W32" s="20">
        <f>VLOOKUP(D32,Priors!$A$3:$C$6,2,FALSE)</f>
        <v>4.1142361271531161E-2</v>
      </c>
      <c r="X32" s="20">
        <f>VLOOKUP(D32,Priors!$A$3:$C$6,3,FALSE)</f>
        <v>4.0513079897554365E-2</v>
      </c>
      <c r="Y32" s="20">
        <f t="shared" si="1"/>
        <v>3.1204004348581314E-2</v>
      </c>
      <c r="Z32" s="20">
        <f t="shared" si="2"/>
        <v>9.6144746781838805E-2</v>
      </c>
      <c r="AA32" s="21">
        <v>1</v>
      </c>
      <c r="AB32" s="21">
        <v>1</v>
      </c>
      <c r="AC32" s="22">
        <f t="shared" si="3"/>
        <v>3.1204004348581314E-2</v>
      </c>
      <c r="AD32" s="22">
        <f t="shared" si="4"/>
        <v>9.6144746781838805E-2</v>
      </c>
      <c r="AE32" s="22">
        <f t="shared" si="5"/>
        <v>0.35186488388458836</v>
      </c>
      <c r="AF32" s="7" t="s">
        <v>1643</v>
      </c>
      <c r="AG32" s="7"/>
      <c r="AH32" s="7"/>
      <c r="AI32" s="7">
        <v>4</v>
      </c>
      <c r="AJ32" s="8" t="b">
        <v>0</v>
      </c>
      <c r="AK32" s="28" t="s">
        <v>1644</v>
      </c>
      <c r="AL32" s="28" t="s">
        <v>1645</v>
      </c>
      <c r="AM32" s="28"/>
      <c r="AN32" s="7"/>
      <c r="AO32" s="7">
        <v>0</v>
      </c>
      <c r="AP32" s="8" t="b">
        <v>0</v>
      </c>
      <c r="AQ32" s="28" t="s">
        <v>1646</v>
      </c>
    </row>
    <row r="33" spans="1:43" ht="30">
      <c r="A33" s="7">
        <v>31</v>
      </c>
      <c r="B33" s="7" t="s">
        <v>189</v>
      </c>
      <c r="C33" s="7" t="s">
        <v>40</v>
      </c>
      <c r="D33" s="7" t="s">
        <v>99</v>
      </c>
      <c r="E33" s="7" t="s">
        <v>1642</v>
      </c>
      <c r="F33" s="7" t="s">
        <v>40</v>
      </c>
      <c r="G33" s="14">
        <v>3035</v>
      </c>
      <c r="H33" s="15">
        <v>1.27</v>
      </c>
      <c r="I33" s="15">
        <v>0.59</v>
      </c>
      <c r="J33" s="15">
        <v>3.7660626029654039E-2</v>
      </c>
      <c r="K33" s="15">
        <v>1.7495881383855022E-2</v>
      </c>
      <c r="L33" s="15">
        <v>48.2</v>
      </c>
      <c r="M33" s="15">
        <v>1.2684210526315791</v>
      </c>
      <c r="N33" s="16">
        <v>2.9690949981884922E-2</v>
      </c>
      <c r="O33" s="16">
        <v>1.379343345615126E-2</v>
      </c>
      <c r="P33" s="17">
        <f>IFERROR(G33/(G33+Priors!$H$3),0)</f>
        <v>0.75216852540272616</v>
      </c>
      <c r="Q33" s="18">
        <f>IF(E33="Premier League",Priors!$H$4,IF(E33="Championship",Priors!$H$5,Priors!$H$8))</f>
        <v>1</v>
      </c>
      <c r="R33" s="19" t="b">
        <v>0</v>
      </c>
      <c r="S33" s="18">
        <f>IF(R33=TRUE,Priors!$H$6,1)</f>
        <v>1</v>
      </c>
      <c r="T33" s="19" t="b">
        <v>0</v>
      </c>
      <c r="U33" s="18">
        <f>IF(T33=TRUE,Priors!$H$7,1)</f>
        <v>1</v>
      </c>
      <c r="V33" s="18">
        <f t="shared" si="0"/>
        <v>0.75216852540272616</v>
      </c>
      <c r="W33" s="20">
        <f>VLOOKUP(D33,Priors!$A$3:$C$6,2,FALSE)</f>
        <v>4.1142361271531161E-2</v>
      </c>
      <c r="X33" s="20">
        <f>VLOOKUP(D33,Priors!$A$3:$C$6,3,FALSE)</f>
        <v>4.0513079897554365E-2</v>
      </c>
      <c r="Y33" s="20">
        <f t="shared" si="1"/>
        <v>3.2528970128017816E-2</v>
      </c>
      <c r="Z33" s="20">
        <f t="shared" si="2"/>
        <v>2.0415402834441994E-2</v>
      </c>
      <c r="AA33" s="21">
        <v>1</v>
      </c>
      <c r="AB33" s="21">
        <v>1</v>
      </c>
      <c r="AC33" s="22">
        <f t="shared" si="3"/>
        <v>3.2528970128017816E-2</v>
      </c>
      <c r="AD33" s="22">
        <f t="shared" si="4"/>
        <v>2.0415402834441994E-2</v>
      </c>
      <c r="AE33" s="22">
        <f t="shared" si="5"/>
        <v>0.24783147459727384</v>
      </c>
      <c r="AF33" s="7" t="s">
        <v>1643</v>
      </c>
      <c r="AG33" s="7"/>
      <c r="AH33" s="7"/>
      <c r="AI33" s="7"/>
      <c r="AJ33" s="8" t="b">
        <v>0</v>
      </c>
      <c r="AK33" s="28" t="s">
        <v>1644</v>
      </c>
      <c r="AL33" s="28" t="s">
        <v>1645</v>
      </c>
      <c r="AM33" s="28"/>
      <c r="AN33" s="7"/>
      <c r="AO33" s="7">
        <v>0</v>
      </c>
      <c r="AP33" s="8" t="b">
        <v>0</v>
      </c>
      <c r="AQ33" s="28" t="s">
        <v>1646</v>
      </c>
    </row>
    <row r="34" spans="1:43" ht="30">
      <c r="A34" s="7">
        <v>32</v>
      </c>
      <c r="B34" s="7" t="s">
        <v>192</v>
      </c>
      <c r="C34" s="7" t="s">
        <v>40</v>
      </c>
      <c r="D34" s="7" t="s">
        <v>99</v>
      </c>
      <c r="E34" s="7" t="s">
        <v>1642</v>
      </c>
      <c r="F34" s="7" t="s">
        <v>40</v>
      </c>
      <c r="G34" s="14">
        <v>3016</v>
      </c>
      <c r="H34" s="15">
        <v>1.1399999999999999</v>
      </c>
      <c r="I34" s="15">
        <v>2.94</v>
      </c>
      <c r="J34" s="15">
        <v>3.4018567639257292E-2</v>
      </c>
      <c r="K34" s="15">
        <v>8.7732095490716186E-2</v>
      </c>
      <c r="L34" s="15">
        <v>48.2</v>
      </c>
      <c r="M34" s="15">
        <v>1.2684210526315791</v>
      </c>
      <c r="N34" s="16">
        <v>2.6819617640908237E-2</v>
      </c>
      <c r="O34" s="16">
        <v>6.9166382337079141E-2</v>
      </c>
      <c r="P34" s="17">
        <f>IFERROR(G34/(G34+Priors!$H$3),0)</f>
        <v>0.75099601593625498</v>
      </c>
      <c r="Q34" s="18">
        <f>IF(E34="Premier League",Priors!$H$4,IF(E34="Championship",Priors!$H$5,Priors!$H$8))</f>
        <v>1</v>
      </c>
      <c r="R34" s="19" t="b">
        <v>0</v>
      </c>
      <c r="S34" s="18">
        <f>IF(R34=TRUE,Priors!$H$6,1)</f>
        <v>1</v>
      </c>
      <c r="T34" s="19" t="b">
        <v>0</v>
      </c>
      <c r="U34" s="18">
        <f>IF(T34=TRUE,Priors!$H$7,1)</f>
        <v>1</v>
      </c>
      <c r="V34" s="18">
        <f t="shared" si="0"/>
        <v>0.75099601593625498</v>
      </c>
      <c r="W34" s="20">
        <f>VLOOKUP(D34,Priors!$A$3:$C$6,2,FALSE)</f>
        <v>4.1142361271531161E-2</v>
      </c>
      <c r="X34" s="20">
        <f>VLOOKUP(D34,Priors!$A$3:$C$6,3,FALSE)</f>
        <v>4.0513079897554365E-2</v>
      </c>
      <c r="Y34" s="20">
        <f t="shared" si="1"/>
        <v>3.0386037867656972E-2</v>
      </c>
      <c r="Z34" s="20">
        <f t="shared" si="2"/>
        <v>6.2031595873054048E-2</v>
      </c>
      <c r="AA34" s="21">
        <v>1</v>
      </c>
      <c r="AB34" s="21">
        <v>1</v>
      </c>
      <c r="AC34" s="22">
        <f t="shared" si="3"/>
        <v>3.0386037867656972E-2</v>
      </c>
      <c r="AD34" s="22">
        <f t="shared" si="4"/>
        <v>6.2031595873054048E-2</v>
      </c>
      <c r="AE34" s="22">
        <f t="shared" si="5"/>
        <v>0.24900398406374502</v>
      </c>
      <c r="AF34" s="7" t="s">
        <v>1643</v>
      </c>
      <c r="AG34" s="7"/>
      <c r="AH34" s="7"/>
      <c r="AI34" s="7">
        <v>5</v>
      </c>
      <c r="AJ34" s="8" t="b">
        <v>0</v>
      </c>
      <c r="AK34" s="28" t="s">
        <v>1644</v>
      </c>
      <c r="AL34" s="28" t="s">
        <v>1645</v>
      </c>
      <c r="AM34" s="28"/>
      <c r="AN34" s="7"/>
      <c r="AO34" s="7">
        <v>0</v>
      </c>
      <c r="AP34" s="8" t="b">
        <v>0</v>
      </c>
      <c r="AQ34" s="28" t="s">
        <v>1646</v>
      </c>
    </row>
    <row r="35" spans="1:43" ht="30">
      <c r="A35" s="7">
        <v>33</v>
      </c>
      <c r="B35" s="7" t="s">
        <v>195</v>
      </c>
      <c r="C35" s="7" t="s">
        <v>40</v>
      </c>
      <c r="D35" s="7" t="s">
        <v>99</v>
      </c>
      <c r="E35" s="7" t="s">
        <v>1642</v>
      </c>
      <c r="F35" s="7" t="s">
        <v>40</v>
      </c>
      <c r="G35" s="14">
        <v>1322</v>
      </c>
      <c r="H35" s="15">
        <v>1.3</v>
      </c>
      <c r="I35" s="15">
        <v>0.42</v>
      </c>
      <c r="J35" s="15">
        <v>8.8502269288956131E-2</v>
      </c>
      <c r="K35" s="15">
        <v>2.8593040847201209E-2</v>
      </c>
      <c r="L35" s="15">
        <v>48.2</v>
      </c>
      <c r="M35" s="15">
        <v>1.2684210526315791</v>
      </c>
      <c r="N35" s="16">
        <v>6.9773573298347144E-2</v>
      </c>
      <c r="O35" s="16">
        <v>2.2542231373312155E-2</v>
      </c>
      <c r="P35" s="17">
        <f>IFERROR(G35/(G35+Priors!$H$3),0)</f>
        <v>0.56933677863910426</v>
      </c>
      <c r="Q35" s="18">
        <f>IF(E35="Premier League",Priors!$H$4,IF(E35="Championship",Priors!$H$5,Priors!$H$8))</f>
        <v>1</v>
      </c>
      <c r="R35" s="19" t="b">
        <v>0</v>
      </c>
      <c r="S35" s="18">
        <f>IF(R35=TRUE,Priors!$H$6,1)</f>
        <v>1</v>
      </c>
      <c r="T35" s="19" t="b">
        <v>0</v>
      </c>
      <c r="U35" s="18">
        <f>IF(T35=TRUE,Priors!$H$7,1)</f>
        <v>1</v>
      </c>
      <c r="V35" s="18">
        <f t="shared" si="0"/>
        <v>0.56933677863910426</v>
      </c>
      <c r="W35" s="20">
        <f>VLOOKUP(D35,Priors!$A$3:$C$6,2,FALSE)</f>
        <v>4.1142361271531161E-2</v>
      </c>
      <c r="X35" s="20">
        <f>VLOOKUP(D35,Priors!$A$3:$C$6,3,FALSE)</f>
        <v>4.0513079897554365E-2</v>
      </c>
      <c r="Y35" s="20">
        <f t="shared" si="1"/>
        <v>5.7443163295411756E-2</v>
      </c>
      <c r="Z35" s="20">
        <f t="shared" si="2"/>
        <v>3.0281614889351001E-2</v>
      </c>
      <c r="AA35" s="21">
        <v>1</v>
      </c>
      <c r="AB35" s="21">
        <v>1</v>
      </c>
      <c r="AC35" s="22">
        <f t="shared" si="3"/>
        <v>5.7443163295411756E-2</v>
      </c>
      <c r="AD35" s="22">
        <f t="shared" si="4"/>
        <v>3.0281614889351001E-2</v>
      </c>
      <c r="AE35" s="22">
        <f t="shared" si="5"/>
        <v>0.43066322136089574</v>
      </c>
      <c r="AF35" s="7" t="s">
        <v>1643</v>
      </c>
      <c r="AG35" s="7"/>
      <c r="AH35" s="7"/>
      <c r="AI35" s="7"/>
      <c r="AJ35" s="8" t="b">
        <v>0</v>
      </c>
      <c r="AK35" s="28" t="s">
        <v>1644</v>
      </c>
      <c r="AL35" s="28" t="s">
        <v>1645</v>
      </c>
      <c r="AM35" s="28"/>
      <c r="AN35" s="7"/>
      <c r="AO35" s="7">
        <v>0</v>
      </c>
      <c r="AP35" s="8" t="b">
        <v>0</v>
      </c>
      <c r="AQ35" s="28" t="s">
        <v>1646</v>
      </c>
    </row>
    <row r="36" spans="1:43" ht="30">
      <c r="A36" s="7">
        <v>34</v>
      </c>
      <c r="B36" s="7" t="s">
        <v>198</v>
      </c>
      <c r="C36" s="7" t="s">
        <v>40</v>
      </c>
      <c r="D36" s="7" t="s">
        <v>99</v>
      </c>
      <c r="E36" s="7" t="s">
        <v>1642</v>
      </c>
      <c r="F36" s="7" t="s">
        <v>40</v>
      </c>
      <c r="G36" s="14">
        <v>1673</v>
      </c>
      <c r="H36" s="15">
        <v>1.33</v>
      </c>
      <c r="I36" s="15">
        <v>0.39</v>
      </c>
      <c r="J36" s="15">
        <v>7.1548117154811713E-2</v>
      </c>
      <c r="K36" s="15">
        <v>2.0980274955170353E-2</v>
      </c>
      <c r="L36" s="15">
        <v>48.2</v>
      </c>
      <c r="M36" s="15">
        <v>1.2684210526315791</v>
      </c>
      <c r="N36" s="16">
        <v>5.6407229292175204E-2</v>
      </c>
      <c r="O36" s="16">
        <v>1.6540465732291978E-2</v>
      </c>
      <c r="P36" s="17">
        <f>IFERROR(G36/(G36+Priors!$H$3),0)</f>
        <v>0.6258885147774037</v>
      </c>
      <c r="Q36" s="18">
        <f>IF(E36="Premier League",Priors!$H$4,IF(E36="Championship",Priors!$H$5,Priors!$H$8))</f>
        <v>1</v>
      </c>
      <c r="R36" s="19" t="b">
        <v>0</v>
      </c>
      <c r="S36" s="18">
        <f>IF(R36=TRUE,Priors!$H$6,1)</f>
        <v>1</v>
      </c>
      <c r="T36" s="19" t="b">
        <v>0</v>
      </c>
      <c r="U36" s="18">
        <f>IF(T36=TRUE,Priors!$H$7,1)</f>
        <v>1</v>
      </c>
      <c r="V36" s="18">
        <f t="shared" si="0"/>
        <v>0.6258885147774037</v>
      </c>
      <c r="W36" s="20">
        <f>VLOOKUP(D36,Priors!$A$3:$C$6,2,FALSE)</f>
        <v>4.1142361271531161E-2</v>
      </c>
      <c r="X36" s="20">
        <f>VLOOKUP(D36,Priors!$A$3:$C$6,3,FALSE)</f>
        <v>4.0513079897554365E-2</v>
      </c>
      <c r="Y36" s="20">
        <f t="shared" si="1"/>
        <v>5.0696466845245147E-2</v>
      </c>
      <c r="Z36" s="20">
        <f t="shared" si="2"/>
        <v>2.550889602232654E-2</v>
      </c>
      <c r="AA36" s="21">
        <v>1</v>
      </c>
      <c r="AB36" s="21">
        <v>1</v>
      </c>
      <c r="AC36" s="22">
        <f t="shared" si="3"/>
        <v>5.0696466845245147E-2</v>
      </c>
      <c r="AD36" s="22">
        <f t="shared" si="4"/>
        <v>2.550889602232654E-2</v>
      </c>
      <c r="AE36" s="22">
        <f t="shared" si="5"/>
        <v>0.3741114852225963</v>
      </c>
      <c r="AF36" s="7" t="s">
        <v>1643</v>
      </c>
      <c r="AG36" s="7"/>
      <c r="AH36" s="7"/>
      <c r="AI36" s="7"/>
      <c r="AJ36" s="8" t="b">
        <v>0</v>
      </c>
      <c r="AK36" s="28" t="s">
        <v>1644</v>
      </c>
      <c r="AL36" s="28" t="s">
        <v>1645</v>
      </c>
      <c r="AM36" s="28"/>
      <c r="AN36" s="7"/>
      <c r="AO36" s="7">
        <v>0</v>
      </c>
      <c r="AP36" s="8" t="b">
        <v>0</v>
      </c>
      <c r="AQ36" s="28" t="s">
        <v>1646</v>
      </c>
    </row>
    <row r="37" spans="1:43" ht="30">
      <c r="A37" s="7">
        <v>35</v>
      </c>
      <c r="B37" s="7" t="s">
        <v>201</v>
      </c>
      <c r="C37" s="7" t="s">
        <v>40</v>
      </c>
      <c r="D37" s="7" t="s">
        <v>112</v>
      </c>
      <c r="E37" s="7" t="s">
        <v>1642</v>
      </c>
      <c r="F37" s="7" t="s">
        <v>40</v>
      </c>
      <c r="G37" s="14">
        <v>1042</v>
      </c>
      <c r="H37" s="15">
        <v>0</v>
      </c>
      <c r="I37" s="15">
        <v>0.2</v>
      </c>
      <c r="J37" s="15">
        <v>0</v>
      </c>
      <c r="K37" s="15">
        <v>1.7274472168905951E-2</v>
      </c>
      <c r="L37" s="15">
        <v>48.2</v>
      </c>
      <c r="M37" s="15">
        <v>1.2684210526315791</v>
      </c>
      <c r="N37" s="16">
        <v>0</v>
      </c>
      <c r="O37" s="16">
        <v>1.3618878473411328E-2</v>
      </c>
      <c r="P37" s="17">
        <f>IFERROR(G37/(G37+Priors!$H$3),0)</f>
        <v>0.51028403525954946</v>
      </c>
      <c r="Q37" s="18">
        <f>IF(E37="Premier League",Priors!$H$4,IF(E37="Championship",Priors!$H$5,Priors!$H$8))</f>
        <v>1</v>
      </c>
      <c r="R37" s="19" t="b">
        <v>0</v>
      </c>
      <c r="S37" s="18">
        <f>IF(R37=TRUE,Priors!$H$6,1)</f>
        <v>1</v>
      </c>
      <c r="T37" s="19" t="b">
        <v>0</v>
      </c>
      <c r="U37" s="18">
        <f>IF(T37=TRUE,Priors!$H$7,1)</f>
        <v>1</v>
      </c>
      <c r="V37" s="18">
        <f t="shared" si="0"/>
        <v>0.51028403525954946</v>
      </c>
      <c r="W37" s="20">
        <f>VLOOKUP(D37,Priors!$A$3:$C$6,2,FALSE)</f>
        <v>0.10751786102217777</v>
      </c>
      <c r="X37" s="20">
        <f>VLOOKUP(D37,Priors!$A$3:$C$6,3,FALSE)</f>
        <v>9.0240671969462088E-2</v>
      </c>
      <c r="Y37" s="20">
        <f t="shared" si="1"/>
        <v>5.2653213037305469E-2</v>
      </c>
      <c r="Z37" s="20">
        <f t="shared" si="2"/>
        <v>5.1141793995473403E-2</v>
      </c>
      <c r="AA37" s="21">
        <v>1</v>
      </c>
      <c r="AB37" s="21">
        <v>1</v>
      </c>
      <c r="AC37" s="22">
        <f t="shared" si="3"/>
        <v>5.2653213037305469E-2</v>
      </c>
      <c r="AD37" s="22">
        <f t="shared" si="4"/>
        <v>5.1141793995473403E-2</v>
      </c>
      <c r="AE37" s="22">
        <f t="shared" si="5"/>
        <v>0.48971596474045054</v>
      </c>
      <c r="AF37" s="7" t="s">
        <v>1643</v>
      </c>
      <c r="AG37" s="7"/>
      <c r="AH37" s="7"/>
      <c r="AI37" s="7"/>
      <c r="AJ37" s="8" t="b">
        <v>0</v>
      </c>
      <c r="AK37" s="28" t="s">
        <v>1644</v>
      </c>
      <c r="AL37" s="28" t="s">
        <v>1645</v>
      </c>
      <c r="AM37" s="28"/>
      <c r="AN37" s="7"/>
      <c r="AO37" s="7">
        <v>0</v>
      </c>
      <c r="AP37" s="8" t="b">
        <v>0</v>
      </c>
      <c r="AQ37" s="28" t="s">
        <v>1646</v>
      </c>
    </row>
    <row r="38" spans="1:43" ht="30">
      <c r="A38" s="7">
        <v>36</v>
      </c>
      <c r="B38" s="7" t="s">
        <v>204</v>
      </c>
      <c r="C38" s="7" t="s">
        <v>40</v>
      </c>
      <c r="D38" s="7" t="s">
        <v>99</v>
      </c>
      <c r="E38" s="7" t="s">
        <v>1642</v>
      </c>
      <c r="F38" s="7" t="s">
        <v>40</v>
      </c>
      <c r="G38" s="14">
        <v>1590</v>
      </c>
      <c r="H38" s="15">
        <v>1.26</v>
      </c>
      <c r="I38" s="15">
        <v>2.39</v>
      </c>
      <c r="J38" s="15">
        <v>7.1320754716981141E-2</v>
      </c>
      <c r="K38" s="15">
        <v>0.13528301886792454</v>
      </c>
      <c r="L38" s="15">
        <v>48.2</v>
      </c>
      <c r="M38" s="15">
        <v>1.2684210526315791</v>
      </c>
      <c r="N38" s="16">
        <v>5.6227980897205043E-2</v>
      </c>
      <c r="O38" s="16">
        <v>0.10665466217803178</v>
      </c>
      <c r="P38" s="17">
        <f>IFERROR(G38/(G38+Priors!$H$3),0)</f>
        <v>0.61389961389961389</v>
      </c>
      <c r="Q38" s="18">
        <f>IF(E38="Premier League",Priors!$H$4,IF(E38="Championship",Priors!$H$5,Priors!$H$8))</f>
        <v>1</v>
      </c>
      <c r="R38" s="19" t="b">
        <v>0</v>
      </c>
      <c r="S38" s="18">
        <f>IF(R38=TRUE,Priors!$H$6,1)</f>
        <v>1</v>
      </c>
      <c r="T38" s="19" t="b">
        <v>0</v>
      </c>
      <c r="U38" s="18">
        <f>IF(T38=TRUE,Priors!$H$7,1)</f>
        <v>1</v>
      </c>
      <c r="V38" s="18">
        <f t="shared" si="0"/>
        <v>0.61389961389961389</v>
      </c>
      <c r="W38" s="20">
        <f>VLOOKUP(D38,Priors!$A$3:$C$6,2,FALSE)</f>
        <v>4.1142361271531161E-2</v>
      </c>
      <c r="X38" s="20">
        <f>VLOOKUP(D38,Priors!$A$3:$C$6,3,FALSE)</f>
        <v>4.0513079897554365E-2</v>
      </c>
      <c r="Y38" s="20">
        <f t="shared" si="1"/>
        <v>5.0403417335168794E-2</v>
      </c>
      <c r="Z38" s="20">
        <f t="shared" si="2"/>
        <v>8.111737172224899E-2</v>
      </c>
      <c r="AA38" s="21">
        <v>1</v>
      </c>
      <c r="AB38" s="21">
        <v>1</v>
      </c>
      <c r="AC38" s="22">
        <f t="shared" si="3"/>
        <v>5.0403417335168794E-2</v>
      </c>
      <c r="AD38" s="22">
        <f t="shared" si="4"/>
        <v>8.111737172224899E-2</v>
      </c>
      <c r="AE38" s="22">
        <f t="shared" si="5"/>
        <v>0.38610038610038611</v>
      </c>
      <c r="AF38" s="7" t="s">
        <v>1643</v>
      </c>
      <c r="AG38" s="7"/>
      <c r="AH38" s="7"/>
      <c r="AI38" s="7"/>
      <c r="AJ38" s="8" t="b">
        <v>0</v>
      </c>
      <c r="AK38" s="28" t="s">
        <v>1644</v>
      </c>
      <c r="AL38" s="28" t="s">
        <v>1645</v>
      </c>
      <c r="AM38" s="28"/>
      <c r="AN38" s="7"/>
      <c r="AO38" s="7">
        <v>0</v>
      </c>
      <c r="AP38" s="8" t="b">
        <v>0</v>
      </c>
      <c r="AQ38" s="28" t="s">
        <v>1646</v>
      </c>
    </row>
    <row r="39" spans="1:43" ht="30">
      <c r="A39" s="7">
        <v>37</v>
      </c>
      <c r="B39" s="7" t="s">
        <v>207</v>
      </c>
      <c r="C39" s="7" t="s">
        <v>40</v>
      </c>
      <c r="D39" s="7" t="s">
        <v>99</v>
      </c>
      <c r="E39" s="7" t="s">
        <v>1642</v>
      </c>
      <c r="F39" s="7" t="s">
        <v>40</v>
      </c>
      <c r="G39" s="14">
        <v>942</v>
      </c>
      <c r="H39" s="15">
        <v>0.28000000000000003</v>
      </c>
      <c r="I39" s="15">
        <v>0.1</v>
      </c>
      <c r="J39" s="15">
        <v>2.6751592356687903E-2</v>
      </c>
      <c r="K39" s="15">
        <v>9.5541401273885346E-3</v>
      </c>
      <c r="L39" s="15">
        <v>48.2</v>
      </c>
      <c r="M39" s="15">
        <v>1.2684210526315791</v>
      </c>
      <c r="N39" s="16">
        <v>2.109046700319793E-2</v>
      </c>
      <c r="O39" s="16">
        <v>7.5323096439992585E-3</v>
      </c>
      <c r="P39" s="17">
        <f>IFERROR(G39/(G39+Priors!$H$3),0)</f>
        <v>0.48506694129763128</v>
      </c>
      <c r="Q39" s="18">
        <f>IF(E39="Premier League",Priors!$H$4,IF(E39="Championship",Priors!$H$5,Priors!$H$8))</f>
        <v>1</v>
      </c>
      <c r="R39" s="19" t="b">
        <v>0</v>
      </c>
      <c r="S39" s="18">
        <f>IF(R39=TRUE,Priors!$H$6,1)</f>
        <v>1</v>
      </c>
      <c r="T39" s="19" t="b">
        <v>0</v>
      </c>
      <c r="U39" s="18">
        <f>IF(T39=TRUE,Priors!$H$7,1)</f>
        <v>1</v>
      </c>
      <c r="V39" s="18">
        <f t="shared" si="0"/>
        <v>0.48506694129763128</v>
      </c>
      <c r="W39" s="20">
        <f>VLOOKUP(D39,Priors!$A$3:$C$6,2,FALSE)</f>
        <v>4.1142361271531161E-2</v>
      </c>
      <c r="X39" s="20">
        <f>VLOOKUP(D39,Priors!$A$3:$C$6,3,FALSE)</f>
        <v>4.0513079897554365E-2</v>
      </c>
      <c r="Y39" s="20">
        <f t="shared" si="1"/>
        <v>3.1415850251567255E-2</v>
      </c>
      <c r="Z39" s="20">
        <f t="shared" si="2"/>
        <v>2.4515198549022486E-2</v>
      </c>
      <c r="AA39" s="21">
        <v>1</v>
      </c>
      <c r="AB39" s="21">
        <v>1</v>
      </c>
      <c r="AC39" s="22">
        <f t="shared" si="3"/>
        <v>3.1415850251567255E-2</v>
      </c>
      <c r="AD39" s="22">
        <f t="shared" si="4"/>
        <v>2.4515198549022486E-2</v>
      </c>
      <c r="AE39" s="22">
        <f t="shared" si="5"/>
        <v>0.51493305870236872</v>
      </c>
      <c r="AF39" s="7" t="s">
        <v>1643</v>
      </c>
      <c r="AG39" s="7"/>
      <c r="AH39" s="7"/>
      <c r="AI39" s="7"/>
      <c r="AJ39" s="8" t="b">
        <v>0</v>
      </c>
      <c r="AK39" s="28" t="s">
        <v>1644</v>
      </c>
      <c r="AL39" s="28" t="s">
        <v>1645</v>
      </c>
      <c r="AM39" s="28"/>
      <c r="AN39" s="7"/>
      <c r="AO39" s="7">
        <v>0</v>
      </c>
      <c r="AP39" s="8" t="b">
        <v>0</v>
      </c>
      <c r="AQ39" s="28" t="s">
        <v>1646</v>
      </c>
    </row>
    <row r="40" spans="1:43" ht="30">
      <c r="A40" s="7">
        <v>38</v>
      </c>
      <c r="B40" s="7" t="s">
        <v>210</v>
      </c>
      <c r="C40" s="7" t="s">
        <v>40</v>
      </c>
      <c r="D40" s="7" t="s">
        <v>99</v>
      </c>
      <c r="E40" s="7" t="s">
        <v>1642</v>
      </c>
      <c r="F40" s="7" t="s">
        <v>40</v>
      </c>
      <c r="G40" s="14">
        <v>83</v>
      </c>
      <c r="H40" s="15">
        <v>0</v>
      </c>
      <c r="I40" s="15">
        <v>0.01</v>
      </c>
      <c r="J40" s="15">
        <v>0</v>
      </c>
      <c r="K40" s="15">
        <v>1.0843373493975903E-2</v>
      </c>
      <c r="L40" s="15">
        <v>48.2</v>
      </c>
      <c r="M40" s="15">
        <v>1.2684210526315791</v>
      </c>
      <c r="N40" s="16">
        <v>0</v>
      </c>
      <c r="O40" s="16">
        <v>8.5487176923461465E-3</v>
      </c>
      <c r="P40" s="17">
        <f>IFERROR(G40/(G40+Priors!$H$3),0)</f>
        <v>7.663896583564174E-2</v>
      </c>
      <c r="Q40" s="18">
        <f>IF(E40="Premier League",Priors!$H$4,IF(E40="Championship",Priors!$H$5,Priors!$H$8))</f>
        <v>1</v>
      </c>
      <c r="R40" s="19" t="b">
        <v>0</v>
      </c>
      <c r="S40" s="18">
        <f>IF(R40=TRUE,Priors!$H$6,1)</f>
        <v>1</v>
      </c>
      <c r="T40" s="19" t="b">
        <v>0</v>
      </c>
      <c r="U40" s="18">
        <f>IF(T40=TRUE,Priors!$H$7,1)</f>
        <v>1</v>
      </c>
      <c r="V40" s="18">
        <f t="shared" si="0"/>
        <v>7.663896583564174E-2</v>
      </c>
      <c r="W40" s="20">
        <f>VLOOKUP(D40,Priors!$A$3:$C$6,2,FALSE)</f>
        <v>4.1142361271531161E-2</v>
      </c>
      <c r="X40" s="20">
        <f>VLOOKUP(D40,Priors!$A$3:$C$6,3,FALSE)</f>
        <v>4.0513079897554365E-2</v>
      </c>
      <c r="Y40" s="20">
        <f t="shared" si="1"/>
        <v>3.798925325164465E-2</v>
      </c>
      <c r="Z40" s="20">
        <f t="shared" si="2"/>
        <v>3.8063364234551332E-2</v>
      </c>
      <c r="AA40" s="21">
        <v>1</v>
      </c>
      <c r="AB40" s="21">
        <v>1</v>
      </c>
      <c r="AC40" s="22">
        <f t="shared" si="3"/>
        <v>3.798925325164465E-2</v>
      </c>
      <c r="AD40" s="22">
        <f t="shared" si="4"/>
        <v>3.8063364234551332E-2</v>
      </c>
      <c r="AE40" s="22">
        <f t="shared" si="5"/>
        <v>0.92336103416435822</v>
      </c>
      <c r="AF40" s="7" t="s">
        <v>1643</v>
      </c>
      <c r="AG40" s="7"/>
      <c r="AH40" s="7"/>
      <c r="AI40" s="7"/>
      <c r="AJ40" s="8" t="b">
        <v>1</v>
      </c>
      <c r="AK40" s="28" t="s">
        <v>1644</v>
      </c>
      <c r="AL40" s="28" t="s">
        <v>1645</v>
      </c>
      <c r="AM40" s="28"/>
      <c r="AN40" s="7"/>
      <c r="AO40" s="7"/>
      <c r="AP40" s="7"/>
      <c r="AQ40" s="28" t="s">
        <v>1650</v>
      </c>
    </row>
    <row r="41" spans="1:43" ht="15">
      <c r="A41" s="7">
        <v>39</v>
      </c>
      <c r="B41" s="7" t="s">
        <v>212</v>
      </c>
      <c r="C41" s="7" t="s">
        <v>40</v>
      </c>
      <c r="D41" s="7" t="s">
        <v>99</v>
      </c>
      <c r="E41" s="7" t="s">
        <v>1647</v>
      </c>
      <c r="F41" s="7"/>
      <c r="G41" s="14"/>
      <c r="H41" s="15"/>
      <c r="I41" s="15"/>
      <c r="J41" s="15"/>
      <c r="K41" s="15"/>
      <c r="L41" s="15"/>
      <c r="M41" s="15"/>
      <c r="N41" s="16"/>
      <c r="O41" s="16"/>
      <c r="P41" s="17">
        <f>IFERROR(G41/(G41+Priors!$H$3),0)</f>
        <v>0</v>
      </c>
      <c r="Q41" s="18">
        <f>IF(E41="Premier League",Priors!$H$4,IF(E41="Championship",Priors!$H$5,Priors!$H$8))</f>
        <v>0</v>
      </c>
      <c r="R41" s="19" t="b">
        <v>0</v>
      </c>
      <c r="S41" s="18">
        <f>IF(R41=TRUE,Priors!$H$6,1)</f>
        <v>1</v>
      </c>
      <c r="T41" s="19" t="b">
        <v>0</v>
      </c>
      <c r="U41" s="18">
        <f>IF(T41=TRUE,Priors!$H$7,1)</f>
        <v>1</v>
      </c>
      <c r="V41" s="18">
        <f t="shared" si="0"/>
        <v>0</v>
      </c>
      <c r="W41" s="20">
        <f>VLOOKUP(D41,Priors!$A$3:$C$6,2,FALSE)</f>
        <v>4.1142361271531161E-2</v>
      </c>
      <c r="X41" s="20">
        <f>VLOOKUP(D41,Priors!$A$3:$C$6,3,FALSE)</f>
        <v>4.0513079897554365E-2</v>
      </c>
      <c r="Y41" s="20">
        <f t="shared" si="1"/>
        <v>4.1142361271531161E-2</v>
      </c>
      <c r="Z41" s="20">
        <f t="shared" si="2"/>
        <v>4.0513079897554365E-2</v>
      </c>
      <c r="AA41" s="21">
        <v>1</v>
      </c>
      <c r="AB41" s="21">
        <v>1</v>
      </c>
      <c r="AC41" s="22">
        <f t="shared" si="3"/>
        <v>4.1142361271531161E-2</v>
      </c>
      <c r="AD41" s="22">
        <f t="shared" si="4"/>
        <v>4.0513079897554365E-2</v>
      </c>
      <c r="AE41" s="22">
        <f t="shared" si="5"/>
        <v>1</v>
      </c>
      <c r="AF41" s="7" t="s">
        <v>1647</v>
      </c>
      <c r="AG41" s="7"/>
      <c r="AH41" s="7"/>
      <c r="AI41" s="7"/>
      <c r="AJ41" s="8" t="b">
        <v>1</v>
      </c>
      <c r="AK41" s="28" t="s">
        <v>1648</v>
      </c>
      <c r="AL41" s="28"/>
      <c r="AM41" s="28"/>
      <c r="AN41" s="7"/>
      <c r="AO41" s="7">
        <v>0</v>
      </c>
      <c r="AP41" s="8" t="b">
        <v>0</v>
      </c>
      <c r="AQ41" s="28" t="s">
        <v>1646</v>
      </c>
    </row>
    <row r="42" spans="1:43" ht="30">
      <c r="A42" s="7">
        <v>41</v>
      </c>
      <c r="B42" s="7" t="s">
        <v>215</v>
      </c>
      <c r="C42" s="7" t="s">
        <v>40</v>
      </c>
      <c r="D42" s="7" t="s">
        <v>112</v>
      </c>
      <c r="E42" s="7" t="s">
        <v>1642</v>
      </c>
      <c r="F42" s="7" t="s">
        <v>40</v>
      </c>
      <c r="G42" s="14">
        <v>1753</v>
      </c>
      <c r="H42" s="15">
        <v>3.38</v>
      </c>
      <c r="I42" s="15">
        <v>2.23</v>
      </c>
      <c r="J42" s="15">
        <v>0.173531089560753</v>
      </c>
      <c r="K42" s="15">
        <v>0.11448944666286366</v>
      </c>
      <c r="L42" s="15">
        <v>48.2</v>
      </c>
      <c r="M42" s="15">
        <v>1.2684210526315791</v>
      </c>
      <c r="N42" s="16">
        <v>0.13680874280723263</v>
      </c>
      <c r="O42" s="16">
        <v>9.0261389485245203E-2</v>
      </c>
      <c r="P42" s="17">
        <f>IFERROR(G42/(G42+Priors!$H$3),0)</f>
        <v>0.63675989829277158</v>
      </c>
      <c r="Q42" s="18">
        <f>IF(E42="Premier League",Priors!$H$4,IF(E42="Championship",Priors!$H$5,Priors!$H$8))</f>
        <v>1</v>
      </c>
      <c r="R42" s="19" t="b">
        <v>0</v>
      </c>
      <c r="S42" s="18">
        <f>IF(R42=TRUE,Priors!$H$6,1)</f>
        <v>1</v>
      </c>
      <c r="T42" s="19" t="b">
        <v>0</v>
      </c>
      <c r="U42" s="18">
        <f>IF(T42=TRUE,Priors!$H$7,1)</f>
        <v>1</v>
      </c>
      <c r="V42" s="18">
        <f t="shared" si="0"/>
        <v>0.63675989829277158</v>
      </c>
      <c r="W42" s="20">
        <f>VLOOKUP(D42,Priors!$A$3:$C$6,2,FALSE)</f>
        <v>0.10751786102217777</v>
      </c>
      <c r="X42" s="20">
        <f>VLOOKUP(D42,Priors!$A$3:$C$6,3,FALSE)</f>
        <v>9.0240671969462088E-2</v>
      </c>
      <c r="Y42" s="20">
        <f t="shared" si="1"/>
        <v>0.12616911992853488</v>
      </c>
      <c r="Z42" s="20">
        <f t="shared" si="2"/>
        <v>9.0253864052705024E-2</v>
      </c>
      <c r="AA42" s="21">
        <v>1</v>
      </c>
      <c r="AB42" s="21">
        <v>1</v>
      </c>
      <c r="AC42" s="22">
        <f t="shared" si="3"/>
        <v>0.12616911992853488</v>
      </c>
      <c r="AD42" s="22">
        <f t="shared" si="4"/>
        <v>9.0253864052705024E-2</v>
      </c>
      <c r="AE42" s="22">
        <f t="shared" si="5"/>
        <v>0.36324010170722842</v>
      </c>
      <c r="AF42" s="7" t="s">
        <v>1643</v>
      </c>
      <c r="AG42" s="7">
        <v>1</v>
      </c>
      <c r="AH42" s="7">
        <v>1</v>
      </c>
      <c r="AI42" s="7"/>
      <c r="AJ42" s="8" t="b">
        <v>0</v>
      </c>
      <c r="AK42" s="28" t="s">
        <v>1644</v>
      </c>
      <c r="AL42" s="28" t="s">
        <v>1645</v>
      </c>
      <c r="AM42" s="28"/>
      <c r="AN42" s="7">
        <v>2</v>
      </c>
      <c r="AO42" s="7">
        <v>0</v>
      </c>
      <c r="AP42" s="8" t="b">
        <v>1</v>
      </c>
      <c r="AQ42" s="28" t="s">
        <v>1649</v>
      </c>
    </row>
    <row r="43" spans="1:43" ht="30">
      <c r="A43" s="7">
        <v>42</v>
      </c>
      <c r="B43" s="7" t="s">
        <v>218</v>
      </c>
      <c r="C43" s="7" t="s">
        <v>40</v>
      </c>
      <c r="D43" s="7" t="s">
        <v>112</v>
      </c>
      <c r="E43" s="7" t="s">
        <v>1642</v>
      </c>
      <c r="F43" s="7" t="s">
        <v>46</v>
      </c>
      <c r="G43" s="14">
        <v>909</v>
      </c>
      <c r="H43" s="15">
        <v>1.56</v>
      </c>
      <c r="I43" s="15">
        <v>0.85</v>
      </c>
      <c r="J43" s="15">
        <v>0.15445544554455445</v>
      </c>
      <c r="K43" s="15">
        <v>8.4158415841584164E-2</v>
      </c>
      <c r="L43" s="15">
        <v>58.2</v>
      </c>
      <c r="M43" s="15">
        <v>1.5315789473684212</v>
      </c>
      <c r="N43" s="16">
        <v>0.10084719812187404</v>
      </c>
      <c r="O43" s="16">
        <v>5.4948793848457009E-2</v>
      </c>
      <c r="P43" s="17">
        <f>IFERROR(G43/(G43+Priors!$H$3),0)</f>
        <v>0.47616553169198533</v>
      </c>
      <c r="Q43" s="18">
        <f>IF(E43="Premier League",Priors!$H$4,IF(E43="Championship",Priors!$H$5,Priors!$H$8))</f>
        <v>1</v>
      </c>
      <c r="R43" s="19" t="b">
        <v>1</v>
      </c>
      <c r="S43" s="18">
        <f>IF(R43=TRUE,Priors!$H$6,1)</f>
        <v>0.85</v>
      </c>
      <c r="T43" s="19" t="b">
        <v>0</v>
      </c>
      <c r="U43" s="18">
        <f>IF(T43=TRUE,Priors!$H$7,1)</f>
        <v>1</v>
      </c>
      <c r="V43" s="18">
        <f t="shared" si="0"/>
        <v>0.40474070193818751</v>
      </c>
      <c r="W43" s="20">
        <f>VLOOKUP(D43,Priors!$A$3:$C$6,2,FALSE)</f>
        <v>0.10751786102217777</v>
      </c>
      <c r="X43" s="20">
        <f>VLOOKUP(D43,Priors!$A$3:$C$6,3,FALSE)</f>
        <v>9.0240671969462088E-2</v>
      </c>
      <c r="Y43" s="20">
        <f t="shared" si="1"/>
        <v>0.10481797223751581</v>
      </c>
      <c r="Z43" s="20">
        <f t="shared" si="2"/>
        <v>7.5956612446049537E-2</v>
      </c>
      <c r="AA43" s="21">
        <v>1</v>
      </c>
      <c r="AB43" s="21">
        <v>1</v>
      </c>
      <c r="AC43" s="22">
        <f t="shared" si="3"/>
        <v>0.10481797223751581</v>
      </c>
      <c r="AD43" s="22">
        <f t="shared" si="4"/>
        <v>7.5956612446049537E-2</v>
      </c>
      <c r="AE43" s="22">
        <f t="shared" si="5"/>
        <v>0.59525929806181255</v>
      </c>
      <c r="AF43" s="7" t="s">
        <v>1643</v>
      </c>
      <c r="AG43" s="7"/>
      <c r="AH43" s="7"/>
      <c r="AI43" s="7"/>
      <c r="AJ43" s="8" t="b">
        <v>1</v>
      </c>
      <c r="AK43" s="28" t="s">
        <v>1644</v>
      </c>
      <c r="AL43" s="28" t="s">
        <v>1645</v>
      </c>
      <c r="AM43" s="28"/>
      <c r="AN43" s="7"/>
      <c r="AO43" s="7">
        <v>0</v>
      </c>
      <c r="AP43" s="8" t="b">
        <v>0</v>
      </c>
      <c r="AQ43" s="28" t="s">
        <v>1646</v>
      </c>
    </row>
    <row r="44" spans="1:43" ht="30">
      <c r="A44" s="7">
        <v>44</v>
      </c>
      <c r="B44" s="7" t="s">
        <v>221</v>
      </c>
      <c r="C44" s="7" t="s">
        <v>40</v>
      </c>
      <c r="D44" s="7" t="s">
        <v>112</v>
      </c>
      <c r="E44" s="7" t="s">
        <v>1642</v>
      </c>
      <c r="F44" s="7" t="s">
        <v>40</v>
      </c>
      <c r="G44" s="14">
        <v>450</v>
      </c>
      <c r="H44" s="15">
        <v>0.5</v>
      </c>
      <c r="I44" s="15">
        <v>1.46</v>
      </c>
      <c r="J44" s="15">
        <v>0.1</v>
      </c>
      <c r="K44" s="15">
        <v>0.29200000000000004</v>
      </c>
      <c r="L44" s="15">
        <v>48.2</v>
      </c>
      <c r="M44" s="15">
        <v>1.2684210526315791</v>
      </c>
      <c r="N44" s="16">
        <v>7.8838174273858919E-2</v>
      </c>
      <c r="O44" s="16">
        <v>0.23020746887966806</v>
      </c>
      <c r="P44" s="17">
        <f>IFERROR(G44/(G44+Priors!$H$3),0)</f>
        <v>0.31034482758620691</v>
      </c>
      <c r="Q44" s="18">
        <f>IF(E44="Premier League",Priors!$H$4,IF(E44="Championship",Priors!$H$5,Priors!$H$8))</f>
        <v>1</v>
      </c>
      <c r="R44" s="19" t="b">
        <v>0</v>
      </c>
      <c r="S44" s="18">
        <f>IF(R44=TRUE,Priors!$H$6,1)</f>
        <v>1</v>
      </c>
      <c r="T44" s="19" t="b">
        <v>0</v>
      </c>
      <c r="U44" s="18">
        <f>IF(T44=TRUE,Priors!$H$7,1)</f>
        <v>1</v>
      </c>
      <c r="V44" s="18">
        <f t="shared" si="0"/>
        <v>0.31034482758620691</v>
      </c>
      <c r="W44" s="20">
        <f>VLOOKUP(D44,Priors!$A$3:$C$6,2,FALSE)</f>
        <v>0.10751786102217777</v>
      </c>
      <c r="X44" s="20">
        <f>VLOOKUP(D44,Priors!$A$3:$C$6,3,FALSE)</f>
        <v>9.0240671969462088E-2</v>
      </c>
      <c r="Y44" s="20">
        <f t="shared" si="1"/>
        <v>9.8617268583044329E-2</v>
      </c>
      <c r="Z44" s="20">
        <f t="shared" si="2"/>
        <v>0.13367864342435359</v>
      </c>
      <c r="AA44" s="21">
        <v>1</v>
      </c>
      <c r="AB44" s="21">
        <v>1</v>
      </c>
      <c r="AC44" s="22">
        <f t="shared" si="3"/>
        <v>9.8617268583044329E-2</v>
      </c>
      <c r="AD44" s="22">
        <f t="shared" si="4"/>
        <v>0.13367864342435359</v>
      </c>
      <c r="AE44" s="22">
        <f t="shared" si="5"/>
        <v>0.68965517241379315</v>
      </c>
      <c r="AF44" s="7" t="s">
        <v>1643</v>
      </c>
      <c r="AG44" s="7"/>
      <c r="AH44" s="7"/>
      <c r="AI44" s="7"/>
      <c r="AJ44" s="8" t="b">
        <v>1</v>
      </c>
      <c r="AK44" s="28" t="s">
        <v>1644</v>
      </c>
      <c r="AL44" s="28" t="s">
        <v>1645</v>
      </c>
      <c r="AM44" s="28"/>
      <c r="AN44" s="7"/>
      <c r="AO44" s="7">
        <v>0</v>
      </c>
      <c r="AP44" s="8" t="b">
        <v>0</v>
      </c>
      <c r="AQ44" s="28" t="s">
        <v>1646</v>
      </c>
    </row>
    <row r="45" spans="1:43" ht="30">
      <c r="A45" s="7">
        <v>45</v>
      </c>
      <c r="B45" s="7" t="s">
        <v>224</v>
      </c>
      <c r="C45" s="7" t="s">
        <v>40</v>
      </c>
      <c r="D45" s="7" t="s">
        <v>112</v>
      </c>
      <c r="E45" s="7" t="s">
        <v>1642</v>
      </c>
      <c r="F45" s="7" t="s">
        <v>40</v>
      </c>
      <c r="G45" s="14">
        <v>2136</v>
      </c>
      <c r="H45" s="15">
        <v>3</v>
      </c>
      <c r="I45" s="15">
        <v>4.1100000000000003</v>
      </c>
      <c r="J45" s="15">
        <v>0.12640449438202248</v>
      </c>
      <c r="K45" s="15">
        <v>0.1731741573033708</v>
      </c>
      <c r="L45" s="15">
        <v>48.2</v>
      </c>
      <c r="M45" s="15">
        <v>1.2684210526315791</v>
      </c>
      <c r="N45" s="16">
        <v>9.9654995570889068E-2</v>
      </c>
      <c r="O45" s="16">
        <v>0.13652734393211804</v>
      </c>
      <c r="P45" s="17">
        <f>IFERROR(G45/(G45+Priors!$H$3),0)</f>
        <v>0.68112244897959184</v>
      </c>
      <c r="Q45" s="18">
        <f>IF(E45="Premier League",Priors!$H$4,IF(E45="Championship",Priors!$H$5,Priors!$H$8))</f>
        <v>1</v>
      </c>
      <c r="R45" s="19" t="b">
        <v>0</v>
      </c>
      <c r="S45" s="18">
        <f>IF(R45=TRUE,Priors!$H$6,1)</f>
        <v>1</v>
      </c>
      <c r="T45" s="19" t="b">
        <v>0</v>
      </c>
      <c r="U45" s="18">
        <f>IF(T45=TRUE,Priors!$H$7,1)</f>
        <v>1</v>
      </c>
      <c r="V45" s="18">
        <f t="shared" si="0"/>
        <v>0.68112244897959184</v>
      </c>
      <c r="W45" s="20">
        <f>VLOOKUP(D45,Priors!$A$3:$C$6,2,FALSE)</f>
        <v>0.10751786102217777</v>
      </c>
      <c r="X45" s="20">
        <f>VLOOKUP(D45,Priors!$A$3:$C$6,3,FALSE)</f>
        <v>9.0240671969462088E-2</v>
      </c>
      <c r="Y45" s="20">
        <f t="shared" si="1"/>
        <v>0.10216228684999898</v>
      </c>
      <c r="Z45" s="20">
        <f t="shared" si="2"/>
        <v>0.12176756333178132</v>
      </c>
      <c r="AA45" s="21">
        <v>1</v>
      </c>
      <c r="AB45" s="21">
        <v>1</v>
      </c>
      <c r="AC45" s="22">
        <f t="shared" si="3"/>
        <v>0.10216228684999898</v>
      </c>
      <c r="AD45" s="22">
        <f t="shared" si="4"/>
        <v>0.12176756333178132</v>
      </c>
      <c r="AE45" s="22">
        <f t="shared" si="5"/>
        <v>0.31887755102040816</v>
      </c>
      <c r="AF45" s="7" t="s">
        <v>1643</v>
      </c>
      <c r="AG45" s="7"/>
      <c r="AH45" s="7"/>
      <c r="AI45" s="7">
        <v>6</v>
      </c>
      <c r="AJ45" s="8" t="b">
        <v>0</v>
      </c>
      <c r="AK45" s="28" t="s">
        <v>1644</v>
      </c>
      <c r="AL45" s="28" t="s">
        <v>1645</v>
      </c>
      <c r="AM45" s="28"/>
      <c r="AN45" s="7"/>
      <c r="AO45" s="7">
        <v>0</v>
      </c>
      <c r="AP45" s="8" t="b">
        <v>0</v>
      </c>
      <c r="AQ45" s="28" t="s">
        <v>1646</v>
      </c>
    </row>
    <row r="46" spans="1:43" ht="30">
      <c r="A46" s="7">
        <v>46</v>
      </c>
      <c r="B46" s="7" t="s">
        <v>227</v>
      </c>
      <c r="C46" s="7" t="s">
        <v>40</v>
      </c>
      <c r="D46" s="7" t="s">
        <v>112</v>
      </c>
      <c r="E46" s="7" t="s">
        <v>1642</v>
      </c>
      <c r="F46" s="7" t="s">
        <v>40</v>
      </c>
      <c r="G46" s="14">
        <v>844</v>
      </c>
      <c r="H46" s="15">
        <v>1.58</v>
      </c>
      <c r="I46" s="15">
        <v>1.26</v>
      </c>
      <c r="J46" s="15">
        <v>0.1684834123222749</v>
      </c>
      <c r="K46" s="15">
        <v>0.13436018957345972</v>
      </c>
      <c r="L46" s="15">
        <v>48.2</v>
      </c>
      <c r="M46" s="15">
        <v>1.2684210526315791</v>
      </c>
      <c r="N46" s="16">
        <v>0.13282924622917935</v>
      </c>
      <c r="O46" s="16">
        <v>0.10592712041061138</v>
      </c>
      <c r="P46" s="17">
        <f>IFERROR(G46/(G46+Priors!$H$3),0)</f>
        <v>0.45770065075921906</v>
      </c>
      <c r="Q46" s="18">
        <f>IF(E46="Premier League",Priors!$H$4,IF(E46="Championship",Priors!$H$5,Priors!$H$8))</f>
        <v>1</v>
      </c>
      <c r="R46" s="19" t="b">
        <v>0</v>
      </c>
      <c r="S46" s="18">
        <f>IF(R46=TRUE,Priors!$H$6,1)</f>
        <v>1</v>
      </c>
      <c r="T46" s="19" t="b">
        <v>0</v>
      </c>
      <c r="U46" s="18">
        <f>IF(T46=TRUE,Priors!$H$7,1)</f>
        <v>1</v>
      </c>
      <c r="V46" s="18">
        <f t="shared" si="0"/>
        <v>0.45770065075921906</v>
      </c>
      <c r="W46" s="20">
        <f>VLOOKUP(D46,Priors!$A$3:$C$6,2,FALSE)</f>
        <v>0.10751786102217777</v>
      </c>
      <c r="X46" s="20">
        <f>VLOOKUP(D46,Priors!$A$3:$C$6,3,FALSE)</f>
        <v>9.0240671969462088E-2</v>
      </c>
      <c r="Y46" s="20">
        <f t="shared" si="1"/>
        <v>0.11910289850303966</v>
      </c>
      <c r="Z46" s="20">
        <f t="shared" si="2"/>
        <v>9.7420369629077047E-2</v>
      </c>
      <c r="AA46" s="21">
        <v>1</v>
      </c>
      <c r="AB46" s="21">
        <v>1</v>
      </c>
      <c r="AC46" s="22">
        <f t="shared" si="3"/>
        <v>0.11910289850303966</v>
      </c>
      <c r="AD46" s="22">
        <f t="shared" si="4"/>
        <v>9.7420369629077047E-2</v>
      </c>
      <c r="AE46" s="22">
        <f t="shared" si="5"/>
        <v>0.54229934924078094</v>
      </c>
      <c r="AF46" s="7" t="s">
        <v>1643</v>
      </c>
      <c r="AG46" s="7"/>
      <c r="AH46" s="7"/>
      <c r="AI46" s="7"/>
      <c r="AJ46" s="8" t="b">
        <v>0</v>
      </c>
      <c r="AK46" s="28" t="s">
        <v>1644</v>
      </c>
      <c r="AL46" s="28" t="s">
        <v>1645</v>
      </c>
      <c r="AM46" s="28"/>
      <c r="AN46" s="7"/>
      <c r="AO46" s="7">
        <v>0</v>
      </c>
      <c r="AP46" s="8" t="b">
        <v>0</v>
      </c>
      <c r="AQ46" s="28" t="s">
        <v>1646</v>
      </c>
    </row>
    <row r="47" spans="1:43" ht="30">
      <c r="A47" s="7">
        <v>47</v>
      </c>
      <c r="B47" s="7" t="s">
        <v>230</v>
      </c>
      <c r="C47" s="7" t="s">
        <v>40</v>
      </c>
      <c r="D47" s="7" t="s">
        <v>112</v>
      </c>
      <c r="E47" s="7" t="s">
        <v>1642</v>
      </c>
      <c r="F47" s="7" t="s">
        <v>40</v>
      </c>
      <c r="G47" s="14">
        <v>1410</v>
      </c>
      <c r="H47" s="15">
        <v>0.53</v>
      </c>
      <c r="I47" s="15">
        <v>0.84</v>
      </c>
      <c r="J47" s="15">
        <v>3.3829787234042556E-2</v>
      </c>
      <c r="K47" s="15">
        <v>5.361702127659574E-2</v>
      </c>
      <c r="L47" s="15">
        <v>48.2</v>
      </c>
      <c r="M47" s="15">
        <v>1.2684210526315791</v>
      </c>
      <c r="N47" s="16">
        <v>2.6670786616050143E-2</v>
      </c>
      <c r="O47" s="16">
        <v>4.2270680674494562E-2</v>
      </c>
      <c r="P47" s="17">
        <f>IFERROR(G47/(G47+Priors!$H$3),0)</f>
        <v>0.58506224066390045</v>
      </c>
      <c r="Q47" s="18">
        <f>IF(E47="Premier League",Priors!$H$4,IF(E47="Championship",Priors!$H$5,Priors!$H$8))</f>
        <v>1</v>
      </c>
      <c r="R47" s="19" t="b">
        <v>0</v>
      </c>
      <c r="S47" s="18">
        <f>IF(R47=TRUE,Priors!$H$6,1)</f>
        <v>1</v>
      </c>
      <c r="T47" s="19" t="b">
        <v>0</v>
      </c>
      <c r="U47" s="18">
        <f>IF(T47=TRUE,Priors!$H$7,1)</f>
        <v>1</v>
      </c>
      <c r="V47" s="18">
        <f t="shared" si="0"/>
        <v>0.58506224066390045</v>
      </c>
      <c r="W47" s="20">
        <f>VLOOKUP(D47,Priors!$A$3:$C$6,2,FALSE)</f>
        <v>0.10751786102217777</v>
      </c>
      <c r="X47" s="20">
        <f>VLOOKUP(D47,Priors!$A$3:$C$6,3,FALSE)</f>
        <v>9.0240671969462088E-2</v>
      </c>
      <c r="Y47" s="20">
        <f t="shared" si="1"/>
        <v>6.0217290519007656E-2</v>
      </c>
      <c r="Z47" s="20">
        <f t="shared" si="2"/>
        <v>6.2175241377800589E-2</v>
      </c>
      <c r="AA47" s="21">
        <v>1</v>
      </c>
      <c r="AB47" s="21">
        <v>1</v>
      </c>
      <c r="AC47" s="22">
        <f t="shared" si="3"/>
        <v>6.0217290519007656E-2</v>
      </c>
      <c r="AD47" s="22">
        <f t="shared" si="4"/>
        <v>6.2175241377800589E-2</v>
      </c>
      <c r="AE47" s="22">
        <f t="shared" si="5"/>
        <v>0.41493775933609955</v>
      </c>
      <c r="AF47" s="7" t="s">
        <v>1643</v>
      </c>
      <c r="AG47" s="7"/>
      <c r="AH47" s="7"/>
      <c r="AI47" s="7"/>
      <c r="AJ47" s="8" t="b">
        <v>0</v>
      </c>
      <c r="AK47" s="28" t="s">
        <v>1644</v>
      </c>
      <c r="AL47" s="28" t="s">
        <v>1645</v>
      </c>
      <c r="AM47" s="28"/>
      <c r="AN47" s="7"/>
      <c r="AO47" s="7">
        <v>0</v>
      </c>
      <c r="AP47" s="8" t="b">
        <v>0</v>
      </c>
      <c r="AQ47" s="28" t="s">
        <v>1646</v>
      </c>
    </row>
    <row r="48" spans="1:43" ht="30">
      <c r="A48" s="7">
        <v>48</v>
      </c>
      <c r="B48" s="7" t="s">
        <v>235</v>
      </c>
      <c r="C48" s="7" t="s">
        <v>40</v>
      </c>
      <c r="D48" s="7" t="s">
        <v>112</v>
      </c>
      <c r="E48" s="7" t="s">
        <v>1642</v>
      </c>
      <c r="F48" s="7" t="s">
        <v>40</v>
      </c>
      <c r="G48" s="14">
        <v>1755</v>
      </c>
      <c r="H48" s="15">
        <v>1.68</v>
      </c>
      <c r="I48" s="15">
        <v>0.69</v>
      </c>
      <c r="J48" s="15">
        <v>8.615384615384615E-2</v>
      </c>
      <c r="K48" s="15">
        <v>3.5384615384615382E-2</v>
      </c>
      <c r="L48" s="15">
        <v>48.2</v>
      </c>
      <c r="M48" s="15">
        <v>1.2684210526315791</v>
      </c>
      <c r="N48" s="16">
        <v>6.7922119374401527E-2</v>
      </c>
      <c r="O48" s="16">
        <v>2.7896584743057767E-2</v>
      </c>
      <c r="P48" s="17">
        <f>IFERROR(G48/(G48+Priors!$H$3),0)</f>
        <v>0.63702359346642468</v>
      </c>
      <c r="Q48" s="18">
        <f>IF(E48="Premier League",Priors!$H$4,IF(E48="Championship",Priors!$H$5,Priors!$H$8))</f>
        <v>1</v>
      </c>
      <c r="R48" s="19" t="b">
        <v>0</v>
      </c>
      <c r="S48" s="18">
        <f>IF(R48=TRUE,Priors!$H$6,1)</f>
        <v>1</v>
      </c>
      <c r="T48" s="19" t="b">
        <v>0</v>
      </c>
      <c r="U48" s="18">
        <f>IF(T48=TRUE,Priors!$H$7,1)</f>
        <v>1</v>
      </c>
      <c r="V48" s="18">
        <f t="shared" si="0"/>
        <v>0.63702359346642468</v>
      </c>
      <c r="W48" s="20">
        <f>VLOOKUP(D48,Priors!$A$3:$C$6,2,FALSE)</f>
        <v>0.10751786102217777</v>
      </c>
      <c r="X48" s="20">
        <f>VLOOKUP(D48,Priors!$A$3:$C$6,3,FALSE)</f>
        <v>9.0240671969462088E-2</v>
      </c>
      <c r="Y48" s="20">
        <f t="shared" si="1"/>
        <v>8.2294439391743177E-2</v>
      </c>
      <c r="Z48" s="20">
        <f t="shared" si="2"/>
        <v>5.0526017493113785E-2</v>
      </c>
      <c r="AA48" s="21">
        <v>1</v>
      </c>
      <c r="AB48" s="21">
        <v>1</v>
      </c>
      <c r="AC48" s="22">
        <f t="shared" si="3"/>
        <v>8.2294439391743177E-2</v>
      </c>
      <c r="AD48" s="22">
        <f t="shared" si="4"/>
        <v>5.0526017493113785E-2</v>
      </c>
      <c r="AE48" s="22">
        <f t="shared" si="5"/>
        <v>0.36297640653357532</v>
      </c>
      <c r="AF48" s="7" t="s">
        <v>1643</v>
      </c>
      <c r="AG48" s="7"/>
      <c r="AH48" s="7"/>
      <c r="AI48" s="7"/>
      <c r="AJ48" s="8" t="b">
        <v>0</v>
      </c>
      <c r="AK48" s="28" t="s">
        <v>1644</v>
      </c>
      <c r="AL48" s="28" t="s">
        <v>1645</v>
      </c>
      <c r="AM48" s="28"/>
      <c r="AN48" s="7"/>
      <c r="AO48" s="7">
        <v>0</v>
      </c>
      <c r="AP48" s="8" t="b">
        <v>0</v>
      </c>
      <c r="AQ48" s="28" t="s">
        <v>1646</v>
      </c>
    </row>
    <row r="49" spans="1:43" ht="15">
      <c r="A49" s="7">
        <v>49</v>
      </c>
      <c r="B49" s="7" t="s">
        <v>239</v>
      </c>
      <c r="C49" s="7" t="s">
        <v>40</v>
      </c>
      <c r="D49" s="7" t="s">
        <v>112</v>
      </c>
      <c r="E49" s="7" t="s">
        <v>1647</v>
      </c>
      <c r="F49" s="7"/>
      <c r="G49" s="14"/>
      <c r="H49" s="15"/>
      <c r="I49" s="15"/>
      <c r="J49" s="15"/>
      <c r="K49" s="15"/>
      <c r="L49" s="15"/>
      <c r="M49" s="15"/>
      <c r="N49" s="16"/>
      <c r="O49" s="16"/>
      <c r="P49" s="17">
        <f>IFERROR(G49/(G49+Priors!$H$3),0)</f>
        <v>0</v>
      </c>
      <c r="Q49" s="18">
        <f>IF(E49="Premier League",Priors!$H$4,IF(E49="Championship",Priors!$H$5,Priors!$H$8))</f>
        <v>0</v>
      </c>
      <c r="R49" s="19" t="b">
        <v>0</v>
      </c>
      <c r="S49" s="18">
        <f>IF(R49=TRUE,Priors!$H$6,1)</f>
        <v>1</v>
      </c>
      <c r="T49" s="19" t="b">
        <v>0</v>
      </c>
      <c r="U49" s="18">
        <f>IF(T49=TRUE,Priors!$H$7,1)</f>
        <v>1</v>
      </c>
      <c r="V49" s="18">
        <f t="shared" si="0"/>
        <v>0</v>
      </c>
      <c r="W49" s="20">
        <f>VLOOKUP(D49,Priors!$A$3:$C$6,2,FALSE)</f>
        <v>0.10751786102217777</v>
      </c>
      <c r="X49" s="20">
        <f>VLOOKUP(D49,Priors!$A$3:$C$6,3,FALSE)</f>
        <v>9.0240671969462088E-2</v>
      </c>
      <c r="Y49" s="20">
        <f t="shared" si="1"/>
        <v>0.10751786102217777</v>
      </c>
      <c r="Z49" s="20">
        <f t="shared" si="2"/>
        <v>9.0240671969462088E-2</v>
      </c>
      <c r="AA49" s="21">
        <v>1</v>
      </c>
      <c r="AB49" s="21">
        <v>1</v>
      </c>
      <c r="AC49" s="22">
        <f t="shared" si="3"/>
        <v>0.10751786102217777</v>
      </c>
      <c r="AD49" s="22">
        <f t="shared" si="4"/>
        <v>9.0240671969462088E-2</v>
      </c>
      <c r="AE49" s="22">
        <f t="shared" si="5"/>
        <v>1</v>
      </c>
      <c r="AF49" s="7" t="s">
        <v>1647</v>
      </c>
      <c r="AG49" s="7"/>
      <c r="AH49" s="7"/>
      <c r="AI49" s="7"/>
      <c r="AJ49" s="8" t="b">
        <v>1</v>
      </c>
      <c r="AK49" s="28" t="s">
        <v>1648</v>
      </c>
      <c r="AL49" s="28"/>
      <c r="AM49" s="28"/>
      <c r="AN49" s="7"/>
      <c r="AO49" s="7">
        <v>0</v>
      </c>
      <c r="AP49" s="8" t="b">
        <v>0</v>
      </c>
      <c r="AQ49" s="28" t="s">
        <v>1646</v>
      </c>
    </row>
    <row r="50" spans="1:43" ht="30">
      <c r="A50" s="7">
        <v>50</v>
      </c>
      <c r="B50" s="7" t="s">
        <v>241</v>
      </c>
      <c r="C50" s="7" t="s">
        <v>40</v>
      </c>
      <c r="D50" s="7" t="s">
        <v>112</v>
      </c>
      <c r="E50" s="7" t="s">
        <v>1642</v>
      </c>
      <c r="F50" s="7" t="s">
        <v>40</v>
      </c>
      <c r="G50" s="14">
        <v>16</v>
      </c>
      <c r="H50" s="15">
        <v>0</v>
      </c>
      <c r="I50" s="15">
        <v>0</v>
      </c>
      <c r="J50" s="15">
        <v>0</v>
      </c>
      <c r="K50" s="15">
        <v>0</v>
      </c>
      <c r="L50" s="15">
        <v>48.2</v>
      </c>
      <c r="M50" s="15">
        <v>1.2684210526315791</v>
      </c>
      <c r="N50" s="16">
        <v>0</v>
      </c>
      <c r="O50" s="16">
        <v>0</v>
      </c>
      <c r="P50" s="17">
        <f>IFERROR(G50/(G50+Priors!$H$3),0)</f>
        <v>1.5748031496062992E-2</v>
      </c>
      <c r="Q50" s="18">
        <f>IF(E50="Premier League",Priors!$H$4,IF(E50="Championship",Priors!$H$5,Priors!$H$8))</f>
        <v>1</v>
      </c>
      <c r="R50" s="19" t="b">
        <v>0</v>
      </c>
      <c r="S50" s="18">
        <f>IF(R50=TRUE,Priors!$H$6,1)</f>
        <v>1</v>
      </c>
      <c r="T50" s="19" t="b">
        <v>0</v>
      </c>
      <c r="U50" s="18">
        <f>IF(T50=TRUE,Priors!$H$7,1)</f>
        <v>1</v>
      </c>
      <c r="V50" s="18">
        <f t="shared" si="0"/>
        <v>1.5748031496062992E-2</v>
      </c>
      <c r="W50" s="20">
        <f>VLOOKUP(D50,Priors!$A$3:$C$6,2,FALSE)</f>
        <v>0.10751786102217777</v>
      </c>
      <c r="X50" s="20">
        <f>VLOOKUP(D50,Priors!$A$3:$C$6,3,FALSE)</f>
        <v>9.0240671969462088E-2</v>
      </c>
      <c r="Y50" s="20">
        <f t="shared" si="1"/>
        <v>0.10582466636041118</v>
      </c>
      <c r="Z50" s="20">
        <f t="shared" si="2"/>
        <v>8.8819559025061112E-2</v>
      </c>
      <c r="AA50" s="21">
        <v>1</v>
      </c>
      <c r="AB50" s="21">
        <v>1</v>
      </c>
      <c r="AC50" s="22">
        <f t="shared" si="3"/>
        <v>0.10582466636041118</v>
      </c>
      <c r="AD50" s="22">
        <f t="shared" si="4"/>
        <v>8.8819559025061112E-2</v>
      </c>
      <c r="AE50" s="22">
        <f t="shared" si="5"/>
        <v>0.98425196850393704</v>
      </c>
      <c r="AF50" s="7" t="s">
        <v>1643</v>
      </c>
      <c r="AG50" s="7"/>
      <c r="AH50" s="7"/>
      <c r="AI50" s="7"/>
      <c r="AJ50" s="8" t="b">
        <v>1</v>
      </c>
      <c r="AK50" s="28" t="s">
        <v>1644</v>
      </c>
      <c r="AL50" s="28" t="s">
        <v>1645</v>
      </c>
      <c r="AM50" s="28"/>
      <c r="AN50" s="7"/>
      <c r="AO50" s="7">
        <v>0</v>
      </c>
      <c r="AP50" s="8" t="b">
        <v>0</v>
      </c>
      <c r="AQ50" s="28" t="s">
        <v>1646</v>
      </c>
    </row>
    <row r="51" spans="1:43" ht="30">
      <c r="A51" s="7">
        <v>51</v>
      </c>
      <c r="B51" s="7" t="s">
        <v>243</v>
      </c>
      <c r="C51" s="7" t="s">
        <v>40</v>
      </c>
      <c r="D51" s="7" t="s">
        <v>112</v>
      </c>
      <c r="E51" s="7" t="s">
        <v>1642</v>
      </c>
      <c r="F51" s="7" t="s">
        <v>40</v>
      </c>
      <c r="G51" s="14">
        <v>25</v>
      </c>
      <c r="H51" s="15">
        <v>0.04</v>
      </c>
      <c r="I51" s="15">
        <v>0.01</v>
      </c>
      <c r="J51" s="15">
        <v>0.14400000000000002</v>
      </c>
      <c r="K51" s="15">
        <v>3.6000000000000004E-2</v>
      </c>
      <c r="L51" s="15">
        <v>48.2</v>
      </c>
      <c r="M51" s="15">
        <v>1.2684210526315791</v>
      </c>
      <c r="N51" s="16">
        <v>0.11352697095435685</v>
      </c>
      <c r="O51" s="16">
        <v>2.8381742738589212E-2</v>
      </c>
      <c r="P51" s="17">
        <f>IFERROR(G51/(G51+Priors!$H$3),0)</f>
        <v>2.4390243902439025E-2</v>
      </c>
      <c r="Q51" s="18">
        <f>IF(E51="Premier League",Priors!$H$4,IF(E51="Championship",Priors!$H$5,Priors!$H$8))</f>
        <v>1</v>
      </c>
      <c r="R51" s="19" t="b">
        <v>0</v>
      </c>
      <c r="S51" s="18">
        <f>IF(R51=TRUE,Priors!$H$6,1)</f>
        <v>1</v>
      </c>
      <c r="T51" s="19" t="b">
        <v>0</v>
      </c>
      <c r="U51" s="18">
        <f>IF(T51=TRUE,Priors!$H$7,1)</f>
        <v>1</v>
      </c>
      <c r="V51" s="18">
        <f t="shared" si="0"/>
        <v>2.4390243902439025E-2</v>
      </c>
      <c r="W51" s="20">
        <f>VLOOKUP(D51,Priors!$A$3:$C$6,2,FALSE)</f>
        <v>0.10751786102217777</v>
      </c>
      <c r="X51" s="20">
        <f>VLOOKUP(D51,Priors!$A$3:$C$6,3,FALSE)</f>
        <v>9.0240671969462088E-2</v>
      </c>
      <c r="Y51" s="20">
        <f t="shared" si="1"/>
        <v>0.10766442467906018</v>
      </c>
      <c r="Z51" s="20">
        <f t="shared" si="2"/>
        <v>8.8731917597977383E-2</v>
      </c>
      <c r="AA51" s="21">
        <v>1</v>
      </c>
      <c r="AB51" s="21">
        <v>1</v>
      </c>
      <c r="AC51" s="22">
        <f t="shared" si="3"/>
        <v>0.10766442467906018</v>
      </c>
      <c r="AD51" s="22">
        <f t="shared" si="4"/>
        <v>8.8731917597977383E-2</v>
      </c>
      <c r="AE51" s="22">
        <f t="shared" si="5"/>
        <v>0.97560975609756095</v>
      </c>
      <c r="AF51" s="7" t="s">
        <v>1643</v>
      </c>
      <c r="AG51" s="7"/>
      <c r="AH51" s="7"/>
      <c r="AI51" s="7"/>
      <c r="AJ51" s="8" t="b">
        <v>1</v>
      </c>
      <c r="AK51" s="28" t="s">
        <v>1644</v>
      </c>
      <c r="AL51" s="28" t="s">
        <v>1645</v>
      </c>
      <c r="AM51" s="28"/>
      <c r="AN51" s="7"/>
      <c r="AO51" s="7">
        <v>0</v>
      </c>
      <c r="AP51" s="8" t="b">
        <v>0</v>
      </c>
      <c r="AQ51" s="28" t="s">
        <v>1646</v>
      </c>
    </row>
    <row r="52" spans="1:43" ht="30">
      <c r="A52" s="7">
        <v>52</v>
      </c>
      <c r="B52" s="7" t="s">
        <v>244</v>
      </c>
      <c r="C52" s="7" t="s">
        <v>40</v>
      </c>
      <c r="D52" s="7" t="s">
        <v>112</v>
      </c>
      <c r="E52" s="7" t="s">
        <v>1642</v>
      </c>
      <c r="F52" s="7" t="s">
        <v>40</v>
      </c>
      <c r="G52" s="14">
        <v>47</v>
      </c>
      <c r="H52" s="15">
        <v>0.05</v>
      </c>
      <c r="I52" s="15">
        <v>0.05</v>
      </c>
      <c r="J52" s="15">
        <v>9.5744680851063829E-2</v>
      </c>
      <c r="K52" s="15">
        <v>9.5744680851063829E-2</v>
      </c>
      <c r="L52" s="15">
        <v>48.2</v>
      </c>
      <c r="M52" s="15">
        <v>1.2684210526315791</v>
      </c>
      <c r="N52" s="16">
        <v>7.5483358347311721E-2</v>
      </c>
      <c r="O52" s="16">
        <v>7.5483358347311721E-2</v>
      </c>
      <c r="P52" s="17">
        <f>IFERROR(G52/(G52+Priors!$H$3),0)</f>
        <v>4.4890162368672396E-2</v>
      </c>
      <c r="Q52" s="18">
        <f>IF(E52="Premier League",Priors!$H$4,IF(E52="Championship",Priors!$H$5,Priors!$H$8))</f>
        <v>1</v>
      </c>
      <c r="R52" s="19" t="b">
        <v>0</v>
      </c>
      <c r="S52" s="18">
        <f>IF(R52=TRUE,Priors!$H$6,1)</f>
        <v>1</v>
      </c>
      <c r="T52" s="19" t="b">
        <v>0</v>
      </c>
      <c r="U52" s="18">
        <f>IF(T52=TRUE,Priors!$H$7,1)</f>
        <v>1</v>
      </c>
      <c r="V52" s="18">
        <f t="shared" si="0"/>
        <v>4.4890162368672396E-2</v>
      </c>
      <c r="W52" s="20">
        <f>VLOOKUP(D52,Priors!$A$3:$C$6,2,FALSE)</f>
        <v>0.10751786102217777</v>
      </c>
      <c r="X52" s="20">
        <f>VLOOKUP(D52,Priors!$A$3:$C$6,3,FALSE)</f>
        <v>9.0240671969462088E-2</v>
      </c>
      <c r="Y52" s="20">
        <f t="shared" si="1"/>
        <v>0.10607982699570336</v>
      </c>
      <c r="Z52" s="20">
        <f t="shared" si="2"/>
        <v>8.9578213764838335E-2</v>
      </c>
      <c r="AA52" s="21">
        <v>1</v>
      </c>
      <c r="AB52" s="21">
        <v>1</v>
      </c>
      <c r="AC52" s="22">
        <f t="shared" si="3"/>
        <v>0.10607982699570336</v>
      </c>
      <c r="AD52" s="22">
        <f t="shared" si="4"/>
        <v>8.9578213764838335E-2</v>
      </c>
      <c r="AE52" s="22">
        <f t="shared" si="5"/>
        <v>0.95510983763132762</v>
      </c>
      <c r="AF52" s="7" t="s">
        <v>1643</v>
      </c>
      <c r="AG52" s="7"/>
      <c r="AH52" s="7"/>
      <c r="AI52" s="7"/>
      <c r="AJ52" s="8" t="b">
        <v>1</v>
      </c>
      <c r="AK52" s="28" t="s">
        <v>1644</v>
      </c>
      <c r="AL52" s="28" t="s">
        <v>1645</v>
      </c>
      <c r="AM52" s="28"/>
      <c r="AN52" s="7"/>
      <c r="AO52" s="7">
        <v>0</v>
      </c>
      <c r="AP52" s="8" t="b">
        <v>0</v>
      </c>
      <c r="AQ52" s="28" t="s">
        <v>1646</v>
      </c>
    </row>
    <row r="53" spans="1:43" ht="15">
      <c r="A53" s="7">
        <v>53</v>
      </c>
      <c r="B53" s="7" t="s">
        <v>247</v>
      </c>
      <c r="C53" s="7" t="s">
        <v>40</v>
      </c>
      <c r="D53" s="7" t="s">
        <v>112</v>
      </c>
      <c r="E53" s="7" t="s">
        <v>1647</v>
      </c>
      <c r="F53" s="7"/>
      <c r="G53" s="14"/>
      <c r="H53" s="15"/>
      <c r="I53" s="15"/>
      <c r="J53" s="15"/>
      <c r="K53" s="15"/>
      <c r="L53" s="15"/>
      <c r="M53" s="15"/>
      <c r="N53" s="16"/>
      <c r="O53" s="16"/>
      <c r="P53" s="17">
        <f>IFERROR(G53/(G53+Priors!$H$3),0)</f>
        <v>0</v>
      </c>
      <c r="Q53" s="18">
        <f>IF(E53="Premier League",Priors!$H$4,IF(E53="Championship",Priors!$H$5,Priors!$H$8))</f>
        <v>0</v>
      </c>
      <c r="R53" s="19" t="b">
        <v>0</v>
      </c>
      <c r="S53" s="18">
        <f>IF(R53=TRUE,Priors!$H$6,1)</f>
        <v>1</v>
      </c>
      <c r="T53" s="19" t="b">
        <v>0</v>
      </c>
      <c r="U53" s="18">
        <f>IF(T53=TRUE,Priors!$H$7,1)</f>
        <v>1</v>
      </c>
      <c r="V53" s="18">
        <f t="shared" si="0"/>
        <v>0</v>
      </c>
      <c r="W53" s="20">
        <f>VLOOKUP(D53,Priors!$A$3:$C$6,2,FALSE)</f>
        <v>0.10751786102217777</v>
      </c>
      <c r="X53" s="20">
        <f>VLOOKUP(D53,Priors!$A$3:$C$6,3,FALSE)</f>
        <v>9.0240671969462088E-2</v>
      </c>
      <c r="Y53" s="20">
        <f t="shared" si="1"/>
        <v>0.10751786102217777</v>
      </c>
      <c r="Z53" s="20">
        <f t="shared" si="2"/>
        <v>9.0240671969462088E-2</v>
      </c>
      <c r="AA53" s="21">
        <v>1</v>
      </c>
      <c r="AB53" s="21">
        <v>1</v>
      </c>
      <c r="AC53" s="22">
        <f t="shared" si="3"/>
        <v>0.10751786102217777</v>
      </c>
      <c r="AD53" s="22">
        <f t="shared" si="4"/>
        <v>9.0240671969462088E-2</v>
      </c>
      <c r="AE53" s="22">
        <f t="shared" si="5"/>
        <v>1</v>
      </c>
      <c r="AF53" s="7" t="s">
        <v>1647</v>
      </c>
      <c r="AG53" s="7"/>
      <c r="AH53" s="7"/>
      <c r="AI53" s="7"/>
      <c r="AJ53" s="8" t="b">
        <v>1</v>
      </c>
      <c r="AK53" s="28" t="s">
        <v>1648</v>
      </c>
      <c r="AL53" s="28"/>
      <c r="AM53" s="28"/>
      <c r="AN53" s="7"/>
      <c r="AO53" s="7">
        <v>0</v>
      </c>
      <c r="AP53" s="8" t="b">
        <v>0</v>
      </c>
      <c r="AQ53" s="28" t="s">
        <v>1646</v>
      </c>
    </row>
    <row r="54" spans="1:43" ht="30">
      <c r="A54" s="7">
        <v>54</v>
      </c>
      <c r="B54" s="7" t="s">
        <v>250</v>
      </c>
      <c r="C54" s="7" t="s">
        <v>40</v>
      </c>
      <c r="D54" s="7" t="s">
        <v>112</v>
      </c>
      <c r="E54" s="7" t="s">
        <v>1642</v>
      </c>
      <c r="F54" s="7" t="s">
        <v>1651</v>
      </c>
      <c r="G54" s="14">
        <v>2829</v>
      </c>
      <c r="H54" s="15">
        <v>1.29</v>
      </c>
      <c r="I54" s="15">
        <v>2.09</v>
      </c>
      <c r="J54" s="15">
        <v>4.1039236479321319E-2</v>
      </c>
      <c r="K54" s="15">
        <v>6.64899257688229E-2</v>
      </c>
      <c r="L54" s="15">
        <v>35.5</v>
      </c>
      <c r="M54" s="15">
        <v>0.93421052631578949</v>
      </c>
      <c r="N54" s="16">
        <v>4.3929323555329865E-2</v>
      </c>
      <c r="O54" s="16">
        <v>7.1172314907472403E-2</v>
      </c>
      <c r="P54" s="17">
        <f>IFERROR(G54/(G54+Priors!$H$3),0)</f>
        <v>0.73883520501436406</v>
      </c>
      <c r="Q54" s="18">
        <f>IF(E54="Premier League",Priors!$H$4,IF(E54="Championship",Priors!$H$5,Priors!$H$8))</f>
        <v>1</v>
      </c>
      <c r="R54" s="19" t="b">
        <v>1</v>
      </c>
      <c r="S54" s="18">
        <f>IF(R54=TRUE,Priors!$H$6,1)</f>
        <v>0.85</v>
      </c>
      <c r="T54" s="19" t="b">
        <v>0</v>
      </c>
      <c r="U54" s="18">
        <f>IF(T54=TRUE,Priors!$H$7,1)</f>
        <v>1</v>
      </c>
      <c r="V54" s="18">
        <f t="shared" si="0"/>
        <v>0.62800992426220947</v>
      </c>
      <c r="W54" s="20">
        <f>VLOOKUP(D54,Priors!$A$3:$C$6,2,FALSE)</f>
        <v>0.10751786102217777</v>
      </c>
      <c r="X54" s="20">
        <f>VLOOKUP(D54,Priors!$A$3:$C$6,3,FALSE)</f>
        <v>9.0240671969462088E-2</v>
      </c>
      <c r="Y54" s="20">
        <f t="shared" si="1"/>
        <v>6.7583628423677947E-2</v>
      </c>
      <c r="Z54" s="20">
        <f t="shared" si="2"/>
        <v>7.826555449515718E-2</v>
      </c>
      <c r="AA54" s="21">
        <v>1</v>
      </c>
      <c r="AB54" s="21">
        <v>1</v>
      </c>
      <c r="AC54" s="22">
        <f t="shared" si="3"/>
        <v>6.7583628423677947E-2</v>
      </c>
      <c r="AD54" s="22">
        <f t="shared" si="4"/>
        <v>7.826555449515718E-2</v>
      </c>
      <c r="AE54" s="22">
        <f t="shared" si="5"/>
        <v>0.37199007573779053</v>
      </c>
      <c r="AF54" s="7" t="s">
        <v>1643</v>
      </c>
      <c r="AG54" s="7"/>
      <c r="AH54" s="7"/>
      <c r="AI54" s="7"/>
      <c r="AJ54" s="8" t="b">
        <v>1</v>
      </c>
      <c r="AK54" s="28" t="s">
        <v>1644</v>
      </c>
      <c r="AL54" s="28" t="s">
        <v>1645</v>
      </c>
      <c r="AM54" s="28"/>
      <c r="AN54" s="7"/>
      <c r="AO54" s="7"/>
      <c r="AP54" s="7"/>
      <c r="AQ54" s="28" t="s">
        <v>1650</v>
      </c>
    </row>
    <row r="55" spans="1:43" ht="30">
      <c r="A55" s="7">
        <v>55</v>
      </c>
      <c r="B55" s="7" t="s">
        <v>253</v>
      </c>
      <c r="C55" s="7" t="s">
        <v>40</v>
      </c>
      <c r="D55" s="7" t="s">
        <v>167</v>
      </c>
      <c r="E55" s="7" t="s">
        <v>1642</v>
      </c>
      <c r="F55" s="7" t="s">
        <v>40</v>
      </c>
      <c r="G55" s="14">
        <v>2833</v>
      </c>
      <c r="H55" s="15">
        <v>15.4</v>
      </c>
      <c r="I55" s="15">
        <v>1.18</v>
      </c>
      <c r="J55" s="15">
        <v>0.48923402753265088</v>
      </c>
      <c r="K55" s="15">
        <v>3.7486763148605717E-2</v>
      </c>
      <c r="L55" s="15">
        <v>48.2</v>
      </c>
      <c r="M55" s="15">
        <v>1.2684210526315791</v>
      </c>
      <c r="N55" s="16">
        <v>0.38570317523321018</v>
      </c>
      <c r="O55" s="16">
        <v>2.9553879660726496E-2</v>
      </c>
      <c r="P55" s="17">
        <f>IFERROR(G55/(G55+Priors!$H$3),0)</f>
        <v>0.7391077484998696</v>
      </c>
      <c r="Q55" s="18">
        <f>IF(E55="Premier League",Priors!$H$4,IF(E55="Championship",Priors!$H$5,Priors!$H$8))</f>
        <v>1</v>
      </c>
      <c r="R55" s="19" t="b">
        <v>0</v>
      </c>
      <c r="S55" s="18">
        <f>IF(R55=TRUE,Priors!$H$6,1)</f>
        <v>1</v>
      </c>
      <c r="T55" s="19" t="b">
        <v>0</v>
      </c>
      <c r="U55" s="18">
        <f>IF(T55=TRUE,Priors!$H$7,1)</f>
        <v>1</v>
      </c>
      <c r="V55" s="18">
        <f t="shared" si="0"/>
        <v>0.7391077484998696</v>
      </c>
      <c r="W55" s="20">
        <f>VLOOKUP(D55,Priors!$A$3:$C$6,2,FALSE)</f>
        <v>0.30461525508032317</v>
      </c>
      <c r="X55" s="20">
        <f>VLOOKUP(D55,Priors!$A$3:$C$6,3,FALSE)</f>
        <v>3.9258061548584466E-2</v>
      </c>
      <c r="Y55" s="20">
        <f t="shared" si="1"/>
        <v>0.36454796517506072</v>
      </c>
      <c r="Z55" s="20">
        <f t="shared" si="2"/>
        <v>3.2085625522416547E-2</v>
      </c>
      <c r="AA55" s="21">
        <v>1</v>
      </c>
      <c r="AB55" s="21">
        <v>1</v>
      </c>
      <c r="AC55" s="22">
        <f t="shared" si="3"/>
        <v>0.36454796517506072</v>
      </c>
      <c r="AD55" s="22">
        <f t="shared" si="4"/>
        <v>3.2085625522416547E-2</v>
      </c>
      <c r="AE55" s="22">
        <f t="shared" si="5"/>
        <v>0.2608922515001304</v>
      </c>
      <c r="AF55" s="7" t="s">
        <v>1643</v>
      </c>
      <c r="AG55" s="7">
        <v>2</v>
      </c>
      <c r="AH55" s="7"/>
      <c r="AI55" s="7"/>
      <c r="AJ55" s="8" t="b">
        <v>0</v>
      </c>
      <c r="AK55" s="28" t="s">
        <v>1644</v>
      </c>
      <c r="AL55" s="28" t="s">
        <v>1645</v>
      </c>
      <c r="AM55" s="28"/>
      <c r="AN55" s="7"/>
      <c r="AO55" s="7">
        <v>0</v>
      </c>
      <c r="AP55" s="8" t="b">
        <v>0</v>
      </c>
      <c r="AQ55" s="28" t="s">
        <v>1646</v>
      </c>
    </row>
    <row r="56" spans="1:43" ht="30">
      <c r="A56" s="7">
        <v>56</v>
      </c>
      <c r="B56" s="7" t="s">
        <v>256</v>
      </c>
      <c r="C56" s="7" t="s">
        <v>40</v>
      </c>
      <c r="D56" s="7" t="s">
        <v>167</v>
      </c>
      <c r="E56" s="7" t="s">
        <v>1642</v>
      </c>
      <c r="F56" s="7" t="s">
        <v>40</v>
      </c>
      <c r="G56" s="14">
        <v>278</v>
      </c>
      <c r="H56" s="15">
        <v>2.0499999999999998</v>
      </c>
      <c r="I56" s="15">
        <v>0.36</v>
      </c>
      <c r="J56" s="15">
        <v>0.66366906474820131</v>
      </c>
      <c r="K56" s="15">
        <v>0.11654676258992805</v>
      </c>
      <c r="L56" s="15">
        <v>48.2</v>
      </c>
      <c r="M56" s="15">
        <v>1.2684210526315791</v>
      </c>
      <c r="N56" s="16">
        <v>0.52322457386787646</v>
      </c>
      <c r="O56" s="16">
        <v>9.1883339801188083E-2</v>
      </c>
      <c r="P56" s="17">
        <f>IFERROR(G56/(G56+Priors!$H$3),0)</f>
        <v>0.21752738654147105</v>
      </c>
      <c r="Q56" s="18">
        <f>IF(E56="Premier League",Priors!$H$4,IF(E56="Championship",Priors!$H$5,Priors!$H$8))</f>
        <v>1</v>
      </c>
      <c r="R56" s="19" t="b">
        <v>0</v>
      </c>
      <c r="S56" s="18">
        <f>IF(R56=TRUE,Priors!$H$6,1)</f>
        <v>1</v>
      </c>
      <c r="T56" s="19" t="b">
        <v>0</v>
      </c>
      <c r="U56" s="18">
        <f>IF(T56=TRUE,Priors!$H$7,1)</f>
        <v>1</v>
      </c>
      <c r="V56" s="18">
        <f t="shared" si="0"/>
        <v>0.21752738654147105</v>
      </c>
      <c r="W56" s="20">
        <f>VLOOKUP(D56,Priors!$A$3:$C$6,2,FALSE)</f>
        <v>0.30461525508032317</v>
      </c>
      <c r="X56" s="20">
        <f>VLOOKUP(D56,Priors!$A$3:$C$6,3,FALSE)</f>
        <v>3.9258061548584466E-2</v>
      </c>
      <c r="Y56" s="20">
        <f t="shared" si="1"/>
        <v>0.35216876886979093</v>
      </c>
      <c r="Z56" s="20">
        <f t="shared" si="2"/>
        <v>5.0705500792891045E-2</v>
      </c>
      <c r="AA56" s="21">
        <v>1</v>
      </c>
      <c r="AB56" s="21">
        <v>1</v>
      </c>
      <c r="AC56" s="22">
        <f t="shared" si="3"/>
        <v>0.35216876886979093</v>
      </c>
      <c r="AD56" s="22">
        <f t="shared" si="4"/>
        <v>5.0705500792891045E-2</v>
      </c>
      <c r="AE56" s="22">
        <f t="shared" si="5"/>
        <v>0.78247261345852892</v>
      </c>
      <c r="AF56" s="7" t="s">
        <v>1643</v>
      </c>
      <c r="AG56" s="7"/>
      <c r="AH56" s="7"/>
      <c r="AI56" s="7"/>
      <c r="AJ56" s="8" t="b">
        <v>1</v>
      </c>
      <c r="AK56" s="28" t="s">
        <v>1644</v>
      </c>
      <c r="AL56" s="28" t="s">
        <v>1645</v>
      </c>
      <c r="AM56" s="28"/>
      <c r="AN56" s="7">
        <v>3</v>
      </c>
      <c r="AO56" s="7">
        <v>0</v>
      </c>
      <c r="AP56" s="8" t="b">
        <v>0</v>
      </c>
      <c r="AQ56" s="28" t="s">
        <v>1646</v>
      </c>
    </row>
    <row r="57" spans="1:43" ht="30">
      <c r="A57" s="7">
        <v>160</v>
      </c>
      <c r="B57" s="7" t="s">
        <v>260</v>
      </c>
      <c r="C57" s="7" t="s">
        <v>40</v>
      </c>
      <c r="D57" s="7" t="s">
        <v>112</v>
      </c>
      <c r="E57" s="7" t="s">
        <v>1642</v>
      </c>
      <c r="F57" s="7" t="s">
        <v>44</v>
      </c>
      <c r="G57" s="14">
        <v>1261</v>
      </c>
      <c r="H57" s="15">
        <v>3.44</v>
      </c>
      <c r="I57" s="15">
        <v>3.68</v>
      </c>
      <c r="J57" s="15">
        <v>0.24551942902458368</v>
      </c>
      <c r="K57" s="15">
        <v>0.26264869151467091</v>
      </c>
      <c r="L57" s="15">
        <v>66.5</v>
      </c>
      <c r="M57" s="15">
        <v>1.75</v>
      </c>
      <c r="N57" s="16">
        <v>0.14029681658547638</v>
      </c>
      <c r="O57" s="16">
        <v>0.15008496657981193</v>
      </c>
      <c r="P57" s="17">
        <f>IFERROR(G57/(G57+Priors!$H$3),0)</f>
        <v>0.55771782397169389</v>
      </c>
      <c r="Q57" s="18">
        <f>IF(E57="Premier League",Priors!$H$4,IF(E57="Championship",Priors!$H$5,Priors!$H$8))</f>
        <v>1</v>
      </c>
      <c r="R57" s="19" t="b">
        <v>1</v>
      </c>
      <c r="S57" s="18">
        <f>IF(R57=TRUE,Priors!$H$6,1)</f>
        <v>0.85</v>
      </c>
      <c r="T57" s="19" t="b">
        <v>0</v>
      </c>
      <c r="U57" s="18">
        <f>IF(T57=TRUE,Priors!$H$7,1)</f>
        <v>1</v>
      </c>
      <c r="V57" s="18">
        <f t="shared" si="0"/>
        <v>0.47406015037593979</v>
      </c>
      <c r="W57" s="20">
        <f>VLOOKUP(D57,Priors!$A$3:$C$6,2,FALSE)</f>
        <v>0.10751786102217777</v>
      </c>
      <c r="X57" s="20">
        <f>VLOOKUP(D57,Priors!$A$3:$C$6,3,FALSE)</f>
        <v>9.0240671969462088E-2</v>
      </c>
      <c r="Y57" s="20">
        <f t="shared" si="1"/>
        <v>0.12305705762568135</v>
      </c>
      <c r="Z57" s="20">
        <f t="shared" si="2"/>
        <v>0.11861046727158658</v>
      </c>
      <c r="AA57" s="21">
        <v>1</v>
      </c>
      <c r="AB57" s="21">
        <v>1</v>
      </c>
      <c r="AC57" s="22">
        <f t="shared" si="3"/>
        <v>0.12305705762568135</v>
      </c>
      <c r="AD57" s="22">
        <f t="shared" si="4"/>
        <v>0.11861046727158658</v>
      </c>
      <c r="AE57" s="22">
        <f t="shared" si="5"/>
        <v>0.52593984962406015</v>
      </c>
      <c r="AF57" s="7" t="s">
        <v>1643</v>
      </c>
      <c r="AG57" s="7"/>
      <c r="AH57" s="7"/>
      <c r="AI57" s="7"/>
      <c r="AJ57" s="8" t="b">
        <v>1</v>
      </c>
      <c r="AK57" s="28" t="s">
        <v>1644</v>
      </c>
      <c r="AL57" s="28" t="s">
        <v>1645</v>
      </c>
      <c r="AM57" s="28"/>
      <c r="AN57" s="7"/>
      <c r="AO57" s="7">
        <v>0</v>
      </c>
      <c r="AP57" s="8" t="b">
        <v>0</v>
      </c>
      <c r="AQ57" s="28" t="s">
        <v>1646</v>
      </c>
    </row>
    <row r="58" spans="1:43" ht="30">
      <c r="A58" s="7">
        <v>57</v>
      </c>
      <c r="B58" s="7" t="s">
        <v>262</v>
      </c>
      <c r="C58" s="7" t="s">
        <v>41</v>
      </c>
      <c r="D58" s="7" t="s">
        <v>85</v>
      </c>
      <c r="E58" s="7" t="s">
        <v>1642</v>
      </c>
      <c r="F58" s="7" t="s">
        <v>41</v>
      </c>
      <c r="G58" s="14">
        <v>3420</v>
      </c>
      <c r="H58" s="15">
        <v>0</v>
      </c>
      <c r="I58" s="15">
        <v>0</v>
      </c>
      <c r="J58" s="15">
        <v>0</v>
      </c>
      <c r="K58" s="15">
        <v>0</v>
      </c>
      <c r="L58" s="15">
        <v>61.9</v>
      </c>
      <c r="M58" s="15">
        <v>1.6289473684210527</v>
      </c>
      <c r="N58" s="16">
        <v>0</v>
      </c>
      <c r="O58" s="16">
        <v>0</v>
      </c>
      <c r="P58" s="17">
        <f>IFERROR(G58/(G58+Priors!$H$3),0)</f>
        <v>0.77375565610859731</v>
      </c>
      <c r="Q58" s="18">
        <f>IF(E58="Premier League",Priors!$H$4,IF(E58="Championship",Priors!$H$5,Priors!$H$8))</f>
        <v>1</v>
      </c>
      <c r="R58" s="19" t="b">
        <v>0</v>
      </c>
      <c r="S58" s="18">
        <f>IF(R58=TRUE,Priors!$H$6,1)</f>
        <v>1</v>
      </c>
      <c r="T58" s="19" t="b">
        <v>1</v>
      </c>
      <c r="U58" s="18">
        <f>IF(T58=TRUE,Priors!$H$7,1)</f>
        <v>0.9</v>
      </c>
      <c r="V58" s="18">
        <f t="shared" si="0"/>
        <v>0.69638009049773764</v>
      </c>
      <c r="W58" s="20">
        <f>VLOOKUP(D58,Priors!$A$3:$C$6,2,FALSE)</f>
        <v>1.6719534964712218E-4</v>
      </c>
      <c r="X58" s="20">
        <f>VLOOKUP(D58,Priors!$A$3:$C$6,3,FALSE)</f>
        <v>1.379361634588758E-3</v>
      </c>
      <c r="Y58" s="20">
        <f t="shared" si="1"/>
        <v>5.0763836929058353E-5</v>
      </c>
      <c r="Z58" s="20">
        <f t="shared" si="2"/>
        <v>4.1880165466473139E-4</v>
      </c>
      <c r="AA58" s="21">
        <v>1</v>
      </c>
      <c r="AB58" s="21">
        <v>1</v>
      </c>
      <c r="AC58" s="22">
        <f t="shared" si="3"/>
        <v>5.0763836929058353E-5</v>
      </c>
      <c r="AD58" s="22">
        <f t="shared" si="4"/>
        <v>4.1880165466473139E-4</v>
      </c>
      <c r="AE58" s="22">
        <f t="shared" si="5"/>
        <v>0.30361990950226236</v>
      </c>
      <c r="AF58" s="7" t="s">
        <v>1643</v>
      </c>
      <c r="AG58" s="7"/>
      <c r="AH58" s="7"/>
      <c r="AI58" s="7"/>
      <c r="AJ58" s="8" t="b">
        <v>1</v>
      </c>
      <c r="AK58" s="28" t="s">
        <v>1644</v>
      </c>
      <c r="AL58" s="28" t="s">
        <v>1645</v>
      </c>
      <c r="AM58" s="28"/>
      <c r="AN58" s="7"/>
      <c r="AO58" s="7">
        <v>0</v>
      </c>
      <c r="AP58" s="8" t="b">
        <v>0</v>
      </c>
      <c r="AQ58" s="28" t="s">
        <v>1646</v>
      </c>
    </row>
    <row r="59" spans="1:43" ht="15">
      <c r="A59" s="7">
        <v>58</v>
      </c>
      <c r="B59" s="7" t="s">
        <v>267</v>
      </c>
      <c r="C59" s="7" t="s">
        <v>41</v>
      </c>
      <c r="D59" s="7" t="s">
        <v>85</v>
      </c>
      <c r="E59" s="7" t="s">
        <v>1647</v>
      </c>
      <c r="F59" s="7"/>
      <c r="G59" s="14"/>
      <c r="H59" s="15"/>
      <c r="I59" s="15"/>
      <c r="J59" s="15"/>
      <c r="K59" s="15"/>
      <c r="L59" s="15"/>
      <c r="M59" s="15"/>
      <c r="N59" s="16"/>
      <c r="O59" s="16"/>
      <c r="P59" s="17">
        <f>IFERROR(G59/(G59+Priors!$H$3),0)</f>
        <v>0</v>
      </c>
      <c r="Q59" s="18">
        <f>IF(E59="Premier League",Priors!$H$4,IF(E59="Championship",Priors!$H$5,Priors!$H$8))</f>
        <v>0</v>
      </c>
      <c r="R59" s="19" t="b">
        <v>0</v>
      </c>
      <c r="S59" s="18">
        <f>IF(R59=TRUE,Priors!$H$6,1)</f>
        <v>1</v>
      </c>
      <c r="T59" s="19" t="b">
        <v>1</v>
      </c>
      <c r="U59" s="18">
        <f>IF(T59=TRUE,Priors!$H$7,1)</f>
        <v>0.9</v>
      </c>
      <c r="V59" s="18">
        <f t="shared" si="0"/>
        <v>0</v>
      </c>
      <c r="W59" s="20">
        <f>VLOOKUP(D59,Priors!$A$3:$C$6,2,FALSE)</f>
        <v>1.6719534964712218E-4</v>
      </c>
      <c r="X59" s="20">
        <f>VLOOKUP(D59,Priors!$A$3:$C$6,3,FALSE)</f>
        <v>1.379361634588758E-3</v>
      </c>
      <c r="Y59" s="20">
        <f t="shared" si="1"/>
        <v>1.6719534964712218E-4</v>
      </c>
      <c r="Z59" s="20">
        <f t="shared" si="2"/>
        <v>1.379361634588758E-3</v>
      </c>
      <c r="AA59" s="21">
        <v>1</v>
      </c>
      <c r="AB59" s="21">
        <v>1</v>
      </c>
      <c r="AC59" s="22">
        <f t="shared" si="3"/>
        <v>1.6719534964712218E-4</v>
      </c>
      <c r="AD59" s="22">
        <f t="shared" si="4"/>
        <v>1.379361634588758E-3</v>
      </c>
      <c r="AE59" s="22">
        <f t="shared" si="5"/>
        <v>1</v>
      </c>
      <c r="AF59" s="7" t="s">
        <v>1647</v>
      </c>
      <c r="AG59" s="7"/>
      <c r="AH59" s="7"/>
      <c r="AI59" s="7"/>
      <c r="AJ59" s="8" t="b">
        <v>1</v>
      </c>
      <c r="AK59" s="28" t="s">
        <v>1648</v>
      </c>
      <c r="AL59" s="28"/>
      <c r="AM59" s="28"/>
      <c r="AN59" s="7"/>
      <c r="AO59" s="7">
        <v>0</v>
      </c>
      <c r="AP59" s="8" t="b">
        <v>0</v>
      </c>
      <c r="AQ59" s="28" t="s">
        <v>1646</v>
      </c>
    </row>
    <row r="60" spans="1:43" ht="15">
      <c r="A60" s="7">
        <v>59</v>
      </c>
      <c r="B60" s="7" t="s">
        <v>270</v>
      </c>
      <c r="C60" s="7" t="s">
        <v>41</v>
      </c>
      <c r="D60" s="7" t="s">
        <v>85</v>
      </c>
      <c r="E60" s="7" t="s">
        <v>1647</v>
      </c>
      <c r="F60" s="7"/>
      <c r="G60" s="14"/>
      <c r="H60" s="15"/>
      <c r="I60" s="15"/>
      <c r="J60" s="15"/>
      <c r="K60" s="15"/>
      <c r="L60" s="15"/>
      <c r="M60" s="15"/>
      <c r="N60" s="16"/>
      <c r="O60" s="16"/>
      <c r="P60" s="17">
        <f>IFERROR(G60/(G60+Priors!$H$3),0)</f>
        <v>0</v>
      </c>
      <c r="Q60" s="18">
        <f>IF(E60="Premier League",Priors!$H$4,IF(E60="Championship",Priors!$H$5,Priors!$H$8))</f>
        <v>0</v>
      </c>
      <c r="R60" s="19" t="b">
        <v>0</v>
      </c>
      <c r="S60" s="18">
        <f>IF(R60=TRUE,Priors!$H$6,1)</f>
        <v>1</v>
      </c>
      <c r="T60" s="19" t="b">
        <v>1</v>
      </c>
      <c r="U60" s="18">
        <f>IF(T60=TRUE,Priors!$H$7,1)</f>
        <v>0.9</v>
      </c>
      <c r="V60" s="18">
        <f t="shared" si="0"/>
        <v>0</v>
      </c>
      <c r="W60" s="20">
        <f>VLOOKUP(D60,Priors!$A$3:$C$6,2,FALSE)</f>
        <v>1.6719534964712218E-4</v>
      </c>
      <c r="X60" s="20">
        <f>VLOOKUP(D60,Priors!$A$3:$C$6,3,FALSE)</f>
        <v>1.379361634588758E-3</v>
      </c>
      <c r="Y60" s="20">
        <f t="shared" si="1"/>
        <v>1.6719534964712218E-4</v>
      </c>
      <c r="Z60" s="20">
        <f t="shared" si="2"/>
        <v>1.379361634588758E-3</v>
      </c>
      <c r="AA60" s="21">
        <v>1</v>
      </c>
      <c r="AB60" s="21">
        <v>1</v>
      </c>
      <c r="AC60" s="22">
        <f t="shared" si="3"/>
        <v>1.6719534964712218E-4</v>
      </c>
      <c r="AD60" s="22">
        <f t="shared" si="4"/>
        <v>1.379361634588758E-3</v>
      </c>
      <c r="AE60" s="22">
        <f t="shared" si="5"/>
        <v>1</v>
      </c>
      <c r="AF60" s="7" t="s">
        <v>1647</v>
      </c>
      <c r="AG60" s="7"/>
      <c r="AH60" s="7"/>
      <c r="AI60" s="7"/>
      <c r="AJ60" s="8" t="b">
        <v>1</v>
      </c>
      <c r="AK60" s="28" t="s">
        <v>1648</v>
      </c>
      <c r="AL60" s="28"/>
      <c r="AM60" s="28"/>
      <c r="AN60" s="7"/>
      <c r="AO60" s="7">
        <v>0</v>
      </c>
      <c r="AP60" s="8" t="b">
        <v>0</v>
      </c>
      <c r="AQ60" s="28" t="s">
        <v>1646</v>
      </c>
    </row>
    <row r="61" spans="1:43" ht="30">
      <c r="A61" s="7">
        <v>60</v>
      </c>
      <c r="B61" s="7" t="s">
        <v>273</v>
      </c>
      <c r="C61" s="7" t="s">
        <v>41</v>
      </c>
      <c r="D61" s="7" t="s">
        <v>99</v>
      </c>
      <c r="E61" s="7" t="s">
        <v>1642</v>
      </c>
      <c r="F61" s="7" t="s">
        <v>41</v>
      </c>
      <c r="G61" s="14">
        <v>2102</v>
      </c>
      <c r="H61" s="15">
        <v>0.89</v>
      </c>
      <c r="I61" s="15">
        <v>1.1599999999999999</v>
      </c>
      <c r="J61" s="15">
        <v>3.810656517602283E-2</v>
      </c>
      <c r="K61" s="15">
        <v>4.9666983824928637E-2</v>
      </c>
      <c r="L61" s="15">
        <v>61.9</v>
      </c>
      <c r="M61" s="15">
        <v>1.6289473684210527</v>
      </c>
      <c r="N61" s="16">
        <v>2.3393367959432431E-2</v>
      </c>
      <c r="O61" s="16">
        <v>3.0490232396563621E-2</v>
      </c>
      <c r="P61" s="17">
        <f>IFERROR(G61/(G61+Priors!$H$3),0)</f>
        <v>0.67762733720180524</v>
      </c>
      <c r="Q61" s="18">
        <f>IF(E61="Premier League",Priors!$H$4,IF(E61="Championship",Priors!$H$5,Priors!$H$8))</f>
        <v>1</v>
      </c>
      <c r="R61" s="19" t="b">
        <v>0</v>
      </c>
      <c r="S61" s="18">
        <f>IF(R61=TRUE,Priors!$H$6,1)</f>
        <v>1</v>
      </c>
      <c r="T61" s="19" t="b">
        <v>1</v>
      </c>
      <c r="U61" s="18">
        <f>IF(T61=TRUE,Priors!$H$7,1)</f>
        <v>0.9</v>
      </c>
      <c r="V61" s="18">
        <f t="shared" si="0"/>
        <v>0.60986460348162475</v>
      </c>
      <c r="W61" s="20">
        <f>VLOOKUP(D61,Priors!$A$3:$C$6,2,FALSE)</f>
        <v>4.1142361271531161E-2</v>
      </c>
      <c r="X61" s="20">
        <f>VLOOKUP(D61,Priors!$A$3:$C$6,3,FALSE)</f>
        <v>4.0513079897554365E-2</v>
      </c>
      <c r="Y61" s="20">
        <f t="shared" si="1"/>
        <v>3.0317878503050059E-2</v>
      </c>
      <c r="Z61" s="20">
        <f t="shared" si="2"/>
        <v>3.4400499980605848E-2</v>
      </c>
      <c r="AA61" s="21">
        <v>1</v>
      </c>
      <c r="AB61" s="21">
        <v>1</v>
      </c>
      <c r="AC61" s="22">
        <f t="shared" si="3"/>
        <v>3.0317878503050059E-2</v>
      </c>
      <c r="AD61" s="22">
        <f t="shared" si="4"/>
        <v>3.4400499980605848E-2</v>
      </c>
      <c r="AE61" s="22">
        <f t="shared" si="5"/>
        <v>0.39013539651837525</v>
      </c>
      <c r="AF61" s="7" t="s">
        <v>1643</v>
      </c>
      <c r="AG61" s="7"/>
      <c r="AH61" s="7"/>
      <c r="AI61" s="7"/>
      <c r="AJ61" s="8" t="b">
        <v>1</v>
      </c>
      <c r="AK61" s="28" t="s">
        <v>1644</v>
      </c>
      <c r="AL61" s="28" t="s">
        <v>1645</v>
      </c>
      <c r="AM61" s="28"/>
      <c r="AN61" s="7"/>
      <c r="AO61" s="7">
        <v>0</v>
      </c>
      <c r="AP61" s="8" t="b">
        <v>0</v>
      </c>
      <c r="AQ61" s="28" t="s">
        <v>1646</v>
      </c>
    </row>
    <row r="62" spans="1:43" ht="30">
      <c r="A62" s="7">
        <v>61</v>
      </c>
      <c r="B62" s="7" t="s">
        <v>276</v>
      </c>
      <c r="C62" s="7" t="s">
        <v>41</v>
      </c>
      <c r="D62" s="7" t="s">
        <v>99</v>
      </c>
      <c r="E62" s="7" t="s">
        <v>1642</v>
      </c>
      <c r="F62" s="7" t="s">
        <v>41</v>
      </c>
      <c r="G62" s="14">
        <v>3378</v>
      </c>
      <c r="H62" s="15">
        <v>1.35</v>
      </c>
      <c r="I62" s="15">
        <v>3.07</v>
      </c>
      <c r="J62" s="15">
        <v>3.5968028419182951E-2</v>
      </c>
      <c r="K62" s="15">
        <v>8.1793960923623454E-2</v>
      </c>
      <c r="L62" s="15">
        <v>61.9</v>
      </c>
      <c r="M62" s="15">
        <v>1.6289473684210527</v>
      </c>
      <c r="N62" s="16">
        <v>2.2080534409191471E-2</v>
      </c>
      <c r="O62" s="16">
        <v>5.0212770841642829E-2</v>
      </c>
      <c r="P62" s="17">
        <f>IFERROR(G62/(G62+Priors!$H$3),0)</f>
        <v>0.77158519872087716</v>
      </c>
      <c r="Q62" s="18">
        <f>IF(E62="Premier League",Priors!$H$4,IF(E62="Championship",Priors!$H$5,Priors!$H$8))</f>
        <v>1</v>
      </c>
      <c r="R62" s="19" t="b">
        <v>0</v>
      </c>
      <c r="S62" s="18">
        <f>IF(R62=TRUE,Priors!$H$6,1)</f>
        <v>1</v>
      </c>
      <c r="T62" s="19" t="b">
        <v>1</v>
      </c>
      <c r="U62" s="18">
        <f>IF(T62=TRUE,Priors!$H$7,1)</f>
        <v>0.9</v>
      </c>
      <c r="V62" s="18">
        <f t="shared" si="0"/>
        <v>0.6944266788487895</v>
      </c>
      <c r="W62" s="20">
        <f>VLOOKUP(D62,Priors!$A$3:$C$6,2,FALSE)</f>
        <v>4.1142361271531161E-2</v>
      </c>
      <c r="X62" s="20">
        <f>VLOOKUP(D62,Priors!$A$3:$C$6,3,FALSE)</f>
        <v>4.0513079897554365E-2</v>
      </c>
      <c r="Y62" s="20">
        <f t="shared" si="1"/>
        <v>2.7905320150725971E-2</v>
      </c>
      <c r="Z62" s="20">
        <f t="shared" si="2"/>
        <v>4.7248804065717395E-2</v>
      </c>
      <c r="AA62" s="21">
        <v>1</v>
      </c>
      <c r="AB62" s="21">
        <v>1</v>
      </c>
      <c r="AC62" s="22">
        <f t="shared" si="3"/>
        <v>2.7905320150725971E-2</v>
      </c>
      <c r="AD62" s="22">
        <f t="shared" si="4"/>
        <v>4.7248804065717395E-2</v>
      </c>
      <c r="AE62" s="22">
        <f t="shared" si="5"/>
        <v>0.3055733211512105</v>
      </c>
      <c r="AF62" s="7" t="s">
        <v>1643</v>
      </c>
      <c r="AG62" s="7"/>
      <c r="AH62" s="7"/>
      <c r="AI62" s="7"/>
      <c r="AJ62" s="8" t="b">
        <v>1</v>
      </c>
      <c r="AK62" s="28" t="s">
        <v>1644</v>
      </c>
      <c r="AL62" s="28" t="s">
        <v>1645</v>
      </c>
      <c r="AM62" s="28"/>
      <c r="AN62" s="7"/>
      <c r="AO62" s="7">
        <v>0</v>
      </c>
      <c r="AP62" s="8" t="b">
        <v>0</v>
      </c>
      <c r="AQ62" s="28" t="s">
        <v>1646</v>
      </c>
    </row>
    <row r="63" spans="1:43" ht="30">
      <c r="A63" s="7">
        <v>62</v>
      </c>
      <c r="B63" s="7" t="s">
        <v>279</v>
      </c>
      <c r="C63" s="7" t="s">
        <v>41</v>
      </c>
      <c r="D63" s="7" t="s">
        <v>99</v>
      </c>
      <c r="E63" s="7" t="s">
        <v>1642</v>
      </c>
      <c r="F63" s="7" t="s">
        <v>41</v>
      </c>
      <c r="G63" s="14">
        <v>1275</v>
      </c>
      <c r="H63" s="15">
        <v>0.02</v>
      </c>
      <c r="I63" s="15">
        <v>0.19</v>
      </c>
      <c r="J63" s="15">
        <v>1.411764705882353E-3</v>
      </c>
      <c r="K63" s="15">
        <v>1.3411764705882354E-2</v>
      </c>
      <c r="L63" s="15">
        <v>61.9</v>
      </c>
      <c r="M63" s="15">
        <v>1.6289473684210527</v>
      </c>
      <c r="N63" s="16">
        <v>8.6667300199562869E-4</v>
      </c>
      <c r="O63" s="16">
        <v>8.233393518958472E-3</v>
      </c>
      <c r="P63" s="17">
        <f>IFERROR(G63/(G63+Priors!$H$3),0)</f>
        <v>0.56043956043956045</v>
      </c>
      <c r="Q63" s="18">
        <f>IF(E63="Premier League",Priors!$H$4,IF(E63="Championship",Priors!$H$5,Priors!$H$8))</f>
        <v>1</v>
      </c>
      <c r="R63" s="19" t="b">
        <v>0</v>
      </c>
      <c r="S63" s="18">
        <f>IF(R63=TRUE,Priors!$H$6,1)</f>
        <v>1</v>
      </c>
      <c r="T63" s="19" t="b">
        <v>1</v>
      </c>
      <c r="U63" s="18">
        <f>IF(T63=TRUE,Priors!$H$7,1)</f>
        <v>0.9</v>
      </c>
      <c r="V63" s="18">
        <f t="shared" si="0"/>
        <v>0.50439560439560438</v>
      </c>
      <c r="W63" s="20">
        <f>VLOOKUP(D63,Priors!$A$3:$C$6,2,FALSE)</f>
        <v>4.1142361271531161E-2</v>
      </c>
      <c r="X63" s="20">
        <f>VLOOKUP(D63,Priors!$A$3:$C$6,3,FALSE)</f>
        <v>4.0513079897554365E-2</v>
      </c>
      <c r="Y63" s="20">
        <f t="shared" si="1"/>
        <v>2.0827481144369834E-2</v>
      </c>
      <c r="Z63" s="20">
        <f t="shared" si="2"/>
        <v>2.4231347976921933E-2</v>
      </c>
      <c r="AA63" s="21">
        <v>1</v>
      </c>
      <c r="AB63" s="21">
        <v>1</v>
      </c>
      <c r="AC63" s="22">
        <f t="shared" si="3"/>
        <v>2.0827481144369834E-2</v>
      </c>
      <c r="AD63" s="22">
        <f t="shared" si="4"/>
        <v>2.4231347976921933E-2</v>
      </c>
      <c r="AE63" s="22">
        <f t="shared" si="5"/>
        <v>0.49560439560439562</v>
      </c>
      <c r="AF63" s="7" t="s">
        <v>1643</v>
      </c>
      <c r="AG63" s="7"/>
      <c r="AH63" s="7"/>
      <c r="AI63" s="7"/>
      <c r="AJ63" s="8" t="b">
        <v>1</v>
      </c>
      <c r="AK63" s="28" t="s">
        <v>1644</v>
      </c>
      <c r="AL63" s="28" t="s">
        <v>1645</v>
      </c>
      <c r="AM63" s="28"/>
      <c r="AN63" s="7"/>
      <c r="AO63" s="7">
        <v>0</v>
      </c>
      <c r="AP63" s="8" t="b">
        <v>0</v>
      </c>
      <c r="AQ63" s="28" t="s">
        <v>1646</v>
      </c>
    </row>
    <row r="64" spans="1:43" ht="30">
      <c r="A64" s="7">
        <v>63</v>
      </c>
      <c r="B64" s="7" t="s">
        <v>282</v>
      </c>
      <c r="C64" s="7" t="s">
        <v>41</v>
      </c>
      <c r="D64" s="7" t="s">
        <v>99</v>
      </c>
      <c r="E64" s="7" t="s">
        <v>1642</v>
      </c>
      <c r="F64" s="7" t="s">
        <v>41</v>
      </c>
      <c r="G64" s="14">
        <v>367</v>
      </c>
      <c r="H64" s="15">
        <v>0.15</v>
      </c>
      <c r="I64" s="15">
        <v>0.19</v>
      </c>
      <c r="J64" s="15">
        <v>3.6784741144414171E-2</v>
      </c>
      <c r="K64" s="15">
        <v>4.6594005449591282E-2</v>
      </c>
      <c r="L64" s="15">
        <v>61.9</v>
      </c>
      <c r="M64" s="15">
        <v>1.6289473684210527</v>
      </c>
      <c r="N64" s="16">
        <v>2.2581908941643594E-2</v>
      </c>
      <c r="O64" s="16">
        <v>2.8603751326081884E-2</v>
      </c>
      <c r="P64" s="17">
        <f>IFERROR(G64/(G64+Priors!$H$3),0)</f>
        <v>0.26847110460863205</v>
      </c>
      <c r="Q64" s="18">
        <f>IF(E64="Premier League",Priors!$H$4,IF(E64="Championship",Priors!$H$5,Priors!$H$8))</f>
        <v>1</v>
      </c>
      <c r="R64" s="19" t="b">
        <v>0</v>
      </c>
      <c r="S64" s="18">
        <f>IF(R64=TRUE,Priors!$H$6,1)</f>
        <v>1</v>
      </c>
      <c r="T64" s="19" t="b">
        <v>1</v>
      </c>
      <c r="U64" s="18">
        <f>IF(T64=TRUE,Priors!$H$7,1)</f>
        <v>0.9</v>
      </c>
      <c r="V64" s="18">
        <f t="shared" si="0"/>
        <v>0.24162399414776886</v>
      </c>
      <c r="W64" s="20">
        <f>VLOOKUP(D64,Priors!$A$3:$C$6,2,FALSE)</f>
        <v>4.1142361271531161E-2</v>
      </c>
      <c r="X64" s="20">
        <f>VLOOKUP(D64,Priors!$A$3:$C$6,3,FALSE)</f>
        <v>4.0513079897554365E-2</v>
      </c>
      <c r="Y64" s="20">
        <f t="shared" si="1"/>
        <v>3.6657710646394462E-2</v>
      </c>
      <c r="Z64" s="20">
        <f t="shared" si="2"/>
        <v>3.7635500360497037E-2</v>
      </c>
      <c r="AA64" s="21">
        <v>1</v>
      </c>
      <c r="AB64" s="21">
        <v>1</v>
      </c>
      <c r="AC64" s="22">
        <f t="shared" si="3"/>
        <v>3.6657710646394462E-2</v>
      </c>
      <c r="AD64" s="22">
        <f t="shared" si="4"/>
        <v>3.7635500360497037E-2</v>
      </c>
      <c r="AE64" s="22">
        <f t="shared" si="5"/>
        <v>0.75837600585223108</v>
      </c>
      <c r="AF64" s="7" t="s">
        <v>1643</v>
      </c>
      <c r="AG64" s="7"/>
      <c r="AH64" s="7"/>
      <c r="AI64" s="7"/>
      <c r="AJ64" s="8" t="b">
        <v>1</v>
      </c>
      <c r="AK64" s="28" t="s">
        <v>1644</v>
      </c>
      <c r="AL64" s="28" t="s">
        <v>1645</v>
      </c>
      <c r="AM64" s="28"/>
      <c r="AN64" s="7"/>
      <c r="AO64" s="7">
        <v>0</v>
      </c>
      <c r="AP64" s="8" t="b">
        <v>0</v>
      </c>
      <c r="AQ64" s="28" t="s">
        <v>1646</v>
      </c>
    </row>
    <row r="65" spans="1:43" ht="30">
      <c r="A65" s="7">
        <v>64</v>
      </c>
      <c r="B65" s="7" t="s">
        <v>284</v>
      </c>
      <c r="C65" s="7" t="s">
        <v>41</v>
      </c>
      <c r="D65" s="7" t="s">
        <v>99</v>
      </c>
      <c r="E65" s="7" t="s">
        <v>1642</v>
      </c>
      <c r="F65" s="7" t="s">
        <v>41</v>
      </c>
      <c r="G65" s="14">
        <v>1073</v>
      </c>
      <c r="H65" s="15">
        <v>0</v>
      </c>
      <c r="I65" s="15">
        <v>0.23</v>
      </c>
      <c r="J65" s="15">
        <v>0</v>
      </c>
      <c r="K65" s="15">
        <v>1.9291705498602051E-2</v>
      </c>
      <c r="L65" s="15">
        <v>61.9</v>
      </c>
      <c r="M65" s="15">
        <v>1.6289473684210527</v>
      </c>
      <c r="N65" s="16">
        <v>0</v>
      </c>
      <c r="O65" s="16">
        <v>1.1843050225313052E-2</v>
      </c>
      <c r="P65" s="17">
        <f>IFERROR(G65/(G65+Priors!$H$3),0)</f>
        <v>0.51760733236854795</v>
      </c>
      <c r="Q65" s="18">
        <f>IF(E65="Premier League",Priors!$H$4,IF(E65="Championship",Priors!$H$5,Priors!$H$8))</f>
        <v>1</v>
      </c>
      <c r="R65" s="19" t="b">
        <v>0</v>
      </c>
      <c r="S65" s="18">
        <f>IF(R65=TRUE,Priors!$H$6,1)</f>
        <v>1</v>
      </c>
      <c r="T65" s="19" t="b">
        <v>1</v>
      </c>
      <c r="U65" s="18">
        <f>IF(T65=TRUE,Priors!$H$7,1)</f>
        <v>0.9</v>
      </c>
      <c r="V65" s="18">
        <f t="shared" si="0"/>
        <v>0.46584659913169318</v>
      </c>
      <c r="W65" s="20">
        <f>VLOOKUP(D65,Priors!$A$3:$C$6,2,FALSE)</f>
        <v>4.1142361271531161E-2</v>
      </c>
      <c r="X65" s="20">
        <f>VLOOKUP(D65,Priors!$A$3:$C$6,3,FALSE)</f>
        <v>4.0513079897554365E-2</v>
      </c>
      <c r="Y65" s="20">
        <f t="shared" si="1"/>
        <v>2.1976332192940887E-2</v>
      </c>
      <c r="Z65" s="20">
        <f t="shared" si="2"/>
        <v>2.715724407773602E-2</v>
      </c>
      <c r="AA65" s="21">
        <v>1</v>
      </c>
      <c r="AB65" s="21">
        <v>1</v>
      </c>
      <c r="AC65" s="22">
        <f t="shared" si="3"/>
        <v>2.1976332192940887E-2</v>
      </c>
      <c r="AD65" s="22">
        <f t="shared" si="4"/>
        <v>2.715724407773602E-2</v>
      </c>
      <c r="AE65" s="22">
        <f t="shared" si="5"/>
        <v>0.53415340086830687</v>
      </c>
      <c r="AF65" s="7" t="s">
        <v>1643</v>
      </c>
      <c r="AG65" s="7"/>
      <c r="AH65" s="7"/>
      <c r="AI65" s="7"/>
      <c r="AJ65" s="8" t="b">
        <v>1</v>
      </c>
      <c r="AK65" s="28" t="s">
        <v>1644</v>
      </c>
      <c r="AL65" s="28" t="s">
        <v>1645</v>
      </c>
      <c r="AM65" s="28"/>
      <c r="AN65" s="7"/>
      <c r="AO65" s="7">
        <v>0</v>
      </c>
      <c r="AP65" s="8" t="b">
        <v>0</v>
      </c>
      <c r="AQ65" s="28" t="s">
        <v>1646</v>
      </c>
    </row>
    <row r="66" spans="1:43" ht="15">
      <c r="A66" s="7">
        <v>65</v>
      </c>
      <c r="B66" s="7" t="s">
        <v>287</v>
      </c>
      <c r="C66" s="7" t="s">
        <v>41</v>
      </c>
      <c r="D66" s="7" t="s">
        <v>99</v>
      </c>
      <c r="E66" s="7" t="s">
        <v>1647</v>
      </c>
      <c r="F66" s="7"/>
      <c r="G66" s="14"/>
      <c r="H66" s="15"/>
      <c r="I66" s="15"/>
      <c r="J66" s="15"/>
      <c r="K66" s="15"/>
      <c r="L66" s="15"/>
      <c r="M66" s="15"/>
      <c r="N66" s="16"/>
      <c r="O66" s="16"/>
      <c r="P66" s="17">
        <f>IFERROR(G66/(G66+Priors!$H$3),0)</f>
        <v>0</v>
      </c>
      <c r="Q66" s="18">
        <f>IF(E66="Premier League",Priors!$H$4,IF(E66="Championship",Priors!$H$5,Priors!$H$8))</f>
        <v>0</v>
      </c>
      <c r="R66" s="19" t="b">
        <v>0</v>
      </c>
      <c r="S66" s="18">
        <f>IF(R66=TRUE,Priors!$H$6,1)</f>
        <v>1</v>
      </c>
      <c r="T66" s="19" t="b">
        <v>1</v>
      </c>
      <c r="U66" s="18">
        <f>IF(T66=TRUE,Priors!$H$7,1)</f>
        <v>0.9</v>
      </c>
      <c r="V66" s="18">
        <f t="shared" ref="V66:V129" si="6">P66*Q66*S66*U66</f>
        <v>0</v>
      </c>
      <c r="W66" s="20">
        <f>VLOOKUP(D66,Priors!$A$3:$C$6,2,FALSE)</f>
        <v>4.1142361271531161E-2</v>
      </c>
      <c r="X66" s="20">
        <f>VLOOKUP(D66,Priors!$A$3:$C$6,3,FALSE)</f>
        <v>4.0513079897554365E-2</v>
      </c>
      <c r="Y66" s="20">
        <f t="shared" ref="Y66:Y129" si="7">IF(N66="",W66,V66*N66+(1-V66)*W66)</f>
        <v>4.1142361271531161E-2</v>
      </c>
      <c r="Z66" s="20">
        <f t="shared" ref="Z66:Z129" si="8">IF(O66="",X66,V66*O66+(1-V66)*X66)</f>
        <v>4.0513079897554365E-2</v>
      </c>
      <c r="AA66" s="21">
        <v>1</v>
      </c>
      <c r="AB66" s="21">
        <v>1</v>
      </c>
      <c r="AC66" s="22">
        <f t="shared" ref="AC66:AC129" si="9">Y66*AA66</f>
        <v>4.1142361271531161E-2</v>
      </c>
      <c r="AD66" s="22">
        <f t="shared" ref="AD66:AD129" si="10">Z66*AB66</f>
        <v>4.0513079897554365E-2</v>
      </c>
      <c r="AE66" s="22">
        <f t="shared" ref="AE66:AE129" si="11">1-V66</f>
        <v>1</v>
      </c>
      <c r="AF66" s="7" t="s">
        <v>1647</v>
      </c>
      <c r="AG66" s="7"/>
      <c r="AH66" s="7"/>
      <c r="AI66" s="7"/>
      <c r="AJ66" s="8" t="b">
        <v>1</v>
      </c>
      <c r="AK66" s="28" t="s">
        <v>1648</v>
      </c>
      <c r="AL66" s="28"/>
      <c r="AM66" s="28"/>
      <c r="AN66" s="7"/>
      <c r="AO66" s="7">
        <v>0</v>
      </c>
      <c r="AP66" s="8" t="b">
        <v>0</v>
      </c>
      <c r="AQ66" s="28" t="s">
        <v>1646</v>
      </c>
    </row>
    <row r="67" spans="1:43" ht="30">
      <c r="A67" s="7">
        <v>66</v>
      </c>
      <c r="B67" s="7" t="s">
        <v>290</v>
      </c>
      <c r="C67" s="7" t="s">
        <v>41</v>
      </c>
      <c r="D67" s="7" t="s">
        <v>99</v>
      </c>
      <c r="E67" s="7" t="s">
        <v>1642</v>
      </c>
      <c r="F67" s="7" t="s">
        <v>41</v>
      </c>
      <c r="G67" s="14">
        <v>34</v>
      </c>
      <c r="H67" s="15">
        <v>0</v>
      </c>
      <c r="I67" s="15">
        <v>0</v>
      </c>
      <c r="J67" s="15">
        <v>0</v>
      </c>
      <c r="K67" s="15">
        <v>0</v>
      </c>
      <c r="L67" s="15">
        <v>61.9</v>
      </c>
      <c r="M67" s="15">
        <v>1.6289473684210527</v>
      </c>
      <c r="N67" s="16">
        <v>0</v>
      </c>
      <c r="O67" s="16">
        <v>0</v>
      </c>
      <c r="P67" s="17">
        <f>IFERROR(G67/(G67+Priors!$H$3),0)</f>
        <v>3.2882011605415859E-2</v>
      </c>
      <c r="Q67" s="18">
        <f>IF(E67="Premier League",Priors!$H$4,IF(E67="Championship",Priors!$H$5,Priors!$H$8))</f>
        <v>1</v>
      </c>
      <c r="R67" s="19" t="b">
        <v>0</v>
      </c>
      <c r="S67" s="18">
        <f>IF(R67=TRUE,Priors!$H$6,1)</f>
        <v>1</v>
      </c>
      <c r="T67" s="19" t="b">
        <v>1</v>
      </c>
      <c r="U67" s="18">
        <f>IF(T67=TRUE,Priors!$H$7,1)</f>
        <v>0.9</v>
      </c>
      <c r="V67" s="18">
        <f t="shared" si="6"/>
        <v>2.9593810444874274E-2</v>
      </c>
      <c r="W67" s="20">
        <f>VLOOKUP(D67,Priors!$A$3:$C$6,2,FALSE)</f>
        <v>4.1142361271531161E-2</v>
      </c>
      <c r="X67" s="20">
        <f>VLOOKUP(D67,Priors!$A$3:$C$6,3,FALSE)</f>
        <v>4.0513079897554365E-2</v>
      </c>
      <c r="Y67" s="20">
        <f t="shared" si="7"/>
        <v>3.9924802030806929E-2</v>
      </c>
      <c r="Z67" s="20">
        <f t="shared" si="8"/>
        <v>3.9314143490528093E-2</v>
      </c>
      <c r="AA67" s="21">
        <v>1</v>
      </c>
      <c r="AB67" s="21">
        <v>1</v>
      </c>
      <c r="AC67" s="22">
        <f t="shared" si="9"/>
        <v>3.9924802030806929E-2</v>
      </c>
      <c r="AD67" s="22">
        <f t="shared" si="10"/>
        <v>3.9314143490528093E-2</v>
      </c>
      <c r="AE67" s="22">
        <f t="shared" si="11"/>
        <v>0.9704061895551257</v>
      </c>
      <c r="AF67" s="7" t="s">
        <v>1643</v>
      </c>
      <c r="AG67" s="7"/>
      <c r="AH67" s="7"/>
      <c r="AI67" s="7"/>
      <c r="AJ67" s="8" t="b">
        <v>1</v>
      </c>
      <c r="AK67" s="28" t="s">
        <v>1644</v>
      </c>
      <c r="AL67" s="28" t="s">
        <v>1645</v>
      </c>
      <c r="AM67" s="28"/>
      <c r="AN67" s="7"/>
      <c r="AO67" s="7">
        <v>0</v>
      </c>
      <c r="AP67" s="8" t="b">
        <v>0</v>
      </c>
      <c r="AQ67" s="28" t="s">
        <v>1646</v>
      </c>
    </row>
    <row r="68" spans="1:43" ht="30">
      <c r="A68" s="7">
        <v>67</v>
      </c>
      <c r="B68" s="7" t="s">
        <v>293</v>
      </c>
      <c r="C68" s="7" t="s">
        <v>41</v>
      </c>
      <c r="D68" s="7" t="s">
        <v>112</v>
      </c>
      <c r="E68" s="7" t="s">
        <v>1642</v>
      </c>
      <c r="F68" s="7" t="s">
        <v>41</v>
      </c>
      <c r="G68" s="14">
        <v>1110</v>
      </c>
      <c r="H68" s="15">
        <v>2.67</v>
      </c>
      <c r="I68" s="15">
        <v>1.84</v>
      </c>
      <c r="J68" s="15">
        <v>0.21648648648648647</v>
      </c>
      <c r="K68" s="15">
        <v>0.14918918918918919</v>
      </c>
      <c r="L68" s="15">
        <v>61.9</v>
      </c>
      <c r="M68" s="15">
        <v>1.6289473684210527</v>
      </c>
      <c r="N68" s="16">
        <v>0.13289962013709994</v>
      </c>
      <c r="O68" s="16">
        <v>9.1586255075754269E-2</v>
      </c>
      <c r="P68" s="17">
        <f>IFERROR(G68/(G68+Priors!$H$3),0)</f>
        <v>0.52606635071090047</v>
      </c>
      <c r="Q68" s="18">
        <f>IF(E68="Premier League",Priors!$H$4,IF(E68="Championship",Priors!$H$5,Priors!$H$8))</f>
        <v>1</v>
      </c>
      <c r="R68" s="19" t="b">
        <v>0</v>
      </c>
      <c r="S68" s="18">
        <f>IF(R68=TRUE,Priors!$H$6,1)</f>
        <v>1</v>
      </c>
      <c r="T68" s="19" t="b">
        <v>1</v>
      </c>
      <c r="U68" s="18">
        <f>IF(T68=TRUE,Priors!$H$7,1)</f>
        <v>0.9</v>
      </c>
      <c r="V68" s="18">
        <f t="shared" si="6"/>
        <v>0.47345971563981043</v>
      </c>
      <c r="W68" s="20">
        <f>VLOOKUP(D68,Priors!$A$3:$C$6,2,FALSE)</f>
        <v>0.10751786102217777</v>
      </c>
      <c r="X68" s="20">
        <f>VLOOKUP(D68,Priors!$A$3:$C$6,3,FALSE)</f>
        <v>9.0240671969462088E-2</v>
      </c>
      <c r="Y68" s="20">
        <f t="shared" si="7"/>
        <v>0.11953510147516699</v>
      </c>
      <c r="Z68" s="20">
        <f t="shared" si="8"/>
        <v>9.0877751364336928E-2</v>
      </c>
      <c r="AA68" s="21">
        <v>1</v>
      </c>
      <c r="AB68" s="21">
        <v>1</v>
      </c>
      <c r="AC68" s="22">
        <f t="shared" si="9"/>
        <v>0.11953510147516699</v>
      </c>
      <c r="AD68" s="22">
        <f t="shared" si="10"/>
        <v>9.0877751364336928E-2</v>
      </c>
      <c r="AE68" s="22">
        <f t="shared" si="11"/>
        <v>0.52654028436018963</v>
      </c>
      <c r="AF68" s="7" t="s">
        <v>1643</v>
      </c>
      <c r="AG68" s="7"/>
      <c r="AH68" s="7"/>
      <c r="AI68" s="7"/>
      <c r="AJ68" s="8" t="b">
        <v>1</v>
      </c>
      <c r="AK68" s="28" t="s">
        <v>1644</v>
      </c>
      <c r="AL68" s="28" t="s">
        <v>1645</v>
      </c>
      <c r="AM68" s="28"/>
      <c r="AN68" s="7"/>
      <c r="AO68" s="7">
        <v>0</v>
      </c>
      <c r="AP68" s="8" t="b">
        <v>0</v>
      </c>
      <c r="AQ68" s="28" t="s">
        <v>1646</v>
      </c>
    </row>
    <row r="69" spans="1:43" ht="30">
      <c r="A69" s="7">
        <v>68</v>
      </c>
      <c r="B69" s="7" t="s">
        <v>295</v>
      </c>
      <c r="C69" s="7" t="s">
        <v>41</v>
      </c>
      <c r="D69" s="7" t="s">
        <v>112</v>
      </c>
      <c r="E69" s="7" t="s">
        <v>1642</v>
      </c>
      <c r="F69" s="7" t="s">
        <v>41</v>
      </c>
      <c r="G69" s="14">
        <v>2732</v>
      </c>
      <c r="H69" s="15">
        <v>9.06</v>
      </c>
      <c r="I69" s="15">
        <v>4.5999999999999996</v>
      </c>
      <c r="J69" s="15">
        <v>0.2984626647144949</v>
      </c>
      <c r="K69" s="15">
        <v>0.15153733528550511</v>
      </c>
      <c r="L69" s="15">
        <v>61.9</v>
      </c>
      <c r="M69" s="15">
        <v>1.6289473684210527</v>
      </c>
      <c r="N69" s="16">
        <v>0.18322425297497263</v>
      </c>
      <c r="O69" s="16">
        <v>9.3027766411133986E-2</v>
      </c>
      <c r="P69" s="17">
        <f>IFERROR(G69/(G69+Priors!$H$3),0)</f>
        <v>0.73204715969989287</v>
      </c>
      <c r="Q69" s="18">
        <f>IF(E69="Premier League",Priors!$H$4,IF(E69="Championship",Priors!$H$5,Priors!$H$8))</f>
        <v>1</v>
      </c>
      <c r="R69" s="19" t="b">
        <v>0</v>
      </c>
      <c r="S69" s="18">
        <f>IF(R69=TRUE,Priors!$H$6,1)</f>
        <v>1</v>
      </c>
      <c r="T69" s="19" t="b">
        <v>1</v>
      </c>
      <c r="U69" s="18">
        <f>IF(T69=TRUE,Priors!$H$7,1)</f>
        <v>0.9</v>
      </c>
      <c r="V69" s="18">
        <f t="shared" si="6"/>
        <v>0.65884244372990364</v>
      </c>
      <c r="W69" s="20">
        <f>VLOOKUP(D69,Priors!$A$3:$C$6,2,FALSE)</f>
        <v>0.10751786102217777</v>
      </c>
      <c r="X69" s="20">
        <f>VLOOKUP(D69,Priors!$A$3:$C$6,3,FALSE)</f>
        <v>9.0240671969462088E-2</v>
      </c>
      <c r="Y69" s="20">
        <f t="shared" si="7"/>
        <v>0.15739644530233105</v>
      </c>
      <c r="Z69" s="20">
        <f t="shared" si="8"/>
        <v>9.2076928082319237E-2</v>
      </c>
      <c r="AA69" s="21">
        <v>1</v>
      </c>
      <c r="AB69" s="21">
        <v>1</v>
      </c>
      <c r="AC69" s="22">
        <f t="shared" si="9"/>
        <v>0.15739644530233105</v>
      </c>
      <c r="AD69" s="22">
        <f t="shared" si="10"/>
        <v>9.2076928082319237E-2</v>
      </c>
      <c r="AE69" s="22">
        <f t="shared" si="11"/>
        <v>0.34115755627009636</v>
      </c>
      <c r="AF69" s="7" t="s">
        <v>1643</v>
      </c>
      <c r="AG69" s="7">
        <v>3</v>
      </c>
      <c r="AH69" s="7">
        <v>1</v>
      </c>
      <c r="AI69" s="7">
        <v>6</v>
      </c>
      <c r="AJ69" s="8" t="b">
        <v>1</v>
      </c>
      <c r="AK69" s="28" t="s">
        <v>1644</v>
      </c>
      <c r="AL69" s="28" t="s">
        <v>1645</v>
      </c>
      <c r="AM69" s="28"/>
      <c r="AN69" s="7">
        <v>4</v>
      </c>
      <c r="AO69" s="7">
        <v>0</v>
      </c>
      <c r="AP69" s="8" t="b">
        <v>0</v>
      </c>
      <c r="AQ69" s="28" t="s">
        <v>1646</v>
      </c>
    </row>
    <row r="70" spans="1:43" ht="30">
      <c r="A70" s="7">
        <v>69</v>
      </c>
      <c r="B70" s="7" t="s">
        <v>298</v>
      </c>
      <c r="C70" s="7" t="s">
        <v>41</v>
      </c>
      <c r="D70" s="7" t="s">
        <v>112</v>
      </c>
      <c r="E70" s="7" t="s">
        <v>1642</v>
      </c>
      <c r="F70" s="7" t="s">
        <v>41</v>
      </c>
      <c r="G70" s="14">
        <v>2848</v>
      </c>
      <c r="H70" s="15">
        <v>3.8</v>
      </c>
      <c r="I70" s="15">
        <v>2.94</v>
      </c>
      <c r="J70" s="15">
        <v>0.12008426966292135</v>
      </c>
      <c r="K70" s="15">
        <v>9.2907303370786523E-2</v>
      </c>
      <c r="L70" s="15">
        <v>61.9</v>
      </c>
      <c r="M70" s="15">
        <v>1.6289473684210527</v>
      </c>
      <c r="N70" s="16">
        <v>7.3718937757528455E-2</v>
      </c>
      <c r="O70" s="16">
        <v>5.7035178159772014E-2</v>
      </c>
      <c r="P70" s="17">
        <f>IFERROR(G70/(G70+Priors!$H$3),0)</f>
        <v>0.74012474012474017</v>
      </c>
      <c r="Q70" s="18">
        <f>IF(E70="Premier League",Priors!$H$4,IF(E70="Championship",Priors!$H$5,Priors!$H$8))</f>
        <v>1</v>
      </c>
      <c r="R70" s="19" t="b">
        <v>0</v>
      </c>
      <c r="S70" s="18">
        <f>IF(R70=TRUE,Priors!$H$6,1)</f>
        <v>1</v>
      </c>
      <c r="T70" s="19" t="b">
        <v>1</v>
      </c>
      <c r="U70" s="18">
        <f>IF(T70=TRUE,Priors!$H$7,1)</f>
        <v>0.9</v>
      </c>
      <c r="V70" s="18">
        <f t="shared" si="6"/>
        <v>0.66611226611226615</v>
      </c>
      <c r="W70" s="20">
        <f>VLOOKUP(D70,Priors!$A$3:$C$6,2,FALSE)</f>
        <v>0.10751786102217777</v>
      </c>
      <c r="X70" s="20">
        <f>VLOOKUP(D70,Priors!$A$3:$C$6,3,FALSE)</f>
        <v>9.0240671969462088E-2</v>
      </c>
      <c r="Y70" s="20">
        <f t="shared" si="7"/>
        <v>8.500398365420761E-2</v>
      </c>
      <c r="Z70" s="20">
        <f t="shared" si="8"/>
        <v>6.8122085240512609E-2</v>
      </c>
      <c r="AA70" s="21">
        <v>1</v>
      </c>
      <c r="AB70" s="21">
        <v>1</v>
      </c>
      <c r="AC70" s="22">
        <f t="shared" si="9"/>
        <v>8.500398365420761E-2</v>
      </c>
      <c r="AD70" s="22">
        <f t="shared" si="10"/>
        <v>6.8122085240512609E-2</v>
      </c>
      <c r="AE70" s="22">
        <f t="shared" si="11"/>
        <v>0.33388773388773385</v>
      </c>
      <c r="AF70" s="7" t="s">
        <v>1643</v>
      </c>
      <c r="AG70" s="7"/>
      <c r="AH70" s="7">
        <v>4</v>
      </c>
      <c r="AI70" s="7">
        <v>7</v>
      </c>
      <c r="AJ70" s="8" t="b">
        <v>1</v>
      </c>
      <c r="AK70" s="28" t="s">
        <v>1644</v>
      </c>
      <c r="AL70" s="28" t="s">
        <v>1645</v>
      </c>
      <c r="AM70" s="28"/>
      <c r="AN70" s="7"/>
      <c r="AO70" s="7">
        <v>0</v>
      </c>
      <c r="AP70" s="8" t="b">
        <v>0</v>
      </c>
      <c r="AQ70" s="28" t="s">
        <v>1646</v>
      </c>
    </row>
    <row r="71" spans="1:43" ht="30">
      <c r="A71" s="7">
        <v>70</v>
      </c>
      <c r="B71" s="7" t="s">
        <v>301</v>
      </c>
      <c r="C71" s="7" t="s">
        <v>41</v>
      </c>
      <c r="D71" s="7" t="s">
        <v>112</v>
      </c>
      <c r="E71" s="7" t="s">
        <v>1642</v>
      </c>
      <c r="F71" s="7" t="s">
        <v>41</v>
      </c>
      <c r="G71" s="14">
        <v>945</v>
      </c>
      <c r="H71" s="15">
        <v>2.31</v>
      </c>
      <c r="I71" s="15">
        <v>1.55</v>
      </c>
      <c r="J71" s="15">
        <v>0.22</v>
      </c>
      <c r="K71" s="15">
        <v>0.14761904761904762</v>
      </c>
      <c r="L71" s="15">
        <v>61.9</v>
      </c>
      <c r="M71" s="15">
        <v>1.6289473684210527</v>
      </c>
      <c r="N71" s="16">
        <v>0.13505654281098545</v>
      </c>
      <c r="O71" s="16">
        <v>9.0622355565812759E-2</v>
      </c>
      <c r="P71" s="17">
        <f>IFERROR(G71/(G71+Priors!$H$3),0)</f>
        <v>0.48586118251928023</v>
      </c>
      <c r="Q71" s="18">
        <f>IF(E71="Premier League",Priors!$H$4,IF(E71="Championship",Priors!$H$5,Priors!$H$8))</f>
        <v>1</v>
      </c>
      <c r="R71" s="19" t="b">
        <v>0</v>
      </c>
      <c r="S71" s="18">
        <f>IF(R71=TRUE,Priors!$H$6,1)</f>
        <v>1</v>
      </c>
      <c r="T71" s="19" t="b">
        <v>1</v>
      </c>
      <c r="U71" s="18">
        <f>IF(T71=TRUE,Priors!$H$7,1)</f>
        <v>0.9</v>
      </c>
      <c r="V71" s="18">
        <f t="shared" si="6"/>
        <v>0.43727506426735224</v>
      </c>
      <c r="W71" s="20">
        <f>VLOOKUP(D71,Priors!$A$3:$C$6,2,FALSE)</f>
        <v>0.10751786102217777</v>
      </c>
      <c r="X71" s="20">
        <f>VLOOKUP(D71,Priors!$A$3:$C$6,3,FALSE)</f>
        <v>9.0240671969462088E-2</v>
      </c>
      <c r="Y71" s="20">
        <f t="shared" si="7"/>
        <v>0.11955983987121682</v>
      </c>
      <c r="Z71" s="20">
        <f t="shared" si="8"/>
        <v>9.0407572688586124E-2</v>
      </c>
      <c r="AA71" s="21">
        <v>1</v>
      </c>
      <c r="AB71" s="21">
        <v>1</v>
      </c>
      <c r="AC71" s="22">
        <f t="shared" si="9"/>
        <v>0.11955983987121682</v>
      </c>
      <c r="AD71" s="22">
        <f t="shared" si="10"/>
        <v>9.0407572688586124E-2</v>
      </c>
      <c r="AE71" s="22">
        <f t="shared" si="11"/>
        <v>0.56272493573264781</v>
      </c>
      <c r="AF71" s="7" t="s">
        <v>1643</v>
      </c>
      <c r="AG71" s="7">
        <v>2</v>
      </c>
      <c r="AH71" s="7">
        <v>2</v>
      </c>
      <c r="AI71" s="7"/>
      <c r="AJ71" s="8" t="b">
        <v>1</v>
      </c>
      <c r="AK71" s="28" t="s">
        <v>1644</v>
      </c>
      <c r="AL71" s="28" t="s">
        <v>1645</v>
      </c>
      <c r="AM71" s="28"/>
      <c r="AN71" s="7">
        <v>1</v>
      </c>
      <c r="AO71" s="7">
        <v>0</v>
      </c>
      <c r="AP71" s="8" t="b">
        <v>1</v>
      </c>
      <c r="AQ71" s="28" t="s">
        <v>1649</v>
      </c>
    </row>
    <row r="72" spans="1:43" ht="30">
      <c r="A72" s="7">
        <v>71</v>
      </c>
      <c r="B72" s="7" t="s">
        <v>304</v>
      </c>
      <c r="C72" s="7" t="s">
        <v>41</v>
      </c>
      <c r="D72" s="7" t="s">
        <v>112</v>
      </c>
      <c r="E72" s="7" t="s">
        <v>1642</v>
      </c>
      <c r="F72" s="7" t="s">
        <v>41</v>
      </c>
      <c r="G72" s="14">
        <v>872</v>
      </c>
      <c r="H72" s="15">
        <v>7.0000000000000007E-2</v>
      </c>
      <c r="I72" s="15">
        <v>0.52</v>
      </c>
      <c r="J72" s="15">
        <v>7.2247706422018353E-3</v>
      </c>
      <c r="K72" s="15">
        <v>5.3669724770642205E-2</v>
      </c>
      <c r="L72" s="15">
        <v>61.9</v>
      </c>
      <c r="M72" s="15">
        <v>1.6289473684210527</v>
      </c>
      <c r="N72" s="16">
        <v>4.4352388433549226E-3</v>
      </c>
      <c r="O72" s="16">
        <v>3.2947488550636568E-2</v>
      </c>
      <c r="P72" s="17">
        <f>IFERROR(G72/(G72+Priors!$H$3),0)</f>
        <v>0.46581196581196582</v>
      </c>
      <c r="Q72" s="18">
        <f>IF(E72="Premier League",Priors!$H$4,IF(E72="Championship",Priors!$H$5,Priors!$H$8))</f>
        <v>1</v>
      </c>
      <c r="R72" s="19" t="b">
        <v>0</v>
      </c>
      <c r="S72" s="18">
        <f>IF(R72=TRUE,Priors!$H$6,1)</f>
        <v>1</v>
      </c>
      <c r="T72" s="19" t="b">
        <v>1</v>
      </c>
      <c r="U72" s="18">
        <f>IF(T72=TRUE,Priors!$H$7,1)</f>
        <v>0.9</v>
      </c>
      <c r="V72" s="18">
        <f t="shared" si="6"/>
        <v>0.41923076923076924</v>
      </c>
      <c r="W72" s="20">
        <f>VLOOKUP(D72,Priors!$A$3:$C$6,2,FALSE)</f>
        <v>0.10751786102217777</v>
      </c>
      <c r="X72" s="20">
        <f>VLOOKUP(D72,Priors!$A$3:$C$6,3,FALSE)</f>
        <v>9.0240671969462088E-2</v>
      </c>
      <c r="Y72" s="20">
        <f t="shared" si="7"/>
        <v>6.4302454031825107E-2</v>
      </c>
      <c r="Z72" s="20">
        <f t="shared" si="8"/>
        <v>6.6221606613108303E-2</v>
      </c>
      <c r="AA72" s="21">
        <v>1</v>
      </c>
      <c r="AB72" s="21">
        <v>1</v>
      </c>
      <c r="AC72" s="22">
        <f t="shared" si="9"/>
        <v>6.4302454031825107E-2</v>
      </c>
      <c r="AD72" s="22">
        <f t="shared" si="10"/>
        <v>6.6221606613108303E-2</v>
      </c>
      <c r="AE72" s="22">
        <f t="shared" si="11"/>
        <v>0.5807692307692307</v>
      </c>
      <c r="AF72" s="7" t="s">
        <v>1643</v>
      </c>
      <c r="AG72" s="7"/>
      <c r="AH72" s="7"/>
      <c r="AI72" s="7">
        <v>8</v>
      </c>
      <c r="AJ72" s="8" t="b">
        <v>1</v>
      </c>
      <c r="AK72" s="28" t="s">
        <v>1644</v>
      </c>
      <c r="AL72" s="28" t="s">
        <v>1645</v>
      </c>
      <c r="AM72" s="28"/>
      <c r="AN72" s="7"/>
      <c r="AO72" s="7">
        <v>0</v>
      </c>
      <c r="AP72" s="8" t="b">
        <v>0</v>
      </c>
      <c r="AQ72" s="28" t="s">
        <v>1646</v>
      </c>
    </row>
    <row r="73" spans="1:43" ht="30">
      <c r="A73" s="7">
        <v>72</v>
      </c>
      <c r="B73" s="7" t="s">
        <v>307</v>
      </c>
      <c r="C73" s="7" t="s">
        <v>41</v>
      </c>
      <c r="D73" s="7" t="s">
        <v>112</v>
      </c>
      <c r="E73" s="7" t="s">
        <v>1642</v>
      </c>
      <c r="F73" s="7" t="s">
        <v>41</v>
      </c>
      <c r="G73" s="14">
        <v>105</v>
      </c>
      <c r="H73" s="15">
        <v>0.26</v>
      </c>
      <c r="I73" s="15">
        <v>0.13</v>
      </c>
      <c r="J73" s="15">
        <v>0.22285714285714286</v>
      </c>
      <c r="K73" s="15">
        <v>0.11142857142857143</v>
      </c>
      <c r="L73" s="15">
        <v>61.9</v>
      </c>
      <c r="M73" s="15">
        <v>1.6289473684210527</v>
      </c>
      <c r="N73" s="16">
        <v>0.13681052388645279</v>
      </c>
      <c r="O73" s="16">
        <v>6.8405261943226395E-2</v>
      </c>
      <c r="P73" s="17">
        <f>IFERROR(G73/(G73+Priors!$H$3),0)</f>
        <v>9.5022624434389136E-2</v>
      </c>
      <c r="Q73" s="18">
        <f>IF(E73="Premier League",Priors!$H$4,IF(E73="Championship",Priors!$H$5,Priors!$H$8))</f>
        <v>1</v>
      </c>
      <c r="R73" s="19" t="b">
        <v>0</v>
      </c>
      <c r="S73" s="18">
        <f>IF(R73=TRUE,Priors!$H$6,1)</f>
        <v>1</v>
      </c>
      <c r="T73" s="19" t="b">
        <v>1</v>
      </c>
      <c r="U73" s="18">
        <f>IF(T73=TRUE,Priors!$H$7,1)</f>
        <v>0.9</v>
      </c>
      <c r="V73" s="18">
        <f t="shared" si="6"/>
        <v>8.5520361990950228E-2</v>
      </c>
      <c r="W73" s="20">
        <f>VLOOKUP(D73,Priors!$A$3:$C$6,2,FALSE)</f>
        <v>0.10751786102217777</v>
      </c>
      <c r="X73" s="20">
        <f>VLOOKUP(D73,Priors!$A$3:$C$6,3,FALSE)</f>
        <v>9.0240671969462088E-2</v>
      </c>
      <c r="Y73" s="20">
        <f t="shared" si="7"/>
        <v>0.11002298015400944</v>
      </c>
      <c r="Z73" s="20">
        <f t="shared" si="8"/>
        <v>8.8373299799797592E-2</v>
      </c>
      <c r="AA73" s="21">
        <v>1</v>
      </c>
      <c r="AB73" s="21">
        <v>1</v>
      </c>
      <c r="AC73" s="22">
        <f t="shared" si="9"/>
        <v>0.11002298015400944</v>
      </c>
      <c r="AD73" s="22">
        <f t="shared" si="10"/>
        <v>8.8373299799797592E-2</v>
      </c>
      <c r="AE73" s="22">
        <f t="shared" si="11"/>
        <v>0.91447963800904974</v>
      </c>
      <c r="AF73" s="7" t="s">
        <v>1643</v>
      </c>
      <c r="AG73" s="7"/>
      <c r="AH73" s="7"/>
      <c r="AI73" s="7"/>
      <c r="AJ73" s="8" t="b">
        <v>1</v>
      </c>
      <c r="AK73" s="28" t="s">
        <v>1644</v>
      </c>
      <c r="AL73" s="28" t="s">
        <v>1645</v>
      </c>
      <c r="AM73" s="28"/>
      <c r="AN73" s="7"/>
      <c r="AO73" s="7">
        <v>0</v>
      </c>
      <c r="AP73" s="8" t="b">
        <v>0</v>
      </c>
      <c r="AQ73" s="28" t="s">
        <v>1646</v>
      </c>
    </row>
    <row r="74" spans="1:43" ht="30">
      <c r="A74" s="7">
        <v>73</v>
      </c>
      <c r="B74" s="7" t="s">
        <v>310</v>
      </c>
      <c r="C74" s="7" t="s">
        <v>41</v>
      </c>
      <c r="D74" s="7" t="s">
        <v>112</v>
      </c>
      <c r="E74" s="7" t="s">
        <v>1642</v>
      </c>
      <c r="F74" s="7" t="s">
        <v>41</v>
      </c>
      <c r="G74" s="14">
        <v>1769</v>
      </c>
      <c r="H74" s="15">
        <v>0.63</v>
      </c>
      <c r="I74" s="15">
        <v>0.63</v>
      </c>
      <c r="J74" s="15">
        <v>3.20520067834935E-2</v>
      </c>
      <c r="K74" s="15">
        <v>3.20520067834935E-2</v>
      </c>
      <c r="L74" s="15">
        <v>61.9</v>
      </c>
      <c r="M74" s="15">
        <v>1.6289473684210527</v>
      </c>
      <c r="N74" s="16">
        <v>1.9676514665149483E-2</v>
      </c>
      <c r="O74" s="16">
        <v>1.9676514665149483E-2</v>
      </c>
      <c r="P74" s="17">
        <f>IFERROR(G74/(G74+Priors!$H$3),0)</f>
        <v>0.63885879378837129</v>
      </c>
      <c r="Q74" s="18">
        <f>IF(E74="Premier League",Priors!$H$4,IF(E74="Championship",Priors!$H$5,Priors!$H$8))</f>
        <v>1</v>
      </c>
      <c r="R74" s="19" t="b">
        <v>0</v>
      </c>
      <c r="S74" s="18">
        <f>IF(R74=TRUE,Priors!$H$6,1)</f>
        <v>1</v>
      </c>
      <c r="T74" s="19" t="b">
        <v>1</v>
      </c>
      <c r="U74" s="18">
        <f>IF(T74=TRUE,Priors!$H$7,1)</f>
        <v>0.9</v>
      </c>
      <c r="V74" s="18">
        <f t="shared" si="6"/>
        <v>0.57497291440953413</v>
      </c>
      <c r="W74" s="20">
        <f>VLOOKUP(D74,Priors!$A$3:$C$6,2,FALSE)</f>
        <v>0.10751786102217777</v>
      </c>
      <c r="X74" s="20">
        <f>VLOOKUP(D74,Priors!$A$3:$C$6,3,FALSE)</f>
        <v>9.0240671969462088E-2</v>
      </c>
      <c r="Y74" s="20">
        <f t="shared" si="7"/>
        <v>5.7011466101619897E-2</v>
      </c>
      <c r="Z74" s="20">
        <f t="shared" si="8"/>
        <v>4.9668192791348653E-2</v>
      </c>
      <c r="AA74" s="21">
        <v>1</v>
      </c>
      <c r="AB74" s="21">
        <v>1</v>
      </c>
      <c r="AC74" s="22">
        <f t="shared" si="9"/>
        <v>5.7011466101619897E-2</v>
      </c>
      <c r="AD74" s="22">
        <f t="shared" si="10"/>
        <v>4.9668192791348653E-2</v>
      </c>
      <c r="AE74" s="22">
        <f t="shared" si="11"/>
        <v>0.42502708559046587</v>
      </c>
      <c r="AF74" s="7" t="s">
        <v>1643</v>
      </c>
      <c r="AG74" s="7"/>
      <c r="AH74" s="7"/>
      <c r="AI74" s="7"/>
      <c r="AJ74" s="8" t="b">
        <v>1</v>
      </c>
      <c r="AK74" s="28" t="s">
        <v>1644</v>
      </c>
      <c r="AL74" s="28" t="s">
        <v>1645</v>
      </c>
      <c r="AM74" s="28"/>
      <c r="AN74" s="7"/>
      <c r="AO74" s="7">
        <v>0</v>
      </c>
      <c r="AP74" s="8" t="b">
        <v>0</v>
      </c>
      <c r="AQ74" s="28" t="s">
        <v>1646</v>
      </c>
    </row>
    <row r="75" spans="1:43" ht="30">
      <c r="A75" s="7">
        <v>74</v>
      </c>
      <c r="B75" s="7" t="s">
        <v>313</v>
      </c>
      <c r="C75" s="7" t="s">
        <v>41</v>
      </c>
      <c r="D75" s="7" t="s">
        <v>112</v>
      </c>
      <c r="E75" s="7" t="s">
        <v>1642</v>
      </c>
      <c r="F75" s="7" t="s">
        <v>41</v>
      </c>
      <c r="G75" s="14">
        <v>1188</v>
      </c>
      <c r="H75" s="15">
        <v>5.81</v>
      </c>
      <c r="I75" s="15">
        <v>3.4</v>
      </c>
      <c r="J75" s="15">
        <v>0.44015151515151513</v>
      </c>
      <c r="K75" s="15">
        <v>0.25757575757575757</v>
      </c>
      <c r="L75" s="15">
        <v>61.9</v>
      </c>
      <c r="M75" s="15">
        <v>1.6289473684210527</v>
      </c>
      <c r="N75" s="16">
        <v>0.27020609976991233</v>
      </c>
      <c r="O75" s="16">
        <v>0.15812405150046507</v>
      </c>
      <c r="P75" s="17">
        <f>IFERROR(G75/(G75+Priors!$H$3),0)</f>
        <v>0.54296160877513711</v>
      </c>
      <c r="Q75" s="18">
        <f>IF(E75="Premier League",Priors!$H$4,IF(E75="Championship",Priors!$H$5,Priors!$H$8))</f>
        <v>1</v>
      </c>
      <c r="R75" s="19" t="b">
        <v>0</v>
      </c>
      <c r="S75" s="18">
        <f>IF(R75=TRUE,Priors!$H$6,1)</f>
        <v>1</v>
      </c>
      <c r="T75" s="19" t="b">
        <v>1</v>
      </c>
      <c r="U75" s="18">
        <f>IF(T75=TRUE,Priors!$H$7,1)</f>
        <v>0.9</v>
      </c>
      <c r="V75" s="18">
        <f t="shared" si="6"/>
        <v>0.4886654478976234</v>
      </c>
      <c r="W75" s="20">
        <f>VLOOKUP(D75,Priors!$A$3:$C$6,2,FALSE)</f>
        <v>0.10751786102217777</v>
      </c>
      <c r="X75" s="20">
        <f>VLOOKUP(D75,Priors!$A$3:$C$6,3,FALSE)</f>
        <v>9.0240671969462088E-2</v>
      </c>
      <c r="Y75" s="20">
        <f t="shared" si="7"/>
        <v>0.18701798207751497</v>
      </c>
      <c r="Z75" s="20">
        <f t="shared" si="8"/>
        <v>0.12341293403278403</v>
      </c>
      <c r="AA75" s="21">
        <v>1</v>
      </c>
      <c r="AB75" s="21">
        <v>1</v>
      </c>
      <c r="AC75" s="22">
        <f t="shared" si="9"/>
        <v>0.18701798207751497</v>
      </c>
      <c r="AD75" s="22">
        <f t="shared" si="10"/>
        <v>0.12341293403278403</v>
      </c>
      <c r="AE75" s="22">
        <f t="shared" si="11"/>
        <v>0.51133455210237666</v>
      </c>
      <c r="AF75" s="7" t="s">
        <v>1643</v>
      </c>
      <c r="AG75" s="7"/>
      <c r="AH75" s="7">
        <v>3</v>
      </c>
      <c r="AI75" s="7">
        <v>9</v>
      </c>
      <c r="AJ75" s="8" t="b">
        <v>1</v>
      </c>
      <c r="AK75" s="28" t="s">
        <v>1644</v>
      </c>
      <c r="AL75" s="28" t="s">
        <v>1645</v>
      </c>
      <c r="AM75" s="28"/>
      <c r="AN75" s="7"/>
      <c r="AO75" s="7">
        <v>0</v>
      </c>
      <c r="AP75" s="8" t="b">
        <v>0</v>
      </c>
      <c r="AQ75" s="28" t="s">
        <v>1646</v>
      </c>
    </row>
    <row r="76" spans="1:43" ht="30">
      <c r="A76" s="7">
        <v>75</v>
      </c>
      <c r="B76" s="7" t="s">
        <v>316</v>
      </c>
      <c r="C76" s="7" t="s">
        <v>41</v>
      </c>
      <c r="D76" s="7" t="s">
        <v>112</v>
      </c>
      <c r="E76" s="7" t="s">
        <v>1642</v>
      </c>
      <c r="F76" s="7" t="s">
        <v>41</v>
      </c>
      <c r="G76" s="14">
        <v>978</v>
      </c>
      <c r="H76" s="15">
        <v>1.81</v>
      </c>
      <c r="I76" s="15">
        <v>0.79</v>
      </c>
      <c r="J76" s="15">
        <v>0.16656441717791412</v>
      </c>
      <c r="K76" s="15">
        <v>7.2699386503067495E-2</v>
      </c>
      <c r="L76" s="15">
        <v>61.9</v>
      </c>
      <c r="M76" s="15">
        <v>1.6289473684210527</v>
      </c>
      <c r="N76" s="16">
        <v>0.10225279245170818</v>
      </c>
      <c r="O76" s="16">
        <v>4.4629671843563243E-2</v>
      </c>
      <c r="P76" s="17">
        <f>IFERROR(G76/(G76+Priors!$H$3),0)</f>
        <v>0.49443882709807885</v>
      </c>
      <c r="Q76" s="18">
        <f>IF(E76="Premier League",Priors!$H$4,IF(E76="Championship",Priors!$H$5,Priors!$H$8))</f>
        <v>1</v>
      </c>
      <c r="R76" s="19" t="b">
        <v>0</v>
      </c>
      <c r="S76" s="18">
        <f>IF(R76=TRUE,Priors!$H$6,1)</f>
        <v>1</v>
      </c>
      <c r="T76" s="19" t="b">
        <v>1</v>
      </c>
      <c r="U76" s="18">
        <f>IF(T76=TRUE,Priors!$H$7,1)</f>
        <v>0.9</v>
      </c>
      <c r="V76" s="18">
        <f t="shared" si="6"/>
        <v>0.44499494438827097</v>
      </c>
      <c r="W76" s="20">
        <f>VLOOKUP(D76,Priors!$A$3:$C$6,2,FALSE)</f>
        <v>0.10751786102217777</v>
      </c>
      <c r="X76" s="20">
        <f>VLOOKUP(D76,Priors!$A$3:$C$6,3,FALSE)</f>
        <v>9.0240671969462088E-2</v>
      </c>
      <c r="Y76" s="20">
        <f t="shared" si="7"/>
        <v>0.10517493212646122</v>
      </c>
      <c r="Z76" s="20">
        <f t="shared" si="8"/>
        <v>6.9944007504944311E-2</v>
      </c>
      <c r="AA76" s="21">
        <v>1</v>
      </c>
      <c r="AB76" s="21">
        <v>1</v>
      </c>
      <c r="AC76" s="22">
        <f t="shared" si="9"/>
        <v>0.10517493212646122</v>
      </c>
      <c r="AD76" s="22">
        <f t="shared" si="10"/>
        <v>6.9944007504944311E-2</v>
      </c>
      <c r="AE76" s="22">
        <f t="shared" si="11"/>
        <v>0.55500505561172897</v>
      </c>
      <c r="AF76" s="7" t="s">
        <v>1643</v>
      </c>
      <c r="AG76" s="7"/>
      <c r="AH76" s="7"/>
      <c r="AI76" s="7">
        <v>10</v>
      </c>
      <c r="AJ76" s="8" t="b">
        <v>1</v>
      </c>
      <c r="AK76" s="28" t="s">
        <v>1644</v>
      </c>
      <c r="AL76" s="28" t="s">
        <v>1645</v>
      </c>
      <c r="AM76" s="28"/>
      <c r="AN76" s="7"/>
      <c r="AO76" s="7">
        <v>0</v>
      </c>
      <c r="AP76" s="8" t="b">
        <v>0</v>
      </c>
      <c r="AQ76" s="28" t="s">
        <v>1646</v>
      </c>
    </row>
    <row r="77" spans="1:43" ht="30">
      <c r="A77" s="7">
        <v>76</v>
      </c>
      <c r="B77" s="7" t="s">
        <v>321</v>
      </c>
      <c r="C77" s="7" t="s">
        <v>41</v>
      </c>
      <c r="D77" s="7" t="s">
        <v>112</v>
      </c>
      <c r="E77" s="7" t="s">
        <v>1642</v>
      </c>
      <c r="F77" s="7" t="s">
        <v>41</v>
      </c>
      <c r="G77" s="14">
        <v>135</v>
      </c>
      <c r="H77" s="15">
        <v>0.11</v>
      </c>
      <c r="I77" s="15">
        <v>0.33</v>
      </c>
      <c r="J77" s="15">
        <v>7.3333333333333334E-2</v>
      </c>
      <c r="K77" s="15">
        <v>0.22000000000000003</v>
      </c>
      <c r="L77" s="15">
        <v>61.9</v>
      </c>
      <c r="M77" s="15">
        <v>1.6289473684210527</v>
      </c>
      <c r="N77" s="16">
        <v>4.5018847603661816E-2</v>
      </c>
      <c r="O77" s="16">
        <v>0.13505654281098547</v>
      </c>
      <c r="P77" s="17">
        <f>IFERROR(G77/(G77+Priors!$H$3),0)</f>
        <v>0.11894273127753303</v>
      </c>
      <c r="Q77" s="18">
        <f>IF(E77="Premier League",Priors!$H$4,IF(E77="Championship",Priors!$H$5,Priors!$H$8))</f>
        <v>1</v>
      </c>
      <c r="R77" s="19" t="b">
        <v>0</v>
      </c>
      <c r="S77" s="18">
        <f>IF(R77=TRUE,Priors!$H$6,1)</f>
        <v>1</v>
      </c>
      <c r="T77" s="19" t="b">
        <v>1</v>
      </c>
      <c r="U77" s="18">
        <f>IF(T77=TRUE,Priors!$H$7,1)</f>
        <v>0.9</v>
      </c>
      <c r="V77" s="18">
        <f t="shared" si="6"/>
        <v>0.10704845814977973</v>
      </c>
      <c r="W77" s="20">
        <f>VLOOKUP(D77,Priors!$A$3:$C$6,2,FALSE)</f>
        <v>0.10751786102217777</v>
      </c>
      <c r="X77" s="20">
        <f>VLOOKUP(D77,Priors!$A$3:$C$6,3,FALSE)</f>
        <v>9.0240671969462088E-2</v>
      </c>
      <c r="Y77" s="20">
        <f t="shared" si="7"/>
        <v>0.10082743799984324</v>
      </c>
      <c r="Z77" s="20">
        <f t="shared" si="8"/>
        <v>9.5038141843686835E-2</v>
      </c>
      <c r="AA77" s="21">
        <v>1</v>
      </c>
      <c r="AB77" s="21">
        <v>1</v>
      </c>
      <c r="AC77" s="22">
        <f t="shared" si="9"/>
        <v>0.10082743799984324</v>
      </c>
      <c r="AD77" s="22">
        <f t="shared" si="10"/>
        <v>9.5038141843686835E-2</v>
      </c>
      <c r="AE77" s="22">
        <f t="shared" si="11"/>
        <v>0.8929515418502203</v>
      </c>
      <c r="AF77" s="7" t="s">
        <v>1643</v>
      </c>
      <c r="AG77" s="7"/>
      <c r="AH77" s="7"/>
      <c r="AI77" s="7"/>
      <c r="AJ77" s="8" t="b">
        <v>1</v>
      </c>
      <c r="AK77" s="28" t="s">
        <v>1644</v>
      </c>
      <c r="AL77" s="28" t="s">
        <v>1645</v>
      </c>
      <c r="AM77" s="28"/>
      <c r="AN77" s="7"/>
      <c r="AO77" s="7">
        <v>0</v>
      </c>
      <c r="AP77" s="8" t="b">
        <v>0</v>
      </c>
      <c r="AQ77" s="28" t="s">
        <v>1646</v>
      </c>
    </row>
    <row r="78" spans="1:43" ht="30">
      <c r="A78" s="7">
        <v>77</v>
      </c>
      <c r="B78" s="7" t="s">
        <v>324</v>
      </c>
      <c r="C78" s="7" t="s">
        <v>41</v>
      </c>
      <c r="D78" s="7" t="s">
        <v>112</v>
      </c>
      <c r="E78" s="7" t="s">
        <v>1642</v>
      </c>
      <c r="F78" s="7" t="s">
        <v>41</v>
      </c>
      <c r="G78" s="14">
        <v>1074</v>
      </c>
      <c r="H78" s="15">
        <v>2.6</v>
      </c>
      <c r="I78" s="15">
        <v>1.62</v>
      </c>
      <c r="J78" s="15">
        <v>0.21787709497206703</v>
      </c>
      <c r="K78" s="15">
        <v>0.1357541899441341</v>
      </c>
      <c r="L78" s="15">
        <v>61.9</v>
      </c>
      <c r="M78" s="15">
        <v>1.6289473684210527</v>
      </c>
      <c r="N78" s="16">
        <v>0.13375330547558234</v>
      </c>
      <c r="O78" s="16">
        <v>8.3338598027093633E-2</v>
      </c>
      <c r="P78" s="17">
        <f>IFERROR(G78/(G78+Priors!$H$3),0)</f>
        <v>0.51783992285438762</v>
      </c>
      <c r="Q78" s="18">
        <f>IF(E78="Premier League",Priors!$H$4,IF(E78="Championship",Priors!$H$5,Priors!$H$8))</f>
        <v>1</v>
      </c>
      <c r="R78" s="19" t="b">
        <v>0</v>
      </c>
      <c r="S78" s="18">
        <f>IF(R78=TRUE,Priors!$H$6,1)</f>
        <v>1</v>
      </c>
      <c r="T78" s="19" t="b">
        <v>1</v>
      </c>
      <c r="U78" s="18">
        <f>IF(T78=TRUE,Priors!$H$7,1)</f>
        <v>0.9</v>
      </c>
      <c r="V78" s="18">
        <f t="shared" si="6"/>
        <v>0.4660559305689489</v>
      </c>
      <c r="W78" s="20">
        <f>VLOOKUP(D78,Priors!$A$3:$C$6,2,FALSE)</f>
        <v>0.10751786102217777</v>
      </c>
      <c r="X78" s="20">
        <f>VLOOKUP(D78,Priors!$A$3:$C$6,3,FALSE)</f>
        <v>9.0240671969462088E-2</v>
      </c>
      <c r="Y78" s="20">
        <f t="shared" si="7"/>
        <v>0.1197450455007992</v>
      </c>
      <c r="Z78" s="20">
        <f t="shared" si="8"/>
        <v>8.7023919475395867E-2</v>
      </c>
      <c r="AA78" s="21">
        <v>1</v>
      </c>
      <c r="AB78" s="21">
        <v>1</v>
      </c>
      <c r="AC78" s="22">
        <f t="shared" si="9"/>
        <v>0.1197450455007992</v>
      </c>
      <c r="AD78" s="22">
        <f t="shared" si="10"/>
        <v>8.7023919475395867E-2</v>
      </c>
      <c r="AE78" s="22">
        <f t="shared" si="11"/>
        <v>0.5339440694310511</v>
      </c>
      <c r="AF78" s="7" t="s">
        <v>1643</v>
      </c>
      <c r="AG78" s="7"/>
      <c r="AH78" s="7"/>
      <c r="AI78" s="7"/>
      <c r="AJ78" s="8" t="b">
        <v>1</v>
      </c>
      <c r="AK78" s="28" t="s">
        <v>1644</v>
      </c>
      <c r="AL78" s="28" t="s">
        <v>1645</v>
      </c>
      <c r="AM78" s="28"/>
      <c r="AN78" s="7"/>
      <c r="AO78" s="7">
        <v>0</v>
      </c>
      <c r="AP78" s="8" t="b">
        <v>0</v>
      </c>
      <c r="AQ78" s="28" t="s">
        <v>1646</v>
      </c>
    </row>
    <row r="79" spans="1:43" ht="30">
      <c r="A79" s="7">
        <v>78</v>
      </c>
      <c r="B79" s="7" t="s">
        <v>327</v>
      </c>
      <c r="C79" s="7" t="s">
        <v>41</v>
      </c>
      <c r="D79" s="7" t="s">
        <v>112</v>
      </c>
      <c r="E79" s="7" t="s">
        <v>1642</v>
      </c>
      <c r="F79" s="7" t="s">
        <v>41</v>
      </c>
      <c r="G79" s="14">
        <v>1663</v>
      </c>
      <c r="H79" s="15">
        <v>8.31</v>
      </c>
      <c r="I79" s="15">
        <v>1.51</v>
      </c>
      <c r="J79" s="15">
        <v>0.44972940469031875</v>
      </c>
      <c r="K79" s="15">
        <v>8.1719783523752254E-2</v>
      </c>
      <c r="L79" s="15">
        <v>61.9</v>
      </c>
      <c r="M79" s="15">
        <v>1.6289473684210527</v>
      </c>
      <c r="N79" s="16">
        <v>0.2760859027178047</v>
      </c>
      <c r="O79" s="16">
        <v>5.0167233827182321E-2</v>
      </c>
      <c r="P79" s="17">
        <f>IFERROR(G79/(G79+Priors!$H$3),0)</f>
        <v>0.6244836650394292</v>
      </c>
      <c r="Q79" s="18">
        <f>IF(E79="Premier League",Priors!$H$4,IF(E79="Championship",Priors!$H$5,Priors!$H$8))</f>
        <v>1</v>
      </c>
      <c r="R79" s="19" t="b">
        <v>0</v>
      </c>
      <c r="S79" s="18">
        <f>IF(R79=TRUE,Priors!$H$6,1)</f>
        <v>1</v>
      </c>
      <c r="T79" s="19" t="b">
        <v>1</v>
      </c>
      <c r="U79" s="18">
        <f>IF(T79=TRUE,Priors!$H$7,1)</f>
        <v>0.9</v>
      </c>
      <c r="V79" s="18">
        <f t="shared" si="6"/>
        <v>0.56203529853548628</v>
      </c>
      <c r="W79" s="20">
        <f>VLOOKUP(D79,Priors!$A$3:$C$6,2,FALSE)</f>
        <v>0.10751786102217777</v>
      </c>
      <c r="X79" s="20">
        <f>VLOOKUP(D79,Priors!$A$3:$C$6,3,FALSE)</f>
        <v>9.0240671969462088E-2</v>
      </c>
      <c r="Y79" s="20">
        <f t="shared" si="7"/>
        <v>0.20225905066012176</v>
      </c>
      <c r="Z79" s="20">
        <f t="shared" si="8"/>
        <v>6.7717985199822528E-2</v>
      </c>
      <c r="AA79" s="21">
        <v>1</v>
      </c>
      <c r="AB79" s="21">
        <v>1</v>
      </c>
      <c r="AC79" s="22">
        <f t="shared" si="9"/>
        <v>0.20225905066012176</v>
      </c>
      <c r="AD79" s="22">
        <f t="shared" si="10"/>
        <v>6.7717985199822528E-2</v>
      </c>
      <c r="AE79" s="22">
        <f t="shared" si="11"/>
        <v>0.43796470146451372</v>
      </c>
      <c r="AF79" s="7" t="s">
        <v>1643</v>
      </c>
      <c r="AG79" s="7">
        <v>1</v>
      </c>
      <c r="AH79" s="7"/>
      <c r="AI79" s="7"/>
      <c r="AJ79" s="8" t="b">
        <v>1</v>
      </c>
      <c r="AK79" s="28" t="s">
        <v>1644</v>
      </c>
      <c r="AL79" s="28" t="s">
        <v>1645</v>
      </c>
      <c r="AM79" s="28"/>
      <c r="AN79" s="7">
        <v>2</v>
      </c>
      <c r="AO79" s="7">
        <v>0</v>
      </c>
      <c r="AP79" s="8" t="b">
        <v>1</v>
      </c>
      <c r="AQ79" s="28" t="s">
        <v>1649</v>
      </c>
    </row>
    <row r="80" spans="1:43" ht="30">
      <c r="A80" s="7">
        <v>79</v>
      </c>
      <c r="B80" s="7" t="s">
        <v>331</v>
      </c>
      <c r="C80" s="7" t="s">
        <v>41</v>
      </c>
      <c r="D80" s="7" t="s">
        <v>167</v>
      </c>
      <c r="E80" s="7" t="s">
        <v>1642</v>
      </c>
      <c r="F80" s="7" t="s">
        <v>41</v>
      </c>
      <c r="G80" s="14">
        <v>2741</v>
      </c>
      <c r="H80" s="15">
        <v>10.64</v>
      </c>
      <c r="I80" s="15">
        <v>1.48</v>
      </c>
      <c r="J80" s="15">
        <v>0.34936154688070048</v>
      </c>
      <c r="K80" s="15">
        <v>4.8595403137541036E-2</v>
      </c>
      <c r="L80" s="15">
        <v>61.9</v>
      </c>
      <c r="M80" s="15">
        <v>1.6289473684210527</v>
      </c>
      <c r="N80" s="16">
        <v>0.21447073960366103</v>
      </c>
      <c r="O80" s="16">
        <v>2.9832396110283672E-2</v>
      </c>
      <c r="P80" s="17">
        <f>IFERROR(G80/(G80+Priors!$H$3),0)</f>
        <v>0.73269179363806469</v>
      </c>
      <c r="Q80" s="18">
        <f>IF(E80="Premier League",Priors!$H$4,IF(E80="Championship",Priors!$H$5,Priors!$H$8))</f>
        <v>1</v>
      </c>
      <c r="R80" s="19" t="b">
        <v>0</v>
      </c>
      <c r="S80" s="18">
        <f>IF(R80=TRUE,Priors!$H$6,1)</f>
        <v>1</v>
      </c>
      <c r="T80" s="19" t="b">
        <v>1</v>
      </c>
      <c r="U80" s="18">
        <f>IF(T80=TRUE,Priors!$H$7,1)</f>
        <v>0.9</v>
      </c>
      <c r="V80" s="18">
        <f t="shared" si="6"/>
        <v>0.65942261427425819</v>
      </c>
      <c r="W80" s="20">
        <f>VLOOKUP(D80,Priors!$A$3:$C$6,2,FALSE)</f>
        <v>0.30461525508032317</v>
      </c>
      <c r="X80" s="20">
        <f>VLOOKUP(D80,Priors!$A$3:$C$6,3,FALSE)</f>
        <v>3.9258061548584466E-2</v>
      </c>
      <c r="Y80" s="20">
        <f t="shared" si="7"/>
        <v>0.2451719230222163</v>
      </c>
      <c r="Z80" s="20">
        <f t="shared" si="8"/>
        <v>3.3042564603985636E-2</v>
      </c>
      <c r="AA80" s="21">
        <v>1</v>
      </c>
      <c r="AB80" s="21">
        <v>1</v>
      </c>
      <c r="AC80" s="22">
        <f t="shared" si="9"/>
        <v>0.2451719230222163</v>
      </c>
      <c r="AD80" s="22">
        <f t="shared" si="10"/>
        <v>3.3042564603985636E-2</v>
      </c>
      <c r="AE80" s="22">
        <f t="shared" si="11"/>
        <v>0.34057738572574181</v>
      </c>
      <c r="AF80" s="7" t="s">
        <v>1643</v>
      </c>
      <c r="AG80" s="7"/>
      <c r="AH80" s="7"/>
      <c r="AI80" s="7"/>
      <c r="AJ80" s="8" t="b">
        <v>1</v>
      </c>
      <c r="AK80" s="28" t="s">
        <v>1644</v>
      </c>
      <c r="AL80" s="28" t="s">
        <v>1645</v>
      </c>
      <c r="AM80" s="28"/>
      <c r="AN80" s="7"/>
      <c r="AO80" s="7">
        <v>0</v>
      </c>
      <c r="AP80" s="8" t="b">
        <v>0</v>
      </c>
      <c r="AQ80" s="28" t="s">
        <v>1646</v>
      </c>
    </row>
    <row r="81" spans="1:43" ht="30">
      <c r="A81" s="7">
        <v>80</v>
      </c>
      <c r="B81" s="7" t="s">
        <v>334</v>
      </c>
      <c r="C81" s="7" t="s">
        <v>41</v>
      </c>
      <c r="D81" s="7" t="s">
        <v>167</v>
      </c>
      <c r="E81" s="7" t="s">
        <v>1642</v>
      </c>
      <c r="F81" s="7" t="s">
        <v>41</v>
      </c>
      <c r="G81" s="14">
        <v>214</v>
      </c>
      <c r="H81" s="15">
        <v>2</v>
      </c>
      <c r="I81" s="15">
        <v>7.0000000000000007E-2</v>
      </c>
      <c r="J81" s="15">
        <v>0.84112149532710279</v>
      </c>
      <c r="K81" s="15">
        <v>2.9439252336448601E-2</v>
      </c>
      <c r="L81" s="15">
        <v>61.9</v>
      </c>
      <c r="M81" s="15">
        <v>1.6289473684210527</v>
      </c>
      <c r="N81" s="16">
        <v>0.5163589147403862</v>
      </c>
      <c r="O81" s="16">
        <v>1.8072562015913517E-2</v>
      </c>
      <c r="P81" s="17">
        <f>IFERROR(G81/(G81+Priors!$H$3),0)</f>
        <v>0.17627677100494235</v>
      </c>
      <c r="Q81" s="18">
        <f>IF(E81="Premier League",Priors!$H$4,IF(E81="Championship",Priors!$H$5,Priors!$H$8))</f>
        <v>1</v>
      </c>
      <c r="R81" s="19" t="b">
        <v>0</v>
      </c>
      <c r="S81" s="18">
        <f>IF(R81=TRUE,Priors!$H$6,1)</f>
        <v>1</v>
      </c>
      <c r="T81" s="19" t="b">
        <v>1</v>
      </c>
      <c r="U81" s="18">
        <f>IF(T81=TRUE,Priors!$H$7,1)</f>
        <v>0.9</v>
      </c>
      <c r="V81" s="18">
        <f t="shared" si="6"/>
        <v>0.15864909390444812</v>
      </c>
      <c r="W81" s="20">
        <f>VLOOKUP(D81,Priors!$A$3:$C$6,2,FALSE)</f>
        <v>0.30461525508032317</v>
      </c>
      <c r="X81" s="20">
        <f>VLOOKUP(D81,Priors!$A$3:$C$6,3,FALSE)</f>
        <v>3.9258061548584466E-2</v>
      </c>
      <c r="Y81" s="20">
        <f t="shared" si="7"/>
        <v>0.33820819482540398</v>
      </c>
      <c r="Z81" s="20">
        <f t="shared" si="8"/>
        <v>3.5897001243813106E-2</v>
      </c>
      <c r="AA81" s="21">
        <v>1</v>
      </c>
      <c r="AB81" s="21">
        <v>1</v>
      </c>
      <c r="AC81" s="22">
        <f t="shared" si="9"/>
        <v>0.33820819482540398</v>
      </c>
      <c r="AD81" s="22">
        <f t="shared" si="10"/>
        <v>3.5897001243813106E-2</v>
      </c>
      <c r="AE81" s="22">
        <f t="shared" si="11"/>
        <v>0.84135090609555185</v>
      </c>
      <c r="AF81" s="7" t="s">
        <v>1643</v>
      </c>
      <c r="AG81" s="7"/>
      <c r="AH81" s="7">
        <v>5</v>
      </c>
      <c r="AI81" s="7"/>
      <c r="AJ81" s="8" t="b">
        <v>1</v>
      </c>
      <c r="AK81" s="28" t="s">
        <v>1644</v>
      </c>
      <c r="AL81" s="28" t="s">
        <v>1645</v>
      </c>
      <c r="AM81" s="28"/>
      <c r="AN81" s="7"/>
      <c r="AO81" s="7">
        <v>0</v>
      </c>
      <c r="AP81" s="8" t="b">
        <v>0</v>
      </c>
      <c r="AQ81" s="28" t="s">
        <v>1646</v>
      </c>
    </row>
    <row r="82" spans="1:43" ht="15">
      <c r="A82" s="7">
        <v>81</v>
      </c>
      <c r="B82" s="7" t="s">
        <v>335</v>
      </c>
      <c r="C82" s="7" t="s">
        <v>41</v>
      </c>
      <c r="D82" s="7" t="s">
        <v>167</v>
      </c>
      <c r="E82" s="7" t="s">
        <v>1647</v>
      </c>
      <c r="F82" s="7"/>
      <c r="G82" s="14"/>
      <c r="H82" s="15"/>
      <c r="I82" s="15"/>
      <c r="J82" s="15"/>
      <c r="K82" s="15"/>
      <c r="L82" s="15"/>
      <c r="M82" s="15"/>
      <c r="N82" s="16"/>
      <c r="O82" s="16"/>
      <c r="P82" s="17">
        <f>IFERROR(G82/(G82+Priors!$H$3),0)</f>
        <v>0</v>
      </c>
      <c r="Q82" s="18">
        <f>IF(E82="Premier League",Priors!$H$4,IF(E82="Championship",Priors!$H$5,Priors!$H$8))</f>
        <v>0</v>
      </c>
      <c r="R82" s="19" t="b">
        <v>0</v>
      </c>
      <c r="S82" s="18">
        <f>IF(R82=TRUE,Priors!$H$6,1)</f>
        <v>1</v>
      </c>
      <c r="T82" s="19" t="b">
        <v>1</v>
      </c>
      <c r="U82" s="18">
        <f>IF(T82=TRUE,Priors!$H$7,1)</f>
        <v>0.9</v>
      </c>
      <c r="V82" s="18">
        <f t="shared" si="6"/>
        <v>0</v>
      </c>
      <c r="W82" s="20">
        <f>VLOOKUP(D82,Priors!$A$3:$C$6,2,FALSE)</f>
        <v>0.30461525508032317</v>
      </c>
      <c r="X82" s="20">
        <f>VLOOKUP(D82,Priors!$A$3:$C$6,3,FALSE)</f>
        <v>3.9258061548584466E-2</v>
      </c>
      <c r="Y82" s="20">
        <f t="shared" si="7"/>
        <v>0.30461525508032317</v>
      </c>
      <c r="Z82" s="20">
        <f t="shared" si="8"/>
        <v>3.9258061548584466E-2</v>
      </c>
      <c r="AA82" s="21">
        <v>1</v>
      </c>
      <c r="AB82" s="21">
        <v>1</v>
      </c>
      <c r="AC82" s="22">
        <f t="shared" si="9"/>
        <v>0.30461525508032317</v>
      </c>
      <c r="AD82" s="22">
        <f t="shared" si="10"/>
        <v>3.9258061548584466E-2</v>
      </c>
      <c r="AE82" s="22">
        <f t="shared" si="11"/>
        <v>1</v>
      </c>
      <c r="AF82" s="7" t="s">
        <v>1647</v>
      </c>
      <c r="AG82" s="7"/>
      <c r="AH82" s="7"/>
      <c r="AI82" s="7"/>
      <c r="AJ82" s="8" t="b">
        <v>1</v>
      </c>
      <c r="AK82" s="28" t="s">
        <v>1648</v>
      </c>
      <c r="AL82" s="28"/>
      <c r="AM82" s="28"/>
      <c r="AN82" s="7"/>
      <c r="AO82" s="7"/>
      <c r="AP82" s="7"/>
      <c r="AQ82" s="28" t="s">
        <v>1650</v>
      </c>
    </row>
    <row r="83" spans="1:43" ht="15">
      <c r="A83" s="7">
        <v>566</v>
      </c>
      <c r="B83" s="7" t="s">
        <v>338</v>
      </c>
      <c r="C83" s="7" t="s">
        <v>41</v>
      </c>
      <c r="D83" s="7" t="s">
        <v>99</v>
      </c>
      <c r="E83" s="7" t="s">
        <v>1647</v>
      </c>
      <c r="F83" s="7"/>
      <c r="G83" s="14"/>
      <c r="H83" s="15"/>
      <c r="I83" s="15"/>
      <c r="J83" s="15"/>
      <c r="K83" s="15"/>
      <c r="L83" s="15"/>
      <c r="M83" s="15"/>
      <c r="N83" s="16"/>
      <c r="O83" s="16"/>
      <c r="P83" s="17">
        <f>IFERROR(G83/(G83+Priors!$H$3),0)</f>
        <v>0</v>
      </c>
      <c r="Q83" s="18">
        <f>IF(E83="Premier League",Priors!$H$4,IF(E83="Championship",Priors!$H$5,Priors!$H$8))</f>
        <v>0</v>
      </c>
      <c r="R83" s="19" t="b">
        <v>0</v>
      </c>
      <c r="S83" s="18">
        <f>IF(R83=TRUE,Priors!$H$6,1)</f>
        <v>1</v>
      </c>
      <c r="T83" s="19" t="b">
        <v>1</v>
      </c>
      <c r="U83" s="18">
        <f>IF(T83=TRUE,Priors!$H$7,1)</f>
        <v>0.9</v>
      </c>
      <c r="V83" s="18">
        <f t="shared" si="6"/>
        <v>0</v>
      </c>
      <c r="W83" s="20">
        <f>VLOOKUP(D83,Priors!$A$3:$C$6,2,FALSE)</f>
        <v>4.1142361271531161E-2</v>
      </c>
      <c r="X83" s="20">
        <f>VLOOKUP(D83,Priors!$A$3:$C$6,3,FALSE)</f>
        <v>4.0513079897554365E-2</v>
      </c>
      <c r="Y83" s="20">
        <f t="shared" si="7"/>
        <v>4.1142361271531161E-2</v>
      </c>
      <c r="Z83" s="20">
        <f t="shared" si="8"/>
        <v>4.0513079897554365E-2</v>
      </c>
      <c r="AA83" s="21">
        <v>1</v>
      </c>
      <c r="AB83" s="21">
        <v>1</v>
      </c>
      <c r="AC83" s="22">
        <f t="shared" si="9"/>
        <v>4.1142361271531161E-2</v>
      </c>
      <c r="AD83" s="22">
        <f t="shared" si="10"/>
        <v>4.0513079897554365E-2</v>
      </c>
      <c r="AE83" s="22">
        <f t="shared" si="11"/>
        <v>1</v>
      </c>
      <c r="AF83" s="7" t="s">
        <v>1647</v>
      </c>
      <c r="AG83" s="7"/>
      <c r="AH83" s="7"/>
      <c r="AI83" s="7"/>
      <c r="AJ83" s="8" t="b">
        <v>1</v>
      </c>
      <c r="AK83" s="28" t="s">
        <v>1648</v>
      </c>
      <c r="AL83" s="28"/>
      <c r="AM83" s="28"/>
      <c r="AN83" s="7"/>
      <c r="AO83" s="7">
        <v>0</v>
      </c>
      <c r="AP83" s="8" t="b">
        <v>0</v>
      </c>
      <c r="AQ83" s="28" t="s">
        <v>1646</v>
      </c>
    </row>
    <row r="84" spans="1:43" ht="30">
      <c r="A84" s="7">
        <v>82</v>
      </c>
      <c r="B84" s="7" t="s">
        <v>341</v>
      </c>
      <c r="C84" s="7" t="s">
        <v>42</v>
      </c>
      <c r="D84" s="7" t="s">
        <v>85</v>
      </c>
      <c r="E84" s="7" t="s">
        <v>1642</v>
      </c>
      <c r="F84" s="7" t="s">
        <v>42</v>
      </c>
      <c r="G84" s="14">
        <v>3330</v>
      </c>
      <c r="H84" s="15">
        <v>0</v>
      </c>
      <c r="I84" s="15">
        <v>0.22</v>
      </c>
      <c r="J84" s="15">
        <v>0</v>
      </c>
      <c r="K84" s="15">
        <v>5.9459459459459459E-3</v>
      </c>
      <c r="L84" s="15">
        <v>60.3</v>
      </c>
      <c r="M84" s="15">
        <v>1.5868421052631578</v>
      </c>
      <c r="N84" s="16">
        <v>0</v>
      </c>
      <c r="O84" s="16">
        <v>3.7470306127022545E-3</v>
      </c>
      <c r="P84" s="17">
        <f>IFERROR(G84/(G84+Priors!$H$3),0)</f>
        <v>0.76905311778290997</v>
      </c>
      <c r="Q84" s="18">
        <f>IF(E84="Premier League",Priors!$H$4,IF(E84="Championship",Priors!$H$5,Priors!$H$8))</f>
        <v>1</v>
      </c>
      <c r="R84" s="19" t="b">
        <v>0</v>
      </c>
      <c r="S84" s="18">
        <f>IF(R84=TRUE,Priors!$H$6,1)</f>
        <v>1</v>
      </c>
      <c r="T84" s="19" t="b">
        <v>0</v>
      </c>
      <c r="U84" s="18">
        <f>IF(T84=TRUE,Priors!$H$7,1)</f>
        <v>1</v>
      </c>
      <c r="V84" s="18">
        <f t="shared" si="6"/>
        <v>0.76905311778290997</v>
      </c>
      <c r="W84" s="20">
        <f>VLOOKUP(D84,Priors!$A$3:$C$6,2,FALSE)</f>
        <v>1.6719534964712218E-4</v>
      </c>
      <c r="X84" s="20">
        <f>VLOOKUP(D84,Priors!$A$3:$C$6,3,FALSE)</f>
        <v>1.379361634588758E-3</v>
      </c>
      <c r="Y84" s="20">
        <f t="shared" si="7"/>
        <v>3.8613244722199114E-5</v>
      </c>
      <c r="Z84" s="20">
        <f t="shared" si="8"/>
        <v>3.2002248440848187E-3</v>
      </c>
      <c r="AA84" s="21">
        <v>1</v>
      </c>
      <c r="AB84" s="21">
        <v>1</v>
      </c>
      <c r="AC84" s="22">
        <f t="shared" si="9"/>
        <v>3.8613244722199114E-5</v>
      </c>
      <c r="AD84" s="22">
        <f t="shared" si="10"/>
        <v>3.2002248440848187E-3</v>
      </c>
      <c r="AE84" s="22">
        <f t="shared" si="11"/>
        <v>0.23094688221709003</v>
      </c>
      <c r="AF84" s="7" t="s">
        <v>1643</v>
      </c>
      <c r="AG84" s="7"/>
      <c r="AH84" s="7"/>
      <c r="AI84" s="7"/>
      <c r="AJ84" s="8" t="b">
        <v>0</v>
      </c>
      <c r="AK84" s="28" t="s">
        <v>1644</v>
      </c>
      <c r="AL84" s="28" t="s">
        <v>1645</v>
      </c>
      <c r="AM84" s="28"/>
      <c r="AN84" s="7"/>
      <c r="AO84" s="7">
        <v>0</v>
      </c>
      <c r="AP84" s="8" t="b">
        <v>0</v>
      </c>
      <c r="AQ84" s="28" t="s">
        <v>1646</v>
      </c>
    </row>
    <row r="85" spans="1:43" ht="30">
      <c r="A85" s="7">
        <v>83</v>
      </c>
      <c r="B85" s="7" t="s">
        <v>346</v>
      </c>
      <c r="C85" s="7" t="s">
        <v>42</v>
      </c>
      <c r="D85" s="7" t="s">
        <v>85</v>
      </c>
      <c r="E85" s="7" t="s">
        <v>1642</v>
      </c>
      <c r="F85" s="7" t="s">
        <v>42</v>
      </c>
      <c r="G85" s="14">
        <v>90</v>
      </c>
      <c r="H85" s="15">
        <v>0</v>
      </c>
      <c r="I85" s="15">
        <v>0</v>
      </c>
      <c r="J85" s="15">
        <v>0</v>
      </c>
      <c r="K85" s="15">
        <v>0</v>
      </c>
      <c r="L85" s="15">
        <v>60.3</v>
      </c>
      <c r="M85" s="15">
        <v>1.5868421052631578</v>
      </c>
      <c r="N85" s="16">
        <v>0</v>
      </c>
      <c r="O85" s="16">
        <v>0</v>
      </c>
      <c r="P85" s="17">
        <f>IFERROR(G85/(G85+Priors!$H$3),0)</f>
        <v>8.2568807339449546E-2</v>
      </c>
      <c r="Q85" s="18">
        <f>IF(E85="Premier League",Priors!$H$4,IF(E85="Championship",Priors!$H$5,Priors!$H$8))</f>
        <v>1</v>
      </c>
      <c r="R85" s="19" t="b">
        <v>0</v>
      </c>
      <c r="S85" s="18">
        <f>IF(R85=TRUE,Priors!$H$6,1)</f>
        <v>1</v>
      </c>
      <c r="T85" s="19" t="b">
        <v>0</v>
      </c>
      <c r="U85" s="18">
        <f>IF(T85=TRUE,Priors!$H$7,1)</f>
        <v>1</v>
      </c>
      <c r="V85" s="18">
        <f t="shared" si="6"/>
        <v>8.2568807339449546E-2</v>
      </c>
      <c r="W85" s="20">
        <f>VLOOKUP(D85,Priors!$A$3:$C$6,2,FALSE)</f>
        <v>1.6719534964712218E-4</v>
      </c>
      <c r="X85" s="20">
        <f>VLOOKUP(D85,Priors!$A$3:$C$6,3,FALSE)</f>
        <v>1.379361634588758E-3</v>
      </c>
      <c r="Y85" s="20">
        <f t="shared" si="7"/>
        <v>1.5339022903405707E-4</v>
      </c>
      <c r="Z85" s="20">
        <f t="shared" si="8"/>
        <v>1.2654693895309708E-3</v>
      </c>
      <c r="AA85" s="21">
        <v>1</v>
      </c>
      <c r="AB85" s="21">
        <v>1</v>
      </c>
      <c r="AC85" s="22">
        <f t="shared" si="9"/>
        <v>1.5339022903405707E-4</v>
      </c>
      <c r="AD85" s="22">
        <f t="shared" si="10"/>
        <v>1.2654693895309708E-3</v>
      </c>
      <c r="AE85" s="22">
        <f t="shared" si="11"/>
        <v>0.91743119266055051</v>
      </c>
      <c r="AF85" s="7" t="s">
        <v>1643</v>
      </c>
      <c r="AG85" s="7"/>
      <c r="AH85" s="7"/>
      <c r="AI85" s="7"/>
      <c r="AJ85" s="8" t="b">
        <v>1</v>
      </c>
      <c r="AK85" s="28" t="s">
        <v>1644</v>
      </c>
      <c r="AL85" s="28" t="s">
        <v>1645</v>
      </c>
      <c r="AM85" s="28"/>
      <c r="AN85" s="7"/>
      <c r="AO85" s="7">
        <v>0</v>
      </c>
      <c r="AP85" s="8" t="b">
        <v>0</v>
      </c>
      <c r="AQ85" s="28" t="s">
        <v>1646</v>
      </c>
    </row>
    <row r="86" spans="1:43" ht="30">
      <c r="A86" s="7">
        <v>84</v>
      </c>
      <c r="B86" s="7" t="s">
        <v>349</v>
      </c>
      <c r="C86" s="7" t="s">
        <v>42</v>
      </c>
      <c r="D86" s="7" t="s">
        <v>99</v>
      </c>
      <c r="E86" s="7" t="s">
        <v>1642</v>
      </c>
      <c r="F86" s="7" t="s">
        <v>42</v>
      </c>
      <c r="G86" s="14">
        <v>2971</v>
      </c>
      <c r="H86" s="15">
        <v>2.2400000000000002</v>
      </c>
      <c r="I86" s="15">
        <v>1.71</v>
      </c>
      <c r="J86" s="15">
        <v>6.7855940760686642E-2</v>
      </c>
      <c r="K86" s="15">
        <v>5.180074049141703E-2</v>
      </c>
      <c r="L86" s="15">
        <v>60.3</v>
      </c>
      <c r="M86" s="15">
        <v>1.5868421052631578</v>
      </c>
      <c r="N86" s="16">
        <v>4.2761621043218782E-2</v>
      </c>
      <c r="O86" s="16">
        <v>3.2643916064242905E-2</v>
      </c>
      <c r="P86" s="17">
        <f>IFERROR(G86/(G86+Priors!$H$3),0)</f>
        <v>0.74817426340972049</v>
      </c>
      <c r="Q86" s="18">
        <f>IF(E86="Premier League",Priors!$H$4,IF(E86="Championship",Priors!$H$5,Priors!$H$8))</f>
        <v>1</v>
      </c>
      <c r="R86" s="19" t="b">
        <v>0</v>
      </c>
      <c r="S86" s="18">
        <f>IF(R86=TRUE,Priors!$H$6,1)</f>
        <v>1</v>
      </c>
      <c r="T86" s="19" t="b">
        <v>0</v>
      </c>
      <c r="U86" s="18">
        <f>IF(T86=TRUE,Priors!$H$7,1)</f>
        <v>1</v>
      </c>
      <c r="V86" s="18">
        <f t="shared" si="6"/>
        <v>0.74817426340972049</v>
      </c>
      <c r="W86" s="20">
        <f>VLOOKUP(D86,Priors!$A$3:$C$6,2,FALSE)</f>
        <v>4.1142361271531161E-2</v>
      </c>
      <c r="X86" s="20">
        <f>VLOOKUP(D86,Priors!$A$3:$C$6,3,FALSE)</f>
        <v>4.0513079897554365E-2</v>
      </c>
      <c r="Y86" s="20">
        <f t="shared" si="7"/>
        <v>4.235384975848254E-2</v>
      </c>
      <c r="Z86" s="20">
        <f t="shared" si="8"/>
        <v>3.4625574042916149E-2</v>
      </c>
      <c r="AA86" s="21">
        <v>1</v>
      </c>
      <c r="AB86" s="21">
        <v>1</v>
      </c>
      <c r="AC86" s="22">
        <f t="shared" si="9"/>
        <v>4.235384975848254E-2</v>
      </c>
      <c r="AD86" s="22">
        <f t="shared" si="10"/>
        <v>3.4625574042916149E-2</v>
      </c>
      <c r="AE86" s="22">
        <f t="shared" si="11"/>
        <v>0.25182573659027951</v>
      </c>
      <c r="AF86" s="7" t="s">
        <v>1643</v>
      </c>
      <c r="AG86" s="7"/>
      <c r="AH86" s="7"/>
      <c r="AI86" s="7"/>
      <c r="AJ86" s="8" t="b">
        <v>0</v>
      </c>
      <c r="AK86" s="28" t="s">
        <v>1644</v>
      </c>
      <c r="AL86" s="28" t="s">
        <v>1645</v>
      </c>
      <c r="AM86" s="28"/>
      <c r="AN86" s="7"/>
      <c r="AO86" s="7">
        <v>0</v>
      </c>
      <c r="AP86" s="8" t="b">
        <v>0</v>
      </c>
      <c r="AQ86" s="28" t="s">
        <v>1646</v>
      </c>
    </row>
    <row r="87" spans="1:43" ht="30">
      <c r="A87" s="7">
        <v>85</v>
      </c>
      <c r="B87" s="7" t="s">
        <v>352</v>
      </c>
      <c r="C87" s="7" t="s">
        <v>42</v>
      </c>
      <c r="D87" s="7" t="s">
        <v>99</v>
      </c>
      <c r="E87" s="7" t="s">
        <v>1642</v>
      </c>
      <c r="F87" s="7" t="s">
        <v>42</v>
      </c>
      <c r="G87" s="14">
        <v>2761</v>
      </c>
      <c r="H87" s="15">
        <v>3.36</v>
      </c>
      <c r="I87" s="15">
        <v>1.45</v>
      </c>
      <c r="J87" s="15">
        <v>0.10952553422672943</v>
      </c>
      <c r="K87" s="15">
        <v>4.72654835204636E-2</v>
      </c>
      <c r="L87" s="15">
        <v>60.3</v>
      </c>
      <c r="M87" s="15">
        <v>1.5868421052631578</v>
      </c>
      <c r="N87" s="16">
        <v>6.9021066345202636E-2</v>
      </c>
      <c r="O87" s="16">
        <v>2.9785876845399947E-2</v>
      </c>
      <c r="P87" s="17">
        <f>IFERROR(G87/(G87+Priors!$H$3),0)</f>
        <v>0.73411326774793939</v>
      </c>
      <c r="Q87" s="18">
        <f>IF(E87="Premier League",Priors!$H$4,IF(E87="Championship",Priors!$H$5,Priors!$H$8))</f>
        <v>1</v>
      </c>
      <c r="R87" s="19" t="b">
        <v>0</v>
      </c>
      <c r="S87" s="18">
        <f>IF(R87=TRUE,Priors!$H$6,1)</f>
        <v>1</v>
      </c>
      <c r="T87" s="19" t="b">
        <v>0</v>
      </c>
      <c r="U87" s="18">
        <f>IF(T87=TRUE,Priors!$H$7,1)</f>
        <v>1</v>
      </c>
      <c r="V87" s="18">
        <f t="shared" si="6"/>
        <v>0.73411326774793939</v>
      </c>
      <c r="W87" s="20">
        <f>VLOOKUP(D87,Priors!$A$3:$C$6,2,FALSE)</f>
        <v>4.1142361271531161E-2</v>
      </c>
      <c r="X87" s="20">
        <f>VLOOKUP(D87,Priors!$A$3:$C$6,3,FALSE)</f>
        <v>4.0513079897554365E-2</v>
      </c>
      <c r="Y87" s="20">
        <f t="shared" si="7"/>
        <v>6.1608488553745185E-2</v>
      </c>
      <c r="Z87" s="20">
        <f t="shared" si="8"/>
        <v>3.2638097811141617E-2</v>
      </c>
      <c r="AA87" s="21">
        <v>1</v>
      </c>
      <c r="AB87" s="21">
        <v>1</v>
      </c>
      <c r="AC87" s="22">
        <f t="shared" si="9"/>
        <v>6.1608488553745185E-2</v>
      </c>
      <c r="AD87" s="22">
        <f t="shared" si="10"/>
        <v>3.2638097811141617E-2</v>
      </c>
      <c r="AE87" s="22">
        <f t="shared" si="11"/>
        <v>0.26588673225206061</v>
      </c>
      <c r="AF87" s="7" t="s">
        <v>1643</v>
      </c>
      <c r="AG87" s="7"/>
      <c r="AH87" s="7"/>
      <c r="AI87" s="7"/>
      <c r="AJ87" s="8" t="b">
        <v>0</v>
      </c>
      <c r="AK87" s="28" t="s">
        <v>1644</v>
      </c>
      <c r="AL87" s="28" t="s">
        <v>1645</v>
      </c>
      <c r="AM87" s="28"/>
      <c r="AN87" s="7"/>
      <c r="AO87" s="7">
        <v>0</v>
      </c>
      <c r="AP87" s="8" t="b">
        <v>0</v>
      </c>
      <c r="AQ87" s="28" t="s">
        <v>1646</v>
      </c>
    </row>
    <row r="88" spans="1:43" ht="30">
      <c r="A88" s="7">
        <v>86</v>
      </c>
      <c r="B88" s="7" t="s">
        <v>355</v>
      </c>
      <c r="C88" s="7" t="s">
        <v>42</v>
      </c>
      <c r="D88" s="7" t="s">
        <v>112</v>
      </c>
      <c r="E88" s="7" t="s">
        <v>1642</v>
      </c>
      <c r="F88" s="7" t="s">
        <v>42</v>
      </c>
      <c r="G88" s="14">
        <v>1960</v>
      </c>
      <c r="H88" s="15">
        <v>3.01</v>
      </c>
      <c r="I88" s="15">
        <v>2.5099999999999998</v>
      </c>
      <c r="J88" s="15">
        <v>0.13821428571428571</v>
      </c>
      <c r="K88" s="15">
        <v>0.11525510204081632</v>
      </c>
      <c r="L88" s="15">
        <v>60.3</v>
      </c>
      <c r="M88" s="15">
        <v>1.5868421052631578</v>
      </c>
      <c r="N88" s="16">
        <v>8.710021321961621E-2</v>
      </c>
      <c r="O88" s="16">
        <v>7.2631739262869324E-2</v>
      </c>
      <c r="P88" s="17">
        <f>IFERROR(G88/(G88+Priors!$H$3),0)</f>
        <v>0.66216216216216217</v>
      </c>
      <c r="Q88" s="18">
        <f>IF(E88="Premier League",Priors!$H$4,IF(E88="Championship",Priors!$H$5,Priors!$H$8))</f>
        <v>1</v>
      </c>
      <c r="R88" s="19" t="b">
        <v>0</v>
      </c>
      <c r="S88" s="18">
        <f>IF(R88=TRUE,Priors!$H$6,1)</f>
        <v>1</v>
      </c>
      <c r="T88" s="19" t="b">
        <v>0</v>
      </c>
      <c r="U88" s="18">
        <f>IF(T88=TRUE,Priors!$H$7,1)</f>
        <v>1</v>
      </c>
      <c r="V88" s="18">
        <f t="shared" si="6"/>
        <v>0.66216216216216217</v>
      </c>
      <c r="W88" s="20">
        <f>VLOOKUP(D88,Priors!$A$3:$C$6,2,FALSE)</f>
        <v>0.10751786102217777</v>
      </c>
      <c r="X88" s="20">
        <f>VLOOKUP(D88,Priors!$A$3:$C$6,3,FALSE)</f>
        <v>9.0240671969462088E-2</v>
      </c>
      <c r="Y88" s="20">
        <f t="shared" si="7"/>
        <v>9.3998067206968086E-2</v>
      </c>
      <c r="Z88" s="20">
        <f t="shared" si="8"/>
        <v>7.8580703015096606E-2</v>
      </c>
      <c r="AA88" s="21">
        <v>1</v>
      </c>
      <c r="AB88" s="21">
        <v>1</v>
      </c>
      <c r="AC88" s="22">
        <f t="shared" si="9"/>
        <v>9.3998067206968086E-2</v>
      </c>
      <c r="AD88" s="22">
        <f t="shared" si="10"/>
        <v>7.8580703015096606E-2</v>
      </c>
      <c r="AE88" s="22">
        <f t="shared" si="11"/>
        <v>0.33783783783783783</v>
      </c>
      <c r="AF88" s="7" t="s">
        <v>1643</v>
      </c>
      <c r="AG88" s="7"/>
      <c r="AH88" s="7">
        <v>1</v>
      </c>
      <c r="AI88" s="7"/>
      <c r="AJ88" s="8" t="b">
        <v>0</v>
      </c>
      <c r="AK88" s="28" t="s">
        <v>1644</v>
      </c>
      <c r="AL88" s="28" t="s">
        <v>1645</v>
      </c>
      <c r="AM88" s="28"/>
      <c r="AN88" s="7"/>
      <c r="AO88" s="7">
        <v>0</v>
      </c>
      <c r="AP88" s="8" t="b">
        <v>0</v>
      </c>
      <c r="AQ88" s="28" t="s">
        <v>1646</v>
      </c>
    </row>
    <row r="89" spans="1:43" ht="30">
      <c r="A89" s="7">
        <v>87</v>
      </c>
      <c r="B89" s="7" t="s">
        <v>358</v>
      </c>
      <c r="C89" s="7" t="s">
        <v>42</v>
      </c>
      <c r="D89" s="7" t="s">
        <v>99</v>
      </c>
      <c r="E89" s="7" t="s">
        <v>1642</v>
      </c>
      <c r="F89" s="7" t="s">
        <v>42</v>
      </c>
      <c r="G89" s="14">
        <v>1805</v>
      </c>
      <c r="H89" s="15">
        <v>0.69</v>
      </c>
      <c r="I89" s="15">
        <v>0.73</v>
      </c>
      <c r="J89" s="15">
        <v>3.4404432132963986E-2</v>
      </c>
      <c r="K89" s="15">
        <v>3.6398891966759002E-2</v>
      </c>
      <c r="L89" s="15">
        <v>60.3</v>
      </c>
      <c r="M89" s="15">
        <v>1.5868421052631578</v>
      </c>
      <c r="N89" s="16">
        <v>2.1681068342498035E-2</v>
      </c>
      <c r="O89" s="16">
        <v>2.2937941869599372E-2</v>
      </c>
      <c r="P89" s="17">
        <f>IFERROR(G89/(G89+Priors!$H$3),0)</f>
        <v>0.64349376114082002</v>
      </c>
      <c r="Q89" s="18">
        <f>IF(E89="Premier League",Priors!$H$4,IF(E89="Championship",Priors!$H$5,Priors!$H$8))</f>
        <v>1</v>
      </c>
      <c r="R89" s="19" t="b">
        <v>0</v>
      </c>
      <c r="S89" s="18">
        <f>IF(R89=TRUE,Priors!$H$6,1)</f>
        <v>1</v>
      </c>
      <c r="T89" s="19" t="b">
        <v>0</v>
      </c>
      <c r="U89" s="18">
        <f>IF(T89=TRUE,Priors!$H$7,1)</f>
        <v>1</v>
      </c>
      <c r="V89" s="18">
        <f t="shared" si="6"/>
        <v>0.64349376114082002</v>
      </c>
      <c r="W89" s="20">
        <f>VLOOKUP(D89,Priors!$A$3:$C$6,2,FALSE)</f>
        <v>4.1142361271531161E-2</v>
      </c>
      <c r="X89" s="20">
        <f>VLOOKUP(D89,Priors!$A$3:$C$6,3,FALSE)</f>
        <v>4.0513079897554365E-2</v>
      </c>
      <c r="Y89" s="20">
        <f t="shared" si="7"/>
        <v>2.8619140687964388E-2</v>
      </c>
      <c r="Z89" s="20">
        <f t="shared" si="8"/>
        <v>2.9203588225376553E-2</v>
      </c>
      <c r="AA89" s="21">
        <v>1</v>
      </c>
      <c r="AB89" s="21">
        <v>1</v>
      </c>
      <c r="AC89" s="22">
        <f t="shared" si="9"/>
        <v>2.8619140687964388E-2</v>
      </c>
      <c r="AD89" s="22">
        <f t="shared" si="10"/>
        <v>2.9203588225376553E-2</v>
      </c>
      <c r="AE89" s="22">
        <f t="shared" si="11"/>
        <v>0.35650623885917998</v>
      </c>
      <c r="AF89" s="7" t="s">
        <v>1643</v>
      </c>
      <c r="AG89" s="7"/>
      <c r="AH89" s="7"/>
      <c r="AI89" s="7"/>
      <c r="AJ89" s="8" t="b">
        <v>0</v>
      </c>
      <c r="AK89" s="28" t="s">
        <v>1644</v>
      </c>
      <c r="AL89" s="28" t="s">
        <v>1645</v>
      </c>
      <c r="AM89" s="28"/>
      <c r="AN89" s="7"/>
      <c r="AO89" s="7">
        <v>0</v>
      </c>
      <c r="AP89" s="8" t="b">
        <v>0</v>
      </c>
      <c r="AQ89" s="28" t="s">
        <v>1646</v>
      </c>
    </row>
    <row r="90" spans="1:43" ht="30">
      <c r="A90" s="7">
        <v>88</v>
      </c>
      <c r="B90" s="7" t="s">
        <v>361</v>
      </c>
      <c r="C90" s="7" t="s">
        <v>42</v>
      </c>
      <c r="D90" s="7" t="s">
        <v>99</v>
      </c>
      <c r="E90" s="7" t="s">
        <v>1642</v>
      </c>
      <c r="F90" s="7" t="s">
        <v>42</v>
      </c>
      <c r="G90" s="14">
        <v>3258</v>
      </c>
      <c r="H90" s="15">
        <v>1.28</v>
      </c>
      <c r="I90" s="15">
        <v>2.89</v>
      </c>
      <c r="J90" s="15">
        <v>3.535911602209945E-2</v>
      </c>
      <c r="K90" s="15">
        <v>7.9834254143646421E-2</v>
      </c>
      <c r="L90" s="15">
        <v>60.3</v>
      </c>
      <c r="M90" s="15">
        <v>1.5868421052631578</v>
      </c>
      <c r="N90" s="16">
        <v>2.2282693347260019E-2</v>
      </c>
      <c r="O90" s="16">
        <v>5.0310143573110519E-2</v>
      </c>
      <c r="P90" s="17">
        <f>IFERROR(G90/(G90+Priors!$H$3),0)</f>
        <v>0.76514795678722403</v>
      </c>
      <c r="Q90" s="18">
        <f>IF(E90="Premier League",Priors!$H$4,IF(E90="Championship",Priors!$H$5,Priors!$H$8))</f>
        <v>1</v>
      </c>
      <c r="R90" s="19" t="b">
        <v>0</v>
      </c>
      <c r="S90" s="18">
        <f>IF(R90=TRUE,Priors!$H$6,1)</f>
        <v>1</v>
      </c>
      <c r="T90" s="19" t="b">
        <v>0</v>
      </c>
      <c r="U90" s="18">
        <f>IF(T90=TRUE,Priors!$H$7,1)</f>
        <v>1</v>
      </c>
      <c r="V90" s="18">
        <f t="shared" si="6"/>
        <v>0.76514795678722403</v>
      </c>
      <c r="W90" s="20">
        <f>VLOOKUP(D90,Priors!$A$3:$C$6,2,FALSE)</f>
        <v>4.1142361271531161E-2</v>
      </c>
      <c r="X90" s="20">
        <f>VLOOKUP(D90,Priors!$A$3:$C$6,3,FALSE)</f>
        <v>4.0513079897554365E-2</v>
      </c>
      <c r="Y90" s="20">
        <f t="shared" si="7"/>
        <v>2.6711924893589548E-2</v>
      </c>
      <c r="Z90" s="20">
        <f t="shared" si="8"/>
        <v>4.8009283151420487E-2</v>
      </c>
      <c r="AA90" s="21">
        <v>1</v>
      </c>
      <c r="AB90" s="21">
        <v>1</v>
      </c>
      <c r="AC90" s="22">
        <f t="shared" si="9"/>
        <v>2.6711924893589548E-2</v>
      </c>
      <c r="AD90" s="22">
        <f t="shared" si="10"/>
        <v>4.8009283151420487E-2</v>
      </c>
      <c r="AE90" s="22">
        <f t="shared" si="11"/>
        <v>0.23485204321277597</v>
      </c>
      <c r="AF90" s="7" t="s">
        <v>1643</v>
      </c>
      <c r="AG90" s="7"/>
      <c r="AH90" s="7"/>
      <c r="AI90" s="7"/>
      <c r="AJ90" s="8" t="b">
        <v>0</v>
      </c>
      <c r="AK90" s="28" t="s">
        <v>1644</v>
      </c>
      <c r="AL90" s="28" t="s">
        <v>1645</v>
      </c>
      <c r="AM90" s="28"/>
      <c r="AN90" s="7"/>
      <c r="AO90" s="7">
        <v>0</v>
      </c>
      <c r="AP90" s="8" t="b">
        <v>0</v>
      </c>
      <c r="AQ90" s="28" t="s">
        <v>1646</v>
      </c>
    </row>
    <row r="91" spans="1:43" ht="30">
      <c r="A91" s="7">
        <v>89</v>
      </c>
      <c r="B91" s="7" t="s">
        <v>363</v>
      </c>
      <c r="C91" s="7" t="s">
        <v>42</v>
      </c>
      <c r="D91" s="7" t="s">
        <v>99</v>
      </c>
      <c r="E91" s="7" t="s">
        <v>1642</v>
      </c>
      <c r="F91" s="7" t="s">
        <v>42</v>
      </c>
      <c r="G91" s="14">
        <v>1322</v>
      </c>
      <c r="H91" s="15">
        <v>0.18</v>
      </c>
      <c r="I91" s="15">
        <v>0.54</v>
      </c>
      <c r="J91" s="15">
        <v>1.2254160363086233E-2</v>
      </c>
      <c r="K91" s="15">
        <v>3.6762481089258697E-2</v>
      </c>
      <c r="L91" s="15">
        <v>60.3</v>
      </c>
      <c r="M91" s="15">
        <v>1.5868421052631578</v>
      </c>
      <c r="N91" s="16">
        <v>7.7223564477160341E-3</v>
      </c>
      <c r="O91" s="16">
        <v>2.3167069343148102E-2</v>
      </c>
      <c r="P91" s="17">
        <f>IFERROR(G91/(G91+Priors!$H$3),0)</f>
        <v>0.56933677863910426</v>
      </c>
      <c r="Q91" s="18">
        <f>IF(E91="Premier League",Priors!$H$4,IF(E91="Championship",Priors!$H$5,Priors!$H$8))</f>
        <v>1</v>
      </c>
      <c r="R91" s="19" t="b">
        <v>0</v>
      </c>
      <c r="S91" s="18">
        <f>IF(R91=TRUE,Priors!$H$6,1)</f>
        <v>1</v>
      </c>
      <c r="T91" s="19" t="b">
        <v>0</v>
      </c>
      <c r="U91" s="18">
        <f>IF(T91=TRUE,Priors!$H$7,1)</f>
        <v>1</v>
      </c>
      <c r="V91" s="18">
        <f t="shared" si="6"/>
        <v>0.56933677863910426</v>
      </c>
      <c r="W91" s="20">
        <f>VLOOKUP(D91,Priors!$A$3:$C$6,2,FALSE)</f>
        <v>4.1142361271531161E-2</v>
      </c>
      <c r="X91" s="20">
        <f>VLOOKUP(D91,Priors!$A$3:$C$6,3,FALSE)</f>
        <v>4.0513079897554365E-2</v>
      </c>
      <c r="Y91" s="20">
        <f t="shared" si="7"/>
        <v>2.2115123383036932E-2</v>
      </c>
      <c r="Z91" s="20">
        <f t="shared" si="8"/>
        <v>3.0637358126268797E-2</v>
      </c>
      <c r="AA91" s="21">
        <v>1</v>
      </c>
      <c r="AB91" s="21">
        <v>1</v>
      </c>
      <c r="AC91" s="22">
        <f t="shared" si="9"/>
        <v>2.2115123383036932E-2</v>
      </c>
      <c r="AD91" s="22">
        <f t="shared" si="10"/>
        <v>3.0637358126268797E-2</v>
      </c>
      <c r="AE91" s="22">
        <f t="shared" si="11"/>
        <v>0.43066322136089574</v>
      </c>
      <c r="AF91" s="7" t="s">
        <v>1643</v>
      </c>
      <c r="AG91" s="7"/>
      <c r="AH91" s="7"/>
      <c r="AI91" s="7"/>
      <c r="AJ91" s="8" t="b">
        <v>0</v>
      </c>
      <c r="AK91" s="28" t="s">
        <v>1644</v>
      </c>
      <c r="AL91" s="28" t="s">
        <v>1645</v>
      </c>
      <c r="AM91" s="28"/>
      <c r="AN91" s="7"/>
      <c r="AO91" s="7">
        <v>0</v>
      </c>
      <c r="AP91" s="8" t="b">
        <v>0</v>
      </c>
      <c r="AQ91" s="28" t="s">
        <v>1646</v>
      </c>
    </row>
    <row r="92" spans="1:43" ht="30">
      <c r="A92" s="7">
        <v>90</v>
      </c>
      <c r="B92" s="7" t="s">
        <v>366</v>
      </c>
      <c r="C92" s="7" t="s">
        <v>42</v>
      </c>
      <c r="D92" s="7" t="s">
        <v>99</v>
      </c>
      <c r="E92" s="7" t="s">
        <v>1642</v>
      </c>
      <c r="F92" s="7" t="s">
        <v>42</v>
      </c>
      <c r="G92" s="14">
        <v>679</v>
      </c>
      <c r="H92" s="15">
        <v>0.44</v>
      </c>
      <c r="I92" s="15">
        <v>0.17</v>
      </c>
      <c r="J92" s="15">
        <v>5.8321060382916054E-2</v>
      </c>
      <c r="K92" s="15">
        <v>2.2533136966126657E-2</v>
      </c>
      <c r="L92" s="15">
        <v>60.3</v>
      </c>
      <c r="M92" s="15">
        <v>1.5868421052631578</v>
      </c>
      <c r="N92" s="16">
        <v>3.6752907040643615E-2</v>
      </c>
      <c r="O92" s="16">
        <v>1.419998681115776E-2</v>
      </c>
      <c r="P92" s="17">
        <f>IFERROR(G92/(G92+Priors!$H$3),0)</f>
        <v>0.40440738534842169</v>
      </c>
      <c r="Q92" s="18">
        <f>IF(E92="Premier League",Priors!$H$4,IF(E92="Championship",Priors!$H$5,Priors!$H$8))</f>
        <v>1</v>
      </c>
      <c r="R92" s="19" t="b">
        <v>0</v>
      </c>
      <c r="S92" s="18">
        <f>IF(R92=TRUE,Priors!$H$6,1)</f>
        <v>1</v>
      </c>
      <c r="T92" s="19" t="b">
        <v>0</v>
      </c>
      <c r="U92" s="18">
        <f>IF(T92=TRUE,Priors!$H$7,1)</f>
        <v>1</v>
      </c>
      <c r="V92" s="18">
        <f t="shared" si="6"/>
        <v>0.40440738534842169</v>
      </c>
      <c r="W92" s="20">
        <f>VLOOKUP(D92,Priors!$A$3:$C$6,2,FALSE)</f>
        <v>4.1142361271531161E-2</v>
      </c>
      <c r="X92" s="20">
        <f>VLOOKUP(D92,Priors!$A$3:$C$6,3,FALSE)</f>
        <v>4.0513079897554365E-2</v>
      </c>
      <c r="Y92" s="20">
        <f t="shared" si="7"/>
        <v>3.9367233562911358E-2</v>
      </c>
      <c r="Z92" s="20">
        <f t="shared" si="8"/>
        <v>2.9871870722055081E-2</v>
      </c>
      <c r="AA92" s="21">
        <v>1</v>
      </c>
      <c r="AB92" s="21">
        <v>1</v>
      </c>
      <c r="AC92" s="22">
        <f t="shared" si="9"/>
        <v>3.9367233562911358E-2</v>
      </c>
      <c r="AD92" s="22">
        <f t="shared" si="10"/>
        <v>2.9871870722055081E-2</v>
      </c>
      <c r="AE92" s="22">
        <f t="shared" si="11"/>
        <v>0.59559261465157831</v>
      </c>
      <c r="AF92" s="7" t="s">
        <v>1643</v>
      </c>
      <c r="AG92" s="7"/>
      <c r="AH92" s="7"/>
      <c r="AI92" s="7"/>
      <c r="AJ92" s="8" t="b">
        <v>1</v>
      </c>
      <c r="AK92" s="28" t="s">
        <v>1644</v>
      </c>
      <c r="AL92" s="28" t="s">
        <v>1645</v>
      </c>
      <c r="AM92" s="28"/>
      <c r="AN92" s="7"/>
      <c r="AO92" s="7">
        <v>0</v>
      </c>
      <c r="AP92" s="8" t="b">
        <v>0</v>
      </c>
      <c r="AQ92" s="28" t="s">
        <v>1646</v>
      </c>
    </row>
    <row r="93" spans="1:43" ht="30">
      <c r="A93" s="7">
        <v>91</v>
      </c>
      <c r="B93" s="7" t="s">
        <v>369</v>
      </c>
      <c r="C93" s="7" t="s">
        <v>42</v>
      </c>
      <c r="D93" s="7" t="s">
        <v>99</v>
      </c>
      <c r="E93" s="7" t="s">
        <v>1642</v>
      </c>
      <c r="F93" s="7" t="s">
        <v>42</v>
      </c>
      <c r="G93" s="14">
        <v>318</v>
      </c>
      <c r="H93" s="15">
        <v>0.01</v>
      </c>
      <c r="I93" s="15">
        <v>0.06</v>
      </c>
      <c r="J93" s="15">
        <v>2.8301886792452833E-3</v>
      </c>
      <c r="K93" s="15">
        <v>1.6981132075471698E-2</v>
      </c>
      <c r="L93" s="15">
        <v>60.3</v>
      </c>
      <c r="M93" s="15">
        <v>1.5868421052631578</v>
      </c>
      <c r="N93" s="16">
        <v>1.7835351544165964E-3</v>
      </c>
      <c r="O93" s="16">
        <v>1.0701210926499578E-2</v>
      </c>
      <c r="P93" s="17">
        <f>IFERROR(G93/(G93+Priors!$H$3),0)</f>
        <v>0.24127465857359637</v>
      </c>
      <c r="Q93" s="18">
        <f>IF(E93="Premier League",Priors!$H$4,IF(E93="Championship",Priors!$H$5,Priors!$H$8))</f>
        <v>1</v>
      </c>
      <c r="R93" s="19" t="b">
        <v>0</v>
      </c>
      <c r="S93" s="18">
        <f>IF(R93=TRUE,Priors!$H$6,1)</f>
        <v>1</v>
      </c>
      <c r="T93" s="19" t="b">
        <v>0</v>
      </c>
      <c r="U93" s="18">
        <f>IF(T93=TRUE,Priors!$H$7,1)</f>
        <v>1</v>
      </c>
      <c r="V93" s="18">
        <f t="shared" si="6"/>
        <v>0.24127465857359637</v>
      </c>
      <c r="W93" s="20">
        <f>VLOOKUP(D93,Priors!$A$3:$C$6,2,FALSE)</f>
        <v>4.1142361271531161E-2</v>
      </c>
      <c r="X93" s="20">
        <f>VLOOKUP(D93,Priors!$A$3:$C$6,3,FALSE)</f>
        <v>4.0513079897554365E-2</v>
      </c>
      <c r="Y93" s="20">
        <f t="shared" si="7"/>
        <v>3.1646073938266801E-2</v>
      </c>
      <c r="Z93" s="20">
        <f t="shared" si="8"/>
        <v>3.3320231390122336E-2</v>
      </c>
      <c r="AA93" s="21">
        <v>1</v>
      </c>
      <c r="AB93" s="21">
        <v>1</v>
      </c>
      <c r="AC93" s="22">
        <f t="shared" si="9"/>
        <v>3.1646073938266801E-2</v>
      </c>
      <c r="AD93" s="22">
        <f t="shared" si="10"/>
        <v>3.3320231390122336E-2</v>
      </c>
      <c r="AE93" s="22">
        <f t="shared" si="11"/>
        <v>0.75872534142640369</v>
      </c>
      <c r="AF93" s="7" t="s">
        <v>1643</v>
      </c>
      <c r="AG93" s="7"/>
      <c r="AH93" s="7"/>
      <c r="AI93" s="7"/>
      <c r="AJ93" s="8" t="b">
        <v>1</v>
      </c>
      <c r="AK93" s="28" t="s">
        <v>1644</v>
      </c>
      <c r="AL93" s="28" t="s">
        <v>1645</v>
      </c>
      <c r="AM93" s="28"/>
      <c r="AN93" s="7"/>
      <c r="AO93" s="7">
        <v>0</v>
      </c>
      <c r="AP93" s="8" t="b">
        <v>0</v>
      </c>
      <c r="AQ93" s="28" t="s">
        <v>1646</v>
      </c>
    </row>
    <row r="94" spans="1:43" ht="15">
      <c r="A94" s="7">
        <v>92</v>
      </c>
      <c r="B94" s="7" t="s">
        <v>372</v>
      </c>
      <c r="C94" s="7" t="s">
        <v>42</v>
      </c>
      <c r="D94" s="7" t="s">
        <v>99</v>
      </c>
      <c r="E94" s="7" t="s">
        <v>1647</v>
      </c>
      <c r="F94" s="7"/>
      <c r="G94" s="14"/>
      <c r="H94" s="15"/>
      <c r="I94" s="15"/>
      <c r="J94" s="15"/>
      <c r="K94" s="15"/>
      <c r="L94" s="15"/>
      <c r="M94" s="15"/>
      <c r="N94" s="16"/>
      <c r="O94" s="16"/>
      <c r="P94" s="17">
        <f>IFERROR(G94/(G94+Priors!$H$3),0)</f>
        <v>0</v>
      </c>
      <c r="Q94" s="18">
        <f>IF(E94="Premier League",Priors!$H$4,IF(E94="Championship",Priors!$H$5,Priors!$H$8))</f>
        <v>0</v>
      </c>
      <c r="R94" s="19" t="b">
        <v>0</v>
      </c>
      <c r="S94" s="18">
        <f>IF(R94=TRUE,Priors!$H$6,1)</f>
        <v>1</v>
      </c>
      <c r="T94" s="19" t="b">
        <v>0</v>
      </c>
      <c r="U94" s="18">
        <f>IF(T94=TRUE,Priors!$H$7,1)</f>
        <v>1</v>
      </c>
      <c r="V94" s="18">
        <f t="shared" si="6"/>
        <v>0</v>
      </c>
      <c r="W94" s="20">
        <f>VLOOKUP(D94,Priors!$A$3:$C$6,2,FALSE)</f>
        <v>4.1142361271531161E-2</v>
      </c>
      <c r="X94" s="20">
        <f>VLOOKUP(D94,Priors!$A$3:$C$6,3,FALSE)</f>
        <v>4.0513079897554365E-2</v>
      </c>
      <c r="Y94" s="20">
        <f t="shared" si="7"/>
        <v>4.1142361271531161E-2</v>
      </c>
      <c r="Z94" s="20">
        <f t="shared" si="8"/>
        <v>4.0513079897554365E-2</v>
      </c>
      <c r="AA94" s="21">
        <v>1</v>
      </c>
      <c r="AB94" s="21">
        <v>1</v>
      </c>
      <c r="AC94" s="22">
        <f t="shared" si="9"/>
        <v>4.1142361271531161E-2</v>
      </c>
      <c r="AD94" s="22">
        <f t="shared" si="10"/>
        <v>4.0513079897554365E-2</v>
      </c>
      <c r="AE94" s="22">
        <f t="shared" si="11"/>
        <v>1</v>
      </c>
      <c r="AF94" s="7" t="s">
        <v>1647</v>
      </c>
      <c r="AG94" s="7"/>
      <c r="AH94" s="7"/>
      <c r="AI94" s="7"/>
      <c r="AJ94" s="8" t="b">
        <v>1</v>
      </c>
      <c r="AK94" s="28" t="s">
        <v>1648</v>
      </c>
      <c r="AL94" s="28"/>
      <c r="AM94" s="28"/>
      <c r="AN94" s="7"/>
      <c r="AO94" s="7"/>
      <c r="AP94" s="7"/>
      <c r="AQ94" s="28" t="s">
        <v>1650</v>
      </c>
    </row>
    <row r="95" spans="1:43" ht="15">
      <c r="A95" s="7">
        <v>93</v>
      </c>
      <c r="B95" s="7" t="s">
        <v>375</v>
      </c>
      <c r="C95" s="7" t="s">
        <v>42</v>
      </c>
      <c r="D95" s="7" t="s">
        <v>99</v>
      </c>
      <c r="E95" s="7" t="s">
        <v>1647</v>
      </c>
      <c r="F95" s="7"/>
      <c r="G95" s="14"/>
      <c r="H95" s="15"/>
      <c r="I95" s="15"/>
      <c r="J95" s="15"/>
      <c r="K95" s="15"/>
      <c r="L95" s="15"/>
      <c r="M95" s="15"/>
      <c r="N95" s="16"/>
      <c r="O95" s="16"/>
      <c r="P95" s="17">
        <f>IFERROR(G95/(G95+Priors!$H$3),0)</f>
        <v>0</v>
      </c>
      <c r="Q95" s="18">
        <f>IF(E95="Premier League",Priors!$H$4,IF(E95="Championship",Priors!$H$5,Priors!$H$8))</f>
        <v>0</v>
      </c>
      <c r="R95" s="19" t="b">
        <v>0</v>
      </c>
      <c r="S95" s="18">
        <f>IF(R95=TRUE,Priors!$H$6,1)</f>
        <v>1</v>
      </c>
      <c r="T95" s="19" t="b">
        <v>0</v>
      </c>
      <c r="U95" s="18">
        <f>IF(T95=TRUE,Priors!$H$7,1)</f>
        <v>1</v>
      </c>
      <c r="V95" s="18">
        <f t="shared" si="6"/>
        <v>0</v>
      </c>
      <c r="W95" s="20">
        <f>VLOOKUP(D95,Priors!$A$3:$C$6,2,FALSE)</f>
        <v>4.1142361271531161E-2</v>
      </c>
      <c r="X95" s="20">
        <f>VLOOKUP(D95,Priors!$A$3:$C$6,3,FALSE)</f>
        <v>4.0513079897554365E-2</v>
      </c>
      <c r="Y95" s="20">
        <f t="shared" si="7"/>
        <v>4.1142361271531161E-2</v>
      </c>
      <c r="Z95" s="20">
        <f t="shared" si="8"/>
        <v>4.0513079897554365E-2</v>
      </c>
      <c r="AA95" s="21">
        <v>1</v>
      </c>
      <c r="AB95" s="21">
        <v>1</v>
      </c>
      <c r="AC95" s="22">
        <f t="shared" si="9"/>
        <v>4.1142361271531161E-2</v>
      </c>
      <c r="AD95" s="22">
        <f t="shared" si="10"/>
        <v>4.0513079897554365E-2</v>
      </c>
      <c r="AE95" s="22">
        <f t="shared" si="11"/>
        <v>1</v>
      </c>
      <c r="AF95" s="7" t="s">
        <v>1647</v>
      </c>
      <c r="AG95" s="7"/>
      <c r="AH95" s="7"/>
      <c r="AI95" s="7"/>
      <c r="AJ95" s="8" t="b">
        <v>1</v>
      </c>
      <c r="AK95" s="28" t="s">
        <v>1648</v>
      </c>
      <c r="AL95" s="28"/>
      <c r="AM95" s="28"/>
      <c r="AN95" s="7">
        <v>3</v>
      </c>
      <c r="AO95" s="7">
        <v>1</v>
      </c>
      <c r="AP95" s="8" t="b">
        <v>1</v>
      </c>
      <c r="AQ95" s="28" t="s">
        <v>1649</v>
      </c>
    </row>
    <row r="96" spans="1:43" ht="30">
      <c r="A96" s="7">
        <v>94</v>
      </c>
      <c r="B96" s="7" t="s">
        <v>378</v>
      </c>
      <c r="C96" s="7" t="s">
        <v>42</v>
      </c>
      <c r="D96" s="7" t="s">
        <v>112</v>
      </c>
      <c r="E96" s="7" t="s">
        <v>1642</v>
      </c>
      <c r="F96" s="7" t="s">
        <v>42</v>
      </c>
      <c r="G96" s="14">
        <v>2744</v>
      </c>
      <c r="H96" s="15">
        <v>12.08</v>
      </c>
      <c r="I96" s="15">
        <v>2.0499999999999998</v>
      </c>
      <c r="J96" s="15">
        <v>0.39620991253644317</v>
      </c>
      <c r="K96" s="15">
        <v>6.7237609329446058E-2</v>
      </c>
      <c r="L96" s="15">
        <v>60.3</v>
      </c>
      <c r="M96" s="15">
        <v>1.5868421052631578</v>
      </c>
      <c r="N96" s="16">
        <v>0.24968452199643185</v>
      </c>
      <c r="O96" s="16">
        <v>4.237195944475871E-2</v>
      </c>
      <c r="P96" s="17">
        <f>IFERROR(G96/(G96+Priors!$H$3),0)</f>
        <v>0.73290598290598286</v>
      </c>
      <c r="Q96" s="18">
        <f>IF(E96="Premier League",Priors!$H$4,IF(E96="Championship",Priors!$H$5,Priors!$H$8))</f>
        <v>1</v>
      </c>
      <c r="R96" s="19" t="b">
        <v>0</v>
      </c>
      <c r="S96" s="18">
        <f>IF(R96=TRUE,Priors!$H$6,1)</f>
        <v>1</v>
      </c>
      <c r="T96" s="19" t="b">
        <v>0</v>
      </c>
      <c r="U96" s="18">
        <f>IF(T96=TRUE,Priors!$H$7,1)</f>
        <v>1</v>
      </c>
      <c r="V96" s="18">
        <f t="shared" si="6"/>
        <v>0.73290598290598286</v>
      </c>
      <c r="W96" s="20">
        <f>VLOOKUP(D96,Priors!$A$3:$C$6,2,FALSE)</f>
        <v>0.10751786102217777</v>
      </c>
      <c r="X96" s="20">
        <f>VLOOKUP(D96,Priors!$A$3:$C$6,3,FALSE)</f>
        <v>9.0240671969462088E-2</v>
      </c>
      <c r="Y96" s="20">
        <f t="shared" si="7"/>
        <v>0.21171265741997508</v>
      </c>
      <c r="Z96" s="20">
        <f t="shared" si="8"/>
        <v>5.5157406166100431E-2</v>
      </c>
      <c r="AA96" s="21">
        <v>1</v>
      </c>
      <c r="AB96" s="21">
        <v>1</v>
      </c>
      <c r="AC96" s="22">
        <f t="shared" si="9"/>
        <v>0.21171265741997508</v>
      </c>
      <c r="AD96" s="22">
        <f t="shared" si="10"/>
        <v>5.5157406166100431E-2</v>
      </c>
      <c r="AE96" s="22">
        <f t="shared" si="11"/>
        <v>0.26709401709401714</v>
      </c>
      <c r="AF96" s="7" t="s">
        <v>1643</v>
      </c>
      <c r="AG96" s="7">
        <v>2</v>
      </c>
      <c r="AH96" s="7"/>
      <c r="AI96" s="7"/>
      <c r="AJ96" s="8" t="b">
        <v>0</v>
      </c>
      <c r="AK96" s="28" t="s">
        <v>1644</v>
      </c>
      <c r="AL96" s="28" t="s">
        <v>1645</v>
      </c>
      <c r="AM96" s="28"/>
      <c r="AN96" s="7"/>
      <c r="AO96" s="7">
        <v>0</v>
      </c>
      <c r="AP96" s="8" t="b">
        <v>0</v>
      </c>
      <c r="AQ96" s="28" t="s">
        <v>1646</v>
      </c>
    </row>
    <row r="97" spans="1:43" ht="30">
      <c r="A97" s="7">
        <v>95</v>
      </c>
      <c r="B97" s="7" t="s">
        <v>380</v>
      </c>
      <c r="C97" s="7" t="s">
        <v>42</v>
      </c>
      <c r="D97" s="7" t="s">
        <v>112</v>
      </c>
      <c r="E97" s="7" t="s">
        <v>1642</v>
      </c>
      <c r="F97" s="7" t="s">
        <v>42</v>
      </c>
      <c r="G97" s="14">
        <v>2271</v>
      </c>
      <c r="H97" s="15">
        <v>7.94</v>
      </c>
      <c r="I97" s="15">
        <v>4.12</v>
      </c>
      <c r="J97" s="15">
        <v>0.31466314398943196</v>
      </c>
      <c r="K97" s="15">
        <v>0.16327608982826949</v>
      </c>
      <c r="L97" s="15">
        <v>60.3</v>
      </c>
      <c r="M97" s="15">
        <v>1.5868421052631578</v>
      </c>
      <c r="N97" s="16">
        <v>0.19829518195022247</v>
      </c>
      <c r="O97" s="16">
        <v>0.10289372161648824</v>
      </c>
      <c r="P97" s="17">
        <f>IFERROR(G97/(G97+Priors!$H$3),0)</f>
        <v>0.69428309385509024</v>
      </c>
      <c r="Q97" s="18">
        <f>IF(E97="Premier League",Priors!$H$4,IF(E97="Championship",Priors!$H$5,Priors!$H$8))</f>
        <v>1</v>
      </c>
      <c r="R97" s="19" t="b">
        <v>0</v>
      </c>
      <c r="S97" s="18">
        <f>IF(R97=TRUE,Priors!$H$6,1)</f>
        <v>1</v>
      </c>
      <c r="T97" s="19" t="b">
        <v>0</v>
      </c>
      <c r="U97" s="18">
        <f>IF(T97=TRUE,Priors!$H$7,1)</f>
        <v>1</v>
      </c>
      <c r="V97" s="18">
        <f t="shared" si="6"/>
        <v>0.69428309385509024</v>
      </c>
      <c r="W97" s="20">
        <f>VLOOKUP(D97,Priors!$A$3:$C$6,2,FALSE)</f>
        <v>0.10751786102217777</v>
      </c>
      <c r="X97" s="20">
        <f>VLOOKUP(D97,Priors!$A$3:$C$6,3,FALSE)</f>
        <v>9.0240671969462088E-2</v>
      </c>
      <c r="Y97" s="20">
        <f t="shared" si="7"/>
        <v>0.17054302024797707</v>
      </c>
      <c r="Z97" s="20">
        <f t="shared" si="8"/>
        <v>9.9025470425101458E-2</v>
      </c>
      <c r="AA97" s="21">
        <v>1</v>
      </c>
      <c r="AB97" s="21">
        <v>1</v>
      </c>
      <c r="AC97" s="22">
        <f t="shared" si="9"/>
        <v>0.17054302024797707</v>
      </c>
      <c r="AD97" s="22">
        <f t="shared" si="10"/>
        <v>9.9025470425101458E-2</v>
      </c>
      <c r="AE97" s="22">
        <f t="shared" si="11"/>
        <v>0.30571690614490976</v>
      </c>
      <c r="AF97" s="7" t="s">
        <v>1643</v>
      </c>
      <c r="AG97" s="7"/>
      <c r="AH97" s="7"/>
      <c r="AI97" s="7">
        <v>8</v>
      </c>
      <c r="AJ97" s="8" t="b">
        <v>0</v>
      </c>
      <c r="AK97" s="28" t="s">
        <v>1644</v>
      </c>
      <c r="AL97" s="28" t="s">
        <v>1645</v>
      </c>
      <c r="AM97" s="28"/>
      <c r="AN97" s="7"/>
      <c r="AO97" s="7">
        <v>0</v>
      </c>
      <c r="AP97" s="8" t="b">
        <v>0</v>
      </c>
      <c r="AQ97" s="28" t="s">
        <v>1646</v>
      </c>
    </row>
    <row r="98" spans="1:43" ht="30">
      <c r="A98" s="7">
        <v>96</v>
      </c>
      <c r="B98" s="7" t="s">
        <v>383</v>
      </c>
      <c r="C98" s="7" t="s">
        <v>42</v>
      </c>
      <c r="D98" s="7" t="s">
        <v>112</v>
      </c>
      <c r="E98" s="7" t="s">
        <v>1642</v>
      </c>
      <c r="F98" s="7" t="s">
        <v>42</v>
      </c>
      <c r="G98" s="14">
        <v>2046</v>
      </c>
      <c r="H98" s="15">
        <v>2.61</v>
      </c>
      <c r="I98" s="15">
        <v>5.43</v>
      </c>
      <c r="J98" s="15">
        <v>0.11480938416422286</v>
      </c>
      <c r="K98" s="15">
        <v>0.23885630498533725</v>
      </c>
      <c r="L98" s="15">
        <v>60.3</v>
      </c>
      <c r="M98" s="15">
        <v>1.5868421052631578</v>
      </c>
      <c r="N98" s="16">
        <v>7.2350855692213417E-2</v>
      </c>
      <c r="O98" s="16">
        <v>0.15052304460104171</v>
      </c>
      <c r="P98" s="17">
        <f>IFERROR(G98/(G98+Priors!$H$3),0)</f>
        <v>0.6717005909389363</v>
      </c>
      <c r="Q98" s="18">
        <f>IF(E98="Premier League",Priors!$H$4,IF(E98="Championship",Priors!$H$5,Priors!$H$8))</f>
        <v>1</v>
      </c>
      <c r="R98" s="19" t="b">
        <v>0</v>
      </c>
      <c r="S98" s="18">
        <f>IF(R98=TRUE,Priors!$H$6,1)</f>
        <v>1</v>
      </c>
      <c r="T98" s="19" t="b">
        <v>0</v>
      </c>
      <c r="U98" s="18">
        <f>IF(T98=TRUE,Priors!$H$7,1)</f>
        <v>1</v>
      </c>
      <c r="V98" s="18">
        <f t="shared" si="6"/>
        <v>0.6717005909389363</v>
      </c>
      <c r="W98" s="20">
        <f>VLOOKUP(D98,Priors!$A$3:$C$6,2,FALSE)</f>
        <v>0.10751786102217777</v>
      </c>
      <c r="X98" s="20">
        <f>VLOOKUP(D98,Priors!$A$3:$C$6,3,FALSE)</f>
        <v>9.0240671969462088E-2</v>
      </c>
      <c r="Y98" s="20">
        <f t="shared" si="7"/>
        <v>8.3896162760487988E-2</v>
      </c>
      <c r="Z98" s="20">
        <f t="shared" si="8"/>
        <v>0.13073237728929527</v>
      </c>
      <c r="AA98" s="21">
        <v>1</v>
      </c>
      <c r="AB98" s="21">
        <v>1</v>
      </c>
      <c r="AC98" s="22">
        <f t="shared" si="9"/>
        <v>8.3896162760487988E-2</v>
      </c>
      <c r="AD98" s="22">
        <f t="shared" si="10"/>
        <v>0.13073237728929527</v>
      </c>
      <c r="AE98" s="22">
        <f t="shared" si="11"/>
        <v>0.3282994090610637</v>
      </c>
      <c r="AF98" s="7" t="s">
        <v>1643</v>
      </c>
      <c r="AG98" s="7"/>
      <c r="AH98" s="7">
        <v>3</v>
      </c>
      <c r="AI98" s="7">
        <v>6</v>
      </c>
      <c r="AJ98" s="8" t="b">
        <v>0</v>
      </c>
      <c r="AK98" s="28" t="s">
        <v>1644</v>
      </c>
      <c r="AL98" s="28" t="s">
        <v>1645</v>
      </c>
      <c r="AM98" s="28"/>
      <c r="AN98" s="7">
        <v>5</v>
      </c>
      <c r="AO98" s="7">
        <v>0</v>
      </c>
      <c r="AP98" s="8" t="b">
        <v>0</v>
      </c>
      <c r="AQ98" s="28" t="s">
        <v>1646</v>
      </c>
    </row>
    <row r="99" spans="1:43" ht="30">
      <c r="A99" s="7">
        <v>97</v>
      </c>
      <c r="B99" s="7" t="s">
        <v>386</v>
      </c>
      <c r="C99" s="7" t="s">
        <v>42</v>
      </c>
      <c r="D99" s="7" t="s">
        <v>112</v>
      </c>
      <c r="E99" s="7" t="s">
        <v>1642</v>
      </c>
      <c r="F99" s="7" t="s">
        <v>42</v>
      </c>
      <c r="G99" s="14">
        <v>2239</v>
      </c>
      <c r="H99" s="15">
        <v>2.21</v>
      </c>
      <c r="I99" s="15">
        <v>6.06</v>
      </c>
      <c r="J99" s="15">
        <v>8.8834301027244308E-2</v>
      </c>
      <c r="K99" s="15">
        <v>0.24359088878963822</v>
      </c>
      <c r="L99" s="15">
        <v>60.3</v>
      </c>
      <c r="M99" s="15">
        <v>1.5868421052631578</v>
      </c>
      <c r="N99" s="16">
        <v>5.5981814909374525E-2</v>
      </c>
      <c r="O99" s="16">
        <v>0.15350669608633918</v>
      </c>
      <c r="P99" s="17">
        <f>IFERROR(G99/(G99+Priors!$H$3),0)</f>
        <v>0.69126273541216421</v>
      </c>
      <c r="Q99" s="18">
        <f>IF(E99="Premier League",Priors!$H$4,IF(E99="Championship",Priors!$H$5,Priors!$H$8))</f>
        <v>1</v>
      </c>
      <c r="R99" s="19" t="b">
        <v>0</v>
      </c>
      <c r="S99" s="18">
        <f>IF(R99=TRUE,Priors!$H$6,1)</f>
        <v>1</v>
      </c>
      <c r="T99" s="19" t="b">
        <v>0</v>
      </c>
      <c r="U99" s="18">
        <f>IF(T99=TRUE,Priors!$H$7,1)</f>
        <v>1</v>
      </c>
      <c r="V99" s="18">
        <f t="shared" si="6"/>
        <v>0.69126273541216421</v>
      </c>
      <c r="W99" s="20">
        <f>VLOOKUP(D99,Priors!$A$3:$C$6,2,FALSE)</f>
        <v>0.10751786102217777</v>
      </c>
      <c r="X99" s="20">
        <f>VLOOKUP(D99,Priors!$A$3:$C$6,3,FALSE)</f>
        <v>9.0240671969462088E-2</v>
      </c>
      <c r="Y99" s="20">
        <f t="shared" si="7"/>
        <v>7.1892912813913967E-2</v>
      </c>
      <c r="Z99" s="20">
        <f t="shared" si="8"/>
        <v>0.13397411685914651</v>
      </c>
      <c r="AA99" s="21">
        <v>1</v>
      </c>
      <c r="AB99" s="21">
        <v>1</v>
      </c>
      <c r="AC99" s="22">
        <f t="shared" si="9"/>
        <v>7.1892912813913967E-2</v>
      </c>
      <c r="AD99" s="22">
        <f t="shared" si="10"/>
        <v>0.13397411685914651</v>
      </c>
      <c r="AE99" s="22">
        <f t="shared" si="11"/>
        <v>0.30873726458783579</v>
      </c>
      <c r="AF99" s="7" t="s">
        <v>1643</v>
      </c>
      <c r="AG99" s="7">
        <v>3</v>
      </c>
      <c r="AH99" s="7">
        <v>2</v>
      </c>
      <c r="AI99" s="7">
        <v>5</v>
      </c>
      <c r="AJ99" s="8" t="b">
        <v>0</v>
      </c>
      <c r="AK99" s="28" t="s">
        <v>1644</v>
      </c>
      <c r="AL99" s="28" t="s">
        <v>1645</v>
      </c>
      <c r="AM99" s="28"/>
      <c r="AN99" s="7"/>
      <c r="AO99" s="7">
        <v>0</v>
      </c>
      <c r="AP99" s="8" t="b">
        <v>0</v>
      </c>
      <c r="AQ99" s="28" t="s">
        <v>1646</v>
      </c>
    </row>
    <row r="100" spans="1:43" ht="30">
      <c r="A100" s="7">
        <v>98</v>
      </c>
      <c r="B100" s="7" t="s">
        <v>389</v>
      </c>
      <c r="C100" s="7" t="s">
        <v>42</v>
      </c>
      <c r="D100" s="7" t="s">
        <v>112</v>
      </c>
      <c r="E100" s="7" t="s">
        <v>1642</v>
      </c>
      <c r="F100" s="7" t="s">
        <v>42</v>
      </c>
      <c r="G100" s="14">
        <v>1434</v>
      </c>
      <c r="H100" s="15">
        <v>0.82</v>
      </c>
      <c r="I100" s="15">
        <v>2.27</v>
      </c>
      <c r="J100" s="15">
        <v>5.1464435146443513E-2</v>
      </c>
      <c r="K100" s="15">
        <v>0.14246861924686194</v>
      </c>
      <c r="L100" s="15">
        <v>60.3</v>
      </c>
      <c r="M100" s="15">
        <v>1.5868421052631578</v>
      </c>
      <c r="N100" s="16">
        <v>3.2431982347675845E-2</v>
      </c>
      <c r="O100" s="16">
        <v>8.9781219425883144E-2</v>
      </c>
      <c r="P100" s="17">
        <f>IFERROR(G100/(G100+Priors!$H$3),0)</f>
        <v>0.58915365653245688</v>
      </c>
      <c r="Q100" s="18">
        <f>IF(E100="Premier League",Priors!$H$4,IF(E100="Championship",Priors!$H$5,Priors!$H$8))</f>
        <v>1</v>
      </c>
      <c r="R100" s="19" t="b">
        <v>0</v>
      </c>
      <c r="S100" s="18">
        <f>IF(R100=TRUE,Priors!$H$6,1)</f>
        <v>1</v>
      </c>
      <c r="T100" s="19" t="b">
        <v>0</v>
      </c>
      <c r="U100" s="18">
        <f>IF(T100=TRUE,Priors!$H$7,1)</f>
        <v>1</v>
      </c>
      <c r="V100" s="18">
        <f t="shared" si="6"/>
        <v>0.58915365653245688</v>
      </c>
      <c r="W100" s="20">
        <f>VLOOKUP(D100,Priors!$A$3:$C$6,2,FALSE)</f>
        <v>0.10751786102217777</v>
      </c>
      <c r="X100" s="20">
        <f>VLOOKUP(D100,Priors!$A$3:$C$6,3,FALSE)</f>
        <v>9.0240671969462088E-2</v>
      </c>
      <c r="Y100" s="20">
        <f t="shared" si="7"/>
        <v>6.3280741047142541E-2</v>
      </c>
      <c r="Z100" s="20">
        <f t="shared" si="8"/>
        <v>8.9969983823409413E-2</v>
      </c>
      <c r="AA100" s="21">
        <v>1</v>
      </c>
      <c r="AB100" s="21">
        <v>1</v>
      </c>
      <c r="AC100" s="22">
        <f t="shared" si="9"/>
        <v>6.3280741047142541E-2</v>
      </c>
      <c r="AD100" s="22">
        <f t="shared" si="10"/>
        <v>8.9969983823409413E-2</v>
      </c>
      <c r="AE100" s="22">
        <f t="shared" si="11"/>
        <v>0.41084634346754312</v>
      </c>
      <c r="AF100" s="7" t="s">
        <v>1643</v>
      </c>
      <c r="AG100" s="7"/>
      <c r="AH100" s="7"/>
      <c r="AI100" s="7">
        <v>7</v>
      </c>
      <c r="AJ100" s="8" t="b">
        <v>0</v>
      </c>
      <c r="AK100" s="28" t="s">
        <v>1644</v>
      </c>
      <c r="AL100" s="28" t="s">
        <v>1645</v>
      </c>
      <c r="AM100" s="28"/>
      <c r="AN100" s="7"/>
      <c r="AO100" s="7">
        <v>0</v>
      </c>
      <c r="AP100" s="8" t="b">
        <v>0</v>
      </c>
      <c r="AQ100" s="28" t="s">
        <v>1646</v>
      </c>
    </row>
    <row r="101" spans="1:43" ht="30">
      <c r="A101" s="7">
        <v>99</v>
      </c>
      <c r="B101" s="7" t="s">
        <v>392</v>
      </c>
      <c r="C101" s="7" t="s">
        <v>42</v>
      </c>
      <c r="D101" s="7" t="s">
        <v>112</v>
      </c>
      <c r="E101" s="7" t="s">
        <v>1642</v>
      </c>
      <c r="F101" s="7" t="s">
        <v>42</v>
      </c>
      <c r="G101" s="14">
        <v>45</v>
      </c>
      <c r="H101" s="15">
        <v>0</v>
      </c>
      <c r="I101" s="15">
        <v>0.01</v>
      </c>
      <c r="J101" s="15">
        <v>0</v>
      </c>
      <c r="K101" s="15">
        <v>0.02</v>
      </c>
      <c r="L101" s="15">
        <v>60.3</v>
      </c>
      <c r="M101" s="15">
        <v>1.5868421052631578</v>
      </c>
      <c r="N101" s="16">
        <v>0</v>
      </c>
      <c r="O101" s="16">
        <v>1.2603648424543947E-2</v>
      </c>
      <c r="P101" s="17">
        <f>IFERROR(G101/(G101+Priors!$H$3),0)</f>
        <v>4.3062200956937802E-2</v>
      </c>
      <c r="Q101" s="18">
        <f>IF(E101="Premier League",Priors!$H$4,IF(E101="Championship",Priors!$H$5,Priors!$H$8))</f>
        <v>1</v>
      </c>
      <c r="R101" s="19" t="b">
        <v>0</v>
      </c>
      <c r="S101" s="18">
        <f>IF(R101=TRUE,Priors!$H$6,1)</f>
        <v>1</v>
      </c>
      <c r="T101" s="19" t="b">
        <v>0</v>
      </c>
      <c r="U101" s="18">
        <f>IF(T101=TRUE,Priors!$H$7,1)</f>
        <v>1</v>
      </c>
      <c r="V101" s="18">
        <f t="shared" si="6"/>
        <v>4.3062200956937802E-2</v>
      </c>
      <c r="W101" s="20">
        <f>VLOOKUP(D101,Priors!$A$3:$C$6,2,FALSE)</f>
        <v>0.10751786102217777</v>
      </c>
      <c r="X101" s="20">
        <f>VLOOKUP(D101,Priors!$A$3:$C$6,3,FALSE)</f>
        <v>9.0240671969462088E-2</v>
      </c>
      <c r="Y101" s="20">
        <f t="shared" si="7"/>
        <v>0.10288790528438063</v>
      </c>
      <c r="Z101" s="20">
        <f t="shared" si="8"/>
        <v>8.6897450859872313E-2</v>
      </c>
      <c r="AA101" s="21">
        <v>1</v>
      </c>
      <c r="AB101" s="21">
        <v>1</v>
      </c>
      <c r="AC101" s="22">
        <f t="shared" si="9"/>
        <v>0.10288790528438063</v>
      </c>
      <c r="AD101" s="22">
        <f t="shared" si="10"/>
        <v>8.6897450859872313E-2</v>
      </c>
      <c r="AE101" s="22">
        <f t="shared" si="11"/>
        <v>0.9569377990430622</v>
      </c>
      <c r="AF101" s="7" t="s">
        <v>1643</v>
      </c>
      <c r="AG101" s="7"/>
      <c r="AH101" s="7"/>
      <c r="AI101" s="7"/>
      <c r="AJ101" s="8" t="b">
        <v>1</v>
      </c>
      <c r="AK101" s="28" t="s">
        <v>1644</v>
      </c>
      <c r="AL101" s="28" t="s">
        <v>1645</v>
      </c>
      <c r="AM101" s="28"/>
      <c r="AN101" s="7">
        <v>4</v>
      </c>
      <c r="AO101" s="7">
        <v>0</v>
      </c>
      <c r="AP101" s="8" t="b">
        <v>0</v>
      </c>
      <c r="AQ101" s="28" t="s">
        <v>1646</v>
      </c>
    </row>
    <row r="102" spans="1:43" ht="30">
      <c r="A102" s="7">
        <v>100</v>
      </c>
      <c r="B102" s="7" t="s">
        <v>395</v>
      </c>
      <c r="C102" s="7" t="s">
        <v>42</v>
      </c>
      <c r="D102" s="7" t="s">
        <v>112</v>
      </c>
      <c r="E102" s="7" t="s">
        <v>1642</v>
      </c>
      <c r="F102" s="7" t="s">
        <v>42</v>
      </c>
      <c r="G102" s="14">
        <v>100</v>
      </c>
      <c r="H102" s="15">
        <v>0.7</v>
      </c>
      <c r="I102" s="15">
        <v>0.03</v>
      </c>
      <c r="J102" s="15">
        <v>0.62999999999999989</v>
      </c>
      <c r="K102" s="15">
        <v>2.6999999999999996E-2</v>
      </c>
      <c r="L102" s="15">
        <v>60.3</v>
      </c>
      <c r="M102" s="15">
        <v>1.5868421052631578</v>
      </c>
      <c r="N102" s="16">
        <v>0.39701492537313426</v>
      </c>
      <c r="O102" s="16">
        <v>1.7014925373134326E-2</v>
      </c>
      <c r="P102" s="17">
        <f>IFERROR(G102/(G102+Priors!$H$3),0)</f>
        <v>9.0909090909090912E-2</v>
      </c>
      <c r="Q102" s="18">
        <f>IF(E102="Premier League",Priors!$H$4,IF(E102="Championship",Priors!$H$5,Priors!$H$8))</f>
        <v>1</v>
      </c>
      <c r="R102" s="19" t="b">
        <v>0</v>
      </c>
      <c r="S102" s="18">
        <f>IF(R102=TRUE,Priors!$H$6,1)</f>
        <v>1</v>
      </c>
      <c r="T102" s="19" t="b">
        <v>0</v>
      </c>
      <c r="U102" s="18">
        <f>IF(T102=TRUE,Priors!$H$7,1)</f>
        <v>1</v>
      </c>
      <c r="V102" s="18">
        <f t="shared" si="6"/>
        <v>9.0909090909090912E-2</v>
      </c>
      <c r="W102" s="20">
        <f>VLOOKUP(D102,Priors!$A$3:$C$6,2,FALSE)</f>
        <v>0.10751786102217777</v>
      </c>
      <c r="X102" s="20">
        <f>VLOOKUP(D102,Priors!$A$3:$C$6,3,FALSE)</f>
        <v>9.0240671969462088E-2</v>
      </c>
      <c r="Y102" s="20">
        <f t="shared" si="7"/>
        <v>0.13383577596317381</v>
      </c>
      <c r="Z102" s="20">
        <f t="shared" si="8"/>
        <v>8.3583785915250466E-2</v>
      </c>
      <c r="AA102" s="21">
        <v>1</v>
      </c>
      <c r="AB102" s="21">
        <v>1</v>
      </c>
      <c r="AC102" s="22">
        <f t="shared" si="9"/>
        <v>0.13383577596317381</v>
      </c>
      <c r="AD102" s="22">
        <f t="shared" si="10"/>
        <v>8.3583785915250466E-2</v>
      </c>
      <c r="AE102" s="22">
        <f t="shared" si="11"/>
        <v>0.90909090909090906</v>
      </c>
      <c r="AF102" s="7" t="s">
        <v>1643</v>
      </c>
      <c r="AG102" s="7"/>
      <c r="AH102" s="7"/>
      <c r="AI102" s="7"/>
      <c r="AJ102" s="8" t="b">
        <v>1</v>
      </c>
      <c r="AK102" s="28" t="s">
        <v>1644</v>
      </c>
      <c r="AL102" s="28" t="s">
        <v>1645</v>
      </c>
      <c r="AM102" s="28"/>
      <c r="AN102" s="7"/>
      <c r="AO102" s="7">
        <v>0</v>
      </c>
      <c r="AP102" s="8" t="b">
        <v>0</v>
      </c>
      <c r="AQ102" s="28" t="s">
        <v>1646</v>
      </c>
    </row>
    <row r="103" spans="1:43" ht="30">
      <c r="A103" s="7">
        <v>101</v>
      </c>
      <c r="B103" s="7" t="s">
        <v>398</v>
      </c>
      <c r="C103" s="7" t="s">
        <v>42</v>
      </c>
      <c r="D103" s="7" t="s">
        <v>112</v>
      </c>
      <c r="E103" s="7" t="s">
        <v>1642</v>
      </c>
      <c r="F103" s="7" t="s">
        <v>42</v>
      </c>
      <c r="G103" s="14">
        <v>1911</v>
      </c>
      <c r="H103" s="15">
        <v>0.33</v>
      </c>
      <c r="I103" s="15">
        <v>2.31</v>
      </c>
      <c r="J103" s="15">
        <v>1.5541601255886972E-2</v>
      </c>
      <c r="K103" s="15">
        <v>0.10879120879120879</v>
      </c>
      <c r="L103" s="15">
        <v>60.3</v>
      </c>
      <c r="M103" s="15">
        <v>1.5868421052631578</v>
      </c>
      <c r="N103" s="16">
        <v>9.7940439091825041E-3</v>
      </c>
      <c r="O103" s="16">
        <v>6.8558307364277524E-2</v>
      </c>
      <c r="P103" s="17">
        <f>IFERROR(G103/(G103+Priors!$H$3),0)</f>
        <v>0.65647543799381658</v>
      </c>
      <c r="Q103" s="18">
        <f>IF(E103="Premier League",Priors!$H$4,IF(E103="Championship",Priors!$H$5,Priors!$H$8))</f>
        <v>1</v>
      </c>
      <c r="R103" s="19" t="b">
        <v>0</v>
      </c>
      <c r="S103" s="18">
        <f>IF(R103=TRUE,Priors!$H$6,1)</f>
        <v>1</v>
      </c>
      <c r="T103" s="19" t="b">
        <v>0</v>
      </c>
      <c r="U103" s="18">
        <f>IF(T103=TRUE,Priors!$H$7,1)</f>
        <v>1</v>
      </c>
      <c r="V103" s="18">
        <f t="shared" si="6"/>
        <v>0.65647543799381658</v>
      </c>
      <c r="W103" s="20">
        <f>VLOOKUP(D103,Priors!$A$3:$C$6,2,FALSE)</f>
        <v>0.10751786102217777</v>
      </c>
      <c r="X103" s="20">
        <f>VLOOKUP(D103,Priors!$A$3:$C$6,3,FALSE)</f>
        <v>9.0240671969462088E-2</v>
      </c>
      <c r="Y103" s="20">
        <f t="shared" si="7"/>
        <v>4.3364575380496574E-2</v>
      </c>
      <c r="Z103" s="20">
        <f t="shared" si="8"/>
        <v>7.6006732168531932E-2</v>
      </c>
      <c r="AA103" s="21">
        <v>1</v>
      </c>
      <c r="AB103" s="21">
        <v>1</v>
      </c>
      <c r="AC103" s="22">
        <f t="shared" si="9"/>
        <v>4.3364575380496574E-2</v>
      </c>
      <c r="AD103" s="22">
        <f t="shared" si="10"/>
        <v>7.6006732168531932E-2</v>
      </c>
      <c r="AE103" s="22">
        <f t="shared" si="11"/>
        <v>0.34352456200618342</v>
      </c>
      <c r="AF103" s="7" t="s">
        <v>1643</v>
      </c>
      <c r="AG103" s="7"/>
      <c r="AH103" s="7"/>
      <c r="AI103" s="7"/>
      <c r="AJ103" s="8" t="b">
        <v>0</v>
      </c>
      <c r="AK103" s="28" t="s">
        <v>1644</v>
      </c>
      <c r="AL103" s="28" t="s">
        <v>1645</v>
      </c>
      <c r="AM103" s="28"/>
      <c r="AN103" s="7"/>
      <c r="AO103" s="7">
        <v>0</v>
      </c>
      <c r="AP103" s="8" t="b">
        <v>0</v>
      </c>
      <c r="AQ103" s="28" t="s">
        <v>1646</v>
      </c>
    </row>
    <row r="104" spans="1:43" ht="30">
      <c r="A104" s="7">
        <v>102</v>
      </c>
      <c r="B104" s="7" t="s">
        <v>402</v>
      </c>
      <c r="C104" s="7" t="s">
        <v>42</v>
      </c>
      <c r="D104" s="7" t="s">
        <v>112</v>
      </c>
      <c r="E104" s="7" t="s">
        <v>1642</v>
      </c>
      <c r="F104" s="7" t="s">
        <v>42</v>
      </c>
      <c r="G104" s="14">
        <v>2652</v>
      </c>
      <c r="H104" s="15">
        <v>1.22</v>
      </c>
      <c r="I104" s="15">
        <v>1.39</v>
      </c>
      <c r="J104" s="15">
        <v>4.1402714932126695E-2</v>
      </c>
      <c r="K104" s="15">
        <v>4.7171945701357465E-2</v>
      </c>
      <c r="L104" s="15">
        <v>60.3</v>
      </c>
      <c r="M104" s="15">
        <v>1.5868421052631578</v>
      </c>
      <c r="N104" s="16">
        <v>2.6091263141307039E-2</v>
      </c>
      <c r="O104" s="16">
        <v>2.9726930956079332E-2</v>
      </c>
      <c r="P104" s="17">
        <f>IFERROR(G104/(G104+Priors!$H$3),0)</f>
        <v>0.7261774370208105</v>
      </c>
      <c r="Q104" s="18">
        <f>IF(E104="Premier League",Priors!$H$4,IF(E104="Championship",Priors!$H$5,Priors!$H$8))</f>
        <v>1</v>
      </c>
      <c r="R104" s="19" t="b">
        <v>0</v>
      </c>
      <c r="S104" s="18">
        <f>IF(R104=TRUE,Priors!$H$6,1)</f>
        <v>1</v>
      </c>
      <c r="T104" s="19" t="b">
        <v>0</v>
      </c>
      <c r="U104" s="18">
        <f>IF(T104=TRUE,Priors!$H$7,1)</f>
        <v>1</v>
      </c>
      <c r="V104" s="18">
        <f t="shared" si="6"/>
        <v>0.7261774370208105</v>
      </c>
      <c r="W104" s="20">
        <f>VLOOKUP(D104,Priors!$A$3:$C$6,2,FALSE)</f>
        <v>0.10751786102217777</v>
      </c>
      <c r="X104" s="20">
        <f>VLOOKUP(D104,Priors!$A$3:$C$6,3,FALSE)</f>
        <v>9.0240671969462088E-2</v>
      </c>
      <c r="Y104" s="20">
        <f t="shared" si="7"/>
        <v>4.8387702867722898E-2</v>
      </c>
      <c r="Z104" s="20">
        <f t="shared" si="8"/>
        <v>4.6296958615822698E-2</v>
      </c>
      <c r="AA104" s="21">
        <v>1</v>
      </c>
      <c r="AB104" s="21">
        <v>1</v>
      </c>
      <c r="AC104" s="22">
        <f t="shared" si="9"/>
        <v>4.8387702867722898E-2</v>
      </c>
      <c r="AD104" s="22">
        <f t="shared" si="10"/>
        <v>4.6296958615822698E-2</v>
      </c>
      <c r="AE104" s="22">
        <f t="shared" si="11"/>
        <v>0.2738225629791895</v>
      </c>
      <c r="AF104" s="7" t="s">
        <v>1643</v>
      </c>
      <c r="AG104" s="7"/>
      <c r="AH104" s="7"/>
      <c r="AI104" s="7"/>
      <c r="AJ104" s="8" t="b">
        <v>0</v>
      </c>
      <c r="AK104" s="28" t="s">
        <v>1644</v>
      </c>
      <c r="AL104" s="28" t="s">
        <v>1645</v>
      </c>
      <c r="AM104" s="28"/>
      <c r="AN104" s="7"/>
      <c r="AO104" s="7">
        <v>0</v>
      </c>
      <c r="AP104" s="8" t="b">
        <v>0</v>
      </c>
      <c r="AQ104" s="28" t="s">
        <v>1646</v>
      </c>
    </row>
    <row r="105" spans="1:43" ht="30">
      <c r="A105" s="7">
        <v>103</v>
      </c>
      <c r="B105" s="7" t="s">
        <v>405</v>
      </c>
      <c r="C105" s="7" t="s">
        <v>42</v>
      </c>
      <c r="D105" s="7" t="s">
        <v>112</v>
      </c>
      <c r="E105" s="7" t="s">
        <v>1642</v>
      </c>
      <c r="F105" s="7" t="s">
        <v>42</v>
      </c>
      <c r="G105" s="14">
        <v>2</v>
      </c>
      <c r="H105" s="15">
        <v>0.08</v>
      </c>
      <c r="I105" s="15">
        <v>0</v>
      </c>
      <c r="J105" s="15">
        <v>3.6</v>
      </c>
      <c r="K105" s="15">
        <v>0</v>
      </c>
      <c r="L105" s="15">
        <v>60.3</v>
      </c>
      <c r="M105" s="15">
        <v>1.5868421052631578</v>
      </c>
      <c r="N105" s="16">
        <v>2.2686567164179108</v>
      </c>
      <c r="O105" s="16">
        <v>0</v>
      </c>
      <c r="P105" s="17">
        <f>IFERROR(G105/(G105+Priors!$H$3),0)</f>
        <v>1.996007984031936E-3</v>
      </c>
      <c r="Q105" s="18">
        <f>IF(E105="Premier League",Priors!$H$4,IF(E105="Championship",Priors!$H$5,Priors!$H$8))</f>
        <v>1</v>
      </c>
      <c r="R105" s="19" t="b">
        <v>0</v>
      </c>
      <c r="S105" s="18">
        <f>IF(R105=TRUE,Priors!$H$6,1)</f>
        <v>1</v>
      </c>
      <c r="T105" s="19" t="b">
        <v>0</v>
      </c>
      <c r="U105" s="18">
        <f>IF(T105=TRUE,Priors!$H$7,1)</f>
        <v>1</v>
      </c>
      <c r="V105" s="18">
        <f t="shared" si="6"/>
        <v>1.996007984031936E-3</v>
      </c>
      <c r="W105" s="20">
        <f>VLOOKUP(D105,Priors!$A$3:$C$6,2,FALSE)</f>
        <v>0.10751786102217777</v>
      </c>
      <c r="X105" s="20">
        <f>VLOOKUP(D105,Priors!$A$3:$C$6,3,FALSE)</f>
        <v>9.0240671969462088E-2</v>
      </c>
      <c r="Y105" s="20">
        <f t="shared" si="7"/>
        <v>0.11183151143214928</v>
      </c>
      <c r="Z105" s="20">
        <f t="shared" si="8"/>
        <v>9.006055086772663E-2</v>
      </c>
      <c r="AA105" s="21">
        <v>1</v>
      </c>
      <c r="AB105" s="21">
        <v>1</v>
      </c>
      <c r="AC105" s="22">
        <f t="shared" si="9"/>
        <v>0.11183151143214928</v>
      </c>
      <c r="AD105" s="22">
        <f t="shared" si="10"/>
        <v>9.006055086772663E-2</v>
      </c>
      <c r="AE105" s="22">
        <f t="shared" si="11"/>
        <v>0.99800399201596801</v>
      </c>
      <c r="AF105" s="7" t="s">
        <v>1643</v>
      </c>
      <c r="AG105" s="7"/>
      <c r="AH105" s="7"/>
      <c r="AI105" s="7"/>
      <c r="AJ105" s="8" t="b">
        <v>1</v>
      </c>
      <c r="AK105" s="28" t="s">
        <v>1644</v>
      </c>
      <c r="AL105" s="28" t="s">
        <v>1645</v>
      </c>
      <c r="AM105" s="28"/>
      <c r="AN105" s="7"/>
      <c r="AO105" s="7">
        <v>0</v>
      </c>
      <c r="AP105" s="8" t="b">
        <v>0</v>
      </c>
      <c r="AQ105" s="28" t="s">
        <v>1646</v>
      </c>
    </row>
    <row r="106" spans="1:43" ht="30">
      <c r="A106" s="7">
        <v>105</v>
      </c>
      <c r="B106" s="7" t="s">
        <v>408</v>
      </c>
      <c r="C106" s="7" t="s">
        <v>42</v>
      </c>
      <c r="D106" s="7" t="s">
        <v>112</v>
      </c>
      <c r="E106" s="7" t="s">
        <v>1642</v>
      </c>
      <c r="F106" s="7" t="s">
        <v>1652</v>
      </c>
      <c r="G106" s="14">
        <v>2717</v>
      </c>
      <c r="H106" s="15">
        <v>5.1100000000000003</v>
      </c>
      <c r="I106" s="15">
        <v>2.85</v>
      </c>
      <c r="J106" s="15">
        <v>0.16926757453073243</v>
      </c>
      <c r="K106" s="15">
        <v>9.4405594405594401E-2</v>
      </c>
      <c r="L106" s="15">
        <v>32.5</v>
      </c>
      <c r="M106" s="15">
        <v>0.85526315789473684</v>
      </c>
      <c r="N106" s="16">
        <v>0.19791285637439485</v>
      </c>
      <c r="O106" s="16">
        <v>0.11038192576654114</v>
      </c>
      <c r="P106" s="17">
        <f>IFERROR(G106/(G106+Priors!$H$3),0)</f>
        <v>0.73096583266074788</v>
      </c>
      <c r="Q106" s="18">
        <f>IF(E106="Premier League",Priors!$H$4,IF(E106="Championship",Priors!$H$5,Priors!$H$8))</f>
        <v>1</v>
      </c>
      <c r="R106" s="19" t="b">
        <v>1</v>
      </c>
      <c r="S106" s="18">
        <f>IF(R106=TRUE,Priors!$H$6,1)</f>
        <v>0.85</v>
      </c>
      <c r="T106" s="19" t="b">
        <v>0</v>
      </c>
      <c r="U106" s="18">
        <f>IF(T106=TRUE,Priors!$H$7,1)</f>
        <v>1</v>
      </c>
      <c r="V106" s="18">
        <f t="shared" si="6"/>
        <v>0.62132095776163565</v>
      </c>
      <c r="W106" s="20">
        <f>VLOOKUP(D106,Priors!$A$3:$C$6,2,FALSE)</f>
        <v>0.10751786102217777</v>
      </c>
      <c r="X106" s="20">
        <f>VLOOKUP(D106,Priors!$A$3:$C$6,3,FALSE)</f>
        <v>9.0240671969462088E-2</v>
      </c>
      <c r="Y106" s="20">
        <f t="shared" si="7"/>
        <v>0.1636821661112759</v>
      </c>
      <c r="Z106" s="20">
        <f t="shared" si="8"/>
        <v>0.10275485506918343</v>
      </c>
      <c r="AA106" s="21">
        <v>1</v>
      </c>
      <c r="AB106" s="21">
        <v>1</v>
      </c>
      <c r="AC106" s="22">
        <f t="shared" si="9"/>
        <v>0.1636821661112759</v>
      </c>
      <c r="AD106" s="22">
        <f t="shared" si="10"/>
        <v>0.10275485506918343</v>
      </c>
      <c r="AE106" s="22">
        <f t="shared" si="11"/>
        <v>0.37867904223836435</v>
      </c>
      <c r="AF106" s="7" t="s">
        <v>1643</v>
      </c>
      <c r="AG106" s="7"/>
      <c r="AH106" s="7"/>
      <c r="AI106" s="7"/>
      <c r="AJ106" s="8" t="b">
        <v>1</v>
      </c>
      <c r="AK106" s="28" t="s">
        <v>1644</v>
      </c>
      <c r="AL106" s="28" t="s">
        <v>1645</v>
      </c>
      <c r="AM106" s="28"/>
      <c r="AN106" s="7"/>
      <c r="AO106" s="7">
        <v>0</v>
      </c>
      <c r="AP106" s="8" t="b">
        <v>0</v>
      </c>
      <c r="AQ106" s="28" t="s">
        <v>1646</v>
      </c>
    </row>
    <row r="107" spans="1:43" ht="30">
      <c r="A107" s="7">
        <v>106</v>
      </c>
      <c r="B107" s="7" t="s">
        <v>411</v>
      </c>
      <c r="C107" s="7" t="s">
        <v>42</v>
      </c>
      <c r="D107" s="7" t="s">
        <v>167</v>
      </c>
      <c r="E107" s="7" t="s">
        <v>1642</v>
      </c>
      <c r="F107" s="7" t="s">
        <v>42</v>
      </c>
      <c r="G107" s="14">
        <v>3282</v>
      </c>
      <c r="H107" s="15">
        <v>20.6</v>
      </c>
      <c r="I107" s="15">
        <v>1.83</v>
      </c>
      <c r="J107" s="15">
        <v>0.56489945155393062</v>
      </c>
      <c r="K107" s="15">
        <v>5.0182815356489947E-2</v>
      </c>
      <c r="L107" s="15">
        <v>60.3</v>
      </c>
      <c r="M107" s="15">
        <v>1.5868421052631578</v>
      </c>
      <c r="N107" s="16">
        <v>0.35598970413017189</v>
      </c>
      <c r="O107" s="16">
        <v>3.162432808535022E-2</v>
      </c>
      <c r="P107" s="17">
        <f>IFERROR(G107/(G107+Priors!$H$3),0)</f>
        <v>0.76646426903316212</v>
      </c>
      <c r="Q107" s="18">
        <f>IF(E107="Premier League",Priors!$H$4,IF(E107="Championship",Priors!$H$5,Priors!$H$8))</f>
        <v>1</v>
      </c>
      <c r="R107" s="19" t="b">
        <v>0</v>
      </c>
      <c r="S107" s="18">
        <f>IF(R107=TRUE,Priors!$H$6,1)</f>
        <v>1</v>
      </c>
      <c r="T107" s="19" t="b">
        <v>0</v>
      </c>
      <c r="U107" s="18">
        <f>IF(T107=TRUE,Priors!$H$7,1)</f>
        <v>1</v>
      </c>
      <c r="V107" s="18">
        <f t="shared" si="6"/>
        <v>0.76646426903316212</v>
      </c>
      <c r="W107" s="20">
        <f>VLOOKUP(D107,Priors!$A$3:$C$6,2,FALSE)</f>
        <v>0.30461525508032317</v>
      </c>
      <c r="X107" s="20">
        <f>VLOOKUP(D107,Priors!$A$3:$C$6,3,FALSE)</f>
        <v>3.9258061548584466E-2</v>
      </c>
      <c r="Y107" s="20">
        <f t="shared" si="7"/>
        <v>0.34399193461829691</v>
      </c>
      <c r="Z107" s="20">
        <f t="shared" si="8"/>
        <v>3.3407077609692637E-2</v>
      </c>
      <c r="AA107" s="21">
        <v>1</v>
      </c>
      <c r="AB107" s="21">
        <v>1</v>
      </c>
      <c r="AC107" s="22">
        <f t="shared" si="9"/>
        <v>0.34399193461829691</v>
      </c>
      <c r="AD107" s="22">
        <f t="shared" si="10"/>
        <v>3.3407077609692637E-2</v>
      </c>
      <c r="AE107" s="22">
        <f t="shared" si="11"/>
        <v>0.23353573096683788</v>
      </c>
      <c r="AF107" s="7" t="s">
        <v>1643</v>
      </c>
      <c r="AG107" s="7">
        <v>1</v>
      </c>
      <c r="AH107" s="7"/>
      <c r="AI107" s="7"/>
      <c r="AJ107" s="8" t="b">
        <v>0</v>
      </c>
      <c r="AK107" s="28" t="s">
        <v>1644</v>
      </c>
      <c r="AL107" s="28" t="s">
        <v>1645</v>
      </c>
      <c r="AM107" s="28"/>
      <c r="AN107" s="7">
        <v>2</v>
      </c>
      <c r="AO107" s="7">
        <v>1</v>
      </c>
      <c r="AP107" s="8" t="b">
        <v>1</v>
      </c>
      <c r="AQ107" s="28" t="s">
        <v>1649</v>
      </c>
    </row>
    <row r="108" spans="1:43" ht="30">
      <c r="A108" s="7">
        <v>107</v>
      </c>
      <c r="B108" s="7" t="s">
        <v>413</v>
      </c>
      <c r="C108" s="7" t="s">
        <v>42</v>
      </c>
      <c r="D108" s="7" t="s">
        <v>167</v>
      </c>
      <c r="E108" s="7" t="s">
        <v>1642</v>
      </c>
      <c r="F108" s="7" t="s">
        <v>42</v>
      </c>
      <c r="G108" s="14">
        <v>1</v>
      </c>
      <c r="H108" s="15">
        <v>0</v>
      </c>
      <c r="I108" s="15">
        <v>0</v>
      </c>
      <c r="J108" s="15">
        <v>0</v>
      </c>
      <c r="K108" s="15">
        <v>0</v>
      </c>
      <c r="L108" s="15">
        <v>60.3</v>
      </c>
      <c r="M108" s="15">
        <v>1.5868421052631578</v>
      </c>
      <c r="N108" s="16">
        <v>0</v>
      </c>
      <c r="O108" s="16">
        <v>0</v>
      </c>
      <c r="P108" s="17">
        <f>IFERROR(G108/(G108+Priors!$H$3),0)</f>
        <v>9.99000999000999E-4</v>
      </c>
      <c r="Q108" s="18">
        <f>IF(E108="Premier League",Priors!$H$4,IF(E108="Championship",Priors!$H$5,Priors!$H$8))</f>
        <v>1</v>
      </c>
      <c r="R108" s="19" t="b">
        <v>0</v>
      </c>
      <c r="S108" s="18">
        <f>IF(R108=TRUE,Priors!$H$6,1)</f>
        <v>1</v>
      </c>
      <c r="T108" s="19" t="b">
        <v>0</v>
      </c>
      <c r="U108" s="18">
        <f>IF(T108=TRUE,Priors!$H$7,1)</f>
        <v>1</v>
      </c>
      <c r="V108" s="18">
        <f t="shared" si="6"/>
        <v>9.99000999000999E-4</v>
      </c>
      <c r="W108" s="20">
        <f>VLOOKUP(D108,Priors!$A$3:$C$6,2,FALSE)</f>
        <v>0.30461525508032317</v>
      </c>
      <c r="X108" s="20">
        <f>VLOOKUP(D108,Priors!$A$3:$C$6,3,FALSE)</f>
        <v>3.9258061548584466E-2</v>
      </c>
      <c r="Y108" s="20">
        <f t="shared" si="7"/>
        <v>0.30431094413618698</v>
      </c>
      <c r="Z108" s="20">
        <f t="shared" si="8"/>
        <v>3.9218842705878589E-2</v>
      </c>
      <c r="AA108" s="21">
        <v>1</v>
      </c>
      <c r="AB108" s="21">
        <v>1</v>
      </c>
      <c r="AC108" s="22">
        <f t="shared" si="9"/>
        <v>0.30431094413618698</v>
      </c>
      <c r="AD108" s="22">
        <f t="shared" si="10"/>
        <v>3.9218842705878589E-2</v>
      </c>
      <c r="AE108" s="22">
        <f t="shared" si="11"/>
        <v>0.99900099900099903</v>
      </c>
      <c r="AF108" s="7" t="s">
        <v>1643</v>
      </c>
      <c r="AG108" s="7"/>
      <c r="AH108" s="7"/>
      <c r="AI108" s="7"/>
      <c r="AJ108" s="8" t="b">
        <v>1</v>
      </c>
      <c r="AK108" s="28" t="s">
        <v>1644</v>
      </c>
      <c r="AL108" s="28" t="s">
        <v>1645</v>
      </c>
      <c r="AM108" s="28"/>
      <c r="AN108" s="7"/>
      <c r="AO108" s="7">
        <v>0</v>
      </c>
      <c r="AP108" s="8" t="b">
        <v>0</v>
      </c>
      <c r="AQ108" s="28" t="s">
        <v>1646</v>
      </c>
    </row>
    <row r="109" spans="1:43" ht="30">
      <c r="A109" s="7">
        <v>108</v>
      </c>
      <c r="B109" s="7" t="s">
        <v>416</v>
      </c>
      <c r="C109" s="7" t="s">
        <v>42</v>
      </c>
      <c r="D109" s="7" t="s">
        <v>167</v>
      </c>
      <c r="E109" s="7" t="s">
        <v>1642</v>
      </c>
      <c r="F109" s="7" t="s">
        <v>1653</v>
      </c>
      <c r="G109" s="14">
        <v>1234</v>
      </c>
      <c r="H109" s="15">
        <v>7.6</v>
      </c>
      <c r="I109" s="15">
        <v>0.54</v>
      </c>
      <c r="J109" s="15">
        <v>0.5542949756888168</v>
      </c>
      <c r="K109" s="15">
        <v>3.938411669367909E-2</v>
      </c>
      <c r="L109" s="15">
        <v>46.1</v>
      </c>
      <c r="M109" s="15">
        <v>1.2131578947368422</v>
      </c>
      <c r="N109" s="16">
        <v>0.45690258299728931</v>
      </c>
      <c r="O109" s="16">
        <v>3.2464130897175821E-2</v>
      </c>
      <c r="P109" s="17">
        <f>IFERROR(G109/(G109+Priors!$H$3),0)</f>
        <v>0.55237242614145032</v>
      </c>
      <c r="Q109" s="18">
        <f>IF(E109="Premier League",Priors!$H$4,IF(E109="Championship",Priors!$H$5,Priors!$H$8))</f>
        <v>1</v>
      </c>
      <c r="R109" s="19" t="b">
        <v>1</v>
      </c>
      <c r="S109" s="18">
        <f>IF(R109=TRUE,Priors!$H$6,1)</f>
        <v>0.85</v>
      </c>
      <c r="T109" s="19" t="b">
        <v>0</v>
      </c>
      <c r="U109" s="18">
        <f>IF(T109=TRUE,Priors!$H$7,1)</f>
        <v>1</v>
      </c>
      <c r="V109" s="18">
        <f t="shared" si="6"/>
        <v>0.46951656222023275</v>
      </c>
      <c r="W109" s="20">
        <f>VLOOKUP(D109,Priors!$A$3:$C$6,2,FALSE)</f>
        <v>0.30461525508032317</v>
      </c>
      <c r="X109" s="20">
        <f>VLOOKUP(D109,Priors!$A$3:$C$6,3,FALSE)</f>
        <v>3.9258061548584466E-2</v>
      </c>
      <c r="Y109" s="20">
        <f t="shared" si="7"/>
        <v>0.37611667775360236</v>
      </c>
      <c r="Z109" s="20">
        <f t="shared" si="8"/>
        <v>3.6068198585172413E-2</v>
      </c>
      <c r="AA109" s="21">
        <v>1</v>
      </c>
      <c r="AB109" s="21">
        <v>1</v>
      </c>
      <c r="AC109" s="22">
        <f t="shared" si="9"/>
        <v>0.37611667775360236</v>
      </c>
      <c r="AD109" s="22">
        <f t="shared" si="10"/>
        <v>3.6068198585172413E-2</v>
      </c>
      <c r="AE109" s="22">
        <f t="shared" si="11"/>
        <v>0.53048343777976725</v>
      </c>
      <c r="AF109" s="7" t="s">
        <v>1643</v>
      </c>
      <c r="AG109" s="7"/>
      <c r="AH109" s="7"/>
      <c r="AI109" s="7"/>
      <c r="AJ109" s="8" t="b">
        <v>1</v>
      </c>
      <c r="AK109" s="28" t="s">
        <v>1644</v>
      </c>
      <c r="AL109" s="28" t="s">
        <v>1645</v>
      </c>
      <c r="AM109" s="28"/>
      <c r="AN109" s="7"/>
      <c r="AO109" s="7">
        <v>0</v>
      </c>
      <c r="AP109" s="8" t="b">
        <v>0</v>
      </c>
      <c r="AQ109" s="28" t="s">
        <v>1646</v>
      </c>
    </row>
    <row r="110" spans="1:43" ht="15">
      <c r="A110" s="7">
        <v>565</v>
      </c>
      <c r="B110" s="7" t="s">
        <v>418</v>
      </c>
      <c r="C110" s="7" t="s">
        <v>42</v>
      </c>
      <c r="D110" s="7" t="s">
        <v>112</v>
      </c>
      <c r="E110" s="7" t="s">
        <v>1647</v>
      </c>
      <c r="F110" s="7"/>
      <c r="G110" s="14"/>
      <c r="H110" s="15"/>
      <c r="I110" s="15"/>
      <c r="J110" s="15"/>
      <c r="K110" s="15"/>
      <c r="L110" s="15"/>
      <c r="M110" s="15"/>
      <c r="N110" s="16"/>
      <c r="O110" s="16"/>
      <c r="P110" s="17">
        <f>IFERROR(G110/(G110+Priors!$H$3),0)</f>
        <v>0</v>
      </c>
      <c r="Q110" s="18">
        <f>IF(E110="Premier League",Priors!$H$4,IF(E110="Championship",Priors!$H$5,Priors!$H$8))</f>
        <v>0</v>
      </c>
      <c r="R110" s="19" t="b">
        <v>0</v>
      </c>
      <c r="S110" s="18">
        <f>IF(R110=TRUE,Priors!$H$6,1)</f>
        <v>1</v>
      </c>
      <c r="T110" s="19" t="b">
        <v>0</v>
      </c>
      <c r="U110" s="18">
        <f>IF(T110=TRUE,Priors!$H$7,1)</f>
        <v>1</v>
      </c>
      <c r="V110" s="18">
        <f t="shared" si="6"/>
        <v>0</v>
      </c>
      <c r="W110" s="20">
        <f>VLOOKUP(D110,Priors!$A$3:$C$6,2,FALSE)</f>
        <v>0.10751786102217777</v>
      </c>
      <c r="X110" s="20">
        <f>VLOOKUP(D110,Priors!$A$3:$C$6,3,FALSE)</f>
        <v>9.0240671969462088E-2</v>
      </c>
      <c r="Y110" s="20">
        <f t="shared" si="7"/>
        <v>0.10751786102217777</v>
      </c>
      <c r="Z110" s="20">
        <f t="shared" si="8"/>
        <v>9.0240671969462088E-2</v>
      </c>
      <c r="AA110" s="21">
        <v>1</v>
      </c>
      <c r="AB110" s="21">
        <v>1</v>
      </c>
      <c r="AC110" s="22">
        <f t="shared" si="9"/>
        <v>0.10751786102217777</v>
      </c>
      <c r="AD110" s="22">
        <f t="shared" si="10"/>
        <v>9.0240671969462088E-2</v>
      </c>
      <c r="AE110" s="22">
        <f t="shared" si="11"/>
        <v>1</v>
      </c>
      <c r="AF110" s="7" t="s">
        <v>1647</v>
      </c>
      <c r="AG110" s="7"/>
      <c r="AH110" s="7"/>
      <c r="AI110" s="7"/>
      <c r="AJ110" s="8" t="b">
        <v>1</v>
      </c>
      <c r="AK110" s="28" t="s">
        <v>1648</v>
      </c>
      <c r="AL110" s="28"/>
      <c r="AM110" s="28"/>
      <c r="AN110" s="7"/>
      <c r="AO110" s="7">
        <v>0</v>
      </c>
      <c r="AP110" s="8" t="b">
        <v>0</v>
      </c>
      <c r="AQ110" s="28" t="s">
        <v>1646</v>
      </c>
    </row>
    <row r="111" spans="1:43" ht="30">
      <c r="A111" s="7">
        <v>109</v>
      </c>
      <c r="B111" s="7" t="s">
        <v>420</v>
      </c>
      <c r="C111" s="7" t="s">
        <v>43</v>
      </c>
      <c r="D111" s="7" t="s">
        <v>85</v>
      </c>
      <c r="E111" s="7" t="s">
        <v>1642</v>
      </c>
      <c r="F111" s="7" t="s">
        <v>43</v>
      </c>
      <c r="G111" s="14">
        <v>3420</v>
      </c>
      <c r="H111" s="15">
        <v>0</v>
      </c>
      <c r="I111" s="15">
        <v>0.06</v>
      </c>
      <c r="J111" s="15">
        <v>0</v>
      </c>
      <c r="K111" s="15">
        <v>1.5789473684210524E-3</v>
      </c>
      <c r="L111" s="15">
        <v>57.9</v>
      </c>
      <c r="M111" s="15">
        <v>1.5236842105263158</v>
      </c>
      <c r="N111" s="16">
        <v>0</v>
      </c>
      <c r="O111" s="16">
        <v>1.0362694300518134E-3</v>
      </c>
      <c r="P111" s="17">
        <f>IFERROR(G111/(G111+Priors!$H$3),0)</f>
        <v>0.77375565610859731</v>
      </c>
      <c r="Q111" s="18">
        <f>IF(E111="Premier League",Priors!$H$4,IF(E111="Championship",Priors!$H$5,Priors!$H$8))</f>
        <v>1</v>
      </c>
      <c r="R111" s="19" t="b">
        <v>0</v>
      </c>
      <c r="S111" s="18">
        <f>IF(R111=TRUE,Priors!$H$6,1)</f>
        <v>1</v>
      </c>
      <c r="T111" s="19" t="b">
        <v>0</v>
      </c>
      <c r="U111" s="18">
        <f>IF(T111=TRUE,Priors!$H$7,1)</f>
        <v>1</v>
      </c>
      <c r="V111" s="18">
        <f t="shared" si="6"/>
        <v>0.77375565610859731</v>
      </c>
      <c r="W111" s="20">
        <f>VLOOKUP(D111,Priors!$A$3:$C$6,2,FALSE)</f>
        <v>1.6719534964712218E-4</v>
      </c>
      <c r="X111" s="20">
        <f>VLOOKUP(D111,Priors!$A$3:$C$6,3,FALSE)</f>
        <v>1.379361634588758E-3</v>
      </c>
      <c r="Y111" s="20">
        <f t="shared" si="7"/>
        <v>3.7827002182606826E-5</v>
      </c>
      <c r="Z111" s="20">
        <f t="shared" si="8"/>
        <v>1.1138921007615293E-3</v>
      </c>
      <c r="AA111" s="21">
        <v>1</v>
      </c>
      <c r="AB111" s="21">
        <v>1</v>
      </c>
      <c r="AC111" s="22">
        <f t="shared" si="9"/>
        <v>3.7827002182606826E-5</v>
      </c>
      <c r="AD111" s="22">
        <f t="shared" si="10"/>
        <v>1.1138921007615293E-3</v>
      </c>
      <c r="AE111" s="22">
        <f t="shared" si="11"/>
        <v>0.22624434389140269</v>
      </c>
      <c r="AF111" s="7" t="s">
        <v>1643</v>
      </c>
      <c r="AG111" s="7"/>
      <c r="AH111" s="7"/>
      <c r="AI111" s="7"/>
      <c r="AJ111" s="8" t="b">
        <v>0</v>
      </c>
      <c r="AK111" s="28" t="s">
        <v>1644</v>
      </c>
      <c r="AL111" s="28" t="s">
        <v>1645</v>
      </c>
      <c r="AM111" s="28"/>
      <c r="AN111" s="7"/>
      <c r="AO111" s="7">
        <v>0</v>
      </c>
      <c r="AP111" s="8" t="b">
        <v>0</v>
      </c>
      <c r="AQ111" s="28" t="s">
        <v>1646</v>
      </c>
    </row>
    <row r="112" spans="1:43" ht="15">
      <c r="A112" s="7">
        <v>110</v>
      </c>
      <c r="B112" s="7" t="s">
        <v>425</v>
      </c>
      <c r="C112" s="7" t="s">
        <v>43</v>
      </c>
      <c r="D112" s="7" t="s">
        <v>85</v>
      </c>
      <c r="E112" s="7" t="s">
        <v>1647</v>
      </c>
      <c r="F112" s="7"/>
      <c r="G112" s="14"/>
      <c r="H112" s="15"/>
      <c r="I112" s="15"/>
      <c r="J112" s="15"/>
      <c r="K112" s="15"/>
      <c r="L112" s="15"/>
      <c r="M112" s="15"/>
      <c r="N112" s="16"/>
      <c r="O112" s="16"/>
      <c r="P112" s="17">
        <f>IFERROR(G112/(G112+Priors!$H$3),0)</f>
        <v>0</v>
      </c>
      <c r="Q112" s="18">
        <f>IF(E112="Premier League",Priors!$H$4,IF(E112="Championship",Priors!$H$5,Priors!$H$8))</f>
        <v>0</v>
      </c>
      <c r="R112" s="19" t="b">
        <v>0</v>
      </c>
      <c r="S112" s="18">
        <f>IF(R112=TRUE,Priors!$H$6,1)</f>
        <v>1</v>
      </c>
      <c r="T112" s="19" t="b">
        <v>0</v>
      </c>
      <c r="U112" s="18">
        <f>IF(T112=TRUE,Priors!$H$7,1)</f>
        <v>1</v>
      </c>
      <c r="V112" s="18">
        <f t="shared" si="6"/>
        <v>0</v>
      </c>
      <c r="W112" s="20">
        <f>VLOOKUP(D112,Priors!$A$3:$C$6,2,FALSE)</f>
        <v>1.6719534964712218E-4</v>
      </c>
      <c r="X112" s="20">
        <f>VLOOKUP(D112,Priors!$A$3:$C$6,3,FALSE)</f>
        <v>1.379361634588758E-3</v>
      </c>
      <c r="Y112" s="20">
        <f t="shared" si="7"/>
        <v>1.6719534964712218E-4</v>
      </c>
      <c r="Z112" s="20">
        <f t="shared" si="8"/>
        <v>1.379361634588758E-3</v>
      </c>
      <c r="AA112" s="21">
        <v>1</v>
      </c>
      <c r="AB112" s="21">
        <v>1</v>
      </c>
      <c r="AC112" s="22">
        <f t="shared" si="9"/>
        <v>1.6719534964712218E-4</v>
      </c>
      <c r="AD112" s="22">
        <f t="shared" si="10"/>
        <v>1.379361634588758E-3</v>
      </c>
      <c r="AE112" s="22">
        <f t="shared" si="11"/>
        <v>1</v>
      </c>
      <c r="AF112" s="7" t="s">
        <v>1647</v>
      </c>
      <c r="AG112" s="7"/>
      <c r="AH112" s="7"/>
      <c r="AI112" s="7"/>
      <c r="AJ112" s="8" t="b">
        <v>1</v>
      </c>
      <c r="AK112" s="28" t="s">
        <v>1648</v>
      </c>
      <c r="AL112" s="28"/>
      <c r="AM112" s="28"/>
      <c r="AN112" s="7"/>
      <c r="AO112" s="7">
        <v>0</v>
      </c>
      <c r="AP112" s="8" t="b">
        <v>0</v>
      </c>
      <c r="AQ112" s="28" t="s">
        <v>1646</v>
      </c>
    </row>
    <row r="113" spans="1:43" ht="15">
      <c r="A113" s="7">
        <v>111</v>
      </c>
      <c r="B113" s="7" t="s">
        <v>427</v>
      </c>
      <c r="C113" s="7" t="s">
        <v>43</v>
      </c>
      <c r="D113" s="7" t="s">
        <v>85</v>
      </c>
      <c r="E113" s="7" t="s">
        <v>1647</v>
      </c>
      <c r="F113" s="7"/>
      <c r="G113" s="14"/>
      <c r="H113" s="15"/>
      <c r="I113" s="15"/>
      <c r="J113" s="15"/>
      <c r="K113" s="15"/>
      <c r="L113" s="15"/>
      <c r="M113" s="15"/>
      <c r="N113" s="16"/>
      <c r="O113" s="16"/>
      <c r="P113" s="17">
        <f>IFERROR(G113/(G113+Priors!$H$3),0)</f>
        <v>0</v>
      </c>
      <c r="Q113" s="18">
        <f>IF(E113="Premier League",Priors!$H$4,IF(E113="Championship",Priors!$H$5,Priors!$H$8))</f>
        <v>0</v>
      </c>
      <c r="R113" s="19" t="b">
        <v>0</v>
      </c>
      <c r="S113" s="18">
        <f>IF(R113=TRUE,Priors!$H$6,1)</f>
        <v>1</v>
      </c>
      <c r="T113" s="19" t="b">
        <v>0</v>
      </c>
      <c r="U113" s="18">
        <f>IF(T113=TRUE,Priors!$H$7,1)</f>
        <v>1</v>
      </c>
      <c r="V113" s="18">
        <f t="shared" si="6"/>
        <v>0</v>
      </c>
      <c r="W113" s="20">
        <f>VLOOKUP(D113,Priors!$A$3:$C$6,2,FALSE)</f>
        <v>1.6719534964712218E-4</v>
      </c>
      <c r="X113" s="20">
        <f>VLOOKUP(D113,Priors!$A$3:$C$6,3,FALSE)</f>
        <v>1.379361634588758E-3</v>
      </c>
      <c r="Y113" s="20">
        <f t="shared" si="7"/>
        <v>1.6719534964712218E-4</v>
      </c>
      <c r="Z113" s="20">
        <f t="shared" si="8"/>
        <v>1.379361634588758E-3</v>
      </c>
      <c r="AA113" s="21">
        <v>1</v>
      </c>
      <c r="AB113" s="21">
        <v>1</v>
      </c>
      <c r="AC113" s="22">
        <f t="shared" si="9"/>
        <v>1.6719534964712218E-4</v>
      </c>
      <c r="AD113" s="22">
        <f t="shared" si="10"/>
        <v>1.379361634588758E-3</v>
      </c>
      <c r="AE113" s="22">
        <f t="shared" si="11"/>
        <v>1</v>
      </c>
      <c r="AF113" s="7" t="s">
        <v>1647</v>
      </c>
      <c r="AG113" s="7"/>
      <c r="AH113" s="7"/>
      <c r="AI113" s="7"/>
      <c r="AJ113" s="8" t="b">
        <v>1</v>
      </c>
      <c r="AK113" s="28" t="s">
        <v>1648</v>
      </c>
      <c r="AL113" s="28"/>
      <c r="AM113" s="28"/>
      <c r="AN113" s="7"/>
      <c r="AO113" s="7">
        <v>0</v>
      </c>
      <c r="AP113" s="8" t="b">
        <v>0</v>
      </c>
      <c r="AQ113" s="28" t="s">
        <v>1646</v>
      </c>
    </row>
    <row r="114" spans="1:43" ht="30">
      <c r="A114" s="7">
        <v>113</v>
      </c>
      <c r="B114" s="7" t="s">
        <v>429</v>
      </c>
      <c r="C114" s="7" t="s">
        <v>43</v>
      </c>
      <c r="D114" s="7" t="s">
        <v>99</v>
      </c>
      <c r="E114" s="7" t="s">
        <v>1642</v>
      </c>
      <c r="F114" s="7" t="s">
        <v>43</v>
      </c>
      <c r="G114" s="14">
        <v>3130</v>
      </c>
      <c r="H114" s="15">
        <v>2.06</v>
      </c>
      <c r="I114" s="15">
        <v>3.31</v>
      </c>
      <c r="J114" s="15">
        <v>5.9233226837060705E-2</v>
      </c>
      <c r="K114" s="15">
        <v>9.5175718849840246E-2</v>
      </c>
      <c r="L114" s="15">
        <v>57.9</v>
      </c>
      <c r="M114" s="15">
        <v>1.5236842105263158</v>
      </c>
      <c r="N114" s="16">
        <v>3.8875002069228101E-2</v>
      </c>
      <c r="O114" s="16">
        <v>6.2464202353953877E-2</v>
      </c>
      <c r="P114" s="17">
        <f>IFERROR(G114/(G114+Priors!$H$3),0)</f>
        <v>0.75786924939467315</v>
      </c>
      <c r="Q114" s="18">
        <f>IF(E114="Premier League",Priors!$H$4,IF(E114="Championship",Priors!$H$5,Priors!$H$8))</f>
        <v>1</v>
      </c>
      <c r="R114" s="19" t="b">
        <v>0</v>
      </c>
      <c r="S114" s="18">
        <f>IF(R114=TRUE,Priors!$H$6,1)</f>
        <v>1</v>
      </c>
      <c r="T114" s="19" t="b">
        <v>0</v>
      </c>
      <c r="U114" s="18">
        <f>IF(T114=TRUE,Priors!$H$7,1)</f>
        <v>1</v>
      </c>
      <c r="V114" s="18">
        <f t="shared" si="6"/>
        <v>0.75786924939467315</v>
      </c>
      <c r="W114" s="20">
        <f>VLOOKUP(D114,Priors!$A$3:$C$6,2,FALSE)</f>
        <v>4.1142361271531161E-2</v>
      </c>
      <c r="X114" s="20">
        <f>VLOOKUP(D114,Priors!$A$3:$C$6,3,FALSE)</f>
        <v>4.0513079897554365E-2</v>
      </c>
      <c r="Y114" s="20">
        <f t="shared" si="7"/>
        <v>3.9423999454773637E-2</v>
      </c>
      <c r="Z114" s="20">
        <f t="shared" si="8"/>
        <v>5.7149160596956419E-2</v>
      </c>
      <c r="AA114" s="21">
        <v>1</v>
      </c>
      <c r="AB114" s="21">
        <v>1</v>
      </c>
      <c r="AC114" s="22">
        <f t="shared" si="9"/>
        <v>3.9423999454773637E-2</v>
      </c>
      <c r="AD114" s="22">
        <f t="shared" si="10"/>
        <v>5.7149160596956419E-2</v>
      </c>
      <c r="AE114" s="22">
        <f t="shared" si="11"/>
        <v>0.24213075060532685</v>
      </c>
      <c r="AF114" s="7" t="s">
        <v>1643</v>
      </c>
      <c r="AG114" s="7"/>
      <c r="AH114" s="7"/>
      <c r="AI114" s="7">
        <v>7</v>
      </c>
      <c r="AJ114" s="8" t="b">
        <v>0</v>
      </c>
      <c r="AK114" s="28" t="s">
        <v>1644</v>
      </c>
      <c r="AL114" s="28" t="s">
        <v>1645</v>
      </c>
      <c r="AM114" s="28"/>
      <c r="AN114" s="7"/>
      <c r="AO114" s="7">
        <v>0</v>
      </c>
      <c r="AP114" s="8" t="b">
        <v>0</v>
      </c>
      <c r="AQ114" s="28" t="s">
        <v>1646</v>
      </c>
    </row>
    <row r="115" spans="1:43" ht="30">
      <c r="A115" s="7">
        <v>114</v>
      </c>
      <c r="B115" s="7" t="s">
        <v>431</v>
      </c>
      <c r="C115" s="7" t="s">
        <v>43</v>
      </c>
      <c r="D115" s="7" t="s">
        <v>99</v>
      </c>
      <c r="E115" s="7" t="s">
        <v>1642</v>
      </c>
      <c r="F115" s="7" t="s">
        <v>43</v>
      </c>
      <c r="G115" s="14">
        <v>799</v>
      </c>
      <c r="H115" s="15">
        <v>0.05</v>
      </c>
      <c r="I115" s="15">
        <v>0.47</v>
      </c>
      <c r="J115" s="15">
        <v>5.6320400500625778E-3</v>
      </c>
      <c r="K115" s="15">
        <v>5.2941176470588235E-2</v>
      </c>
      <c r="L115" s="15">
        <v>57.9</v>
      </c>
      <c r="M115" s="15">
        <v>1.5236842105263158</v>
      </c>
      <c r="N115" s="16">
        <v>3.6963302573813119E-3</v>
      </c>
      <c r="O115" s="16">
        <v>3.4745504419384336E-2</v>
      </c>
      <c r="P115" s="17">
        <f>IFERROR(G115/(G115+Priors!$H$3),0)</f>
        <v>0.4441356309060589</v>
      </c>
      <c r="Q115" s="18">
        <f>IF(E115="Premier League",Priors!$H$4,IF(E115="Championship",Priors!$H$5,Priors!$H$8))</f>
        <v>1</v>
      </c>
      <c r="R115" s="19" t="b">
        <v>0</v>
      </c>
      <c r="S115" s="18">
        <f>IF(R115=TRUE,Priors!$H$6,1)</f>
        <v>1</v>
      </c>
      <c r="T115" s="19" t="b">
        <v>0</v>
      </c>
      <c r="U115" s="18">
        <f>IF(T115=TRUE,Priors!$H$7,1)</f>
        <v>1</v>
      </c>
      <c r="V115" s="18">
        <f t="shared" si="6"/>
        <v>0.4441356309060589</v>
      </c>
      <c r="W115" s="20">
        <f>VLOOKUP(D115,Priors!$A$3:$C$6,2,FALSE)</f>
        <v>4.1142361271531161E-2</v>
      </c>
      <c r="X115" s="20">
        <f>VLOOKUP(D115,Priors!$A$3:$C$6,3,FALSE)</f>
        <v>4.0513079897554365E-2</v>
      </c>
      <c r="Y115" s="20">
        <f t="shared" si="7"/>
        <v>2.451124466213387E-2</v>
      </c>
      <c r="Z115" s="20">
        <f t="shared" si="8"/>
        <v>3.7951494123759005E-2</v>
      </c>
      <c r="AA115" s="21">
        <v>1</v>
      </c>
      <c r="AB115" s="21">
        <v>1</v>
      </c>
      <c r="AC115" s="22">
        <f t="shared" si="9"/>
        <v>2.451124466213387E-2</v>
      </c>
      <c r="AD115" s="22">
        <f t="shared" si="10"/>
        <v>3.7951494123759005E-2</v>
      </c>
      <c r="AE115" s="22">
        <f t="shared" si="11"/>
        <v>0.5558643690939411</v>
      </c>
      <c r="AF115" s="7" t="s">
        <v>1643</v>
      </c>
      <c r="AG115" s="7"/>
      <c r="AH115" s="7"/>
      <c r="AI115" s="7"/>
      <c r="AJ115" s="8" t="b">
        <v>1</v>
      </c>
      <c r="AK115" s="28" t="s">
        <v>1644</v>
      </c>
      <c r="AL115" s="28" t="s">
        <v>1645</v>
      </c>
      <c r="AM115" s="28"/>
      <c r="AN115" s="7"/>
      <c r="AO115" s="7">
        <v>0</v>
      </c>
      <c r="AP115" s="8" t="b">
        <v>0</v>
      </c>
      <c r="AQ115" s="28" t="s">
        <v>1646</v>
      </c>
    </row>
    <row r="116" spans="1:43" ht="30">
      <c r="A116" s="7">
        <v>115</v>
      </c>
      <c r="B116" s="7" t="s">
        <v>434</v>
      </c>
      <c r="C116" s="7" t="s">
        <v>43</v>
      </c>
      <c r="D116" s="7" t="s">
        <v>99</v>
      </c>
      <c r="E116" s="7" t="s">
        <v>1642</v>
      </c>
      <c r="F116" s="7" t="s">
        <v>43</v>
      </c>
      <c r="G116" s="14">
        <v>1404</v>
      </c>
      <c r="H116" s="15">
        <v>1.66</v>
      </c>
      <c r="I116" s="15">
        <v>4.08</v>
      </c>
      <c r="J116" s="15">
        <v>0.10641025641025642</v>
      </c>
      <c r="K116" s="15">
        <v>0.26153846153846155</v>
      </c>
      <c r="L116" s="15">
        <v>57.9</v>
      </c>
      <c r="M116" s="15">
        <v>1.5236842105263158</v>
      </c>
      <c r="N116" s="16">
        <v>6.9837473982551718E-2</v>
      </c>
      <c r="O116" s="16">
        <v>0.17164873123422347</v>
      </c>
      <c r="P116" s="17">
        <f>IFERROR(G116/(G116+Priors!$H$3),0)</f>
        <v>0.58402662229617308</v>
      </c>
      <c r="Q116" s="18">
        <f>IF(E116="Premier League",Priors!$H$4,IF(E116="Championship",Priors!$H$5,Priors!$H$8))</f>
        <v>1</v>
      </c>
      <c r="R116" s="19" t="b">
        <v>0</v>
      </c>
      <c r="S116" s="18">
        <f>IF(R116=TRUE,Priors!$H$6,1)</f>
        <v>1</v>
      </c>
      <c r="T116" s="19" t="b">
        <v>0</v>
      </c>
      <c r="U116" s="18">
        <f>IF(T116=TRUE,Priors!$H$7,1)</f>
        <v>1</v>
      </c>
      <c r="V116" s="18">
        <f t="shared" si="6"/>
        <v>0.58402662229617308</v>
      </c>
      <c r="W116" s="20">
        <f>VLOOKUP(D116,Priors!$A$3:$C$6,2,FALSE)</f>
        <v>4.1142361271531161E-2</v>
      </c>
      <c r="X116" s="20">
        <f>VLOOKUP(D116,Priors!$A$3:$C$6,3,FALSE)</f>
        <v>4.0513079897554365E-2</v>
      </c>
      <c r="Y116" s="20">
        <f t="shared" si="7"/>
        <v>5.790107102455648E-2</v>
      </c>
      <c r="Z116" s="20">
        <f t="shared" si="8"/>
        <v>0.11709979141031786</v>
      </c>
      <c r="AA116" s="21">
        <v>1</v>
      </c>
      <c r="AB116" s="21">
        <v>1</v>
      </c>
      <c r="AC116" s="22">
        <f t="shared" si="9"/>
        <v>5.790107102455648E-2</v>
      </c>
      <c r="AD116" s="22">
        <f t="shared" si="10"/>
        <v>0.11709979141031786</v>
      </c>
      <c r="AE116" s="22">
        <f t="shared" si="11"/>
        <v>0.41597337770382692</v>
      </c>
      <c r="AF116" s="7" t="s">
        <v>1643</v>
      </c>
      <c r="AG116" s="7"/>
      <c r="AH116" s="7">
        <v>3</v>
      </c>
      <c r="AI116" s="7"/>
      <c r="AJ116" s="8" t="b">
        <v>0</v>
      </c>
      <c r="AK116" s="28" t="s">
        <v>1644</v>
      </c>
      <c r="AL116" s="28" t="s">
        <v>1645</v>
      </c>
      <c r="AM116" s="28"/>
      <c r="AN116" s="7"/>
      <c r="AO116" s="7">
        <v>0</v>
      </c>
      <c r="AP116" s="8" t="b">
        <v>0</v>
      </c>
      <c r="AQ116" s="28" t="s">
        <v>1646</v>
      </c>
    </row>
    <row r="117" spans="1:43" ht="30">
      <c r="A117" s="7">
        <v>116</v>
      </c>
      <c r="B117" s="7" t="s">
        <v>437</v>
      </c>
      <c r="C117" s="7" t="s">
        <v>43</v>
      </c>
      <c r="D117" s="7" t="s">
        <v>99</v>
      </c>
      <c r="E117" s="7" t="s">
        <v>1642</v>
      </c>
      <c r="F117" s="7" t="s">
        <v>43</v>
      </c>
      <c r="G117" s="14">
        <v>2837</v>
      </c>
      <c r="H117" s="15">
        <v>1.83</v>
      </c>
      <c r="I117" s="15">
        <v>0.56000000000000005</v>
      </c>
      <c r="J117" s="15">
        <v>5.8054282692985557E-2</v>
      </c>
      <c r="K117" s="15">
        <v>1.7765244977088476E-2</v>
      </c>
      <c r="L117" s="15">
        <v>57.9</v>
      </c>
      <c r="M117" s="15">
        <v>1.5236842105263158</v>
      </c>
      <c r="N117" s="16">
        <v>3.8101256344273769E-2</v>
      </c>
      <c r="O117" s="16">
        <v>1.1659400848520934E-2</v>
      </c>
      <c r="P117" s="17">
        <f>IFERROR(G117/(G117+Priors!$H$3),0)</f>
        <v>0.73937972374250716</v>
      </c>
      <c r="Q117" s="18">
        <f>IF(E117="Premier League",Priors!$H$4,IF(E117="Championship",Priors!$H$5,Priors!$H$8))</f>
        <v>1</v>
      </c>
      <c r="R117" s="19" t="b">
        <v>0</v>
      </c>
      <c r="S117" s="18">
        <f>IF(R117=TRUE,Priors!$H$6,1)</f>
        <v>1</v>
      </c>
      <c r="T117" s="19" t="b">
        <v>0</v>
      </c>
      <c r="U117" s="18">
        <f>IF(T117=TRUE,Priors!$H$7,1)</f>
        <v>1</v>
      </c>
      <c r="V117" s="18">
        <f t="shared" si="6"/>
        <v>0.73937972374250716</v>
      </c>
      <c r="W117" s="20">
        <f>VLOOKUP(D117,Priors!$A$3:$C$6,2,FALSE)</f>
        <v>4.1142361271531161E-2</v>
      </c>
      <c r="X117" s="20">
        <f>VLOOKUP(D117,Priors!$A$3:$C$6,3,FALSE)</f>
        <v>4.0513079897554365E-2</v>
      </c>
      <c r="Y117" s="20">
        <f t="shared" si="7"/>
        <v>3.8893829950543614E-2</v>
      </c>
      <c r="Z117" s="20">
        <f t="shared" si="8"/>
        <v>1.917925465332506E-2</v>
      </c>
      <c r="AA117" s="21">
        <v>1</v>
      </c>
      <c r="AB117" s="21">
        <v>1</v>
      </c>
      <c r="AC117" s="22">
        <f t="shared" si="9"/>
        <v>3.8893829950543614E-2</v>
      </c>
      <c r="AD117" s="22">
        <f t="shared" si="10"/>
        <v>1.917925465332506E-2</v>
      </c>
      <c r="AE117" s="22">
        <f t="shared" si="11"/>
        <v>0.26062027625749284</v>
      </c>
      <c r="AF117" s="7" t="s">
        <v>1643</v>
      </c>
      <c r="AG117" s="7"/>
      <c r="AH117" s="7">
        <v>2</v>
      </c>
      <c r="AI117" s="7"/>
      <c r="AJ117" s="8" t="b">
        <v>0</v>
      </c>
      <c r="AK117" s="28" t="s">
        <v>1644</v>
      </c>
      <c r="AL117" s="28" t="s">
        <v>1645</v>
      </c>
      <c r="AM117" s="28"/>
      <c r="AN117" s="7"/>
      <c r="AO117" s="7">
        <v>0</v>
      </c>
      <c r="AP117" s="8" t="b">
        <v>0</v>
      </c>
      <c r="AQ117" s="28" t="s">
        <v>1646</v>
      </c>
    </row>
    <row r="118" spans="1:43" ht="30">
      <c r="A118" s="7">
        <v>117</v>
      </c>
      <c r="B118" s="7" t="s">
        <v>440</v>
      </c>
      <c r="C118" s="7" t="s">
        <v>43</v>
      </c>
      <c r="D118" s="7" t="s">
        <v>99</v>
      </c>
      <c r="E118" s="7" t="s">
        <v>1642</v>
      </c>
      <c r="F118" s="7" t="s">
        <v>43</v>
      </c>
      <c r="G118" s="14">
        <v>193</v>
      </c>
      <c r="H118" s="15">
        <v>0</v>
      </c>
      <c r="I118" s="15">
        <v>0.01</v>
      </c>
      <c r="J118" s="15">
        <v>0</v>
      </c>
      <c r="K118" s="15">
        <v>4.6632124352331611E-3</v>
      </c>
      <c r="L118" s="15">
        <v>57.9</v>
      </c>
      <c r="M118" s="15">
        <v>1.5236842105263158</v>
      </c>
      <c r="N118" s="16">
        <v>0</v>
      </c>
      <c r="O118" s="16">
        <v>3.0604848452307448E-3</v>
      </c>
      <c r="P118" s="17">
        <f>IFERROR(G118/(G118+Priors!$H$3),0)</f>
        <v>0.16177703269069574</v>
      </c>
      <c r="Q118" s="18">
        <f>IF(E118="Premier League",Priors!$H$4,IF(E118="Championship",Priors!$H$5,Priors!$H$8))</f>
        <v>1</v>
      </c>
      <c r="R118" s="19" t="b">
        <v>0</v>
      </c>
      <c r="S118" s="18">
        <f>IF(R118=TRUE,Priors!$H$6,1)</f>
        <v>1</v>
      </c>
      <c r="T118" s="19" t="b">
        <v>0</v>
      </c>
      <c r="U118" s="18">
        <f>IF(T118=TRUE,Priors!$H$7,1)</f>
        <v>1</v>
      </c>
      <c r="V118" s="18">
        <f t="shared" si="6"/>
        <v>0.16177703269069574</v>
      </c>
      <c r="W118" s="20">
        <f>VLOOKUP(D118,Priors!$A$3:$C$6,2,FALSE)</f>
        <v>4.1142361271531161E-2</v>
      </c>
      <c r="X118" s="20">
        <f>VLOOKUP(D118,Priors!$A$3:$C$6,3,FALSE)</f>
        <v>4.0513079897554365E-2</v>
      </c>
      <c r="Y118" s="20">
        <f t="shared" si="7"/>
        <v>3.4486472147134246E-2</v>
      </c>
      <c r="Z118" s="20">
        <f t="shared" si="8"/>
        <v>3.4454110203423219E-2</v>
      </c>
      <c r="AA118" s="21">
        <v>1</v>
      </c>
      <c r="AB118" s="21">
        <v>1</v>
      </c>
      <c r="AC118" s="22">
        <f t="shared" si="9"/>
        <v>3.4486472147134246E-2</v>
      </c>
      <c r="AD118" s="22">
        <f t="shared" si="10"/>
        <v>3.4454110203423219E-2</v>
      </c>
      <c r="AE118" s="22">
        <f t="shared" si="11"/>
        <v>0.83822296730930423</v>
      </c>
      <c r="AF118" s="7" t="s">
        <v>1643</v>
      </c>
      <c r="AG118" s="7"/>
      <c r="AH118" s="7"/>
      <c r="AI118" s="7"/>
      <c r="AJ118" s="8" t="b">
        <v>1</v>
      </c>
      <c r="AK118" s="28" t="s">
        <v>1644</v>
      </c>
      <c r="AL118" s="28" t="s">
        <v>1645</v>
      </c>
      <c r="AM118" s="28"/>
      <c r="AN118" s="7"/>
      <c r="AO118" s="7">
        <v>0</v>
      </c>
      <c r="AP118" s="8" t="b">
        <v>0</v>
      </c>
      <c r="AQ118" s="28" t="s">
        <v>1646</v>
      </c>
    </row>
    <row r="119" spans="1:43" ht="30">
      <c r="A119" s="7">
        <v>118</v>
      </c>
      <c r="B119" s="7" t="s">
        <v>442</v>
      </c>
      <c r="C119" s="7" t="s">
        <v>43</v>
      </c>
      <c r="D119" s="7" t="s">
        <v>99</v>
      </c>
      <c r="E119" s="7" t="s">
        <v>1642</v>
      </c>
      <c r="F119" s="7" t="s">
        <v>43</v>
      </c>
      <c r="G119" s="14">
        <v>103</v>
      </c>
      <c r="H119" s="15">
        <v>0</v>
      </c>
      <c r="I119" s="15">
        <v>0</v>
      </c>
      <c r="J119" s="15">
        <v>0</v>
      </c>
      <c r="K119" s="15">
        <v>0</v>
      </c>
      <c r="L119" s="15">
        <v>57.9</v>
      </c>
      <c r="M119" s="15">
        <v>1.5236842105263158</v>
      </c>
      <c r="N119" s="16">
        <v>0</v>
      </c>
      <c r="O119" s="16">
        <v>0</v>
      </c>
      <c r="P119" s="17">
        <f>IFERROR(G119/(G119+Priors!$H$3),0)</f>
        <v>9.3381686310063466E-2</v>
      </c>
      <c r="Q119" s="18">
        <f>IF(E119="Premier League",Priors!$H$4,IF(E119="Championship",Priors!$H$5,Priors!$H$8))</f>
        <v>1</v>
      </c>
      <c r="R119" s="19" t="b">
        <v>0</v>
      </c>
      <c r="S119" s="18">
        <f>IF(R119=TRUE,Priors!$H$6,1)</f>
        <v>1</v>
      </c>
      <c r="T119" s="19" t="b">
        <v>0</v>
      </c>
      <c r="U119" s="18">
        <f>IF(T119=TRUE,Priors!$H$7,1)</f>
        <v>1</v>
      </c>
      <c r="V119" s="18">
        <f t="shared" si="6"/>
        <v>9.3381686310063466E-2</v>
      </c>
      <c r="W119" s="20">
        <f>VLOOKUP(D119,Priors!$A$3:$C$6,2,FALSE)</f>
        <v>4.1142361271531161E-2</v>
      </c>
      <c r="X119" s="20">
        <f>VLOOKUP(D119,Priors!$A$3:$C$6,3,FALSE)</f>
        <v>4.0513079897554365E-2</v>
      </c>
      <c r="Y119" s="20">
        <f t="shared" si="7"/>
        <v>3.730041819721773E-2</v>
      </c>
      <c r="Z119" s="20">
        <f t="shared" si="8"/>
        <v>3.6729900179106406E-2</v>
      </c>
      <c r="AA119" s="21">
        <v>1</v>
      </c>
      <c r="AB119" s="21">
        <v>1</v>
      </c>
      <c r="AC119" s="22">
        <f t="shared" si="9"/>
        <v>3.730041819721773E-2</v>
      </c>
      <c r="AD119" s="22">
        <f t="shared" si="10"/>
        <v>3.6729900179106406E-2</v>
      </c>
      <c r="AE119" s="22">
        <f t="shared" si="11"/>
        <v>0.90661831368993651</v>
      </c>
      <c r="AF119" s="7" t="s">
        <v>1643</v>
      </c>
      <c r="AG119" s="7"/>
      <c r="AH119" s="7"/>
      <c r="AI119" s="7"/>
      <c r="AJ119" s="8" t="b">
        <v>1</v>
      </c>
      <c r="AK119" s="28" t="s">
        <v>1644</v>
      </c>
      <c r="AL119" s="28" t="s">
        <v>1645</v>
      </c>
      <c r="AM119" s="28"/>
      <c r="AN119" s="7"/>
      <c r="AO119" s="7">
        <v>0</v>
      </c>
      <c r="AP119" s="8" t="b">
        <v>0</v>
      </c>
      <c r="AQ119" s="28" t="s">
        <v>1646</v>
      </c>
    </row>
    <row r="120" spans="1:43" ht="15">
      <c r="A120" s="7">
        <v>119</v>
      </c>
      <c r="B120" s="7" t="s">
        <v>445</v>
      </c>
      <c r="C120" s="7" t="s">
        <v>43</v>
      </c>
      <c r="D120" s="7" t="s">
        <v>99</v>
      </c>
      <c r="E120" s="7" t="s">
        <v>1647</v>
      </c>
      <c r="F120" s="7"/>
      <c r="G120" s="14"/>
      <c r="H120" s="15"/>
      <c r="I120" s="15"/>
      <c r="J120" s="15"/>
      <c r="K120" s="15"/>
      <c r="L120" s="15"/>
      <c r="M120" s="15"/>
      <c r="N120" s="16"/>
      <c r="O120" s="16"/>
      <c r="P120" s="17">
        <f>IFERROR(G120/(G120+Priors!$H$3),0)</f>
        <v>0</v>
      </c>
      <c r="Q120" s="18">
        <f>IF(E120="Premier League",Priors!$H$4,IF(E120="Championship",Priors!$H$5,Priors!$H$8))</f>
        <v>0</v>
      </c>
      <c r="R120" s="19" t="b">
        <v>0</v>
      </c>
      <c r="S120" s="18">
        <f>IF(R120=TRUE,Priors!$H$6,1)</f>
        <v>1</v>
      </c>
      <c r="T120" s="19" t="b">
        <v>0</v>
      </c>
      <c r="U120" s="18">
        <f>IF(T120=TRUE,Priors!$H$7,1)</f>
        <v>1</v>
      </c>
      <c r="V120" s="18">
        <f t="shared" si="6"/>
        <v>0</v>
      </c>
      <c r="W120" s="20">
        <f>VLOOKUP(D120,Priors!$A$3:$C$6,2,FALSE)</f>
        <v>4.1142361271531161E-2</v>
      </c>
      <c r="X120" s="20">
        <f>VLOOKUP(D120,Priors!$A$3:$C$6,3,FALSE)</f>
        <v>4.0513079897554365E-2</v>
      </c>
      <c r="Y120" s="20">
        <f t="shared" si="7"/>
        <v>4.1142361271531161E-2</v>
      </c>
      <c r="Z120" s="20">
        <f t="shared" si="8"/>
        <v>4.0513079897554365E-2</v>
      </c>
      <c r="AA120" s="21">
        <v>1</v>
      </c>
      <c r="AB120" s="21">
        <v>1</v>
      </c>
      <c r="AC120" s="22">
        <f t="shared" si="9"/>
        <v>4.1142361271531161E-2</v>
      </c>
      <c r="AD120" s="22">
        <f t="shared" si="10"/>
        <v>4.0513079897554365E-2</v>
      </c>
      <c r="AE120" s="22">
        <f t="shared" si="11"/>
        <v>1</v>
      </c>
      <c r="AF120" s="7" t="s">
        <v>1647</v>
      </c>
      <c r="AG120" s="7"/>
      <c r="AH120" s="7"/>
      <c r="AI120" s="7"/>
      <c r="AJ120" s="8" t="b">
        <v>1</v>
      </c>
      <c r="AK120" s="28" t="s">
        <v>1648</v>
      </c>
      <c r="AL120" s="28"/>
      <c r="AM120" s="28"/>
      <c r="AN120" s="7"/>
      <c r="AO120" s="7"/>
      <c r="AP120" s="7"/>
      <c r="AQ120" s="28" t="s">
        <v>1650</v>
      </c>
    </row>
    <row r="121" spans="1:43" ht="15">
      <c r="A121" s="7">
        <v>120</v>
      </c>
      <c r="B121" s="7" t="s">
        <v>447</v>
      </c>
      <c r="C121" s="7" t="s">
        <v>43</v>
      </c>
      <c r="D121" s="7" t="s">
        <v>99</v>
      </c>
      <c r="E121" s="7" t="s">
        <v>1647</v>
      </c>
      <c r="F121" s="7"/>
      <c r="G121" s="14"/>
      <c r="H121" s="15"/>
      <c r="I121" s="15"/>
      <c r="J121" s="15"/>
      <c r="K121" s="15"/>
      <c r="L121" s="15"/>
      <c r="M121" s="15"/>
      <c r="N121" s="16"/>
      <c r="O121" s="16"/>
      <c r="P121" s="17">
        <f>IFERROR(G121/(G121+Priors!$H$3),0)</f>
        <v>0</v>
      </c>
      <c r="Q121" s="18">
        <f>IF(E121="Premier League",Priors!$H$4,IF(E121="Championship",Priors!$H$5,Priors!$H$8))</f>
        <v>0</v>
      </c>
      <c r="R121" s="19" t="b">
        <v>0</v>
      </c>
      <c r="S121" s="18">
        <f>IF(R121=TRUE,Priors!$H$6,1)</f>
        <v>1</v>
      </c>
      <c r="T121" s="19" t="b">
        <v>0</v>
      </c>
      <c r="U121" s="18">
        <f>IF(T121=TRUE,Priors!$H$7,1)</f>
        <v>1</v>
      </c>
      <c r="V121" s="18">
        <f t="shared" si="6"/>
        <v>0</v>
      </c>
      <c r="W121" s="20">
        <f>VLOOKUP(D121,Priors!$A$3:$C$6,2,FALSE)</f>
        <v>4.1142361271531161E-2</v>
      </c>
      <c r="X121" s="20">
        <f>VLOOKUP(D121,Priors!$A$3:$C$6,3,FALSE)</f>
        <v>4.0513079897554365E-2</v>
      </c>
      <c r="Y121" s="20">
        <f t="shared" si="7"/>
        <v>4.1142361271531161E-2</v>
      </c>
      <c r="Z121" s="20">
        <f t="shared" si="8"/>
        <v>4.0513079897554365E-2</v>
      </c>
      <c r="AA121" s="21">
        <v>1</v>
      </c>
      <c r="AB121" s="21">
        <v>1</v>
      </c>
      <c r="AC121" s="22">
        <f t="shared" si="9"/>
        <v>4.1142361271531161E-2</v>
      </c>
      <c r="AD121" s="22">
        <f t="shared" si="10"/>
        <v>4.0513079897554365E-2</v>
      </c>
      <c r="AE121" s="22">
        <f t="shared" si="11"/>
        <v>1</v>
      </c>
      <c r="AF121" s="7" t="s">
        <v>1647</v>
      </c>
      <c r="AG121" s="7"/>
      <c r="AH121" s="7"/>
      <c r="AI121" s="7"/>
      <c r="AJ121" s="8" t="b">
        <v>1</v>
      </c>
      <c r="AK121" s="28" t="s">
        <v>1648</v>
      </c>
      <c r="AL121" s="28"/>
      <c r="AM121" s="28"/>
      <c r="AN121" s="7"/>
      <c r="AO121" s="7"/>
      <c r="AP121" s="7"/>
      <c r="AQ121" s="28" t="s">
        <v>1650</v>
      </c>
    </row>
    <row r="122" spans="1:43" ht="30">
      <c r="A122" s="7">
        <v>121</v>
      </c>
      <c r="B122" s="7" t="s">
        <v>450</v>
      </c>
      <c r="C122" s="7" t="s">
        <v>43</v>
      </c>
      <c r="D122" s="7" t="s">
        <v>112</v>
      </c>
      <c r="E122" s="7" t="s">
        <v>1642</v>
      </c>
      <c r="F122" s="7" t="s">
        <v>43</v>
      </c>
      <c r="G122" s="14">
        <v>1714</v>
      </c>
      <c r="H122" s="15">
        <v>4.04</v>
      </c>
      <c r="I122" s="15">
        <v>2.74</v>
      </c>
      <c r="J122" s="15">
        <v>0.21213535589264879</v>
      </c>
      <c r="K122" s="15">
        <v>0.14387397899649942</v>
      </c>
      <c r="L122" s="15">
        <v>57.9</v>
      </c>
      <c r="M122" s="15">
        <v>1.5236842105263158</v>
      </c>
      <c r="N122" s="16">
        <v>0.13922527675165206</v>
      </c>
      <c r="O122" s="16">
        <v>9.4425063935526396E-2</v>
      </c>
      <c r="P122" s="17">
        <f>IFERROR(G122/(G122+Priors!$H$3),0)</f>
        <v>0.63154016212232866</v>
      </c>
      <c r="Q122" s="18">
        <f>IF(E122="Premier League",Priors!$H$4,IF(E122="Championship",Priors!$H$5,Priors!$H$8))</f>
        <v>1</v>
      </c>
      <c r="R122" s="19" t="b">
        <v>0</v>
      </c>
      <c r="S122" s="18">
        <f>IF(R122=TRUE,Priors!$H$6,1)</f>
        <v>1</v>
      </c>
      <c r="T122" s="19" t="b">
        <v>0</v>
      </c>
      <c r="U122" s="18">
        <f>IF(T122=TRUE,Priors!$H$7,1)</f>
        <v>1</v>
      </c>
      <c r="V122" s="18">
        <f t="shared" si="6"/>
        <v>0.63154016212232866</v>
      </c>
      <c r="W122" s="20">
        <f>VLOOKUP(D122,Priors!$A$3:$C$6,2,FALSE)</f>
        <v>0.10751786102217777</v>
      </c>
      <c r="X122" s="20">
        <f>VLOOKUP(D122,Priors!$A$3:$C$6,3,FALSE)</f>
        <v>9.0240671969462088E-2</v>
      </c>
      <c r="Y122" s="20">
        <f t="shared" si="7"/>
        <v>0.12754236749245004</v>
      </c>
      <c r="Z122" s="20">
        <f t="shared" si="8"/>
        <v>9.2883283550093704E-2</v>
      </c>
      <c r="AA122" s="21">
        <v>1</v>
      </c>
      <c r="AB122" s="21">
        <v>1</v>
      </c>
      <c r="AC122" s="22">
        <f t="shared" si="9"/>
        <v>0.12754236749245004</v>
      </c>
      <c r="AD122" s="22">
        <f t="shared" si="10"/>
        <v>9.2883283550093704E-2</v>
      </c>
      <c r="AE122" s="22">
        <f t="shared" si="11"/>
        <v>0.36845983787767134</v>
      </c>
      <c r="AF122" s="7" t="s">
        <v>1643</v>
      </c>
      <c r="AG122" s="7"/>
      <c r="AH122" s="7"/>
      <c r="AI122" s="7"/>
      <c r="AJ122" s="8" t="b">
        <v>0</v>
      </c>
      <c r="AK122" s="28" t="s">
        <v>1644</v>
      </c>
      <c r="AL122" s="28" t="s">
        <v>1645</v>
      </c>
      <c r="AM122" s="28"/>
      <c r="AN122" s="7"/>
      <c r="AO122" s="7">
        <v>0</v>
      </c>
      <c r="AP122" s="8" t="b">
        <v>0</v>
      </c>
      <c r="AQ122" s="28" t="s">
        <v>1646</v>
      </c>
    </row>
    <row r="123" spans="1:43" ht="30">
      <c r="A123" s="7">
        <v>122</v>
      </c>
      <c r="B123" s="7" t="s">
        <v>454</v>
      </c>
      <c r="C123" s="7" t="s">
        <v>43</v>
      </c>
      <c r="D123" s="7" t="s">
        <v>112</v>
      </c>
      <c r="E123" s="7" t="s">
        <v>1642</v>
      </c>
      <c r="F123" s="7" t="s">
        <v>43</v>
      </c>
      <c r="G123" s="14">
        <v>2389</v>
      </c>
      <c r="H123" s="15">
        <v>3.81</v>
      </c>
      <c r="I123" s="15">
        <v>5.0599999999999996</v>
      </c>
      <c r="J123" s="15">
        <v>0.14353285893679363</v>
      </c>
      <c r="K123" s="15">
        <v>0.19062369192130599</v>
      </c>
      <c r="L123" s="15">
        <v>57.9</v>
      </c>
      <c r="M123" s="15">
        <v>1.5236842105263158</v>
      </c>
      <c r="N123" s="16">
        <v>9.4201185485287706E-2</v>
      </c>
      <c r="O123" s="16">
        <v>0.12510708623505401</v>
      </c>
      <c r="P123" s="17">
        <f>IFERROR(G123/(G123+Priors!$H$3),0)</f>
        <v>0.70492770728828558</v>
      </c>
      <c r="Q123" s="18">
        <f>IF(E123="Premier League",Priors!$H$4,IF(E123="Championship",Priors!$H$5,Priors!$H$8))</f>
        <v>1</v>
      </c>
      <c r="R123" s="19" t="b">
        <v>0</v>
      </c>
      <c r="S123" s="18">
        <f>IF(R123=TRUE,Priors!$H$6,1)</f>
        <v>1</v>
      </c>
      <c r="T123" s="19" t="b">
        <v>0</v>
      </c>
      <c r="U123" s="18">
        <f>IF(T123=TRUE,Priors!$H$7,1)</f>
        <v>1</v>
      </c>
      <c r="V123" s="18">
        <f t="shared" si="6"/>
        <v>0.70492770728828558</v>
      </c>
      <c r="W123" s="20">
        <f>VLOOKUP(D123,Priors!$A$3:$C$6,2,FALSE)</f>
        <v>0.10751786102217777</v>
      </c>
      <c r="X123" s="20">
        <f>VLOOKUP(D123,Priors!$A$3:$C$6,3,FALSE)</f>
        <v>9.0240671969462088E-2</v>
      </c>
      <c r="Y123" s="20">
        <f t="shared" si="7"/>
        <v>9.8130567467255847E-2</v>
      </c>
      <c r="Z123" s="20">
        <f t="shared" si="8"/>
        <v>0.11481897343906938</v>
      </c>
      <c r="AA123" s="21">
        <v>1</v>
      </c>
      <c r="AB123" s="21">
        <v>1</v>
      </c>
      <c r="AC123" s="22">
        <f t="shared" si="9"/>
        <v>9.8130567467255847E-2</v>
      </c>
      <c r="AD123" s="22">
        <f t="shared" si="10"/>
        <v>0.11481897343906938</v>
      </c>
      <c r="AE123" s="22">
        <f t="shared" si="11"/>
        <v>0.29507229271171442</v>
      </c>
      <c r="AF123" s="7" t="s">
        <v>1643</v>
      </c>
      <c r="AG123" s="7"/>
      <c r="AH123" s="7"/>
      <c r="AI123" s="7">
        <v>6</v>
      </c>
      <c r="AJ123" s="8" t="b">
        <v>0</v>
      </c>
      <c r="AK123" s="28" t="s">
        <v>1644</v>
      </c>
      <c r="AL123" s="28" t="s">
        <v>1645</v>
      </c>
      <c r="AM123" s="28"/>
      <c r="AN123" s="7"/>
      <c r="AO123" s="7">
        <v>0</v>
      </c>
      <c r="AP123" s="8" t="b">
        <v>0</v>
      </c>
      <c r="AQ123" s="28" t="s">
        <v>1646</v>
      </c>
    </row>
    <row r="124" spans="1:43" ht="30">
      <c r="A124" s="7">
        <v>123</v>
      </c>
      <c r="B124" s="7" t="s">
        <v>456</v>
      </c>
      <c r="C124" s="7" t="s">
        <v>43</v>
      </c>
      <c r="D124" s="7" t="s">
        <v>112</v>
      </c>
      <c r="E124" s="7" t="s">
        <v>1642</v>
      </c>
      <c r="F124" s="7" t="s">
        <v>43</v>
      </c>
      <c r="G124" s="14">
        <v>1736</v>
      </c>
      <c r="H124" s="15">
        <v>4.9400000000000004</v>
      </c>
      <c r="I124" s="15">
        <v>2.34</v>
      </c>
      <c r="J124" s="15">
        <v>0.25610599078341018</v>
      </c>
      <c r="K124" s="15">
        <v>0.12131336405529954</v>
      </c>
      <c r="L124" s="15">
        <v>57.9</v>
      </c>
      <c r="M124" s="15">
        <v>1.5236842105263158</v>
      </c>
      <c r="N124" s="16">
        <v>0.16808337909792032</v>
      </c>
      <c r="O124" s="16">
        <v>7.9618442730593819E-2</v>
      </c>
      <c r="P124" s="17">
        <f>IFERROR(G124/(G124+Priors!$H$3),0)</f>
        <v>0.63450292397660824</v>
      </c>
      <c r="Q124" s="18">
        <f>IF(E124="Premier League",Priors!$H$4,IF(E124="Championship",Priors!$H$5,Priors!$H$8))</f>
        <v>1</v>
      </c>
      <c r="R124" s="19" t="b">
        <v>0</v>
      </c>
      <c r="S124" s="18">
        <f>IF(R124=TRUE,Priors!$H$6,1)</f>
        <v>1</v>
      </c>
      <c r="T124" s="19" t="b">
        <v>0</v>
      </c>
      <c r="U124" s="18">
        <f>IF(T124=TRUE,Priors!$H$7,1)</f>
        <v>1</v>
      </c>
      <c r="V124" s="18">
        <f t="shared" si="6"/>
        <v>0.63450292397660824</v>
      </c>
      <c r="W124" s="20">
        <f>VLOOKUP(D124,Priors!$A$3:$C$6,2,FALSE)</f>
        <v>0.10751786102217777</v>
      </c>
      <c r="X124" s="20">
        <f>VLOOKUP(D124,Priors!$A$3:$C$6,3,FALSE)</f>
        <v>9.0240671969462088E-2</v>
      </c>
      <c r="Y124" s="20">
        <f t="shared" si="7"/>
        <v>0.14594685933339455</v>
      </c>
      <c r="Z124" s="20">
        <f t="shared" si="8"/>
        <v>8.3500836458250349E-2</v>
      </c>
      <c r="AA124" s="21">
        <v>1</v>
      </c>
      <c r="AB124" s="21">
        <v>1</v>
      </c>
      <c r="AC124" s="22">
        <f t="shared" si="9"/>
        <v>0.14594685933339455</v>
      </c>
      <c r="AD124" s="22">
        <f t="shared" si="10"/>
        <v>8.3500836458250349E-2</v>
      </c>
      <c r="AE124" s="22">
        <f t="shared" si="11"/>
        <v>0.36549707602339176</v>
      </c>
      <c r="AF124" s="7" t="s">
        <v>1643</v>
      </c>
      <c r="AG124" s="7"/>
      <c r="AH124" s="7"/>
      <c r="AI124" s="7"/>
      <c r="AJ124" s="8" t="b">
        <v>0</v>
      </c>
      <c r="AK124" s="28" t="s">
        <v>1644</v>
      </c>
      <c r="AL124" s="28" t="s">
        <v>1645</v>
      </c>
      <c r="AM124" s="28"/>
      <c r="AN124" s="7"/>
      <c r="AO124" s="7">
        <v>0</v>
      </c>
      <c r="AP124" s="8" t="b">
        <v>0</v>
      </c>
      <c r="AQ124" s="28" t="s">
        <v>1646</v>
      </c>
    </row>
    <row r="125" spans="1:43" ht="30">
      <c r="A125" s="7">
        <v>124</v>
      </c>
      <c r="B125" s="7" t="s">
        <v>459</v>
      </c>
      <c r="C125" s="7" t="s">
        <v>43</v>
      </c>
      <c r="D125" s="7" t="s">
        <v>112</v>
      </c>
      <c r="E125" s="7" t="s">
        <v>1642</v>
      </c>
      <c r="F125" s="7" t="s">
        <v>43</v>
      </c>
      <c r="G125" s="14">
        <v>1636</v>
      </c>
      <c r="H125" s="15">
        <v>1.39</v>
      </c>
      <c r="I125" s="15">
        <v>3.95</v>
      </c>
      <c r="J125" s="15">
        <v>7.6466992665036676E-2</v>
      </c>
      <c r="K125" s="15">
        <v>0.21729828850855745</v>
      </c>
      <c r="L125" s="15">
        <v>57.9</v>
      </c>
      <c r="M125" s="15">
        <v>1.5236842105263158</v>
      </c>
      <c r="N125" s="16">
        <v>5.0185591040956712E-2</v>
      </c>
      <c r="O125" s="16">
        <v>0.14261372993653165</v>
      </c>
      <c r="P125" s="17">
        <f>IFERROR(G125/(G125+Priors!$H$3),0)</f>
        <v>0.62063732928679816</v>
      </c>
      <c r="Q125" s="18">
        <f>IF(E125="Premier League",Priors!$H$4,IF(E125="Championship",Priors!$H$5,Priors!$H$8))</f>
        <v>1</v>
      </c>
      <c r="R125" s="19" t="b">
        <v>0</v>
      </c>
      <c r="S125" s="18">
        <f>IF(R125=TRUE,Priors!$H$6,1)</f>
        <v>1</v>
      </c>
      <c r="T125" s="19" t="b">
        <v>0</v>
      </c>
      <c r="U125" s="18">
        <f>IF(T125=TRUE,Priors!$H$7,1)</f>
        <v>1</v>
      </c>
      <c r="V125" s="18">
        <f t="shared" si="6"/>
        <v>0.62063732928679816</v>
      </c>
      <c r="W125" s="20">
        <f>VLOOKUP(D125,Priors!$A$3:$C$6,2,FALSE)</f>
        <v>0.10751786102217777</v>
      </c>
      <c r="X125" s="20">
        <f>VLOOKUP(D125,Priors!$A$3:$C$6,3,FALSE)</f>
        <v>9.0240671969462088E-2</v>
      </c>
      <c r="Y125" s="20">
        <f t="shared" si="7"/>
        <v>7.1935314099083061E-2</v>
      </c>
      <c r="Z125" s="20">
        <f t="shared" si="8"/>
        <v>0.12274534679272681</v>
      </c>
      <c r="AA125" s="21">
        <v>1</v>
      </c>
      <c r="AB125" s="21">
        <v>1</v>
      </c>
      <c r="AC125" s="22">
        <f t="shared" si="9"/>
        <v>7.1935314099083061E-2</v>
      </c>
      <c r="AD125" s="22">
        <f t="shared" si="10"/>
        <v>0.12274534679272681</v>
      </c>
      <c r="AE125" s="22">
        <f t="shared" si="11"/>
        <v>0.37936267071320184</v>
      </c>
      <c r="AF125" s="7" t="s">
        <v>1643</v>
      </c>
      <c r="AG125" s="7">
        <v>1</v>
      </c>
      <c r="AH125" s="7"/>
      <c r="AI125" s="7">
        <v>5</v>
      </c>
      <c r="AJ125" s="8" t="b">
        <v>0</v>
      </c>
      <c r="AK125" s="28" t="s">
        <v>1644</v>
      </c>
      <c r="AL125" s="28" t="s">
        <v>1645</v>
      </c>
      <c r="AM125" s="28"/>
      <c r="AN125" s="7"/>
      <c r="AO125" s="7">
        <v>0</v>
      </c>
      <c r="AP125" s="8" t="b">
        <v>0</v>
      </c>
      <c r="AQ125" s="28" t="s">
        <v>1646</v>
      </c>
    </row>
    <row r="126" spans="1:43" ht="30">
      <c r="A126" s="7">
        <v>125</v>
      </c>
      <c r="B126" s="7" t="s">
        <v>461</v>
      </c>
      <c r="C126" s="7" t="s">
        <v>43</v>
      </c>
      <c r="D126" s="7" t="s">
        <v>167</v>
      </c>
      <c r="E126" s="7" t="s">
        <v>1642</v>
      </c>
      <c r="F126" s="7" t="s">
        <v>43</v>
      </c>
      <c r="G126" s="14">
        <v>1776</v>
      </c>
      <c r="H126" s="15">
        <v>2.9</v>
      </c>
      <c r="I126" s="15">
        <v>2.9</v>
      </c>
      <c r="J126" s="15">
        <v>0.14695945945945946</v>
      </c>
      <c r="K126" s="15">
        <v>0.14695945945945946</v>
      </c>
      <c r="L126" s="15">
        <v>57.9</v>
      </c>
      <c r="M126" s="15">
        <v>1.5236842105263158</v>
      </c>
      <c r="N126" s="16">
        <v>9.6450077020025213E-2</v>
      </c>
      <c r="O126" s="16">
        <v>9.6450077020025213E-2</v>
      </c>
      <c r="P126" s="17">
        <f>IFERROR(G126/(G126+Priors!$H$3),0)</f>
        <v>0.63976945244956773</v>
      </c>
      <c r="Q126" s="18">
        <f>IF(E126="Premier League",Priors!$H$4,IF(E126="Championship",Priors!$H$5,Priors!$H$8))</f>
        <v>1</v>
      </c>
      <c r="R126" s="19" t="b">
        <v>0</v>
      </c>
      <c r="S126" s="18">
        <f>IF(R126=TRUE,Priors!$H$6,1)</f>
        <v>1</v>
      </c>
      <c r="T126" s="19" t="b">
        <v>0</v>
      </c>
      <c r="U126" s="18">
        <f>IF(T126=TRUE,Priors!$H$7,1)</f>
        <v>1</v>
      </c>
      <c r="V126" s="18">
        <f t="shared" si="6"/>
        <v>0.63976945244956773</v>
      </c>
      <c r="W126" s="20">
        <f>VLOOKUP(D126,Priors!$A$3:$C$6,2,FALSE)</f>
        <v>0.30461525508032317</v>
      </c>
      <c r="X126" s="20">
        <f>VLOOKUP(D126,Priors!$A$3:$C$6,3,FALSE)</f>
        <v>3.9258061548584466E-2</v>
      </c>
      <c r="Y126" s="20">
        <f t="shared" si="7"/>
        <v>0.17143753309361959</v>
      </c>
      <c r="Z126" s="20">
        <f t="shared" si="8"/>
        <v>7.5847765971235326E-2</v>
      </c>
      <c r="AA126" s="21">
        <v>1</v>
      </c>
      <c r="AB126" s="21">
        <v>1</v>
      </c>
      <c r="AC126" s="22">
        <f t="shared" si="9"/>
        <v>0.17143753309361959</v>
      </c>
      <c r="AD126" s="22">
        <f t="shared" si="10"/>
        <v>7.5847765971235326E-2</v>
      </c>
      <c r="AE126" s="22">
        <f t="shared" si="11"/>
        <v>0.36023054755043227</v>
      </c>
      <c r="AF126" s="7" t="s">
        <v>1643</v>
      </c>
      <c r="AG126" s="7"/>
      <c r="AH126" s="7"/>
      <c r="AI126" s="7"/>
      <c r="AJ126" s="8" t="b">
        <v>0</v>
      </c>
      <c r="AK126" s="28" t="s">
        <v>1644</v>
      </c>
      <c r="AL126" s="28" t="s">
        <v>1645</v>
      </c>
      <c r="AM126" s="28"/>
      <c r="AN126" s="7"/>
      <c r="AO126" s="7">
        <v>0</v>
      </c>
      <c r="AP126" s="8" t="b">
        <v>0</v>
      </c>
      <c r="AQ126" s="28" t="s">
        <v>1646</v>
      </c>
    </row>
    <row r="127" spans="1:43" ht="30">
      <c r="A127" s="7">
        <v>126</v>
      </c>
      <c r="B127" s="7" t="s">
        <v>464</v>
      </c>
      <c r="C127" s="7" t="s">
        <v>43</v>
      </c>
      <c r="D127" s="7" t="s">
        <v>112</v>
      </c>
      <c r="E127" s="7" t="s">
        <v>1642</v>
      </c>
      <c r="F127" s="7" t="s">
        <v>43</v>
      </c>
      <c r="G127" s="14">
        <v>202</v>
      </c>
      <c r="H127" s="15">
        <v>1.21</v>
      </c>
      <c r="I127" s="15">
        <v>0.18</v>
      </c>
      <c r="J127" s="15">
        <v>0.53910891089108903</v>
      </c>
      <c r="K127" s="15">
        <v>8.01980198019802E-2</v>
      </c>
      <c r="L127" s="15">
        <v>57.9</v>
      </c>
      <c r="M127" s="15">
        <v>1.5236842105263158</v>
      </c>
      <c r="N127" s="16">
        <v>0.35381931975580971</v>
      </c>
      <c r="O127" s="16">
        <v>5.2634278971938647E-2</v>
      </c>
      <c r="P127" s="17">
        <f>IFERROR(G127/(G127+Priors!$H$3),0)</f>
        <v>0.16805324459234608</v>
      </c>
      <c r="Q127" s="18">
        <f>IF(E127="Premier League",Priors!$H$4,IF(E127="Championship",Priors!$H$5,Priors!$H$8))</f>
        <v>1</v>
      </c>
      <c r="R127" s="19" t="b">
        <v>0</v>
      </c>
      <c r="S127" s="18">
        <f>IF(R127=TRUE,Priors!$H$6,1)</f>
        <v>1</v>
      </c>
      <c r="T127" s="19" t="b">
        <v>0</v>
      </c>
      <c r="U127" s="18">
        <f>IF(T127=TRUE,Priors!$H$7,1)</f>
        <v>1</v>
      </c>
      <c r="V127" s="18">
        <f t="shared" si="6"/>
        <v>0.16805324459234608</v>
      </c>
      <c r="W127" s="20">
        <f>VLOOKUP(D127,Priors!$A$3:$C$6,2,FALSE)</f>
        <v>0.10751786102217777</v>
      </c>
      <c r="X127" s="20">
        <f>VLOOKUP(D127,Priors!$A$3:$C$6,3,FALSE)</f>
        <v>9.0240671969462088E-2</v>
      </c>
      <c r="Y127" s="20">
        <f t="shared" si="7"/>
        <v>0.14890962031019245</v>
      </c>
      <c r="Z127" s="20">
        <f t="shared" si="8"/>
        <v>8.3920795608813381E-2</v>
      </c>
      <c r="AA127" s="21">
        <v>1</v>
      </c>
      <c r="AB127" s="21">
        <v>1</v>
      </c>
      <c r="AC127" s="22">
        <f t="shared" si="9"/>
        <v>0.14890962031019245</v>
      </c>
      <c r="AD127" s="22">
        <f t="shared" si="10"/>
        <v>8.3920795608813381E-2</v>
      </c>
      <c r="AE127" s="22">
        <f t="shared" si="11"/>
        <v>0.83194675540765395</v>
      </c>
      <c r="AF127" s="7" t="s">
        <v>1643</v>
      </c>
      <c r="AG127" s="7">
        <v>2</v>
      </c>
      <c r="AH127" s="7"/>
      <c r="AI127" s="7"/>
      <c r="AJ127" s="8" t="b">
        <v>1</v>
      </c>
      <c r="AK127" s="28" t="s">
        <v>1644</v>
      </c>
      <c r="AL127" s="28" t="s">
        <v>1645</v>
      </c>
      <c r="AM127" s="28"/>
      <c r="AN127" s="7">
        <v>3</v>
      </c>
      <c r="AO127" s="7">
        <v>0</v>
      </c>
      <c r="AP127" s="8" t="b">
        <v>0</v>
      </c>
      <c r="AQ127" s="28" t="s">
        <v>1646</v>
      </c>
    </row>
    <row r="128" spans="1:43" ht="30">
      <c r="A128" s="7">
        <v>127</v>
      </c>
      <c r="B128" s="7" t="s">
        <v>467</v>
      </c>
      <c r="C128" s="7" t="s">
        <v>43</v>
      </c>
      <c r="D128" s="7" t="s">
        <v>112</v>
      </c>
      <c r="E128" s="7" t="s">
        <v>1642</v>
      </c>
      <c r="F128" s="7" t="s">
        <v>43</v>
      </c>
      <c r="G128" s="14">
        <v>2117</v>
      </c>
      <c r="H128" s="15">
        <v>6.24</v>
      </c>
      <c r="I128" s="15">
        <v>1.72</v>
      </c>
      <c r="J128" s="15">
        <v>0.26528105810108643</v>
      </c>
      <c r="K128" s="15">
        <v>7.3122342938119991E-2</v>
      </c>
      <c r="L128" s="15">
        <v>57.9</v>
      </c>
      <c r="M128" s="15">
        <v>1.5236842105263158</v>
      </c>
      <c r="N128" s="16">
        <v>0.17410501222523808</v>
      </c>
      <c r="O128" s="16">
        <v>4.7990484139007937E-2</v>
      </c>
      <c r="P128" s="17">
        <f>IFERROR(G128/(G128+Priors!$H$3),0)</f>
        <v>0.67917869746551174</v>
      </c>
      <c r="Q128" s="18">
        <f>IF(E128="Premier League",Priors!$H$4,IF(E128="Championship",Priors!$H$5,Priors!$H$8))</f>
        <v>1</v>
      </c>
      <c r="R128" s="19" t="b">
        <v>0</v>
      </c>
      <c r="S128" s="18">
        <f>IF(R128=TRUE,Priors!$H$6,1)</f>
        <v>1</v>
      </c>
      <c r="T128" s="19" t="b">
        <v>0</v>
      </c>
      <c r="U128" s="18">
        <f>IF(T128=TRUE,Priors!$H$7,1)</f>
        <v>1</v>
      </c>
      <c r="V128" s="18">
        <f t="shared" si="6"/>
        <v>0.67917869746551174</v>
      </c>
      <c r="W128" s="20">
        <f>VLOOKUP(D128,Priors!$A$3:$C$6,2,FALSE)</f>
        <v>0.10751786102217777</v>
      </c>
      <c r="X128" s="20">
        <f>VLOOKUP(D128,Priors!$A$3:$C$6,3,FALSE)</f>
        <v>9.0240671969462088E-2</v>
      </c>
      <c r="Y128" s="20">
        <f t="shared" si="7"/>
        <v>0.15274243564421136</v>
      </c>
      <c r="Z128" s="20">
        <f t="shared" si="8"/>
        <v>6.1545244431101022E-2</v>
      </c>
      <c r="AA128" s="21">
        <v>1</v>
      </c>
      <c r="AB128" s="21">
        <v>1</v>
      </c>
      <c r="AC128" s="22">
        <f t="shared" si="9"/>
        <v>0.15274243564421136</v>
      </c>
      <c r="AD128" s="22">
        <f t="shared" si="10"/>
        <v>6.1545244431101022E-2</v>
      </c>
      <c r="AE128" s="22">
        <f t="shared" si="11"/>
        <v>0.32082130253448826</v>
      </c>
      <c r="AF128" s="7" t="s">
        <v>1643</v>
      </c>
      <c r="AG128" s="7"/>
      <c r="AH128" s="7">
        <v>4</v>
      </c>
      <c r="AI128" s="7"/>
      <c r="AJ128" s="8" t="b">
        <v>0</v>
      </c>
      <c r="AK128" s="28" t="s">
        <v>1644</v>
      </c>
      <c r="AL128" s="28" t="s">
        <v>1645</v>
      </c>
      <c r="AM128" s="28"/>
      <c r="AN128" s="7"/>
      <c r="AO128" s="7">
        <v>0</v>
      </c>
      <c r="AP128" s="8" t="b">
        <v>0</v>
      </c>
      <c r="AQ128" s="28" t="s">
        <v>1646</v>
      </c>
    </row>
    <row r="129" spans="1:43" ht="30">
      <c r="A129" s="7">
        <v>128</v>
      </c>
      <c r="B129" s="7" t="s">
        <v>470</v>
      </c>
      <c r="C129" s="7" t="s">
        <v>43</v>
      </c>
      <c r="D129" s="7" t="s">
        <v>112</v>
      </c>
      <c r="E129" s="7" t="s">
        <v>1642</v>
      </c>
      <c r="F129" s="7" t="s">
        <v>51</v>
      </c>
      <c r="G129" s="14">
        <v>81</v>
      </c>
      <c r="H129" s="15">
        <v>0.06</v>
      </c>
      <c r="I129" s="15">
        <v>0.28000000000000003</v>
      </c>
      <c r="J129" s="15">
        <v>6.6666666666666666E-2</v>
      </c>
      <c r="K129" s="15">
        <v>0.31111111111111117</v>
      </c>
      <c r="L129" s="15">
        <v>54.2</v>
      </c>
      <c r="M129" s="15">
        <v>1.4263157894736842</v>
      </c>
      <c r="N129" s="16">
        <v>4.6740467404674045E-2</v>
      </c>
      <c r="O129" s="16">
        <v>0.21812218122181226</v>
      </c>
      <c r="P129" s="17">
        <f>IFERROR(G129/(G129+Priors!$H$3),0)</f>
        <v>7.4930619796484743E-2</v>
      </c>
      <c r="Q129" s="18">
        <f>IF(E129="Premier League",Priors!$H$4,IF(E129="Championship",Priors!$H$5,Priors!$H$8))</f>
        <v>1</v>
      </c>
      <c r="R129" s="19" t="b">
        <v>1</v>
      </c>
      <c r="S129" s="18">
        <f>IF(R129=TRUE,Priors!$H$6,1)</f>
        <v>0.85</v>
      </c>
      <c r="T129" s="19" t="b">
        <v>0</v>
      </c>
      <c r="U129" s="18">
        <f>IF(T129=TRUE,Priors!$H$7,1)</f>
        <v>1</v>
      </c>
      <c r="V129" s="18">
        <f t="shared" si="6"/>
        <v>6.3691026827012026E-2</v>
      </c>
      <c r="W129" s="20">
        <f>VLOOKUP(D129,Priors!$A$3:$C$6,2,FALSE)</f>
        <v>0.10751786102217777</v>
      </c>
      <c r="X129" s="20">
        <f>VLOOKUP(D129,Priors!$A$3:$C$6,3,FALSE)</f>
        <v>9.0240671969462088E-2</v>
      </c>
      <c r="Y129" s="20">
        <f t="shared" si="7"/>
        <v>0.10364688641480947</v>
      </c>
      <c r="Z129" s="20">
        <f t="shared" si="8"/>
        <v>9.8385576605932307E-2</v>
      </c>
      <c r="AA129" s="21">
        <v>1</v>
      </c>
      <c r="AB129" s="21">
        <v>1</v>
      </c>
      <c r="AC129" s="22">
        <f t="shared" si="9"/>
        <v>0.10364688641480947</v>
      </c>
      <c r="AD129" s="22">
        <f t="shared" si="10"/>
        <v>9.8385576605932307E-2</v>
      </c>
      <c r="AE129" s="22">
        <f t="shared" si="11"/>
        <v>0.936308973172988</v>
      </c>
      <c r="AF129" s="7" t="s">
        <v>1643</v>
      </c>
      <c r="AG129" s="7"/>
      <c r="AH129" s="7"/>
      <c r="AI129" s="7"/>
      <c r="AJ129" s="8" t="b">
        <v>1</v>
      </c>
      <c r="AK129" s="28" t="s">
        <v>1644</v>
      </c>
      <c r="AL129" s="28" t="s">
        <v>1645</v>
      </c>
      <c r="AM129" s="28"/>
      <c r="AN129" s="7"/>
      <c r="AO129" s="7">
        <v>0</v>
      </c>
      <c r="AP129" s="8" t="b">
        <v>0</v>
      </c>
      <c r="AQ129" s="28" t="s">
        <v>1646</v>
      </c>
    </row>
    <row r="130" spans="1:43" ht="30">
      <c r="A130" s="7">
        <v>129</v>
      </c>
      <c r="B130" s="7" t="s">
        <v>473</v>
      </c>
      <c r="C130" s="7" t="s">
        <v>43</v>
      </c>
      <c r="D130" s="7" t="s">
        <v>112</v>
      </c>
      <c r="E130" s="7" t="s">
        <v>1642</v>
      </c>
      <c r="F130" s="7" t="s">
        <v>43</v>
      </c>
      <c r="G130" s="14">
        <v>1921</v>
      </c>
      <c r="H130" s="15">
        <v>2.7</v>
      </c>
      <c r="I130" s="15">
        <v>1.1499999999999999</v>
      </c>
      <c r="J130" s="15">
        <v>0.12649661634565332</v>
      </c>
      <c r="K130" s="15">
        <v>5.3878188443518993E-2</v>
      </c>
      <c r="L130" s="15">
        <v>57.9</v>
      </c>
      <c r="M130" s="15">
        <v>1.5236842105263158</v>
      </c>
      <c r="N130" s="16">
        <v>8.3020231798528951E-2</v>
      </c>
      <c r="O130" s="16">
        <v>3.5360469099373432E-2</v>
      </c>
      <c r="P130" s="17">
        <f>IFERROR(G130/(G130+Priors!$H$3),0)</f>
        <v>0.6576514892160219</v>
      </c>
      <c r="Q130" s="18">
        <f>IF(E130="Premier League",Priors!$H$4,IF(E130="Championship",Priors!$H$5,Priors!$H$8))</f>
        <v>1</v>
      </c>
      <c r="R130" s="19" t="b">
        <v>0</v>
      </c>
      <c r="S130" s="18">
        <f>IF(R130=TRUE,Priors!$H$6,1)</f>
        <v>1</v>
      </c>
      <c r="T130" s="19" t="b">
        <v>0</v>
      </c>
      <c r="U130" s="18">
        <f>IF(T130=TRUE,Priors!$H$7,1)</f>
        <v>1</v>
      </c>
      <c r="V130" s="18">
        <f t="shared" ref="V130:V193" si="12">P130*Q130*S130*U130</f>
        <v>0.6576514892160219</v>
      </c>
      <c r="W130" s="20">
        <f>VLOOKUP(D130,Priors!$A$3:$C$6,2,FALSE)</f>
        <v>0.10751786102217777</v>
      </c>
      <c r="X130" s="20">
        <f>VLOOKUP(D130,Priors!$A$3:$C$6,3,FALSE)</f>
        <v>9.0240671969462088E-2</v>
      </c>
      <c r="Y130" s="20">
        <f t="shared" ref="Y130:Y193" si="13">IF(N130="",W130,V130*N130+(1-V130)*W130)</f>
        <v>9.1406958680983197E-2</v>
      </c>
      <c r="Z130" s="20">
        <f t="shared" ref="Z130:Z193" si="14">IF(O130="",X130,V130*O130+(1-V130)*X130)</f>
        <v>5.4148624823470881E-2</v>
      </c>
      <c r="AA130" s="21">
        <v>1</v>
      </c>
      <c r="AB130" s="21">
        <v>1</v>
      </c>
      <c r="AC130" s="22">
        <f t="shared" ref="AC130:AC193" si="15">Y130*AA130</f>
        <v>9.1406958680983197E-2</v>
      </c>
      <c r="AD130" s="22">
        <f t="shared" ref="AD130:AD193" si="16">Z130*AB130</f>
        <v>5.4148624823470881E-2</v>
      </c>
      <c r="AE130" s="22">
        <f t="shared" ref="AE130:AE193" si="17">1-V130</f>
        <v>0.3423485107839781</v>
      </c>
      <c r="AF130" s="7" t="s">
        <v>1643</v>
      </c>
      <c r="AG130" s="7"/>
      <c r="AH130" s="7">
        <v>1</v>
      </c>
      <c r="AI130" s="7">
        <v>8</v>
      </c>
      <c r="AJ130" s="8" t="b">
        <v>0</v>
      </c>
      <c r="AK130" s="28" t="s">
        <v>1644</v>
      </c>
      <c r="AL130" s="28" t="s">
        <v>1645</v>
      </c>
      <c r="AM130" s="28"/>
      <c r="AN130" s="7"/>
      <c r="AO130" s="7">
        <v>0</v>
      </c>
      <c r="AP130" s="8" t="b">
        <v>0</v>
      </c>
      <c r="AQ130" s="28" t="s">
        <v>1646</v>
      </c>
    </row>
    <row r="131" spans="1:43" ht="30">
      <c r="A131" s="7">
        <v>130</v>
      </c>
      <c r="B131" s="7" t="s">
        <v>476</v>
      </c>
      <c r="C131" s="7" t="s">
        <v>43</v>
      </c>
      <c r="D131" s="7" t="s">
        <v>99</v>
      </c>
      <c r="E131" s="7" t="s">
        <v>1642</v>
      </c>
      <c r="F131" s="7" t="s">
        <v>43</v>
      </c>
      <c r="G131" s="14">
        <v>1901</v>
      </c>
      <c r="H131" s="15">
        <v>1.92</v>
      </c>
      <c r="I131" s="15">
        <v>1.86</v>
      </c>
      <c r="J131" s="15">
        <v>9.0899526564965805E-2</v>
      </c>
      <c r="K131" s="15">
        <v>8.8058916359810627E-2</v>
      </c>
      <c r="L131" s="15">
        <v>57.9</v>
      </c>
      <c r="M131" s="15">
        <v>1.5236842105263158</v>
      </c>
      <c r="N131" s="16">
        <v>5.9657720370789306E-2</v>
      </c>
      <c r="O131" s="16">
        <v>5.779341660920214E-2</v>
      </c>
      <c r="P131" s="17">
        <f>IFERROR(G131/(G131+Priors!$H$3),0)</f>
        <v>0.65529127886935534</v>
      </c>
      <c r="Q131" s="18">
        <f>IF(E131="Premier League",Priors!$H$4,IF(E131="Championship",Priors!$H$5,Priors!$H$8))</f>
        <v>1</v>
      </c>
      <c r="R131" s="19" t="b">
        <v>0</v>
      </c>
      <c r="S131" s="18">
        <f>IF(R131=TRUE,Priors!$H$6,1)</f>
        <v>1</v>
      </c>
      <c r="T131" s="19" t="b">
        <v>0</v>
      </c>
      <c r="U131" s="18">
        <f>IF(T131=TRUE,Priors!$H$7,1)</f>
        <v>1</v>
      </c>
      <c r="V131" s="18">
        <f t="shared" si="12"/>
        <v>0.65529127886935534</v>
      </c>
      <c r="W131" s="20">
        <f>VLOOKUP(D131,Priors!$A$3:$C$6,2,FALSE)</f>
        <v>4.1142361271531161E-2</v>
      </c>
      <c r="X131" s="20">
        <f>VLOOKUP(D131,Priors!$A$3:$C$6,3,FALSE)</f>
        <v>4.0513079897554365E-2</v>
      </c>
      <c r="Y131" s="20">
        <f t="shared" si="13"/>
        <v>5.3275314614409389E-2</v>
      </c>
      <c r="Z131" s="20">
        <f t="shared" si="14"/>
        <v>5.1836733840623109E-2</v>
      </c>
      <c r="AA131" s="21">
        <v>1</v>
      </c>
      <c r="AB131" s="21">
        <v>1</v>
      </c>
      <c r="AC131" s="22">
        <f t="shared" si="15"/>
        <v>5.3275314614409389E-2</v>
      </c>
      <c r="AD131" s="22">
        <f t="shared" si="16"/>
        <v>5.1836733840623109E-2</v>
      </c>
      <c r="AE131" s="22">
        <f t="shared" si="17"/>
        <v>0.34470872113064466</v>
      </c>
      <c r="AF131" s="7" t="s">
        <v>1643</v>
      </c>
      <c r="AG131" s="7"/>
      <c r="AH131" s="7"/>
      <c r="AI131" s="7"/>
      <c r="AJ131" s="8" t="b">
        <v>0</v>
      </c>
      <c r="AK131" s="28" t="s">
        <v>1644</v>
      </c>
      <c r="AL131" s="28" t="s">
        <v>1645</v>
      </c>
      <c r="AM131" s="28"/>
      <c r="AN131" s="7"/>
      <c r="AO131" s="7">
        <v>0</v>
      </c>
      <c r="AP131" s="8" t="b">
        <v>0</v>
      </c>
      <c r="AQ131" s="28" t="s">
        <v>1646</v>
      </c>
    </row>
    <row r="132" spans="1:43" ht="30">
      <c r="A132" s="7">
        <v>131</v>
      </c>
      <c r="B132" s="7" t="s">
        <v>479</v>
      </c>
      <c r="C132" s="7" t="s">
        <v>43</v>
      </c>
      <c r="D132" s="7" t="s">
        <v>112</v>
      </c>
      <c r="E132" s="7" t="s">
        <v>1642</v>
      </c>
      <c r="F132" s="7" t="s">
        <v>43</v>
      </c>
      <c r="G132" s="14">
        <v>1646</v>
      </c>
      <c r="H132" s="15">
        <v>0.78</v>
      </c>
      <c r="I132" s="15">
        <v>0.72</v>
      </c>
      <c r="J132" s="15">
        <v>4.2648845686512761E-2</v>
      </c>
      <c r="K132" s="15">
        <v>3.9368165249088698E-2</v>
      </c>
      <c r="L132" s="15">
        <v>57.9</v>
      </c>
      <c r="M132" s="15">
        <v>1.5236842105263158</v>
      </c>
      <c r="N132" s="16">
        <v>2.7990606840889203E-2</v>
      </c>
      <c r="O132" s="16">
        <v>2.5837483237743878E-2</v>
      </c>
      <c r="P132" s="17">
        <f>IFERROR(G132/(G132+Priors!$H$3),0)</f>
        <v>0.62207105064247925</v>
      </c>
      <c r="Q132" s="18">
        <f>IF(E132="Premier League",Priors!$H$4,IF(E132="Championship",Priors!$H$5,Priors!$H$8))</f>
        <v>1</v>
      </c>
      <c r="R132" s="19" t="b">
        <v>0</v>
      </c>
      <c r="S132" s="18">
        <f>IF(R132=TRUE,Priors!$H$6,1)</f>
        <v>1</v>
      </c>
      <c r="T132" s="19" t="b">
        <v>0</v>
      </c>
      <c r="U132" s="18">
        <f>IF(T132=TRUE,Priors!$H$7,1)</f>
        <v>1</v>
      </c>
      <c r="V132" s="18">
        <f t="shared" si="12"/>
        <v>0.62207105064247925</v>
      </c>
      <c r="W132" s="20">
        <f>VLOOKUP(D132,Priors!$A$3:$C$6,2,FALSE)</f>
        <v>0.10751786102217777</v>
      </c>
      <c r="X132" s="20">
        <f>VLOOKUP(D132,Priors!$A$3:$C$6,3,FALSE)</f>
        <v>9.0240671969462088E-2</v>
      </c>
      <c r="Y132" s="20">
        <f t="shared" si="13"/>
        <v>5.8046258458912092E-2</v>
      </c>
      <c r="Z132" s="20">
        <f t="shared" si="14"/>
        <v>5.0177312690396256E-2</v>
      </c>
      <c r="AA132" s="21">
        <v>1</v>
      </c>
      <c r="AB132" s="21">
        <v>1</v>
      </c>
      <c r="AC132" s="22">
        <f t="shared" si="15"/>
        <v>5.8046258458912092E-2</v>
      </c>
      <c r="AD132" s="22">
        <f t="shared" si="16"/>
        <v>5.0177312690396256E-2</v>
      </c>
      <c r="AE132" s="22">
        <f t="shared" si="17"/>
        <v>0.37792894935752075</v>
      </c>
      <c r="AF132" s="7" t="s">
        <v>1643</v>
      </c>
      <c r="AG132" s="7"/>
      <c r="AH132" s="7"/>
      <c r="AI132" s="7"/>
      <c r="AJ132" s="8" t="b">
        <v>0</v>
      </c>
      <c r="AK132" s="28" t="s">
        <v>1644</v>
      </c>
      <c r="AL132" s="28" t="s">
        <v>1645</v>
      </c>
      <c r="AM132" s="28"/>
      <c r="AN132" s="7"/>
      <c r="AO132" s="7">
        <v>0</v>
      </c>
      <c r="AP132" s="8" t="b">
        <v>0</v>
      </c>
      <c r="AQ132" s="28" t="s">
        <v>1646</v>
      </c>
    </row>
    <row r="133" spans="1:43" ht="30">
      <c r="A133" s="7">
        <v>132</v>
      </c>
      <c r="B133" s="7" t="s">
        <v>482</v>
      </c>
      <c r="C133" s="7" t="s">
        <v>43</v>
      </c>
      <c r="D133" s="7" t="s">
        <v>112</v>
      </c>
      <c r="E133" s="7" t="s">
        <v>1642</v>
      </c>
      <c r="F133" s="7" t="s">
        <v>43</v>
      </c>
      <c r="G133" s="14">
        <v>92</v>
      </c>
      <c r="H133" s="15">
        <v>0</v>
      </c>
      <c r="I133" s="15">
        <v>0.03</v>
      </c>
      <c r="J133" s="15">
        <v>0</v>
      </c>
      <c r="K133" s="15">
        <v>2.9347826086956519E-2</v>
      </c>
      <c r="L133" s="15">
        <v>57.9</v>
      </c>
      <c r="M133" s="15">
        <v>1.5236842105263158</v>
      </c>
      <c r="N133" s="16">
        <v>0</v>
      </c>
      <c r="O133" s="16">
        <v>1.9261094841180444E-2</v>
      </c>
      <c r="P133" s="17">
        <f>IFERROR(G133/(G133+Priors!$H$3),0)</f>
        <v>8.4249084249084255E-2</v>
      </c>
      <c r="Q133" s="18">
        <f>IF(E133="Premier League",Priors!$H$4,IF(E133="Championship",Priors!$H$5,Priors!$H$8))</f>
        <v>1</v>
      </c>
      <c r="R133" s="19" t="b">
        <v>0</v>
      </c>
      <c r="S133" s="18">
        <f>IF(R133=TRUE,Priors!$H$6,1)</f>
        <v>1</v>
      </c>
      <c r="T133" s="19" t="b">
        <v>0</v>
      </c>
      <c r="U133" s="18">
        <f>IF(T133=TRUE,Priors!$H$7,1)</f>
        <v>1</v>
      </c>
      <c r="V133" s="18">
        <f t="shared" si="12"/>
        <v>8.4249084249084255E-2</v>
      </c>
      <c r="W133" s="20">
        <f>VLOOKUP(D133,Priors!$A$3:$C$6,2,FALSE)</f>
        <v>0.10751786102217777</v>
      </c>
      <c r="X133" s="20">
        <f>VLOOKUP(D133,Priors!$A$3:$C$6,3,FALSE)</f>
        <v>9.0240671969462088E-2</v>
      </c>
      <c r="Y133" s="20">
        <f t="shared" si="13"/>
        <v>9.8459579690638982E-2</v>
      </c>
      <c r="Z133" s="20">
        <f t="shared" si="14"/>
        <v>8.4260707596017115E-2</v>
      </c>
      <c r="AA133" s="21">
        <v>1</v>
      </c>
      <c r="AB133" s="21">
        <v>1</v>
      </c>
      <c r="AC133" s="22">
        <f t="shared" si="15"/>
        <v>9.8459579690638982E-2</v>
      </c>
      <c r="AD133" s="22">
        <f t="shared" si="16"/>
        <v>8.4260707596017115E-2</v>
      </c>
      <c r="AE133" s="22">
        <f t="shared" si="17"/>
        <v>0.91575091575091572</v>
      </c>
      <c r="AF133" s="7" t="s">
        <v>1643</v>
      </c>
      <c r="AG133" s="7"/>
      <c r="AH133" s="7"/>
      <c r="AI133" s="7"/>
      <c r="AJ133" s="8" t="b">
        <v>1</v>
      </c>
      <c r="AK133" s="28" t="s">
        <v>1644</v>
      </c>
      <c r="AL133" s="28" t="s">
        <v>1645</v>
      </c>
      <c r="AM133" s="28"/>
      <c r="AN133" s="7"/>
      <c r="AO133" s="7">
        <v>0</v>
      </c>
      <c r="AP133" s="8" t="b">
        <v>0</v>
      </c>
      <c r="AQ133" s="28" t="s">
        <v>1646</v>
      </c>
    </row>
    <row r="134" spans="1:43" ht="30">
      <c r="A134" s="7">
        <v>133</v>
      </c>
      <c r="B134" s="7" t="s">
        <v>484</v>
      </c>
      <c r="C134" s="7" t="s">
        <v>43</v>
      </c>
      <c r="D134" s="7" t="s">
        <v>112</v>
      </c>
      <c r="E134" s="7" t="s">
        <v>1642</v>
      </c>
      <c r="F134" s="7" t="s">
        <v>43</v>
      </c>
      <c r="G134" s="14">
        <v>57</v>
      </c>
      <c r="H134" s="15">
        <v>0.04</v>
      </c>
      <c r="I134" s="15">
        <v>0.03</v>
      </c>
      <c r="J134" s="15">
        <v>6.3157894736842107E-2</v>
      </c>
      <c r="K134" s="15">
        <v>4.7368421052631574E-2</v>
      </c>
      <c r="L134" s="15">
        <v>57.9</v>
      </c>
      <c r="M134" s="15">
        <v>1.5236842105263158</v>
      </c>
      <c r="N134" s="16">
        <v>4.145077720207254E-2</v>
      </c>
      <c r="O134" s="16">
        <v>3.10880829015544E-2</v>
      </c>
      <c r="P134" s="17">
        <f>IFERROR(G134/(G134+Priors!$H$3),0)</f>
        <v>5.392620624408704E-2</v>
      </c>
      <c r="Q134" s="18">
        <f>IF(E134="Premier League",Priors!$H$4,IF(E134="Championship",Priors!$H$5,Priors!$H$8))</f>
        <v>1</v>
      </c>
      <c r="R134" s="19" t="b">
        <v>0</v>
      </c>
      <c r="S134" s="18">
        <f>IF(R134=TRUE,Priors!$H$6,1)</f>
        <v>1</v>
      </c>
      <c r="T134" s="19" t="b">
        <v>0</v>
      </c>
      <c r="U134" s="18">
        <f>IF(T134=TRUE,Priors!$H$7,1)</f>
        <v>1</v>
      </c>
      <c r="V134" s="18">
        <f t="shared" si="12"/>
        <v>5.392620624408704E-2</v>
      </c>
      <c r="W134" s="20">
        <f>VLOOKUP(D134,Priors!$A$3:$C$6,2,FALSE)</f>
        <v>0.10751786102217777</v>
      </c>
      <c r="X134" s="20">
        <f>VLOOKUP(D134,Priors!$A$3:$C$6,3,FALSE)</f>
        <v>9.0240671969462088E-2</v>
      </c>
      <c r="Y134" s="20">
        <f t="shared" si="13"/>
        <v>0.10395511383414938</v>
      </c>
      <c r="Z134" s="20">
        <f t="shared" si="14"/>
        <v>8.7050797251514378E-2</v>
      </c>
      <c r="AA134" s="21">
        <v>1</v>
      </c>
      <c r="AB134" s="21">
        <v>1</v>
      </c>
      <c r="AC134" s="22">
        <f t="shared" si="15"/>
        <v>0.10395511383414938</v>
      </c>
      <c r="AD134" s="22">
        <f t="shared" si="16"/>
        <v>8.7050797251514378E-2</v>
      </c>
      <c r="AE134" s="22">
        <f t="shared" si="17"/>
        <v>0.94607379375591294</v>
      </c>
      <c r="AF134" s="7" t="s">
        <v>1643</v>
      </c>
      <c r="AG134" s="7"/>
      <c r="AH134" s="7"/>
      <c r="AI134" s="7"/>
      <c r="AJ134" s="8" t="b">
        <v>1</v>
      </c>
      <c r="AK134" s="28" t="s">
        <v>1644</v>
      </c>
      <c r="AL134" s="28" t="s">
        <v>1645</v>
      </c>
      <c r="AM134" s="28"/>
      <c r="AN134" s="7"/>
      <c r="AO134" s="7">
        <v>0</v>
      </c>
      <c r="AP134" s="8" t="b">
        <v>0</v>
      </c>
      <c r="AQ134" s="28" t="s">
        <v>1646</v>
      </c>
    </row>
    <row r="135" spans="1:43" ht="30">
      <c r="A135" s="7">
        <v>134</v>
      </c>
      <c r="B135" s="7" t="s">
        <v>488</v>
      </c>
      <c r="C135" s="7" t="s">
        <v>43</v>
      </c>
      <c r="D135" s="7" t="s">
        <v>112</v>
      </c>
      <c r="E135" s="7" t="s">
        <v>1642</v>
      </c>
      <c r="F135" s="7" t="s">
        <v>43</v>
      </c>
      <c r="G135" s="14">
        <v>1</v>
      </c>
      <c r="H135" s="15">
        <v>0</v>
      </c>
      <c r="I135" s="15">
        <v>0</v>
      </c>
      <c r="J135" s="15">
        <v>0</v>
      </c>
      <c r="K135" s="15">
        <v>0</v>
      </c>
      <c r="L135" s="15">
        <v>57.9</v>
      </c>
      <c r="M135" s="15">
        <v>1.5236842105263158</v>
      </c>
      <c r="N135" s="16">
        <v>0</v>
      </c>
      <c r="O135" s="16">
        <v>0</v>
      </c>
      <c r="P135" s="17">
        <f>IFERROR(G135/(G135+Priors!$H$3),0)</f>
        <v>9.99000999000999E-4</v>
      </c>
      <c r="Q135" s="18">
        <f>IF(E135="Premier League",Priors!$H$4,IF(E135="Championship",Priors!$H$5,Priors!$H$8))</f>
        <v>1</v>
      </c>
      <c r="R135" s="19" t="b">
        <v>0</v>
      </c>
      <c r="S135" s="18">
        <f>IF(R135=TRUE,Priors!$H$6,1)</f>
        <v>1</v>
      </c>
      <c r="T135" s="19" t="b">
        <v>0</v>
      </c>
      <c r="U135" s="18">
        <f>IF(T135=TRUE,Priors!$H$7,1)</f>
        <v>1</v>
      </c>
      <c r="V135" s="18">
        <f t="shared" si="12"/>
        <v>9.99000999000999E-4</v>
      </c>
      <c r="W135" s="20">
        <f>VLOOKUP(D135,Priors!$A$3:$C$6,2,FALSE)</f>
        <v>0.10751786102217777</v>
      </c>
      <c r="X135" s="20">
        <f>VLOOKUP(D135,Priors!$A$3:$C$6,3,FALSE)</f>
        <v>9.0240671969462088E-2</v>
      </c>
      <c r="Y135" s="20">
        <f t="shared" si="13"/>
        <v>0.10741045057160617</v>
      </c>
      <c r="Z135" s="20">
        <f t="shared" si="14"/>
        <v>9.0150521448014082E-2</v>
      </c>
      <c r="AA135" s="21">
        <v>1</v>
      </c>
      <c r="AB135" s="21">
        <v>1</v>
      </c>
      <c r="AC135" s="22">
        <f t="shared" si="15"/>
        <v>0.10741045057160617</v>
      </c>
      <c r="AD135" s="22">
        <f t="shared" si="16"/>
        <v>9.0150521448014082E-2</v>
      </c>
      <c r="AE135" s="22">
        <f t="shared" si="17"/>
        <v>0.99900099900099903</v>
      </c>
      <c r="AF135" s="7" t="s">
        <v>1643</v>
      </c>
      <c r="AG135" s="7"/>
      <c r="AH135" s="7"/>
      <c r="AI135" s="7"/>
      <c r="AJ135" s="8" t="b">
        <v>1</v>
      </c>
      <c r="AK135" s="28" t="s">
        <v>1644</v>
      </c>
      <c r="AL135" s="28" t="s">
        <v>1645</v>
      </c>
      <c r="AM135" s="28"/>
      <c r="AN135" s="7"/>
      <c r="AO135" s="7">
        <v>0</v>
      </c>
      <c r="AP135" s="8" t="b">
        <v>0</v>
      </c>
      <c r="AQ135" s="28" t="s">
        <v>1646</v>
      </c>
    </row>
    <row r="136" spans="1:43" ht="15">
      <c r="A136" s="7">
        <v>135</v>
      </c>
      <c r="B136" s="7" t="s">
        <v>490</v>
      </c>
      <c r="C136" s="7" t="s">
        <v>43</v>
      </c>
      <c r="D136" s="7" t="s">
        <v>112</v>
      </c>
      <c r="E136" s="7" t="s">
        <v>1647</v>
      </c>
      <c r="F136" s="7"/>
      <c r="G136" s="14"/>
      <c r="H136" s="15"/>
      <c r="I136" s="15"/>
      <c r="J136" s="15"/>
      <c r="K136" s="15"/>
      <c r="L136" s="15"/>
      <c r="M136" s="15"/>
      <c r="N136" s="16"/>
      <c r="O136" s="16"/>
      <c r="P136" s="17">
        <f>IFERROR(G136/(G136+Priors!$H$3),0)</f>
        <v>0</v>
      </c>
      <c r="Q136" s="18">
        <f>IF(E136="Premier League",Priors!$H$4,IF(E136="Championship",Priors!$H$5,Priors!$H$8))</f>
        <v>0</v>
      </c>
      <c r="R136" s="19" t="b">
        <v>0</v>
      </c>
      <c r="S136" s="18">
        <f>IF(R136=TRUE,Priors!$H$6,1)</f>
        <v>1</v>
      </c>
      <c r="T136" s="19" t="b">
        <v>0</v>
      </c>
      <c r="U136" s="18">
        <f>IF(T136=TRUE,Priors!$H$7,1)</f>
        <v>1</v>
      </c>
      <c r="V136" s="18">
        <f t="shared" si="12"/>
        <v>0</v>
      </c>
      <c r="W136" s="20">
        <f>VLOOKUP(D136,Priors!$A$3:$C$6,2,FALSE)</f>
        <v>0.10751786102217777</v>
      </c>
      <c r="X136" s="20">
        <f>VLOOKUP(D136,Priors!$A$3:$C$6,3,FALSE)</f>
        <v>9.0240671969462088E-2</v>
      </c>
      <c r="Y136" s="20">
        <f t="shared" si="13"/>
        <v>0.10751786102217777</v>
      </c>
      <c r="Z136" s="20">
        <f t="shared" si="14"/>
        <v>9.0240671969462088E-2</v>
      </c>
      <c r="AA136" s="21">
        <v>1</v>
      </c>
      <c r="AB136" s="21">
        <v>1</v>
      </c>
      <c r="AC136" s="22">
        <f t="shared" si="15"/>
        <v>0.10751786102217777</v>
      </c>
      <c r="AD136" s="22">
        <f t="shared" si="16"/>
        <v>9.0240671969462088E-2</v>
      </c>
      <c r="AE136" s="22">
        <f t="shared" si="17"/>
        <v>1</v>
      </c>
      <c r="AF136" s="7" t="s">
        <v>1647</v>
      </c>
      <c r="AG136" s="7"/>
      <c r="AH136" s="7"/>
      <c r="AI136" s="7"/>
      <c r="AJ136" s="8" t="b">
        <v>1</v>
      </c>
      <c r="AK136" s="28" t="s">
        <v>1648</v>
      </c>
      <c r="AL136" s="28"/>
      <c r="AM136" s="28"/>
      <c r="AN136" s="7"/>
      <c r="AO136" s="7"/>
      <c r="AP136" s="7"/>
      <c r="AQ136" s="28" t="s">
        <v>1650</v>
      </c>
    </row>
    <row r="137" spans="1:43" ht="30">
      <c r="A137" s="7">
        <v>137</v>
      </c>
      <c r="B137" s="7" t="s">
        <v>492</v>
      </c>
      <c r="C137" s="7" t="s">
        <v>43</v>
      </c>
      <c r="D137" s="7" t="s">
        <v>167</v>
      </c>
      <c r="E137" s="7" t="s">
        <v>1642</v>
      </c>
      <c r="F137" s="7" t="s">
        <v>43</v>
      </c>
      <c r="G137" s="14">
        <v>132</v>
      </c>
      <c r="H137" s="15">
        <v>0.44</v>
      </c>
      <c r="I137" s="15">
        <v>0.11</v>
      </c>
      <c r="J137" s="15">
        <v>0.3</v>
      </c>
      <c r="K137" s="15">
        <v>7.4999999999999997E-2</v>
      </c>
      <c r="L137" s="15">
        <v>57.9</v>
      </c>
      <c r="M137" s="15">
        <v>1.5236842105263158</v>
      </c>
      <c r="N137" s="16">
        <v>0.19689119170984457</v>
      </c>
      <c r="O137" s="16">
        <v>4.9222797927461141E-2</v>
      </c>
      <c r="P137" s="17">
        <f>IFERROR(G137/(G137+Priors!$H$3),0)</f>
        <v>0.1166077738515901</v>
      </c>
      <c r="Q137" s="18">
        <f>IF(E137="Premier League",Priors!$H$4,IF(E137="Championship",Priors!$H$5,Priors!$H$8))</f>
        <v>1</v>
      </c>
      <c r="R137" s="19" t="b">
        <v>0</v>
      </c>
      <c r="S137" s="18">
        <f>IF(R137=TRUE,Priors!$H$6,1)</f>
        <v>1</v>
      </c>
      <c r="T137" s="19" t="b">
        <v>0</v>
      </c>
      <c r="U137" s="18">
        <f>IF(T137=TRUE,Priors!$H$7,1)</f>
        <v>1</v>
      </c>
      <c r="V137" s="18">
        <f t="shared" si="12"/>
        <v>0.1166077738515901</v>
      </c>
      <c r="W137" s="20">
        <f>VLOOKUP(D137,Priors!$A$3:$C$6,2,FALSE)</f>
        <v>0.30461525508032317</v>
      </c>
      <c r="X137" s="20">
        <f>VLOOKUP(D137,Priors!$A$3:$C$6,3,FALSE)</f>
        <v>3.9258061548584466E-2</v>
      </c>
      <c r="Y137" s="20">
        <f t="shared" si="13"/>
        <v>0.29205379186044406</v>
      </c>
      <c r="Z137" s="20">
        <f t="shared" si="14"/>
        <v>4.0420027274743232E-2</v>
      </c>
      <c r="AA137" s="21">
        <v>1</v>
      </c>
      <c r="AB137" s="21">
        <v>1</v>
      </c>
      <c r="AC137" s="22">
        <f t="shared" si="15"/>
        <v>0.29205379186044406</v>
      </c>
      <c r="AD137" s="22">
        <f t="shared" si="16"/>
        <v>4.0420027274743232E-2</v>
      </c>
      <c r="AE137" s="22">
        <f t="shared" si="17"/>
        <v>0.88339222614840995</v>
      </c>
      <c r="AF137" s="7" t="s">
        <v>1643</v>
      </c>
      <c r="AG137" s="7"/>
      <c r="AH137" s="7"/>
      <c r="AI137" s="7"/>
      <c r="AJ137" s="8" t="b">
        <v>1</v>
      </c>
      <c r="AK137" s="28" t="s">
        <v>1644</v>
      </c>
      <c r="AL137" s="28" t="s">
        <v>1645</v>
      </c>
      <c r="AM137" s="28"/>
      <c r="AN137" s="7">
        <v>2</v>
      </c>
      <c r="AO137" s="7">
        <v>2</v>
      </c>
      <c r="AP137" s="8" t="b">
        <v>1</v>
      </c>
      <c r="AQ137" s="28" t="s">
        <v>1649</v>
      </c>
    </row>
    <row r="138" spans="1:43" ht="30">
      <c r="A138" s="7">
        <v>138</v>
      </c>
      <c r="B138" s="7" t="s">
        <v>495</v>
      </c>
      <c r="C138" s="7" t="s">
        <v>43</v>
      </c>
      <c r="D138" s="7" t="s">
        <v>167</v>
      </c>
      <c r="E138" s="7" t="s">
        <v>1642</v>
      </c>
      <c r="F138" s="7" t="s">
        <v>43</v>
      </c>
      <c r="G138" s="14">
        <v>351</v>
      </c>
      <c r="H138" s="15">
        <v>2.12</v>
      </c>
      <c r="I138" s="15">
        <v>0.54</v>
      </c>
      <c r="J138" s="15">
        <v>0.54358974358974366</v>
      </c>
      <c r="K138" s="15">
        <v>0.13846153846153847</v>
      </c>
      <c r="L138" s="15">
        <v>57.9</v>
      </c>
      <c r="M138" s="15">
        <v>1.5236842105263158</v>
      </c>
      <c r="N138" s="16">
        <v>0.35676010805544489</v>
      </c>
      <c r="O138" s="16">
        <v>9.0872857712235952E-2</v>
      </c>
      <c r="P138" s="17">
        <f>IFERROR(G138/(G138+Priors!$H$3),0)</f>
        <v>0.25980754996299038</v>
      </c>
      <c r="Q138" s="18">
        <f>IF(E138="Premier League",Priors!$H$4,IF(E138="Championship",Priors!$H$5,Priors!$H$8))</f>
        <v>1</v>
      </c>
      <c r="R138" s="19" t="b">
        <v>0</v>
      </c>
      <c r="S138" s="18">
        <f>IF(R138=TRUE,Priors!$H$6,1)</f>
        <v>1</v>
      </c>
      <c r="T138" s="19" t="b">
        <v>0</v>
      </c>
      <c r="U138" s="18">
        <f>IF(T138=TRUE,Priors!$H$7,1)</f>
        <v>1</v>
      </c>
      <c r="V138" s="18">
        <f t="shared" si="12"/>
        <v>0.25980754996299038</v>
      </c>
      <c r="W138" s="20">
        <f>VLOOKUP(D138,Priors!$A$3:$C$6,2,FALSE)</f>
        <v>0.30461525508032317</v>
      </c>
      <c r="X138" s="20">
        <f>VLOOKUP(D138,Priors!$A$3:$C$6,3,FALSE)</f>
        <v>3.9258061548584466E-2</v>
      </c>
      <c r="Y138" s="20">
        <f t="shared" si="13"/>
        <v>0.31816288157496991</v>
      </c>
      <c r="Z138" s="20">
        <f t="shared" si="14"/>
        <v>5.2667975281701918E-2</v>
      </c>
      <c r="AA138" s="21">
        <v>1</v>
      </c>
      <c r="AB138" s="21">
        <v>1</v>
      </c>
      <c r="AC138" s="22">
        <f t="shared" si="15"/>
        <v>0.31816288157496991</v>
      </c>
      <c r="AD138" s="22">
        <f t="shared" si="16"/>
        <v>5.2667975281701918E-2</v>
      </c>
      <c r="AE138" s="22">
        <f t="shared" si="17"/>
        <v>0.74019245003700962</v>
      </c>
      <c r="AF138" s="7" t="s">
        <v>1643</v>
      </c>
      <c r="AG138" s="7"/>
      <c r="AH138" s="7"/>
      <c r="AI138" s="7"/>
      <c r="AJ138" s="8" t="b">
        <v>1</v>
      </c>
      <c r="AK138" s="28" t="s">
        <v>1644</v>
      </c>
      <c r="AL138" s="28" t="s">
        <v>1645</v>
      </c>
      <c r="AM138" s="28"/>
      <c r="AN138" s="7"/>
      <c r="AO138" s="7">
        <v>0</v>
      </c>
      <c r="AP138" s="8" t="b">
        <v>0</v>
      </c>
      <c r="AQ138" s="28" t="s">
        <v>1646</v>
      </c>
    </row>
    <row r="139" spans="1:43" ht="15">
      <c r="A139" s="7">
        <v>139</v>
      </c>
      <c r="B139" s="7" t="s">
        <v>497</v>
      </c>
      <c r="C139" s="7" t="s">
        <v>43</v>
      </c>
      <c r="D139" s="7" t="s">
        <v>167</v>
      </c>
      <c r="E139" s="7" t="s">
        <v>1647</v>
      </c>
      <c r="F139" s="7"/>
      <c r="G139" s="14"/>
      <c r="H139" s="15"/>
      <c r="I139" s="15"/>
      <c r="J139" s="15"/>
      <c r="K139" s="15"/>
      <c r="L139" s="15"/>
      <c r="M139" s="15"/>
      <c r="N139" s="16"/>
      <c r="O139" s="16"/>
      <c r="P139" s="17">
        <f>IFERROR(G139/(G139+Priors!$H$3),0)</f>
        <v>0</v>
      </c>
      <c r="Q139" s="18">
        <f>IF(E139="Premier League",Priors!$H$4,IF(E139="Championship",Priors!$H$5,Priors!$H$8))</f>
        <v>0</v>
      </c>
      <c r="R139" s="19" t="b">
        <v>0</v>
      </c>
      <c r="S139" s="18">
        <f>IF(R139=TRUE,Priors!$H$6,1)</f>
        <v>1</v>
      </c>
      <c r="T139" s="19" t="b">
        <v>0</v>
      </c>
      <c r="U139" s="18">
        <f>IF(T139=TRUE,Priors!$H$7,1)</f>
        <v>1</v>
      </c>
      <c r="V139" s="18">
        <f t="shared" si="12"/>
        <v>0</v>
      </c>
      <c r="W139" s="20">
        <f>VLOOKUP(D139,Priors!$A$3:$C$6,2,FALSE)</f>
        <v>0.30461525508032317</v>
      </c>
      <c r="X139" s="20">
        <f>VLOOKUP(D139,Priors!$A$3:$C$6,3,FALSE)</f>
        <v>3.9258061548584466E-2</v>
      </c>
      <c r="Y139" s="20">
        <f t="shared" si="13"/>
        <v>0.30461525508032317</v>
      </c>
      <c r="Z139" s="20">
        <f t="shared" si="14"/>
        <v>3.9258061548584466E-2</v>
      </c>
      <c r="AA139" s="21">
        <v>1</v>
      </c>
      <c r="AB139" s="21">
        <v>1</v>
      </c>
      <c r="AC139" s="22">
        <f t="shared" si="15"/>
        <v>0.30461525508032317</v>
      </c>
      <c r="AD139" s="22">
        <f t="shared" si="16"/>
        <v>3.9258061548584466E-2</v>
      </c>
      <c r="AE139" s="22">
        <f t="shared" si="17"/>
        <v>1</v>
      </c>
      <c r="AF139" s="7" t="s">
        <v>1647</v>
      </c>
      <c r="AG139" s="7"/>
      <c r="AH139" s="7"/>
      <c r="AI139" s="7"/>
      <c r="AJ139" s="8" t="b">
        <v>1</v>
      </c>
      <c r="AK139" s="28" t="s">
        <v>1648</v>
      </c>
      <c r="AL139" s="28"/>
      <c r="AM139" s="28"/>
      <c r="AN139" s="7"/>
      <c r="AO139" s="7">
        <v>0</v>
      </c>
      <c r="AP139" s="8" t="b">
        <v>0</v>
      </c>
      <c r="AQ139" s="28" t="s">
        <v>1646</v>
      </c>
    </row>
    <row r="140" spans="1:43" ht="30">
      <c r="A140" s="7">
        <v>328</v>
      </c>
      <c r="B140" s="7" t="s">
        <v>501</v>
      </c>
      <c r="C140" s="7" t="s">
        <v>43</v>
      </c>
      <c r="D140" s="7" t="s">
        <v>99</v>
      </c>
      <c r="E140" s="7" t="s">
        <v>1642</v>
      </c>
      <c r="F140" s="7" t="s">
        <v>51</v>
      </c>
      <c r="G140" s="14">
        <v>2935</v>
      </c>
      <c r="H140" s="15">
        <v>3.06</v>
      </c>
      <c r="I140" s="15">
        <v>0.76</v>
      </c>
      <c r="J140" s="15">
        <v>9.3833049403747856E-2</v>
      </c>
      <c r="K140" s="15">
        <v>2.3304940374787055E-2</v>
      </c>
      <c r="L140" s="15">
        <v>54.2</v>
      </c>
      <c r="M140" s="15">
        <v>1.4263157894736842</v>
      </c>
      <c r="N140" s="16">
        <v>6.5787008807055694E-2</v>
      </c>
      <c r="O140" s="16">
        <v>1.6339257089334099E-2</v>
      </c>
      <c r="P140" s="17">
        <f>IFERROR(G140/(G140+Priors!$H$3),0)</f>
        <v>0.74587039390088949</v>
      </c>
      <c r="Q140" s="18">
        <f>IF(E140="Premier League",Priors!$H$4,IF(E140="Championship",Priors!$H$5,Priors!$H$8))</f>
        <v>1</v>
      </c>
      <c r="R140" s="19" t="b">
        <v>1</v>
      </c>
      <c r="S140" s="18">
        <f>IF(R140=TRUE,Priors!$H$6,1)</f>
        <v>0.85</v>
      </c>
      <c r="T140" s="19" t="b">
        <v>0</v>
      </c>
      <c r="U140" s="18">
        <f>IF(T140=TRUE,Priors!$H$7,1)</f>
        <v>1</v>
      </c>
      <c r="V140" s="18">
        <f t="shared" si="12"/>
        <v>0.6339898348157561</v>
      </c>
      <c r="W140" s="20">
        <f>VLOOKUP(D140,Priors!$A$3:$C$6,2,FALSE)</f>
        <v>4.1142361271531161E-2</v>
      </c>
      <c r="X140" s="20">
        <f>VLOOKUP(D140,Priors!$A$3:$C$6,3,FALSE)</f>
        <v>4.0513079897554365E-2</v>
      </c>
      <c r="Y140" s="20">
        <f t="shared" si="13"/>
        <v>5.6766817291670886E-2</v>
      </c>
      <c r="Z140" s="20">
        <f t="shared" si="14"/>
        <v>2.5187121968505442E-2</v>
      </c>
      <c r="AA140" s="21">
        <v>1</v>
      </c>
      <c r="AB140" s="21">
        <v>1</v>
      </c>
      <c r="AC140" s="22">
        <f t="shared" si="15"/>
        <v>5.6766817291670886E-2</v>
      </c>
      <c r="AD140" s="22">
        <f t="shared" si="16"/>
        <v>2.5187121968505442E-2</v>
      </c>
      <c r="AE140" s="22">
        <f t="shared" si="17"/>
        <v>0.3660101651842439</v>
      </c>
      <c r="AF140" s="7" t="s">
        <v>1643</v>
      </c>
      <c r="AG140" s="7"/>
      <c r="AH140" s="7"/>
      <c r="AI140" s="7"/>
      <c r="AJ140" s="8" t="b">
        <v>1</v>
      </c>
      <c r="AK140" s="28" t="s">
        <v>1644</v>
      </c>
      <c r="AL140" s="28" t="s">
        <v>1645</v>
      </c>
      <c r="AM140" s="28"/>
      <c r="AN140" s="7"/>
      <c r="AO140" s="7">
        <v>0</v>
      </c>
      <c r="AP140" s="8" t="b">
        <v>0</v>
      </c>
      <c r="AQ140" s="28" t="s">
        <v>1646</v>
      </c>
    </row>
    <row r="141" spans="1:43" ht="15">
      <c r="A141" s="7">
        <v>504</v>
      </c>
      <c r="B141" s="7" t="s">
        <v>504</v>
      </c>
      <c r="C141" s="7" t="s">
        <v>43</v>
      </c>
      <c r="D141" s="7" t="s">
        <v>99</v>
      </c>
      <c r="E141" s="7" t="s">
        <v>1647</v>
      </c>
      <c r="F141" s="7"/>
      <c r="G141" s="14"/>
      <c r="H141" s="15"/>
      <c r="I141" s="15"/>
      <c r="J141" s="15"/>
      <c r="K141" s="15"/>
      <c r="L141" s="15"/>
      <c r="M141" s="15"/>
      <c r="N141" s="16"/>
      <c r="O141" s="16"/>
      <c r="P141" s="17">
        <f>IFERROR(G141/(G141+Priors!$H$3),0)</f>
        <v>0</v>
      </c>
      <c r="Q141" s="18">
        <f>IF(E141="Premier League",Priors!$H$4,IF(E141="Championship",Priors!$H$5,Priors!$H$8))</f>
        <v>0</v>
      </c>
      <c r="R141" s="19" t="b">
        <v>0</v>
      </c>
      <c r="S141" s="18">
        <f>IF(R141=TRUE,Priors!$H$6,1)</f>
        <v>1</v>
      </c>
      <c r="T141" s="19" t="b">
        <v>0</v>
      </c>
      <c r="U141" s="18">
        <f>IF(T141=TRUE,Priors!$H$7,1)</f>
        <v>1</v>
      </c>
      <c r="V141" s="18">
        <f t="shared" si="12"/>
        <v>0</v>
      </c>
      <c r="W141" s="20">
        <f>VLOOKUP(D141,Priors!$A$3:$C$6,2,FALSE)</f>
        <v>4.1142361271531161E-2</v>
      </c>
      <c r="X141" s="20">
        <f>VLOOKUP(D141,Priors!$A$3:$C$6,3,FALSE)</f>
        <v>4.0513079897554365E-2</v>
      </c>
      <c r="Y141" s="20">
        <f t="shared" si="13"/>
        <v>4.1142361271531161E-2</v>
      </c>
      <c r="Z141" s="20">
        <f t="shared" si="14"/>
        <v>4.0513079897554365E-2</v>
      </c>
      <c r="AA141" s="21">
        <v>1</v>
      </c>
      <c r="AB141" s="21">
        <v>1</v>
      </c>
      <c r="AC141" s="22">
        <f t="shared" si="15"/>
        <v>4.1142361271531161E-2</v>
      </c>
      <c r="AD141" s="22">
        <f t="shared" si="16"/>
        <v>4.0513079897554365E-2</v>
      </c>
      <c r="AE141" s="22">
        <f t="shared" si="17"/>
        <v>1</v>
      </c>
      <c r="AF141" s="7" t="s">
        <v>1647</v>
      </c>
      <c r="AG141" s="7"/>
      <c r="AH141" s="7"/>
      <c r="AI141" s="7"/>
      <c r="AJ141" s="8" t="b">
        <v>1</v>
      </c>
      <c r="AK141" s="28" t="s">
        <v>1648</v>
      </c>
      <c r="AL141" s="28"/>
      <c r="AM141" s="28"/>
      <c r="AN141" s="7"/>
      <c r="AO141" s="7">
        <v>0</v>
      </c>
      <c r="AP141" s="8" t="b">
        <v>0</v>
      </c>
      <c r="AQ141" s="28" t="s">
        <v>1646</v>
      </c>
    </row>
    <row r="142" spans="1:43" ht="30">
      <c r="A142" s="7">
        <v>40</v>
      </c>
      <c r="B142" s="7" t="s">
        <v>506</v>
      </c>
      <c r="C142" s="7" t="s">
        <v>44</v>
      </c>
      <c r="D142" s="7" t="s">
        <v>112</v>
      </c>
      <c r="E142" s="7" t="s">
        <v>1642</v>
      </c>
      <c r="F142" s="7" t="s">
        <v>40</v>
      </c>
      <c r="G142" s="14">
        <v>3280</v>
      </c>
      <c r="H142" s="15">
        <v>6.84</v>
      </c>
      <c r="I142" s="15">
        <v>4.32</v>
      </c>
      <c r="J142" s="15">
        <v>0.18768292682926829</v>
      </c>
      <c r="K142" s="15">
        <v>0.11853658536585367</v>
      </c>
      <c r="L142" s="15">
        <v>48.2</v>
      </c>
      <c r="M142" s="15">
        <v>1.2684210526315791</v>
      </c>
      <c r="N142" s="16">
        <v>0.14796579293593765</v>
      </c>
      <c r="O142" s="16">
        <v>9.3452079749013248E-2</v>
      </c>
      <c r="P142" s="17">
        <f>IFERROR(G142/(G142+Priors!$H$3),0)</f>
        <v>0.76635514018691586</v>
      </c>
      <c r="Q142" s="18">
        <f>IF(E142="Premier League",Priors!$H$4,IF(E142="Championship",Priors!$H$5,Priors!$H$8))</f>
        <v>1</v>
      </c>
      <c r="R142" s="19" t="b">
        <v>1</v>
      </c>
      <c r="S142" s="18">
        <f>IF(R142=TRUE,Priors!$H$6,1)</f>
        <v>0.85</v>
      </c>
      <c r="T142" s="19" t="b">
        <v>1</v>
      </c>
      <c r="U142" s="18">
        <f>IF(T142=TRUE,Priors!$H$7,1)</f>
        <v>0.9</v>
      </c>
      <c r="V142" s="18">
        <f t="shared" si="12"/>
        <v>0.58626168224299058</v>
      </c>
      <c r="W142" s="20">
        <f>VLOOKUP(D142,Priors!$A$3:$C$6,2,FALSE)</f>
        <v>0.10751786102217777</v>
      </c>
      <c r="X142" s="20">
        <f>VLOOKUP(D142,Priors!$A$3:$C$6,3,FALSE)</f>
        <v>9.0240671969462088E-2</v>
      </c>
      <c r="Y142" s="20">
        <f t="shared" si="13"/>
        <v>0.13123093362918858</v>
      </c>
      <c r="Z142" s="20">
        <f t="shared" si="14"/>
        <v>9.212339729666999E-2</v>
      </c>
      <c r="AA142" s="21">
        <v>1</v>
      </c>
      <c r="AB142" s="21">
        <v>1</v>
      </c>
      <c r="AC142" s="22">
        <f t="shared" si="15"/>
        <v>0.13123093362918858</v>
      </c>
      <c r="AD142" s="22">
        <f t="shared" si="16"/>
        <v>9.212339729666999E-2</v>
      </c>
      <c r="AE142" s="22">
        <f t="shared" si="17"/>
        <v>0.41373831775700942</v>
      </c>
      <c r="AF142" s="7" t="s">
        <v>1643</v>
      </c>
      <c r="AG142" s="7"/>
      <c r="AH142" s="7"/>
      <c r="AI142" s="7"/>
      <c r="AJ142" s="8" t="b">
        <v>1</v>
      </c>
      <c r="AK142" s="28" t="s">
        <v>1644</v>
      </c>
      <c r="AL142" s="28" t="s">
        <v>1645</v>
      </c>
      <c r="AM142" s="28"/>
      <c r="AN142" s="7"/>
      <c r="AO142" s="7">
        <v>0</v>
      </c>
      <c r="AP142" s="8" t="b">
        <v>0</v>
      </c>
      <c r="AQ142" s="28" t="s">
        <v>1646</v>
      </c>
    </row>
    <row r="143" spans="1:43" ht="30">
      <c r="A143" s="7">
        <v>136</v>
      </c>
      <c r="B143" s="7" t="s">
        <v>510</v>
      </c>
      <c r="C143" s="7" t="s">
        <v>44</v>
      </c>
      <c r="D143" s="7" t="s">
        <v>167</v>
      </c>
      <c r="E143" s="7" t="s">
        <v>1642</v>
      </c>
      <c r="F143" s="7" t="s">
        <v>43</v>
      </c>
      <c r="G143" s="14">
        <v>2249</v>
      </c>
      <c r="H143" s="15">
        <v>12.36</v>
      </c>
      <c r="I143" s="15">
        <v>1.4</v>
      </c>
      <c r="J143" s="15">
        <v>0.49461983103601592</v>
      </c>
      <c r="K143" s="15">
        <v>5.6024899955535785E-2</v>
      </c>
      <c r="L143" s="15">
        <v>57.9</v>
      </c>
      <c r="M143" s="15">
        <v>1.5236842105263158</v>
      </c>
      <c r="N143" s="16">
        <v>0.32462095992001044</v>
      </c>
      <c r="O143" s="16">
        <v>3.6769364392234195E-2</v>
      </c>
      <c r="P143" s="17">
        <f>IFERROR(G143/(G143+Priors!$H$3),0)</f>
        <v>0.69221298861188063</v>
      </c>
      <c r="Q143" s="18">
        <f>IF(E143="Premier League",Priors!$H$4,IF(E143="Championship",Priors!$H$5,Priors!$H$8))</f>
        <v>1</v>
      </c>
      <c r="R143" s="19" t="b">
        <v>1</v>
      </c>
      <c r="S143" s="18">
        <f>IF(R143=TRUE,Priors!$H$6,1)</f>
        <v>0.85</v>
      </c>
      <c r="T143" s="19" t="b">
        <v>1</v>
      </c>
      <c r="U143" s="18">
        <f>IF(T143=TRUE,Priors!$H$7,1)</f>
        <v>0.9</v>
      </c>
      <c r="V143" s="18">
        <f t="shared" si="12"/>
        <v>0.52954293628808868</v>
      </c>
      <c r="W143" s="20">
        <f>VLOOKUP(D143,Priors!$A$3:$C$6,2,FALSE)</f>
        <v>0.30461525508032317</v>
      </c>
      <c r="X143" s="20">
        <f>VLOOKUP(D143,Priors!$A$3:$C$6,3,FALSE)</f>
        <v>3.9258061548584466E-2</v>
      </c>
      <c r="Y143" s="20">
        <f t="shared" si="13"/>
        <v>0.31520913476364398</v>
      </c>
      <c r="Z143" s="20">
        <f t="shared" si="14"/>
        <v>3.7940189548878928E-2</v>
      </c>
      <c r="AA143" s="21">
        <v>1</v>
      </c>
      <c r="AB143" s="21">
        <v>1</v>
      </c>
      <c r="AC143" s="22">
        <f t="shared" si="15"/>
        <v>0.31520913476364398</v>
      </c>
      <c r="AD143" s="22">
        <f t="shared" si="16"/>
        <v>3.7940189548878928E-2</v>
      </c>
      <c r="AE143" s="22">
        <f t="shared" si="17"/>
        <v>0.47045706371191132</v>
      </c>
      <c r="AF143" s="7" t="s">
        <v>1643</v>
      </c>
      <c r="AG143" s="7"/>
      <c r="AH143" s="7"/>
      <c r="AI143" s="7"/>
      <c r="AJ143" s="8" t="b">
        <v>1</v>
      </c>
      <c r="AK143" s="28" t="s">
        <v>1644</v>
      </c>
      <c r="AL143" s="28" t="s">
        <v>1645</v>
      </c>
      <c r="AM143" s="28"/>
      <c r="AN143" s="7"/>
      <c r="AO143" s="7">
        <v>0</v>
      </c>
      <c r="AP143" s="8" t="b">
        <v>0</v>
      </c>
      <c r="AQ143" s="28" t="s">
        <v>1646</v>
      </c>
    </row>
    <row r="144" spans="1:43" ht="30">
      <c r="A144" s="7">
        <v>140</v>
      </c>
      <c r="B144" s="7" t="s">
        <v>512</v>
      </c>
      <c r="C144" s="7" t="s">
        <v>44</v>
      </c>
      <c r="D144" s="7" t="s">
        <v>85</v>
      </c>
      <c r="E144" s="7" t="s">
        <v>1642</v>
      </c>
      <c r="F144" s="7" t="s">
        <v>44</v>
      </c>
      <c r="G144" s="14">
        <v>3040</v>
      </c>
      <c r="H144" s="15">
        <v>0</v>
      </c>
      <c r="I144" s="15">
        <v>0.04</v>
      </c>
      <c r="J144" s="15">
        <v>0</v>
      </c>
      <c r="K144" s="15">
        <v>1.1842105263157896E-3</v>
      </c>
      <c r="L144" s="15">
        <v>66.5</v>
      </c>
      <c r="M144" s="15">
        <v>1.75</v>
      </c>
      <c r="N144" s="16">
        <v>0</v>
      </c>
      <c r="O144" s="16">
        <v>6.7669172932330833E-4</v>
      </c>
      <c r="P144" s="17">
        <f>IFERROR(G144/(G144+Priors!$H$3),0)</f>
        <v>0.75247524752475248</v>
      </c>
      <c r="Q144" s="18">
        <f>IF(E144="Premier League",Priors!$H$4,IF(E144="Championship",Priors!$H$5,Priors!$H$8))</f>
        <v>1</v>
      </c>
      <c r="R144" s="19" t="b">
        <v>0</v>
      </c>
      <c r="S144" s="18">
        <f>IF(R144=TRUE,Priors!$H$6,1)</f>
        <v>1</v>
      </c>
      <c r="T144" s="19" t="b">
        <v>1</v>
      </c>
      <c r="U144" s="18">
        <f>IF(T144=TRUE,Priors!$H$7,1)</f>
        <v>0.9</v>
      </c>
      <c r="V144" s="18">
        <f t="shared" si="12"/>
        <v>0.67722772277227727</v>
      </c>
      <c r="W144" s="20">
        <f>VLOOKUP(D144,Priors!$A$3:$C$6,2,FALSE)</f>
        <v>1.6719534964712218E-4</v>
      </c>
      <c r="X144" s="20">
        <f>VLOOKUP(D144,Priors!$A$3:$C$6,3,FALSE)</f>
        <v>1.379361634588758E-3</v>
      </c>
      <c r="Y144" s="20">
        <f t="shared" si="13"/>
        <v>5.3966023747486953E-5</v>
      </c>
      <c r="Z144" s="20">
        <f t="shared" si="14"/>
        <v>9.034940947852257E-4</v>
      </c>
      <c r="AA144" s="21">
        <v>1</v>
      </c>
      <c r="AB144" s="21">
        <v>1</v>
      </c>
      <c r="AC144" s="22">
        <f t="shared" si="15"/>
        <v>5.3966023747486953E-5</v>
      </c>
      <c r="AD144" s="22">
        <f t="shared" si="16"/>
        <v>9.034940947852257E-4</v>
      </c>
      <c r="AE144" s="22">
        <f t="shared" si="17"/>
        <v>0.32277227722772273</v>
      </c>
      <c r="AF144" s="7" t="s">
        <v>1643</v>
      </c>
      <c r="AG144" s="7"/>
      <c r="AH144" s="7"/>
      <c r="AI144" s="7"/>
      <c r="AJ144" s="8" t="b">
        <v>1</v>
      </c>
      <c r="AK144" s="28" t="s">
        <v>1644</v>
      </c>
      <c r="AL144" s="28" t="s">
        <v>1645</v>
      </c>
      <c r="AM144" s="28"/>
      <c r="AN144" s="7"/>
      <c r="AO144" s="7">
        <v>0</v>
      </c>
      <c r="AP144" s="8" t="b">
        <v>0</v>
      </c>
      <c r="AQ144" s="28" t="s">
        <v>1646</v>
      </c>
    </row>
    <row r="145" spans="1:43" ht="30">
      <c r="A145" s="7">
        <v>141</v>
      </c>
      <c r="B145" s="7" t="s">
        <v>515</v>
      </c>
      <c r="C145" s="7" t="s">
        <v>44</v>
      </c>
      <c r="D145" s="7" t="s">
        <v>85</v>
      </c>
      <c r="E145" s="7" t="s">
        <v>1642</v>
      </c>
      <c r="F145" s="7" t="s">
        <v>44</v>
      </c>
      <c r="G145" s="14">
        <v>378</v>
      </c>
      <c r="H145" s="15">
        <v>0</v>
      </c>
      <c r="I145" s="15">
        <v>0</v>
      </c>
      <c r="J145" s="15">
        <v>0</v>
      </c>
      <c r="K145" s="15">
        <v>0</v>
      </c>
      <c r="L145" s="15">
        <v>66.5</v>
      </c>
      <c r="M145" s="15">
        <v>1.75</v>
      </c>
      <c r="N145" s="16">
        <v>0</v>
      </c>
      <c r="O145" s="16">
        <v>0</v>
      </c>
      <c r="P145" s="17">
        <f>IFERROR(G145/(G145+Priors!$H$3),0)</f>
        <v>0.27431059506531202</v>
      </c>
      <c r="Q145" s="18">
        <f>IF(E145="Premier League",Priors!$H$4,IF(E145="Championship",Priors!$H$5,Priors!$H$8))</f>
        <v>1</v>
      </c>
      <c r="R145" s="19" t="b">
        <v>0</v>
      </c>
      <c r="S145" s="18">
        <f>IF(R145=TRUE,Priors!$H$6,1)</f>
        <v>1</v>
      </c>
      <c r="T145" s="19" t="b">
        <v>1</v>
      </c>
      <c r="U145" s="18">
        <f>IF(T145=TRUE,Priors!$H$7,1)</f>
        <v>0.9</v>
      </c>
      <c r="V145" s="18">
        <f t="shared" si="12"/>
        <v>0.24687953555878084</v>
      </c>
      <c r="W145" s="20">
        <f>VLOOKUP(D145,Priors!$A$3:$C$6,2,FALSE)</f>
        <v>1.6719534964712218E-4</v>
      </c>
      <c r="X145" s="20">
        <f>VLOOKUP(D145,Priors!$A$3:$C$6,3,FALSE)</f>
        <v>1.379361634588758E-3</v>
      </c>
      <c r="Y145" s="20">
        <f t="shared" si="13"/>
        <v>1.2591823937865268E-4</v>
      </c>
      <c r="Z145" s="20">
        <f t="shared" si="14"/>
        <v>1.0388254748738847E-3</v>
      </c>
      <c r="AA145" s="21">
        <v>1</v>
      </c>
      <c r="AB145" s="21">
        <v>1</v>
      </c>
      <c r="AC145" s="22">
        <f t="shared" si="15"/>
        <v>1.2591823937865268E-4</v>
      </c>
      <c r="AD145" s="22">
        <f t="shared" si="16"/>
        <v>1.0388254748738847E-3</v>
      </c>
      <c r="AE145" s="22">
        <f t="shared" si="17"/>
        <v>0.75312046444121916</v>
      </c>
      <c r="AF145" s="7" t="s">
        <v>1643</v>
      </c>
      <c r="AG145" s="7"/>
      <c r="AH145" s="7"/>
      <c r="AI145" s="7"/>
      <c r="AJ145" s="8" t="b">
        <v>1</v>
      </c>
      <c r="AK145" s="28" t="s">
        <v>1644</v>
      </c>
      <c r="AL145" s="28" t="s">
        <v>1645</v>
      </c>
      <c r="AM145" s="28"/>
      <c r="AN145" s="7"/>
      <c r="AO145" s="7">
        <v>0</v>
      </c>
      <c r="AP145" s="8" t="b">
        <v>0</v>
      </c>
      <c r="AQ145" s="28" t="s">
        <v>1646</v>
      </c>
    </row>
    <row r="146" spans="1:43" ht="30">
      <c r="A146" s="7">
        <v>142</v>
      </c>
      <c r="B146" s="7" t="s">
        <v>518</v>
      </c>
      <c r="C146" s="7" t="s">
        <v>44</v>
      </c>
      <c r="D146" s="7" t="s">
        <v>99</v>
      </c>
      <c r="E146" s="7" t="s">
        <v>1642</v>
      </c>
      <c r="F146" s="7" t="s">
        <v>44</v>
      </c>
      <c r="G146" s="14">
        <v>1957</v>
      </c>
      <c r="H146" s="15">
        <v>1.04</v>
      </c>
      <c r="I146" s="15">
        <v>3.2</v>
      </c>
      <c r="J146" s="15">
        <v>4.7828308635666839E-2</v>
      </c>
      <c r="K146" s="15">
        <v>0.14716402657128258</v>
      </c>
      <c r="L146" s="15">
        <v>66.5</v>
      </c>
      <c r="M146" s="15">
        <v>1.75</v>
      </c>
      <c r="N146" s="16">
        <v>2.7330462077523907E-2</v>
      </c>
      <c r="O146" s="16">
        <v>8.4093729469304337E-2</v>
      </c>
      <c r="P146" s="17">
        <f>IFERROR(G146/(G146+Priors!$H$3),0)</f>
        <v>0.66181941156577617</v>
      </c>
      <c r="Q146" s="18">
        <f>IF(E146="Premier League",Priors!$H$4,IF(E146="Championship",Priors!$H$5,Priors!$H$8))</f>
        <v>1</v>
      </c>
      <c r="R146" s="19" t="b">
        <v>0</v>
      </c>
      <c r="S146" s="18">
        <f>IF(R146=TRUE,Priors!$H$6,1)</f>
        <v>1</v>
      </c>
      <c r="T146" s="19" t="b">
        <v>1</v>
      </c>
      <c r="U146" s="18">
        <f>IF(T146=TRUE,Priors!$H$7,1)</f>
        <v>0.9</v>
      </c>
      <c r="V146" s="18">
        <f t="shared" si="12"/>
        <v>0.59563747040919857</v>
      </c>
      <c r="W146" s="20">
        <f>VLOOKUP(D146,Priors!$A$3:$C$6,2,FALSE)</f>
        <v>4.1142361271531161E-2</v>
      </c>
      <c r="X146" s="20">
        <f>VLOOKUP(D146,Priors!$A$3:$C$6,3,FALSE)</f>
        <v>4.0513079897554365E-2</v>
      </c>
      <c r="Y146" s="20">
        <f t="shared" si="13"/>
        <v>3.2915476574065836E-2</v>
      </c>
      <c r="Z146" s="20">
        <f t="shared" si="14"/>
        <v>6.6471347767261241E-2</v>
      </c>
      <c r="AA146" s="21">
        <v>1</v>
      </c>
      <c r="AB146" s="21">
        <v>1</v>
      </c>
      <c r="AC146" s="22">
        <f t="shared" si="15"/>
        <v>3.2915476574065836E-2</v>
      </c>
      <c r="AD146" s="22">
        <f t="shared" si="16"/>
        <v>6.6471347767261241E-2</v>
      </c>
      <c r="AE146" s="22">
        <f t="shared" si="17"/>
        <v>0.40436252959080143</v>
      </c>
      <c r="AF146" s="7" t="s">
        <v>1643</v>
      </c>
      <c r="AG146" s="7"/>
      <c r="AH146" s="7">
        <v>1</v>
      </c>
      <c r="AI146" s="7">
        <v>5</v>
      </c>
      <c r="AJ146" s="8" t="b">
        <v>1</v>
      </c>
      <c r="AK146" s="28" t="s">
        <v>1644</v>
      </c>
      <c r="AL146" s="28" t="s">
        <v>1645</v>
      </c>
      <c r="AM146" s="28"/>
      <c r="AN146" s="7"/>
      <c r="AO146" s="7">
        <v>0</v>
      </c>
      <c r="AP146" s="8" t="b">
        <v>0</v>
      </c>
      <c r="AQ146" s="28" t="s">
        <v>1646</v>
      </c>
    </row>
    <row r="147" spans="1:43" ht="30">
      <c r="A147" s="7">
        <v>143</v>
      </c>
      <c r="B147" s="7" t="s">
        <v>521</v>
      </c>
      <c r="C147" s="7" t="s">
        <v>44</v>
      </c>
      <c r="D147" s="7" t="s">
        <v>99</v>
      </c>
      <c r="E147" s="7" t="s">
        <v>1642</v>
      </c>
      <c r="F147" s="7" t="s">
        <v>44</v>
      </c>
      <c r="G147" s="14">
        <v>2780</v>
      </c>
      <c r="H147" s="15">
        <v>1.44</v>
      </c>
      <c r="I147" s="15">
        <v>1.03</v>
      </c>
      <c r="J147" s="15">
        <v>4.6618705035971222E-2</v>
      </c>
      <c r="K147" s="15">
        <v>3.3345323741007196E-2</v>
      </c>
      <c r="L147" s="15">
        <v>66.5</v>
      </c>
      <c r="M147" s="15">
        <v>1.75</v>
      </c>
      <c r="N147" s="16">
        <v>2.6639260020554983E-2</v>
      </c>
      <c r="O147" s="16">
        <v>1.9054470709146971E-2</v>
      </c>
      <c r="P147" s="17">
        <f>IFERROR(G147/(G147+Priors!$H$3),0)</f>
        <v>0.73544973544973546</v>
      </c>
      <c r="Q147" s="18">
        <f>IF(E147="Premier League",Priors!$H$4,IF(E147="Championship",Priors!$H$5,Priors!$H$8))</f>
        <v>1</v>
      </c>
      <c r="R147" s="19" t="b">
        <v>0</v>
      </c>
      <c r="S147" s="18">
        <f>IF(R147=TRUE,Priors!$H$6,1)</f>
        <v>1</v>
      </c>
      <c r="T147" s="19" t="b">
        <v>1</v>
      </c>
      <c r="U147" s="18">
        <f>IF(T147=TRUE,Priors!$H$7,1)</f>
        <v>0.9</v>
      </c>
      <c r="V147" s="18">
        <f t="shared" si="12"/>
        <v>0.66190476190476188</v>
      </c>
      <c r="W147" s="20">
        <f>VLOOKUP(D147,Priors!$A$3:$C$6,2,FALSE)</f>
        <v>4.1142361271531161E-2</v>
      </c>
      <c r="X147" s="20">
        <f>VLOOKUP(D147,Priors!$A$3:$C$6,3,FALSE)</f>
        <v>4.0513079897554365E-2</v>
      </c>
      <c r="Y147" s="20">
        <f t="shared" si="13"/>
        <v>3.154268949112312E-2</v>
      </c>
      <c r="Z147" s="20">
        <f t="shared" si="14"/>
        <v>2.6309524291894232E-2</v>
      </c>
      <c r="AA147" s="21">
        <v>1</v>
      </c>
      <c r="AB147" s="21">
        <v>1</v>
      </c>
      <c r="AC147" s="22">
        <f t="shared" si="15"/>
        <v>3.154268949112312E-2</v>
      </c>
      <c r="AD147" s="22">
        <f t="shared" si="16"/>
        <v>2.6309524291894232E-2</v>
      </c>
      <c r="AE147" s="22">
        <f t="shared" si="17"/>
        <v>0.33809523809523812</v>
      </c>
      <c r="AF147" s="7" t="s">
        <v>1643</v>
      </c>
      <c r="AG147" s="7"/>
      <c r="AH147" s="7"/>
      <c r="AI147" s="7"/>
      <c r="AJ147" s="8" t="b">
        <v>1</v>
      </c>
      <c r="AK147" s="28" t="s">
        <v>1644</v>
      </c>
      <c r="AL147" s="28" t="s">
        <v>1645</v>
      </c>
      <c r="AM147" s="28"/>
      <c r="AN147" s="7"/>
      <c r="AO147" s="7">
        <v>0</v>
      </c>
      <c r="AP147" s="8" t="b">
        <v>0</v>
      </c>
      <c r="AQ147" s="28" t="s">
        <v>1646</v>
      </c>
    </row>
    <row r="148" spans="1:43" ht="30">
      <c r="A148" s="7">
        <v>144</v>
      </c>
      <c r="B148" s="7" t="s">
        <v>524</v>
      </c>
      <c r="C148" s="7" t="s">
        <v>44</v>
      </c>
      <c r="D148" s="7" t="s">
        <v>99</v>
      </c>
      <c r="E148" s="7" t="s">
        <v>1642</v>
      </c>
      <c r="F148" s="7" t="s">
        <v>44</v>
      </c>
      <c r="G148" s="14">
        <v>2255</v>
      </c>
      <c r="H148" s="15">
        <v>1.56</v>
      </c>
      <c r="I148" s="15">
        <v>2.97</v>
      </c>
      <c r="J148" s="15">
        <v>6.2261640798226166E-2</v>
      </c>
      <c r="K148" s="15">
        <v>0.11853658536585367</v>
      </c>
      <c r="L148" s="15">
        <v>66.5</v>
      </c>
      <c r="M148" s="15">
        <v>1.75</v>
      </c>
      <c r="N148" s="16">
        <v>3.5578080456129237E-2</v>
      </c>
      <c r="O148" s="16">
        <v>6.7735191637630671E-2</v>
      </c>
      <c r="P148" s="17">
        <f>IFERROR(G148/(G148+Priors!$H$3),0)</f>
        <v>0.6927803379416283</v>
      </c>
      <c r="Q148" s="18">
        <f>IF(E148="Premier League",Priors!$H$4,IF(E148="Championship",Priors!$H$5,Priors!$H$8))</f>
        <v>1</v>
      </c>
      <c r="R148" s="19" t="b">
        <v>0</v>
      </c>
      <c r="S148" s="18">
        <f>IF(R148=TRUE,Priors!$H$6,1)</f>
        <v>1</v>
      </c>
      <c r="T148" s="19" t="b">
        <v>1</v>
      </c>
      <c r="U148" s="18">
        <f>IF(T148=TRUE,Priors!$H$7,1)</f>
        <v>0.9</v>
      </c>
      <c r="V148" s="18">
        <f t="shared" si="12"/>
        <v>0.62350230414746544</v>
      </c>
      <c r="W148" s="20">
        <f>VLOOKUP(D148,Priors!$A$3:$C$6,2,FALSE)</f>
        <v>4.1142361271531161E-2</v>
      </c>
      <c r="X148" s="20">
        <f>VLOOKUP(D148,Priors!$A$3:$C$6,3,FALSE)</f>
        <v>4.0513079897554365E-2</v>
      </c>
      <c r="Y148" s="20">
        <f t="shared" si="13"/>
        <v>3.7673019362204525E-2</v>
      </c>
      <c r="Z148" s="20">
        <f t="shared" si="14"/>
        <v>5.7486129291251714E-2</v>
      </c>
      <c r="AA148" s="21">
        <v>1</v>
      </c>
      <c r="AB148" s="21">
        <v>1</v>
      </c>
      <c r="AC148" s="22">
        <f t="shared" si="15"/>
        <v>3.7673019362204525E-2</v>
      </c>
      <c r="AD148" s="22">
        <f t="shared" si="16"/>
        <v>5.7486129291251714E-2</v>
      </c>
      <c r="AE148" s="22">
        <f t="shared" si="17"/>
        <v>0.37649769585253456</v>
      </c>
      <c r="AF148" s="7" t="s">
        <v>1643</v>
      </c>
      <c r="AG148" s="7"/>
      <c r="AH148" s="7"/>
      <c r="AI148" s="7"/>
      <c r="AJ148" s="8" t="b">
        <v>1</v>
      </c>
      <c r="AK148" s="28" t="s">
        <v>1644</v>
      </c>
      <c r="AL148" s="28" t="s">
        <v>1645</v>
      </c>
      <c r="AM148" s="28"/>
      <c r="AN148" s="7"/>
      <c r="AO148" s="7">
        <v>0</v>
      </c>
      <c r="AP148" s="8" t="b">
        <v>0</v>
      </c>
      <c r="AQ148" s="28" t="s">
        <v>1646</v>
      </c>
    </row>
    <row r="149" spans="1:43" ht="30">
      <c r="A149" s="7">
        <v>145</v>
      </c>
      <c r="B149" s="7" t="s">
        <v>527</v>
      </c>
      <c r="C149" s="7" t="s">
        <v>44</v>
      </c>
      <c r="D149" s="7" t="s">
        <v>99</v>
      </c>
      <c r="E149" s="7" t="s">
        <v>1642</v>
      </c>
      <c r="F149" s="7" t="s">
        <v>44</v>
      </c>
      <c r="G149" s="14">
        <v>1718</v>
      </c>
      <c r="H149" s="15">
        <v>0.72</v>
      </c>
      <c r="I149" s="15">
        <v>0.6</v>
      </c>
      <c r="J149" s="15">
        <v>3.7718277066356228E-2</v>
      </c>
      <c r="K149" s="15">
        <v>3.1431897555296857E-2</v>
      </c>
      <c r="L149" s="15">
        <v>66.5</v>
      </c>
      <c r="M149" s="15">
        <v>1.75</v>
      </c>
      <c r="N149" s="16">
        <v>2.1553301180774986E-2</v>
      </c>
      <c r="O149" s="16">
        <v>1.7961084317312491E-2</v>
      </c>
      <c r="P149" s="17">
        <f>IFERROR(G149/(G149+Priors!$H$3),0)</f>
        <v>0.63208241353936723</v>
      </c>
      <c r="Q149" s="18">
        <f>IF(E149="Premier League",Priors!$H$4,IF(E149="Championship",Priors!$H$5,Priors!$H$8))</f>
        <v>1</v>
      </c>
      <c r="R149" s="19" t="b">
        <v>0</v>
      </c>
      <c r="S149" s="18">
        <f>IF(R149=TRUE,Priors!$H$6,1)</f>
        <v>1</v>
      </c>
      <c r="T149" s="19" t="b">
        <v>1</v>
      </c>
      <c r="U149" s="18">
        <f>IF(T149=TRUE,Priors!$H$7,1)</f>
        <v>0.9</v>
      </c>
      <c r="V149" s="18">
        <f t="shared" si="12"/>
        <v>0.56887417218543057</v>
      </c>
      <c r="W149" s="20">
        <f>VLOOKUP(D149,Priors!$A$3:$C$6,2,FALSE)</f>
        <v>4.1142361271531161E-2</v>
      </c>
      <c r="X149" s="20">
        <f>VLOOKUP(D149,Priors!$A$3:$C$6,3,FALSE)</f>
        <v>4.0513079897554365E-2</v>
      </c>
      <c r="Y149" s="20">
        <f t="shared" si="13"/>
        <v>2.9998650928511589E-2</v>
      </c>
      <c r="Z149" s="20">
        <f t="shared" si="14"/>
        <v>2.7683832080714781E-2</v>
      </c>
      <c r="AA149" s="21">
        <v>1</v>
      </c>
      <c r="AB149" s="21">
        <v>1</v>
      </c>
      <c r="AC149" s="22">
        <f t="shared" si="15"/>
        <v>2.9998650928511589E-2</v>
      </c>
      <c r="AD149" s="22">
        <f t="shared" si="16"/>
        <v>2.7683832080714781E-2</v>
      </c>
      <c r="AE149" s="22">
        <f t="shared" si="17"/>
        <v>0.43112582781456943</v>
      </c>
      <c r="AF149" s="7" t="s">
        <v>1643</v>
      </c>
      <c r="AG149" s="7"/>
      <c r="AH149" s="7"/>
      <c r="AI149" s="7"/>
      <c r="AJ149" s="8" t="b">
        <v>1</v>
      </c>
      <c r="AK149" s="28" t="s">
        <v>1644</v>
      </c>
      <c r="AL149" s="28" t="s">
        <v>1645</v>
      </c>
      <c r="AM149" s="28"/>
      <c r="AN149" s="7"/>
      <c r="AO149" s="7">
        <v>0</v>
      </c>
      <c r="AP149" s="8" t="b">
        <v>0</v>
      </c>
      <c r="AQ149" s="28" t="s">
        <v>1646</v>
      </c>
    </row>
    <row r="150" spans="1:43" ht="30">
      <c r="A150" s="7">
        <v>146</v>
      </c>
      <c r="B150" s="7" t="s">
        <v>531</v>
      </c>
      <c r="C150" s="7" t="s">
        <v>44</v>
      </c>
      <c r="D150" s="7" t="s">
        <v>99</v>
      </c>
      <c r="E150" s="7" t="s">
        <v>1642</v>
      </c>
      <c r="F150" s="7" t="s">
        <v>44</v>
      </c>
      <c r="G150" s="14">
        <v>470</v>
      </c>
      <c r="H150" s="15">
        <v>0</v>
      </c>
      <c r="I150" s="15">
        <v>0.06</v>
      </c>
      <c r="J150" s="15">
        <v>0</v>
      </c>
      <c r="K150" s="15">
        <v>1.1489361702127658E-2</v>
      </c>
      <c r="L150" s="15">
        <v>66.5</v>
      </c>
      <c r="M150" s="15">
        <v>1.75</v>
      </c>
      <c r="N150" s="16">
        <v>0</v>
      </c>
      <c r="O150" s="16">
        <v>6.5653495440729471E-3</v>
      </c>
      <c r="P150" s="17">
        <f>IFERROR(G150/(G150+Priors!$H$3),0)</f>
        <v>0.31972789115646261</v>
      </c>
      <c r="Q150" s="18">
        <f>IF(E150="Premier League",Priors!$H$4,IF(E150="Championship",Priors!$H$5,Priors!$H$8))</f>
        <v>1</v>
      </c>
      <c r="R150" s="19" t="b">
        <v>0</v>
      </c>
      <c r="S150" s="18">
        <f>IF(R150=TRUE,Priors!$H$6,1)</f>
        <v>1</v>
      </c>
      <c r="T150" s="19" t="b">
        <v>1</v>
      </c>
      <c r="U150" s="18">
        <f>IF(T150=TRUE,Priors!$H$7,1)</f>
        <v>0.9</v>
      </c>
      <c r="V150" s="18">
        <f t="shared" si="12"/>
        <v>0.28775510204081634</v>
      </c>
      <c r="W150" s="20">
        <f>VLOOKUP(D150,Priors!$A$3:$C$6,2,FALSE)</f>
        <v>4.1142361271531161E-2</v>
      </c>
      <c r="X150" s="20">
        <f>VLOOKUP(D150,Priors!$A$3:$C$6,3,FALSE)</f>
        <v>4.0513079897554365E-2</v>
      </c>
      <c r="Y150" s="20">
        <f t="shared" si="13"/>
        <v>2.9303436905641581E-2</v>
      </c>
      <c r="Z150" s="20">
        <f t="shared" si="14"/>
        <v>3.0744447285634201E-2</v>
      </c>
      <c r="AA150" s="21">
        <v>1</v>
      </c>
      <c r="AB150" s="21">
        <v>1</v>
      </c>
      <c r="AC150" s="22">
        <f t="shared" si="15"/>
        <v>2.9303436905641581E-2</v>
      </c>
      <c r="AD150" s="22">
        <f t="shared" si="16"/>
        <v>3.0744447285634201E-2</v>
      </c>
      <c r="AE150" s="22">
        <f t="shared" si="17"/>
        <v>0.71224489795918366</v>
      </c>
      <c r="AF150" s="7" t="s">
        <v>1643</v>
      </c>
      <c r="AG150" s="7"/>
      <c r="AH150" s="7"/>
      <c r="AI150" s="7"/>
      <c r="AJ150" s="8" t="b">
        <v>1</v>
      </c>
      <c r="AK150" s="28" t="s">
        <v>1644</v>
      </c>
      <c r="AL150" s="28" t="s">
        <v>1645</v>
      </c>
      <c r="AM150" s="28"/>
      <c r="AN150" s="7"/>
      <c r="AO150" s="7">
        <v>0</v>
      </c>
      <c r="AP150" s="8" t="b">
        <v>0</v>
      </c>
      <c r="AQ150" s="28" t="s">
        <v>1646</v>
      </c>
    </row>
    <row r="151" spans="1:43" ht="30">
      <c r="A151" s="7">
        <v>147</v>
      </c>
      <c r="B151" s="7" t="s">
        <v>534</v>
      </c>
      <c r="C151" s="7" t="s">
        <v>44</v>
      </c>
      <c r="D151" s="7" t="s">
        <v>99</v>
      </c>
      <c r="E151" s="7" t="s">
        <v>1642</v>
      </c>
      <c r="F151" s="7" t="s">
        <v>44</v>
      </c>
      <c r="G151" s="14">
        <v>788</v>
      </c>
      <c r="H151" s="15">
        <v>0.11</v>
      </c>
      <c r="I151" s="15">
        <v>0.4</v>
      </c>
      <c r="J151" s="15">
        <v>1.2563451776649746E-2</v>
      </c>
      <c r="K151" s="15">
        <v>4.5685279187817257E-2</v>
      </c>
      <c r="L151" s="15">
        <v>66.5</v>
      </c>
      <c r="M151" s="15">
        <v>1.75</v>
      </c>
      <c r="N151" s="16">
        <v>7.1791153009427124E-3</v>
      </c>
      <c r="O151" s="16">
        <v>2.6105873821609862E-2</v>
      </c>
      <c r="P151" s="17">
        <f>IFERROR(G151/(G151+Priors!$H$3),0)</f>
        <v>0.4407158836689038</v>
      </c>
      <c r="Q151" s="18">
        <f>IF(E151="Premier League",Priors!$H$4,IF(E151="Championship",Priors!$H$5,Priors!$H$8))</f>
        <v>1</v>
      </c>
      <c r="R151" s="19" t="b">
        <v>0</v>
      </c>
      <c r="S151" s="18">
        <f>IF(R151=TRUE,Priors!$H$6,1)</f>
        <v>1</v>
      </c>
      <c r="T151" s="19" t="b">
        <v>1</v>
      </c>
      <c r="U151" s="18">
        <f>IF(T151=TRUE,Priors!$H$7,1)</f>
        <v>0.9</v>
      </c>
      <c r="V151" s="18">
        <f t="shared" si="12"/>
        <v>0.39664429530201345</v>
      </c>
      <c r="W151" s="20">
        <f>VLOOKUP(D151,Priors!$A$3:$C$6,2,FALSE)</f>
        <v>4.1142361271531161E-2</v>
      </c>
      <c r="X151" s="20">
        <f>VLOOKUP(D151,Priors!$A$3:$C$6,3,FALSE)</f>
        <v>4.0513079897554365E-2</v>
      </c>
      <c r="Y151" s="20">
        <f t="shared" si="13"/>
        <v>2.7671033507358153E-2</v>
      </c>
      <c r="Z151" s="20">
        <f t="shared" si="14"/>
        <v>3.4798543796290465E-2</v>
      </c>
      <c r="AA151" s="21">
        <v>1</v>
      </c>
      <c r="AB151" s="21">
        <v>1</v>
      </c>
      <c r="AC151" s="22">
        <f t="shared" si="15"/>
        <v>2.7671033507358153E-2</v>
      </c>
      <c r="AD151" s="22">
        <f t="shared" si="16"/>
        <v>3.4798543796290465E-2</v>
      </c>
      <c r="AE151" s="22">
        <f t="shared" si="17"/>
        <v>0.60335570469798649</v>
      </c>
      <c r="AF151" s="7" t="s">
        <v>1643</v>
      </c>
      <c r="AG151" s="7"/>
      <c r="AH151" s="7"/>
      <c r="AI151" s="7"/>
      <c r="AJ151" s="8" t="b">
        <v>1</v>
      </c>
      <c r="AK151" s="28" t="s">
        <v>1644</v>
      </c>
      <c r="AL151" s="28" t="s">
        <v>1645</v>
      </c>
      <c r="AM151" s="28"/>
      <c r="AN151" s="7"/>
      <c r="AO151" s="7">
        <v>0</v>
      </c>
      <c r="AP151" s="8" t="b">
        <v>0</v>
      </c>
      <c r="AQ151" s="28" t="s">
        <v>1646</v>
      </c>
    </row>
    <row r="152" spans="1:43" ht="30">
      <c r="A152" s="7">
        <v>148</v>
      </c>
      <c r="B152" s="7" t="s">
        <v>536</v>
      </c>
      <c r="C152" s="7" t="s">
        <v>44</v>
      </c>
      <c r="D152" s="7" t="s">
        <v>99</v>
      </c>
      <c r="E152" s="7" t="s">
        <v>1642</v>
      </c>
      <c r="F152" s="7" t="s">
        <v>44</v>
      </c>
      <c r="G152" s="14">
        <v>1139</v>
      </c>
      <c r="H152" s="15">
        <v>0.3</v>
      </c>
      <c r="I152" s="15">
        <v>0.61</v>
      </c>
      <c r="J152" s="15">
        <v>2.3705004389815629E-2</v>
      </c>
      <c r="K152" s="15">
        <v>4.8200175592625107E-2</v>
      </c>
      <c r="L152" s="15">
        <v>66.5</v>
      </c>
      <c r="M152" s="15">
        <v>1.75</v>
      </c>
      <c r="N152" s="16">
        <v>1.354571679418036E-2</v>
      </c>
      <c r="O152" s="16">
        <v>2.7542957481500062E-2</v>
      </c>
      <c r="P152" s="17">
        <f>IFERROR(G152/(G152+Priors!$H$3),0)</f>
        <v>0.5324918186068256</v>
      </c>
      <c r="Q152" s="18">
        <f>IF(E152="Premier League",Priors!$H$4,IF(E152="Championship",Priors!$H$5,Priors!$H$8))</f>
        <v>1</v>
      </c>
      <c r="R152" s="19" t="b">
        <v>0</v>
      </c>
      <c r="S152" s="18">
        <f>IF(R152=TRUE,Priors!$H$6,1)</f>
        <v>1</v>
      </c>
      <c r="T152" s="19" t="b">
        <v>1</v>
      </c>
      <c r="U152" s="18">
        <f>IF(T152=TRUE,Priors!$H$7,1)</f>
        <v>0.9</v>
      </c>
      <c r="V152" s="18">
        <f t="shared" si="12"/>
        <v>0.47924263674614304</v>
      </c>
      <c r="W152" s="20">
        <f>VLOOKUP(D152,Priors!$A$3:$C$6,2,FALSE)</f>
        <v>4.1142361271531161E-2</v>
      </c>
      <c r="X152" s="20">
        <f>VLOOKUP(D152,Priors!$A$3:$C$6,3,FALSE)</f>
        <v>4.0513079897554365E-2</v>
      </c>
      <c r="Y152" s="20">
        <f t="shared" si="13"/>
        <v>2.7916872606859672E-2</v>
      </c>
      <c r="Z152" s="20">
        <f t="shared" si="14"/>
        <v>3.4297244231964244E-2</v>
      </c>
      <c r="AA152" s="21">
        <v>1</v>
      </c>
      <c r="AB152" s="21">
        <v>1</v>
      </c>
      <c r="AC152" s="22">
        <f t="shared" si="15"/>
        <v>2.7916872606859672E-2</v>
      </c>
      <c r="AD152" s="22">
        <f t="shared" si="16"/>
        <v>3.4297244231964244E-2</v>
      </c>
      <c r="AE152" s="22">
        <f t="shared" si="17"/>
        <v>0.52075736325385691</v>
      </c>
      <c r="AF152" s="7" t="s">
        <v>1643</v>
      </c>
      <c r="AG152" s="7"/>
      <c r="AH152" s="7"/>
      <c r="AI152" s="7"/>
      <c r="AJ152" s="8" t="b">
        <v>1</v>
      </c>
      <c r="AK152" s="28" t="s">
        <v>1644</v>
      </c>
      <c r="AL152" s="28" t="s">
        <v>1645</v>
      </c>
      <c r="AM152" s="28"/>
      <c r="AN152" s="7"/>
      <c r="AO152" s="7">
        <v>0</v>
      </c>
      <c r="AP152" s="8" t="b">
        <v>0</v>
      </c>
      <c r="AQ152" s="28" t="s">
        <v>1646</v>
      </c>
    </row>
    <row r="153" spans="1:43" ht="30">
      <c r="A153" s="7">
        <v>149</v>
      </c>
      <c r="B153" s="7" t="s">
        <v>539</v>
      </c>
      <c r="C153" s="7" t="s">
        <v>44</v>
      </c>
      <c r="D153" s="7" t="s">
        <v>99</v>
      </c>
      <c r="E153" s="7" t="s">
        <v>1642</v>
      </c>
      <c r="F153" s="7" t="s">
        <v>44</v>
      </c>
      <c r="G153" s="14">
        <v>225</v>
      </c>
      <c r="H153" s="15">
        <v>0</v>
      </c>
      <c r="I153" s="15">
        <v>0.12</v>
      </c>
      <c r="J153" s="15">
        <v>0</v>
      </c>
      <c r="K153" s="15">
        <v>4.7999999999999994E-2</v>
      </c>
      <c r="L153" s="15">
        <v>66.5</v>
      </c>
      <c r="M153" s="15">
        <v>1.75</v>
      </c>
      <c r="N153" s="16">
        <v>0</v>
      </c>
      <c r="O153" s="16">
        <v>2.7428571428571424E-2</v>
      </c>
      <c r="P153" s="17">
        <f>IFERROR(G153/(G153+Priors!$H$3),0)</f>
        <v>0.18367346938775511</v>
      </c>
      <c r="Q153" s="18">
        <f>IF(E153="Premier League",Priors!$H$4,IF(E153="Championship",Priors!$H$5,Priors!$H$8))</f>
        <v>1</v>
      </c>
      <c r="R153" s="19" t="b">
        <v>0</v>
      </c>
      <c r="S153" s="18">
        <f>IF(R153=TRUE,Priors!$H$6,1)</f>
        <v>1</v>
      </c>
      <c r="T153" s="19" t="b">
        <v>1</v>
      </c>
      <c r="U153" s="18">
        <f>IF(T153=TRUE,Priors!$H$7,1)</f>
        <v>0.9</v>
      </c>
      <c r="V153" s="18">
        <f t="shared" si="12"/>
        <v>0.1653061224489796</v>
      </c>
      <c r="W153" s="20">
        <f>VLOOKUP(D153,Priors!$A$3:$C$6,2,FALSE)</f>
        <v>4.1142361271531161E-2</v>
      </c>
      <c r="X153" s="20">
        <f>VLOOKUP(D153,Priors!$A$3:$C$6,3,FALSE)</f>
        <v>4.0513079897554365E-2</v>
      </c>
      <c r="Y153" s="20">
        <f t="shared" si="13"/>
        <v>3.4341277061339277E-2</v>
      </c>
      <c r="Z153" s="20">
        <f t="shared" si="14"/>
        <v>3.8350130538395956E-2</v>
      </c>
      <c r="AA153" s="21">
        <v>1</v>
      </c>
      <c r="AB153" s="21">
        <v>1</v>
      </c>
      <c r="AC153" s="22">
        <f t="shared" si="15"/>
        <v>3.4341277061339277E-2</v>
      </c>
      <c r="AD153" s="22">
        <f t="shared" si="16"/>
        <v>3.8350130538395956E-2</v>
      </c>
      <c r="AE153" s="22">
        <f t="shared" si="17"/>
        <v>0.83469387755102042</v>
      </c>
      <c r="AF153" s="7" t="s">
        <v>1643</v>
      </c>
      <c r="AG153" s="7"/>
      <c r="AH153" s="7"/>
      <c r="AI153" s="7"/>
      <c r="AJ153" s="8" t="b">
        <v>1</v>
      </c>
      <c r="AK153" s="28" t="s">
        <v>1644</v>
      </c>
      <c r="AL153" s="28" t="s">
        <v>1645</v>
      </c>
      <c r="AM153" s="28"/>
      <c r="AN153" s="7"/>
      <c r="AO153" s="7"/>
      <c r="AP153" s="7"/>
      <c r="AQ153" s="28" t="s">
        <v>1650</v>
      </c>
    </row>
    <row r="154" spans="1:43" ht="30">
      <c r="A154" s="7">
        <v>150</v>
      </c>
      <c r="B154" s="7" t="s">
        <v>542</v>
      </c>
      <c r="C154" s="7" t="s">
        <v>44</v>
      </c>
      <c r="D154" s="7" t="s">
        <v>99</v>
      </c>
      <c r="E154" s="7" t="s">
        <v>1642</v>
      </c>
      <c r="F154" s="7" t="s">
        <v>44</v>
      </c>
      <c r="G154" s="14">
        <v>100</v>
      </c>
      <c r="H154" s="15">
        <v>0.35</v>
      </c>
      <c r="I154" s="15">
        <v>0</v>
      </c>
      <c r="J154" s="15">
        <v>0.31499999999999995</v>
      </c>
      <c r="K154" s="15">
        <v>0</v>
      </c>
      <c r="L154" s="15">
        <v>66.5</v>
      </c>
      <c r="M154" s="15">
        <v>1.75</v>
      </c>
      <c r="N154" s="16">
        <v>0.17999999999999997</v>
      </c>
      <c r="O154" s="16">
        <v>0</v>
      </c>
      <c r="P154" s="17">
        <f>IFERROR(G154/(G154+Priors!$H$3),0)</f>
        <v>9.0909090909090912E-2</v>
      </c>
      <c r="Q154" s="18">
        <f>IF(E154="Premier League",Priors!$H$4,IF(E154="Championship",Priors!$H$5,Priors!$H$8))</f>
        <v>1</v>
      </c>
      <c r="R154" s="19" t="b">
        <v>0</v>
      </c>
      <c r="S154" s="18">
        <f>IF(R154=TRUE,Priors!$H$6,1)</f>
        <v>1</v>
      </c>
      <c r="T154" s="19" t="b">
        <v>1</v>
      </c>
      <c r="U154" s="18">
        <f>IF(T154=TRUE,Priors!$H$7,1)</f>
        <v>0.9</v>
      </c>
      <c r="V154" s="18">
        <f t="shared" si="12"/>
        <v>8.1818181818181818E-2</v>
      </c>
      <c r="W154" s="20">
        <f>VLOOKUP(D154,Priors!$A$3:$C$6,2,FALSE)</f>
        <v>4.1142361271531161E-2</v>
      </c>
      <c r="X154" s="20">
        <f>VLOOKUP(D154,Priors!$A$3:$C$6,3,FALSE)</f>
        <v>4.0513079897554365E-2</v>
      </c>
      <c r="Y154" s="20">
        <f t="shared" si="13"/>
        <v>5.2503440803860421E-2</v>
      </c>
      <c r="Z154" s="20">
        <f t="shared" si="14"/>
        <v>3.7198373360481735E-2</v>
      </c>
      <c r="AA154" s="21">
        <v>1</v>
      </c>
      <c r="AB154" s="21">
        <v>1</v>
      </c>
      <c r="AC154" s="22">
        <f t="shared" si="15"/>
        <v>5.2503440803860421E-2</v>
      </c>
      <c r="AD154" s="22">
        <f t="shared" si="16"/>
        <v>3.7198373360481735E-2</v>
      </c>
      <c r="AE154" s="22">
        <f t="shared" si="17"/>
        <v>0.91818181818181821</v>
      </c>
      <c r="AF154" s="7" t="s">
        <v>1643</v>
      </c>
      <c r="AG154" s="7"/>
      <c r="AH154" s="7"/>
      <c r="AI154" s="7"/>
      <c r="AJ154" s="8" t="b">
        <v>1</v>
      </c>
      <c r="AK154" s="28" t="s">
        <v>1644</v>
      </c>
      <c r="AL154" s="28" t="s">
        <v>1645</v>
      </c>
      <c r="AM154" s="28"/>
      <c r="AN154" s="7"/>
      <c r="AO154" s="7">
        <v>0</v>
      </c>
      <c r="AP154" s="8" t="b">
        <v>0</v>
      </c>
      <c r="AQ154" s="28" t="s">
        <v>1646</v>
      </c>
    </row>
    <row r="155" spans="1:43" ht="30">
      <c r="A155" s="7">
        <v>151</v>
      </c>
      <c r="B155" s="7" t="s">
        <v>545</v>
      </c>
      <c r="C155" s="7" t="s">
        <v>44</v>
      </c>
      <c r="D155" s="7" t="s">
        <v>99</v>
      </c>
      <c r="E155" s="7" t="s">
        <v>1642</v>
      </c>
      <c r="F155" s="7" t="s">
        <v>44</v>
      </c>
      <c r="G155" s="14">
        <v>657</v>
      </c>
      <c r="H155" s="15">
        <v>0.62</v>
      </c>
      <c r="I155" s="15">
        <v>0.13</v>
      </c>
      <c r="J155" s="15">
        <v>8.4931506849315067E-2</v>
      </c>
      <c r="K155" s="15">
        <v>1.7808219178082195E-2</v>
      </c>
      <c r="L155" s="15">
        <v>66.5</v>
      </c>
      <c r="M155" s="15">
        <v>1.75</v>
      </c>
      <c r="N155" s="16">
        <v>4.8532289628180035E-2</v>
      </c>
      <c r="O155" s="16">
        <v>1.0176125244618398E-2</v>
      </c>
      <c r="P155" s="17">
        <f>IFERROR(G155/(G155+Priors!$H$3),0)</f>
        <v>0.3964996982498491</v>
      </c>
      <c r="Q155" s="18">
        <f>IF(E155="Premier League",Priors!$H$4,IF(E155="Championship",Priors!$H$5,Priors!$H$8))</f>
        <v>1</v>
      </c>
      <c r="R155" s="19" t="b">
        <v>0</v>
      </c>
      <c r="S155" s="18">
        <f>IF(R155=TRUE,Priors!$H$6,1)</f>
        <v>1</v>
      </c>
      <c r="T155" s="19" t="b">
        <v>1</v>
      </c>
      <c r="U155" s="18">
        <f>IF(T155=TRUE,Priors!$H$7,1)</f>
        <v>0.9</v>
      </c>
      <c r="V155" s="18">
        <f t="shared" si="12"/>
        <v>0.35684972842486418</v>
      </c>
      <c r="W155" s="20">
        <f>VLOOKUP(D155,Priors!$A$3:$C$6,2,FALSE)</f>
        <v>4.1142361271531161E-2</v>
      </c>
      <c r="X155" s="20">
        <f>VLOOKUP(D155,Priors!$A$3:$C$6,3,FALSE)</f>
        <v>4.0513079897554365E-2</v>
      </c>
      <c r="Y155" s="20">
        <f t="shared" si="13"/>
        <v>4.3779455198680511E-2</v>
      </c>
      <c r="Z155" s="20">
        <f t="shared" si="14"/>
        <v>2.9687345868416745E-2</v>
      </c>
      <c r="AA155" s="21">
        <v>1</v>
      </c>
      <c r="AB155" s="21">
        <v>1</v>
      </c>
      <c r="AC155" s="22">
        <f t="shared" si="15"/>
        <v>4.3779455198680511E-2</v>
      </c>
      <c r="AD155" s="22">
        <f t="shared" si="16"/>
        <v>2.9687345868416745E-2</v>
      </c>
      <c r="AE155" s="22">
        <f t="shared" si="17"/>
        <v>0.64315027157513582</v>
      </c>
      <c r="AF155" s="7" t="s">
        <v>1643</v>
      </c>
      <c r="AG155" s="7"/>
      <c r="AH155" s="7"/>
      <c r="AI155" s="7"/>
      <c r="AJ155" s="8" t="b">
        <v>1</v>
      </c>
      <c r="AK155" s="28" t="s">
        <v>1644</v>
      </c>
      <c r="AL155" s="28" t="s">
        <v>1645</v>
      </c>
      <c r="AM155" s="28"/>
      <c r="AN155" s="7">
        <v>1</v>
      </c>
      <c r="AO155" s="7">
        <v>1</v>
      </c>
      <c r="AP155" s="8" t="b">
        <v>1</v>
      </c>
      <c r="AQ155" s="28" t="s">
        <v>1649</v>
      </c>
    </row>
    <row r="156" spans="1:43" ht="15">
      <c r="A156" s="7">
        <v>152</v>
      </c>
      <c r="B156" s="7" t="s">
        <v>548</v>
      </c>
      <c r="C156" s="7" t="s">
        <v>44</v>
      </c>
      <c r="D156" s="7" t="s">
        <v>99</v>
      </c>
      <c r="E156" s="7" t="s">
        <v>1647</v>
      </c>
      <c r="F156" s="7"/>
      <c r="G156" s="14"/>
      <c r="H156" s="15"/>
      <c r="I156" s="15"/>
      <c r="J156" s="15"/>
      <c r="K156" s="15"/>
      <c r="L156" s="15"/>
      <c r="M156" s="15"/>
      <c r="N156" s="16"/>
      <c r="O156" s="16"/>
      <c r="P156" s="17">
        <f>IFERROR(G156/(G156+Priors!$H$3),0)</f>
        <v>0</v>
      </c>
      <c r="Q156" s="18">
        <f>IF(E156="Premier League",Priors!$H$4,IF(E156="Championship",Priors!$H$5,Priors!$H$8))</f>
        <v>0</v>
      </c>
      <c r="R156" s="19" t="b">
        <v>0</v>
      </c>
      <c r="S156" s="18">
        <f>IF(R156=TRUE,Priors!$H$6,1)</f>
        <v>1</v>
      </c>
      <c r="T156" s="19" t="b">
        <v>1</v>
      </c>
      <c r="U156" s="18">
        <f>IF(T156=TRUE,Priors!$H$7,1)</f>
        <v>0.9</v>
      </c>
      <c r="V156" s="18">
        <f t="shared" si="12"/>
        <v>0</v>
      </c>
      <c r="W156" s="20">
        <f>VLOOKUP(D156,Priors!$A$3:$C$6,2,FALSE)</f>
        <v>4.1142361271531161E-2</v>
      </c>
      <c r="X156" s="20">
        <f>VLOOKUP(D156,Priors!$A$3:$C$6,3,FALSE)</f>
        <v>4.0513079897554365E-2</v>
      </c>
      <c r="Y156" s="20">
        <f t="shared" si="13"/>
        <v>4.1142361271531161E-2</v>
      </c>
      <c r="Z156" s="20">
        <f t="shared" si="14"/>
        <v>4.0513079897554365E-2</v>
      </c>
      <c r="AA156" s="21">
        <v>1</v>
      </c>
      <c r="AB156" s="21">
        <v>1</v>
      </c>
      <c r="AC156" s="22">
        <f t="shared" si="15"/>
        <v>4.1142361271531161E-2</v>
      </c>
      <c r="AD156" s="22">
        <f t="shared" si="16"/>
        <v>4.0513079897554365E-2</v>
      </c>
      <c r="AE156" s="22">
        <f t="shared" si="17"/>
        <v>1</v>
      </c>
      <c r="AF156" s="7" t="s">
        <v>1647</v>
      </c>
      <c r="AG156" s="7"/>
      <c r="AH156" s="7"/>
      <c r="AI156" s="7"/>
      <c r="AJ156" s="8" t="b">
        <v>1</v>
      </c>
      <c r="AK156" s="28" t="s">
        <v>1648</v>
      </c>
      <c r="AL156" s="28"/>
      <c r="AM156" s="28"/>
      <c r="AN156" s="7">
        <v>2</v>
      </c>
      <c r="AO156" s="7">
        <v>0</v>
      </c>
      <c r="AP156" s="8" t="b">
        <v>1</v>
      </c>
      <c r="AQ156" s="28" t="s">
        <v>1649</v>
      </c>
    </row>
    <row r="157" spans="1:43" ht="30">
      <c r="A157" s="7">
        <v>153</v>
      </c>
      <c r="B157" s="7" t="s">
        <v>550</v>
      </c>
      <c r="C157" s="7" t="s">
        <v>44</v>
      </c>
      <c r="D157" s="7" t="s">
        <v>99</v>
      </c>
      <c r="E157" s="7" t="s">
        <v>1642</v>
      </c>
      <c r="F157" s="7" t="s">
        <v>1653</v>
      </c>
      <c r="G157" s="14">
        <v>1254</v>
      </c>
      <c r="H157" s="15">
        <v>1.1000000000000001</v>
      </c>
      <c r="I157" s="15">
        <v>0.03</v>
      </c>
      <c r="J157" s="15">
        <v>7.8947368421052641E-2</v>
      </c>
      <c r="K157" s="15">
        <v>2.1531100478468898E-3</v>
      </c>
      <c r="L157" s="15">
        <v>46.1</v>
      </c>
      <c r="M157" s="15">
        <v>1.2131578947368422</v>
      </c>
      <c r="N157" s="16">
        <v>6.5075921908893705E-2</v>
      </c>
      <c r="O157" s="16">
        <v>1.7747978702425554E-3</v>
      </c>
      <c r="P157" s="17">
        <f>IFERROR(G157/(G157+Priors!$H$3),0)</f>
        <v>0.55634427684117127</v>
      </c>
      <c r="Q157" s="18">
        <f>IF(E157="Premier League",Priors!$H$4,IF(E157="Championship",Priors!$H$5,Priors!$H$8))</f>
        <v>1</v>
      </c>
      <c r="R157" s="19" t="b">
        <v>1</v>
      </c>
      <c r="S157" s="18">
        <f>IF(R157=TRUE,Priors!$H$6,1)</f>
        <v>0.85</v>
      </c>
      <c r="T157" s="19" t="b">
        <v>1</v>
      </c>
      <c r="U157" s="18">
        <f>IF(T157=TRUE,Priors!$H$7,1)</f>
        <v>0.9</v>
      </c>
      <c r="V157" s="18">
        <f t="shared" si="12"/>
        <v>0.42560337178349605</v>
      </c>
      <c r="W157" s="20">
        <f>VLOOKUP(D157,Priors!$A$3:$C$6,2,FALSE)</f>
        <v>4.1142361271531161E-2</v>
      </c>
      <c r="X157" s="20">
        <f>VLOOKUP(D157,Priors!$A$3:$C$6,3,FALSE)</f>
        <v>4.0513079897554365E-2</v>
      </c>
      <c r="Y157" s="20">
        <f t="shared" si="13"/>
        <v>5.132856537757742E-2</v>
      </c>
      <c r="Z157" s="20">
        <f t="shared" si="14"/>
        <v>2.4025936449630452E-2</v>
      </c>
      <c r="AA157" s="21">
        <v>1</v>
      </c>
      <c r="AB157" s="21">
        <v>1</v>
      </c>
      <c r="AC157" s="22">
        <f t="shared" si="15"/>
        <v>5.132856537757742E-2</v>
      </c>
      <c r="AD157" s="22">
        <f t="shared" si="16"/>
        <v>2.4025936449630452E-2</v>
      </c>
      <c r="AE157" s="22">
        <f t="shared" si="17"/>
        <v>0.57439662821650395</v>
      </c>
      <c r="AF157" s="7" t="s">
        <v>1643</v>
      </c>
      <c r="AG157" s="7"/>
      <c r="AH157" s="7"/>
      <c r="AI157" s="7"/>
      <c r="AJ157" s="8" t="b">
        <v>1</v>
      </c>
      <c r="AK157" s="28" t="s">
        <v>1644</v>
      </c>
      <c r="AL157" s="28" t="s">
        <v>1645</v>
      </c>
      <c r="AM157" s="28"/>
      <c r="AN157" s="7"/>
      <c r="AO157" s="7">
        <v>0</v>
      </c>
      <c r="AP157" s="8" t="b">
        <v>0</v>
      </c>
      <c r="AQ157" s="28" t="s">
        <v>1646</v>
      </c>
    </row>
    <row r="158" spans="1:43" ht="30">
      <c r="A158" s="7">
        <v>154</v>
      </c>
      <c r="B158" s="7" t="s">
        <v>553</v>
      </c>
      <c r="C158" s="7" t="s">
        <v>44</v>
      </c>
      <c r="D158" s="7" t="s">
        <v>112</v>
      </c>
      <c r="E158" s="7" t="s">
        <v>1642</v>
      </c>
      <c r="F158" s="7" t="s">
        <v>44</v>
      </c>
      <c r="G158" s="14">
        <v>1954</v>
      </c>
      <c r="H158" s="15">
        <v>10.55</v>
      </c>
      <c r="I158" s="15">
        <v>2.4900000000000002</v>
      </c>
      <c r="J158" s="15">
        <v>0.48592630501535317</v>
      </c>
      <c r="K158" s="15">
        <v>0.1146878198567042</v>
      </c>
      <c r="L158" s="15">
        <v>66.5</v>
      </c>
      <c r="M158" s="15">
        <v>1.75</v>
      </c>
      <c r="N158" s="16">
        <v>0.27767217429448754</v>
      </c>
      <c r="O158" s="16">
        <v>6.5535897060973833E-2</v>
      </c>
      <c r="P158" s="17">
        <f>IFERROR(G158/(G158+Priors!$H$3),0)</f>
        <v>0.66147596479350035</v>
      </c>
      <c r="Q158" s="18">
        <f>IF(E158="Premier League",Priors!$H$4,IF(E158="Championship",Priors!$H$5,Priors!$H$8))</f>
        <v>1</v>
      </c>
      <c r="R158" s="19" t="b">
        <v>0</v>
      </c>
      <c r="S158" s="18">
        <f>IF(R158=TRUE,Priors!$H$6,1)</f>
        <v>1</v>
      </c>
      <c r="T158" s="19" t="b">
        <v>1</v>
      </c>
      <c r="U158" s="18">
        <f>IF(T158=TRUE,Priors!$H$7,1)</f>
        <v>0.9</v>
      </c>
      <c r="V158" s="18">
        <f t="shared" si="12"/>
        <v>0.59532836831415037</v>
      </c>
      <c r="W158" s="20">
        <f>VLOOKUP(D158,Priors!$A$3:$C$6,2,FALSE)</f>
        <v>0.10751786102217777</v>
      </c>
      <c r="X158" s="20">
        <f>VLOOKUP(D158,Priors!$A$3:$C$6,3,FALSE)</f>
        <v>9.0240671969462088E-2</v>
      </c>
      <c r="Y158" s="20">
        <f t="shared" si="13"/>
        <v>0.20881555070419672</v>
      </c>
      <c r="Z158" s="20">
        <f t="shared" si="14"/>
        <v>7.5533218633623417E-2</v>
      </c>
      <c r="AA158" s="21">
        <v>1</v>
      </c>
      <c r="AB158" s="21">
        <v>1</v>
      </c>
      <c r="AC158" s="22">
        <f t="shared" si="15"/>
        <v>0.20881555070419672</v>
      </c>
      <c r="AD158" s="22">
        <f t="shared" si="16"/>
        <v>7.5533218633623417E-2</v>
      </c>
      <c r="AE158" s="22">
        <f t="shared" si="17"/>
        <v>0.40467163168584963</v>
      </c>
      <c r="AF158" s="7" t="s">
        <v>1643</v>
      </c>
      <c r="AG158" s="7">
        <v>1</v>
      </c>
      <c r="AH158" s="7">
        <v>3</v>
      </c>
      <c r="AI158" s="7"/>
      <c r="AJ158" s="8" t="b">
        <v>1</v>
      </c>
      <c r="AK158" s="28" t="s">
        <v>1644</v>
      </c>
      <c r="AL158" s="28" t="s">
        <v>1645</v>
      </c>
      <c r="AM158" s="28"/>
      <c r="AN158" s="7">
        <v>3</v>
      </c>
      <c r="AO158" s="7">
        <v>0</v>
      </c>
      <c r="AP158" s="8" t="b">
        <v>0</v>
      </c>
      <c r="AQ158" s="28" t="s">
        <v>1646</v>
      </c>
    </row>
    <row r="159" spans="1:43" ht="30">
      <c r="A159" s="7">
        <v>155</v>
      </c>
      <c r="B159" s="7" t="s">
        <v>556</v>
      </c>
      <c r="C159" s="7" t="s">
        <v>44</v>
      </c>
      <c r="D159" s="7" t="s">
        <v>112</v>
      </c>
      <c r="E159" s="7" t="s">
        <v>1642</v>
      </c>
      <c r="F159" s="7" t="s">
        <v>44</v>
      </c>
      <c r="G159" s="14">
        <v>3114</v>
      </c>
      <c r="H159" s="15">
        <v>11.26</v>
      </c>
      <c r="I159" s="15">
        <v>7.26</v>
      </c>
      <c r="J159" s="15">
        <v>0.32543352601156067</v>
      </c>
      <c r="K159" s="15">
        <v>0.20982658959537573</v>
      </c>
      <c r="L159" s="15">
        <v>66.5</v>
      </c>
      <c r="M159" s="15">
        <v>1.75</v>
      </c>
      <c r="N159" s="16">
        <v>0.18596201486374894</v>
      </c>
      <c r="O159" s="16">
        <v>0.1199009083402147</v>
      </c>
      <c r="P159" s="17">
        <f>IFERROR(G159/(G159+Priors!$H$3),0)</f>
        <v>0.7569275644141954</v>
      </c>
      <c r="Q159" s="18">
        <f>IF(E159="Premier League",Priors!$H$4,IF(E159="Championship",Priors!$H$5,Priors!$H$8))</f>
        <v>1</v>
      </c>
      <c r="R159" s="19" t="b">
        <v>0</v>
      </c>
      <c r="S159" s="18">
        <f>IF(R159=TRUE,Priors!$H$6,1)</f>
        <v>1</v>
      </c>
      <c r="T159" s="19" t="b">
        <v>1</v>
      </c>
      <c r="U159" s="18">
        <f>IF(T159=TRUE,Priors!$H$7,1)</f>
        <v>0.9</v>
      </c>
      <c r="V159" s="18">
        <f t="shared" si="12"/>
        <v>0.68123480797277591</v>
      </c>
      <c r="W159" s="20">
        <f>VLOOKUP(D159,Priors!$A$3:$C$6,2,FALSE)</f>
        <v>0.10751786102217777</v>
      </c>
      <c r="X159" s="20">
        <f>VLOOKUP(D159,Priors!$A$3:$C$6,3,FALSE)</f>
        <v>9.0240671969462088E-2</v>
      </c>
      <c r="Y159" s="20">
        <f t="shared" si="13"/>
        <v>0.16095674910102739</v>
      </c>
      <c r="Z159" s="20">
        <f t="shared" si="14"/>
        <v>0.1104462573979189</v>
      </c>
      <c r="AA159" s="21">
        <v>1</v>
      </c>
      <c r="AB159" s="21">
        <v>1</v>
      </c>
      <c r="AC159" s="22">
        <f t="shared" si="15"/>
        <v>0.16095674910102739</v>
      </c>
      <c r="AD159" s="22">
        <f t="shared" si="16"/>
        <v>0.1104462573979189</v>
      </c>
      <c r="AE159" s="22">
        <f t="shared" si="17"/>
        <v>0.31876519202722409</v>
      </c>
      <c r="AF159" s="7" t="s">
        <v>1643</v>
      </c>
      <c r="AG159" s="7">
        <v>2</v>
      </c>
      <c r="AH159" s="7">
        <v>2</v>
      </c>
      <c r="AI159" s="7">
        <v>7</v>
      </c>
      <c r="AJ159" s="8" t="b">
        <v>1</v>
      </c>
      <c r="AK159" s="28" t="s">
        <v>1644</v>
      </c>
      <c r="AL159" s="28" t="s">
        <v>1645</v>
      </c>
      <c r="AM159" s="28"/>
      <c r="AN159" s="7"/>
      <c r="AO159" s="7">
        <v>0</v>
      </c>
      <c r="AP159" s="8" t="b">
        <v>0</v>
      </c>
      <c r="AQ159" s="28" t="s">
        <v>1646</v>
      </c>
    </row>
    <row r="160" spans="1:43" ht="30">
      <c r="A160" s="7">
        <v>156</v>
      </c>
      <c r="B160" s="7" t="s">
        <v>559</v>
      </c>
      <c r="C160" s="7" t="s">
        <v>44</v>
      </c>
      <c r="D160" s="7" t="s">
        <v>112</v>
      </c>
      <c r="E160" s="7" t="s">
        <v>1642</v>
      </c>
      <c r="F160" s="7" t="s">
        <v>44</v>
      </c>
      <c r="G160" s="14">
        <v>2629</v>
      </c>
      <c r="H160" s="15">
        <v>4.59</v>
      </c>
      <c r="I160" s="15">
        <v>6.84</v>
      </c>
      <c r="J160" s="15">
        <v>0.15713198934956255</v>
      </c>
      <c r="K160" s="15">
        <v>0.23415747432483835</v>
      </c>
      <c r="L160" s="15">
        <v>66.5</v>
      </c>
      <c r="M160" s="15">
        <v>1.75</v>
      </c>
      <c r="N160" s="16">
        <v>8.9789708199750032E-2</v>
      </c>
      <c r="O160" s="16">
        <v>0.13380427104276477</v>
      </c>
      <c r="P160" s="17">
        <f>IFERROR(G160/(G160+Priors!$H$3),0)</f>
        <v>0.72444199503995588</v>
      </c>
      <c r="Q160" s="18">
        <f>IF(E160="Premier League",Priors!$H$4,IF(E160="Championship",Priors!$H$5,Priors!$H$8))</f>
        <v>1</v>
      </c>
      <c r="R160" s="19" t="b">
        <v>0</v>
      </c>
      <c r="S160" s="18">
        <f>IF(R160=TRUE,Priors!$H$6,1)</f>
        <v>1</v>
      </c>
      <c r="T160" s="19" t="b">
        <v>1</v>
      </c>
      <c r="U160" s="18">
        <f>IF(T160=TRUE,Priors!$H$7,1)</f>
        <v>0.9</v>
      </c>
      <c r="V160" s="18">
        <f t="shared" si="12"/>
        <v>0.65199779553596027</v>
      </c>
      <c r="W160" s="20">
        <f>VLOOKUP(D160,Priors!$A$3:$C$6,2,FALSE)</f>
        <v>0.10751786102217777</v>
      </c>
      <c r="X160" s="20">
        <f>VLOOKUP(D160,Priors!$A$3:$C$6,3,FALSE)</f>
        <v>9.0240671969462088E-2</v>
      </c>
      <c r="Y160" s="20">
        <f t="shared" si="13"/>
        <v>9.5959144463030277E-2</v>
      </c>
      <c r="Z160" s="20">
        <f t="shared" si="14"/>
        <v>0.11864404253086783</v>
      </c>
      <c r="AA160" s="21">
        <v>1</v>
      </c>
      <c r="AB160" s="21">
        <v>1</v>
      </c>
      <c r="AC160" s="22">
        <f t="shared" si="15"/>
        <v>9.5959144463030277E-2</v>
      </c>
      <c r="AD160" s="22">
        <f t="shared" si="16"/>
        <v>0.11864404253086783</v>
      </c>
      <c r="AE160" s="22">
        <f t="shared" si="17"/>
        <v>0.34800220446403973</v>
      </c>
      <c r="AF160" s="7" t="s">
        <v>1643</v>
      </c>
      <c r="AG160" s="7"/>
      <c r="AH160" s="7">
        <v>4</v>
      </c>
      <c r="AI160" s="7">
        <v>6</v>
      </c>
      <c r="AJ160" s="8" t="b">
        <v>1</v>
      </c>
      <c r="AK160" s="28" t="s">
        <v>1644</v>
      </c>
      <c r="AL160" s="28" t="s">
        <v>1645</v>
      </c>
      <c r="AM160" s="28"/>
      <c r="AN160" s="7"/>
      <c r="AO160" s="7">
        <v>0</v>
      </c>
      <c r="AP160" s="8" t="b">
        <v>0</v>
      </c>
      <c r="AQ160" s="28" t="s">
        <v>1646</v>
      </c>
    </row>
    <row r="161" spans="1:43" ht="30">
      <c r="A161" s="7">
        <v>157</v>
      </c>
      <c r="B161" s="7" t="s">
        <v>562</v>
      </c>
      <c r="C161" s="7" t="s">
        <v>44</v>
      </c>
      <c r="D161" s="7" t="s">
        <v>112</v>
      </c>
      <c r="E161" s="7" t="s">
        <v>1642</v>
      </c>
      <c r="F161" s="7" t="s">
        <v>44</v>
      </c>
      <c r="G161" s="14">
        <v>839</v>
      </c>
      <c r="H161" s="15">
        <v>2.91</v>
      </c>
      <c r="I161" s="15">
        <v>2.14</v>
      </c>
      <c r="J161" s="15">
        <v>0.3121573301549464</v>
      </c>
      <c r="K161" s="15">
        <v>0.2295589988081049</v>
      </c>
      <c r="L161" s="15">
        <v>66.5</v>
      </c>
      <c r="M161" s="15">
        <v>1.75</v>
      </c>
      <c r="N161" s="16">
        <v>0.17837561723139794</v>
      </c>
      <c r="O161" s="16">
        <v>0.13117657074748851</v>
      </c>
      <c r="P161" s="17">
        <f>IFERROR(G161/(G161+Priors!$H$3),0)</f>
        <v>0.456226209896683</v>
      </c>
      <c r="Q161" s="18">
        <f>IF(E161="Premier League",Priors!$H$4,IF(E161="Championship",Priors!$H$5,Priors!$H$8))</f>
        <v>1</v>
      </c>
      <c r="R161" s="19" t="b">
        <v>0</v>
      </c>
      <c r="S161" s="18">
        <f>IF(R161=TRUE,Priors!$H$6,1)</f>
        <v>1</v>
      </c>
      <c r="T161" s="19" t="b">
        <v>1</v>
      </c>
      <c r="U161" s="18">
        <f>IF(T161=TRUE,Priors!$H$7,1)</f>
        <v>0.9</v>
      </c>
      <c r="V161" s="18">
        <f t="shared" si="12"/>
        <v>0.4106035889070147</v>
      </c>
      <c r="W161" s="20">
        <f>VLOOKUP(D161,Priors!$A$3:$C$6,2,FALSE)</f>
        <v>0.10751786102217777</v>
      </c>
      <c r="X161" s="20">
        <f>VLOOKUP(D161,Priors!$A$3:$C$6,3,FALSE)</f>
        <v>9.0240671969462088E-2</v>
      </c>
      <c r="Y161" s="20">
        <f t="shared" si="13"/>
        <v>0.13661231002358187</v>
      </c>
      <c r="Z161" s="20">
        <f t="shared" si="14"/>
        <v>0.10704909892285401</v>
      </c>
      <c r="AA161" s="21">
        <v>1</v>
      </c>
      <c r="AB161" s="21">
        <v>1</v>
      </c>
      <c r="AC161" s="22">
        <f t="shared" si="15"/>
        <v>0.13661231002358187</v>
      </c>
      <c r="AD161" s="22">
        <f t="shared" si="16"/>
        <v>0.10704909892285401</v>
      </c>
      <c r="AE161" s="22">
        <f t="shared" si="17"/>
        <v>0.58939641109298524</v>
      </c>
      <c r="AF161" s="7" t="s">
        <v>1643</v>
      </c>
      <c r="AG161" s="7">
        <v>3</v>
      </c>
      <c r="AH161" s="7"/>
      <c r="AI161" s="7">
        <v>8</v>
      </c>
      <c r="AJ161" s="8" t="b">
        <v>1</v>
      </c>
      <c r="AK161" s="28" t="s">
        <v>1644</v>
      </c>
      <c r="AL161" s="28" t="s">
        <v>1645</v>
      </c>
      <c r="AM161" s="28"/>
      <c r="AN161" s="7"/>
      <c r="AO161" s="7">
        <v>0</v>
      </c>
      <c r="AP161" s="8" t="b">
        <v>0</v>
      </c>
      <c r="AQ161" s="28" t="s">
        <v>1646</v>
      </c>
    </row>
    <row r="162" spans="1:43" ht="30">
      <c r="A162" s="7">
        <v>158</v>
      </c>
      <c r="B162" s="7" t="s">
        <v>565</v>
      </c>
      <c r="C162" s="7" t="s">
        <v>44</v>
      </c>
      <c r="D162" s="7" t="s">
        <v>112</v>
      </c>
      <c r="E162" s="7" t="s">
        <v>1642</v>
      </c>
      <c r="F162" s="7" t="s">
        <v>44</v>
      </c>
      <c r="G162" s="14">
        <v>486</v>
      </c>
      <c r="H162" s="15">
        <v>0.81</v>
      </c>
      <c r="I162" s="15">
        <v>0.94</v>
      </c>
      <c r="J162" s="15">
        <v>0.15000000000000002</v>
      </c>
      <c r="K162" s="15">
        <v>0.17407407407407408</v>
      </c>
      <c r="L162" s="15">
        <v>66.5</v>
      </c>
      <c r="M162" s="15">
        <v>1.75</v>
      </c>
      <c r="N162" s="16">
        <v>8.5714285714285729E-2</v>
      </c>
      <c r="O162" s="16">
        <v>9.9470899470899474E-2</v>
      </c>
      <c r="P162" s="17">
        <f>IFERROR(G162/(G162+Priors!$H$3),0)</f>
        <v>0.32705248990578734</v>
      </c>
      <c r="Q162" s="18">
        <f>IF(E162="Premier League",Priors!$H$4,IF(E162="Championship",Priors!$H$5,Priors!$H$8))</f>
        <v>1</v>
      </c>
      <c r="R162" s="19" t="b">
        <v>0</v>
      </c>
      <c r="S162" s="18">
        <f>IF(R162=TRUE,Priors!$H$6,1)</f>
        <v>1</v>
      </c>
      <c r="T162" s="19" t="b">
        <v>1</v>
      </c>
      <c r="U162" s="18">
        <f>IF(T162=TRUE,Priors!$H$7,1)</f>
        <v>0.9</v>
      </c>
      <c r="V162" s="18">
        <f t="shared" si="12"/>
        <v>0.29434724091520859</v>
      </c>
      <c r="W162" s="20">
        <f>VLOOKUP(D162,Priors!$A$3:$C$6,2,FALSE)</f>
        <v>0.10751786102217777</v>
      </c>
      <c r="X162" s="20">
        <f>VLOOKUP(D162,Priors!$A$3:$C$6,3,FALSE)</f>
        <v>9.0240671969462088E-2</v>
      </c>
      <c r="Y162" s="20">
        <f t="shared" si="13"/>
        <v>0.10110003878821278</v>
      </c>
      <c r="Z162" s="20">
        <f t="shared" si="14"/>
        <v>9.2957563967529855E-2</v>
      </c>
      <c r="AA162" s="21">
        <v>1</v>
      </c>
      <c r="AB162" s="21">
        <v>1</v>
      </c>
      <c r="AC162" s="22">
        <f t="shared" si="15"/>
        <v>0.10110003878821278</v>
      </c>
      <c r="AD162" s="22">
        <f t="shared" si="16"/>
        <v>9.2957563967529855E-2</v>
      </c>
      <c r="AE162" s="22">
        <f t="shared" si="17"/>
        <v>0.70565275908479141</v>
      </c>
      <c r="AF162" s="7" t="s">
        <v>1643</v>
      </c>
      <c r="AG162" s="7"/>
      <c r="AH162" s="7"/>
      <c r="AI162" s="7"/>
      <c r="AJ162" s="8" t="b">
        <v>1</v>
      </c>
      <c r="AK162" s="28" t="s">
        <v>1644</v>
      </c>
      <c r="AL162" s="28" t="s">
        <v>1645</v>
      </c>
      <c r="AM162" s="28"/>
      <c r="AN162" s="7"/>
      <c r="AO162" s="7">
        <v>0</v>
      </c>
      <c r="AP162" s="8" t="b">
        <v>0</v>
      </c>
      <c r="AQ162" s="28" t="s">
        <v>1646</v>
      </c>
    </row>
    <row r="163" spans="1:43" ht="30">
      <c r="A163" s="7">
        <v>159</v>
      </c>
      <c r="B163" s="7" t="s">
        <v>567</v>
      </c>
      <c r="C163" s="7" t="s">
        <v>44</v>
      </c>
      <c r="D163" s="7" t="s">
        <v>112</v>
      </c>
      <c r="E163" s="7" t="s">
        <v>1642</v>
      </c>
      <c r="F163" s="7" t="s">
        <v>44</v>
      </c>
      <c r="G163" s="14">
        <v>2796</v>
      </c>
      <c r="H163" s="15">
        <v>1.45</v>
      </c>
      <c r="I163" s="15">
        <v>2.38</v>
      </c>
      <c r="J163" s="15">
        <v>4.667381974248927E-2</v>
      </c>
      <c r="K163" s="15">
        <v>7.6609442060085839E-2</v>
      </c>
      <c r="L163" s="15">
        <v>66.5</v>
      </c>
      <c r="M163" s="15">
        <v>1.75</v>
      </c>
      <c r="N163" s="16">
        <v>2.6670754138565296E-2</v>
      </c>
      <c r="O163" s="16">
        <v>4.3776824034334763E-2</v>
      </c>
      <c r="P163" s="17">
        <f>IFERROR(G163/(G163+Priors!$H$3),0)</f>
        <v>0.73656480505795574</v>
      </c>
      <c r="Q163" s="18">
        <f>IF(E163="Premier League",Priors!$H$4,IF(E163="Championship",Priors!$H$5,Priors!$H$8))</f>
        <v>1</v>
      </c>
      <c r="R163" s="19" t="b">
        <v>0</v>
      </c>
      <c r="S163" s="18">
        <f>IF(R163=TRUE,Priors!$H$6,1)</f>
        <v>1</v>
      </c>
      <c r="T163" s="19" t="b">
        <v>1</v>
      </c>
      <c r="U163" s="18">
        <f>IF(T163=TRUE,Priors!$H$7,1)</f>
        <v>0.9</v>
      </c>
      <c r="V163" s="18">
        <f t="shared" si="12"/>
        <v>0.6629083245521602</v>
      </c>
      <c r="W163" s="20">
        <f>VLOOKUP(D163,Priors!$A$3:$C$6,2,FALSE)</f>
        <v>0.10751786102217777</v>
      </c>
      <c r="X163" s="20">
        <f>VLOOKUP(D163,Priors!$A$3:$C$6,3,FALSE)</f>
        <v>9.0240671969462088E-2</v>
      </c>
      <c r="Y163" s="20">
        <f t="shared" si="13"/>
        <v>5.3923640853072802E-2</v>
      </c>
      <c r="Z163" s="20">
        <f t="shared" si="14"/>
        <v>5.9439400382540482E-2</v>
      </c>
      <c r="AA163" s="21">
        <v>1</v>
      </c>
      <c r="AB163" s="21">
        <v>1</v>
      </c>
      <c r="AC163" s="22">
        <f t="shared" si="15"/>
        <v>5.3923640853072802E-2</v>
      </c>
      <c r="AD163" s="22">
        <f t="shared" si="16"/>
        <v>5.9439400382540482E-2</v>
      </c>
      <c r="AE163" s="22">
        <f t="shared" si="17"/>
        <v>0.3370916754478398</v>
      </c>
      <c r="AF163" s="7" t="s">
        <v>1643</v>
      </c>
      <c r="AG163" s="7"/>
      <c r="AH163" s="7"/>
      <c r="AI163" s="7"/>
      <c r="AJ163" s="8" t="b">
        <v>1</v>
      </c>
      <c r="AK163" s="28" t="s">
        <v>1644</v>
      </c>
      <c r="AL163" s="28" t="s">
        <v>1645</v>
      </c>
      <c r="AM163" s="28"/>
      <c r="AN163" s="7"/>
      <c r="AO163" s="7">
        <v>0</v>
      </c>
      <c r="AP163" s="8" t="b">
        <v>0</v>
      </c>
      <c r="AQ163" s="28" t="s">
        <v>1646</v>
      </c>
    </row>
    <row r="164" spans="1:43" ht="30">
      <c r="A164" s="7">
        <v>161</v>
      </c>
      <c r="B164" s="7" t="s">
        <v>570</v>
      </c>
      <c r="C164" s="7" t="s">
        <v>44</v>
      </c>
      <c r="D164" s="7" t="s">
        <v>112</v>
      </c>
      <c r="E164" s="7" t="s">
        <v>1642</v>
      </c>
      <c r="F164" s="7" t="s">
        <v>44</v>
      </c>
      <c r="G164" s="14">
        <v>374</v>
      </c>
      <c r="H164" s="15">
        <v>0.21</v>
      </c>
      <c r="I164" s="15">
        <v>0.55000000000000004</v>
      </c>
      <c r="J164" s="15">
        <v>5.0534759358288765E-2</v>
      </c>
      <c r="K164" s="15">
        <v>0.13235294117647062</v>
      </c>
      <c r="L164" s="15">
        <v>66.5</v>
      </c>
      <c r="M164" s="15">
        <v>1.75</v>
      </c>
      <c r="N164" s="16">
        <v>2.887700534759358E-2</v>
      </c>
      <c r="O164" s="16">
        <v>7.5630252100840359E-2</v>
      </c>
      <c r="P164" s="17">
        <f>IFERROR(G164/(G164+Priors!$H$3),0)</f>
        <v>0.27219796215429404</v>
      </c>
      <c r="Q164" s="18">
        <f>IF(E164="Premier League",Priors!$H$4,IF(E164="Championship",Priors!$H$5,Priors!$H$8))</f>
        <v>1</v>
      </c>
      <c r="R164" s="19" t="b">
        <v>0</v>
      </c>
      <c r="S164" s="18">
        <f>IF(R164=TRUE,Priors!$H$6,1)</f>
        <v>1</v>
      </c>
      <c r="T164" s="19" t="b">
        <v>1</v>
      </c>
      <c r="U164" s="18">
        <f>IF(T164=TRUE,Priors!$H$7,1)</f>
        <v>0.9</v>
      </c>
      <c r="V164" s="18">
        <f t="shared" si="12"/>
        <v>0.24497816593886465</v>
      </c>
      <c r="W164" s="20">
        <f>VLOOKUP(D164,Priors!$A$3:$C$6,2,FALSE)</f>
        <v>0.10751786102217777</v>
      </c>
      <c r="X164" s="20">
        <f>VLOOKUP(D164,Priors!$A$3:$C$6,3,FALSE)</f>
        <v>9.0240671969462088E-2</v>
      </c>
      <c r="Y164" s="20">
        <f t="shared" si="13"/>
        <v>8.8252568431155171E-2</v>
      </c>
      <c r="Z164" s="20">
        <f t="shared" si="14"/>
        <v>8.6661438106450397E-2</v>
      </c>
      <c r="AA164" s="21">
        <v>1</v>
      </c>
      <c r="AB164" s="21">
        <v>1</v>
      </c>
      <c r="AC164" s="22">
        <f t="shared" si="15"/>
        <v>8.8252568431155171E-2</v>
      </c>
      <c r="AD164" s="22">
        <f t="shared" si="16"/>
        <v>8.6661438106450397E-2</v>
      </c>
      <c r="AE164" s="22">
        <f t="shared" si="17"/>
        <v>0.75502183406113532</v>
      </c>
      <c r="AF164" s="7" t="s">
        <v>1643</v>
      </c>
      <c r="AG164" s="7"/>
      <c r="AH164" s="7"/>
      <c r="AI164" s="7"/>
      <c r="AJ164" s="8" t="b">
        <v>1</v>
      </c>
      <c r="AK164" s="28" t="s">
        <v>1644</v>
      </c>
      <c r="AL164" s="28" t="s">
        <v>1645</v>
      </c>
      <c r="AM164" s="28"/>
      <c r="AN164" s="7"/>
      <c r="AO164" s="7">
        <v>0</v>
      </c>
      <c r="AP164" s="8" t="b">
        <v>0</v>
      </c>
      <c r="AQ164" s="28" t="s">
        <v>1646</v>
      </c>
    </row>
    <row r="165" spans="1:43" ht="30">
      <c r="A165" s="7">
        <v>163</v>
      </c>
      <c r="B165" s="7" t="s">
        <v>573</v>
      </c>
      <c r="C165" s="7" t="s">
        <v>44</v>
      </c>
      <c r="D165" s="7" t="s">
        <v>112</v>
      </c>
      <c r="E165" s="7" t="s">
        <v>1642</v>
      </c>
      <c r="F165" s="7" t="s">
        <v>44</v>
      </c>
      <c r="G165" s="14">
        <v>26</v>
      </c>
      <c r="H165" s="15">
        <v>0</v>
      </c>
      <c r="I165" s="15">
        <v>0.01</v>
      </c>
      <c r="J165" s="15">
        <v>0</v>
      </c>
      <c r="K165" s="15">
        <v>3.4615384615384617E-2</v>
      </c>
      <c r="L165" s="15">
        <v>66.5</v>
      </c>
      <c r="M165" s="15">
        <v>1.75</v>
      </c>
      <c r="N165" s="16">
        <v>0</v>
      </c>
      <c r="O165" s="16">
        <v>1.9780219780219783E-2</v>
      </c>
      <c r="P165" s="17">
        <f>IFERROR(G165/(G165+Priors!$H$3),0)</f>
        <v>2.5341130604288498E-2</v>
      </c>
      <c r="Q165" s="18">
        <f>IF(E165="Premier League",Priors!$H$4,IF(E165="Championship",Priors!$H$5,Priors!$H$8))</f>
        <v>1</v>
      </c>
      <c r="R165" s="19" t="b">
        <v>0</v>
      </c>
      <c r="S165" s="18">
        <f>IF(R165=TRUE,Priors!$H$6,1)</f>
        <v>1</v>
      </c>
      <c r="T165" s="19" t="b">
        <v>1</v>
      </c>
      <c r="U165" s="18">
        <f>IF(T165=TRUE,Priors!$H$7,1)</f>
        <v>0.9</v>
      </c>
      <c r="V165" s="18">
        <f t="shared" si="12"/>
        <v>2.2807017543859647E-2</v>
      </c>
      <c r="W165" s="20">
        <f>VLOOKUP(D165,Priors!$A$3:$C$6,2,FALSE)</f>
        <v>0.10751786102217777</v>
      </c>
      <c r="X165" s="20">
        <f>VLOOKUP(D165,Priors!$A$3:$C$6,3,FALSE)</f>
        <v>9.0240671969462088E-2</v>
      </c>
      <c r="Y165" s="20">
        <f t="shared" si="13"/>
        <v>0.1050656992795667</v>
      </c>
      <c r="Z165" s="20">
        <f t="shared" si="14"/>
        <v>8.8633679200233753E-2</v>
      </c>
      <c r="AA165" s="21">
        <v>1</v>
      </c>
      <c r="AB165" s="21">
        <v>1</v>
      </c>
      <c r="AC165" s="22">
        <f t="shared" si="15"/>
        <v>0.1050656992795667</v>
      </c>
      <c r="AD165" s="22">
        <f t="shared" si="16"/>
        <v>8.8633679200233753E-2</v>
      </c>
      <c r="AE165" s="22">
        <f t="shared" si="17"/>
        <v>0.97719298245614039</v>
      </c>
      <c r="AF165" s="7" t="s">
        <v>1643</v>
      </c>
      <c r="AG165" s="7"/>
      <c r="AH165" s="7"/>
      <c r="AI165" s="7"/>
      <c r="AJ165" s="8" t="b">
        <v>1</v>
      </c>
      <c r="AK165" s="28" t="s">
        <v>1644</v>
      </c>
      <c r="AL165" s="28" t="s">
        <v>1645</v>
      </c>
      <c r="AM165" s="28"/>
      <c r="AN165" s="7"/>
      <c r="AO165" s="7"/>
      <c r="AP165" s="7"/>
      <c r="AQ165" s="28" t="s">
        <v>1650</v>
      </c>
    </row>
    <row r="166" spans="1:43" ht="15">
      <c r="A166" s="7">
        <v>164</v>
      </c>
      <c r="B166" s="7" t="s">
        <v>576</v>
      </c>
      <c r="C166" s="7" t="s">
        <v>44</v>
      </c>
      <c r="D166" s="7" t="s">
        <v>112</v>
      </c>
      <c r="E166" s="7" t="s">
        <v>1647</v>
      </c>
      <c r="F166" s="7"/>
      <c r="G166" s="14"/>
      <c r="H166" s="15"/>
      <c r="I166" s="15"/>
      <c r="J166" s="15"/>
      <c r="K166" s="15"/>
      <c r="L166" s="15"/>
      <c r="M166" s="15"/>
      <c r="N166" s="16"/>
      <c r="O166" s="16"/>
      <c r="P166" s="17">
        <f>IFERROR(G166/(G166+Priors!$H$3),0)</f>
        <v>0</v>
      </c>
      <c r="Q166" s="18">
        <f>IF(E166="Premier League",Priors!$H$4,IF(E166="Championship",Priors!$H$5,Priors!$H$8))</f>
        <v>0</v>
      </c>
      <c r="R166" s="19" t="b">
        <v>0</v>
      </c>
      <c r="S166" s="18">
        <f>IF(R166=TRUE,Priors!$H$6,1)</f>
        <v>1</v>
      </c>
      <c r="T166" s="19" t="b">
        <v>1</v>
      </c>
      <c r="U166" s="18">
        <f>IF(T166=TRUE,Priors!$H$7,1)</f>
        <v>0.9</v>
      </c>
      <c r="V166" s="18">
        <f t="shared" si="12"/>
        <v>0</v>
      </c>
      <c r="W166" s="20">
        <f>VLOOKUP(D166,Priors!$A$3:$C$6,2,FALSE)</f>
        <v>0.10751786102217777</v>
      </c>
      <c r="X166" s="20">
        <f>VLOOKUP(D166,Priors!$A$3:$C$6,3,FALSE)</f>
        <v>9.0240671969462088E-2</v>
      </c>
      <c r="Y166" s="20">
        <f t="shared" si="13"/>
        <v>0.10751786102217777</v>
      </c>
      <c r="Z166" s="20">
        <f t="shared" si="14"/>
        <v>9.0240671969462088E-2</v>
      </c>
      <c r="AA166" s="21">
        <v>1</v>
      </c>
      <c r="AB166" s="21">
        <v>1</v>
      </c>
      <c r="AC166" s="22">
        <f t="shared" si="15"/>
        <v>0.10751786102217777</v>
      </c>
      <c r="AD166" s="22">
        <f t="shared" si="16"/>
        <v>9.0240671969462088E-2</v>
      </c>
      <c r="AE166" s="22">
        <f t="shared" si="17"/>
        <v>1</v>
      </c>
      <c r="AF166" s="7" t="s">
        <v>1647</v>
      </c>
      <c r="AG166" s="7"/>
      <c r="AH166" s="7"/>
      <c r="AI166" s="7"/>
      <c r="AJ166" s="8" t="b">
        <v>1</v>
      </c>
      <c r="AK166" s="28" t="s">
        <v>1648</v>
      </c>
      <c r="AL166" s="28"/>
      <c r="AM166" s="28"/>
      <c r="AN166" s="7"/>
      <c r="AO166" s="7">
        <v>0</v>
      </c>
      <c r="AP166" s="8" t="b">
        <v>0</v>
      </c>
      <c r="AQ166" s="28" t="s">
        <v>1646</v>
      </c>
    </row>
    <row r="167" spans="1:43" ht="30">
      <c r="A167" s="7">
        <v>165</v>
      </c>
      <c r="B167" s="7" t="s">
        <v>579</v>
      </c>
      <c r="C167" s="7" t="s">
        <v>44</v>
      </c>
      <c r="D167" s="7" t="s">
        <v>167</v>
      </c>
      <c r="E167" s="7" t="s">
        <v>1642</v>
      </c>
      <c r="F167" s="7" t="s">
        <v>44</v>
      </c>
      <c r="G167" s="14">
        <v>2658</v>
      </c>
      <c r="H167" s="15">
        <v>14.91</v>
      </c>
      <c r="I167" s="15">
        <v>1.96</v>
      </c>
      <c r="J167" s="15">
        <v>0.50485327313769757</v>
      </c>
      <c r="K167" s="15">
        <v>6.6365688487584645E-2</v>
      </c>
      <c r="L167" s="15">
        <v>66.5</v>
      </c>
      <c r="M167" s="15">
        <v>1.75</v>
      </c>
      <c r="N167" s="16">
        <v>0.28848758465011287</v>
      </c>
      <c r="O167" s="16">
        <v>3.7923250564334085E-2</v>
      </c>
      <c r="P167" s="17">
        <f>IFERROR(G167/(G167+Priors!$H$3),0)</f>
        <v>0.72662657189721158</v>
      </c>
      <c r="Q167" s="18">
        <f>IF(E167="Premier League",Priors!$H$4,IF(E167="Championship",Priors!$H$5,Priors!$H$8))</f>
        <v>1</v>
      </c>
      <c r="R167" s="19" t="b">
        <v>0</v>
      </c>
      <c r="S167" s="18">
        <f>IF(R167=TRUE,Priors!$H$6,1)</f>
        <v>1</v>
      </c>
      <c r="T167" s="19" t="b">
        <v>1</v>
      </c>
      <c r="U167" s="18">
        <f>IF(T167=TRUE,Priors!$H$7,1)</f>
        <v>0.9</v>
      </c>
      <c r="V167" s="18">
        <f t="shared" si="12"/>
        <v>0.65396391470749049</v>
      </c>
      <c r="W167" s="20">
        <f>VLOOKUP(D167,Priors!$A$3:$C$6,2,FALSE)</f>
        <v>0.30461525508032317</v>
      </c>
      <c r="X167" s="20">
        <f>VLOOKUP(D167,Priors!$A$3:$C$6,3,FALSE)</f>
        <v>3.9258061548584466E-2</v>
      </c>
      <c r="Y167" s="20">
        <f t="shared" si="13"/>
        <v>0.29406834059067061</v>
      </c>
      <c r="Z167" s="20">
        <f t="shared" si="14"/>
        <v>3.8385143331929529E-2</v>
      </c>
      <c r="AA167" s="21">
        <v>1</v>
      </c>
      <c r="AB167" s="21">
        <v>1</v>
      </c>
      <c r="AC167" s="22">
        <f t="shared" si="15"/>
        <v>0.29406834059067061</v>
      </c>
      <c r="AD167" s="22">
        <f t="shared" si="16"/>
        <v>3.8385143331929529E-2</v>
      </c>
      <c r="AE167" s="22">
        <f t="shared" si="17"/>
        <v>0.34603608529250951</v>
      </c>
      <c r="AF167" s="7" t="s">
        <v>1643</v>
      </c>
      <c r="AG167" s="7"/>
      <c r="AH167" s="7"/>
      <c r="AI167" s="7"/>
      <c r="AJ167" s="8" t="b">
        <v>1</v>
      </c>
      <c r="AK167" s="28" t="s">
        <v>1644</v>
      </c>
      <c r="AL167" s="28" t="s">
        <v>1645</v>
      </c>
      <c r="AM167" s="28"/>
      <c r="AN167" s="7"/>
      <c r="AO167" s="7">
        <v>0</v>
      </c>
      <c r="AP167" s="8" t="b">
        <v>0</v>
      </c>
      <c r="AQ167" s="28" t="s">
        <v>1646</v>
      </c>
    </row>
    <row r="168" spans="1:43" ht="15">
      <c r="A168" s="7">
        <v>166</v>
      </c>
      <c r="B168" s="7" t="s">
        <v>581</v>
      </c>
      <c r="C168" s="7" t="s">
        <v>44</v>
      </c>
      <c r="D168" s="7" t="s">
        <v>167</v>
      </c>
      <c r="E168" s="7" t="s">
        <v>1647</v>
      </c>
      <c r="F168" s="7"/>
      <c r="G168" s="14"/>
      <c r="H168" s="15"/>
      <c r="I168" s="15"/>
      <c r="J168" s="15"/>
      <c r="K168" s="15"/>
      <c r="L168" s="15"/>
      <c r="M168" s="15"/>
      <c r="N168" s="16"/>
      <c r="O168" s="16"/>
      <c r="P168" s="17">
        <f>IFERROR(G168/(G168+Priors!$H$3),0)</f>
        <v>0</v>
      </c>
      <c r="Q168" s="18">
        <f>IF(E168="Premier League",Priors!$H$4,IF(E168="Championship",Priors!$H$5,Priors!$H$8))</f>
        <v>0</v>
      </c>
      <c r="R168" s="19" t="b">
        <v>0</v>
      </c>
      <c r="S168" s="18">
        <f>IF(R168=TRUE,Priors!$H$6,1)</f>
        <v>1</v>
      </c>
      <c r="T168" s="19" t="b">
        <v>1</v>
      </c>
      <c r="U168" s="18">
        <f>IF(T168=TRUE,Priors!$H$7,1)</f>
        <v>0.9</v>
      </c>
      <c r="V168" s="18">
        <f t="shared" si="12"/>
        <v>0</v>
      </c>
      <c r="W168" s="20">
        <f>VLOOKUP(D168,Priors!$A$3:$C$6,2,FALSE)</f>
        <v>0.30461525508032317</v>
      </c>
      <c r="X168" s="20">
        <f>VLOOKUP(D168,Priors!$A$3:$C$6,3,FALSE)</f>
        <v>3.9258061548584466E-2</v>
      </c>
      <c r="Y168" s="20">
        <f t="shared" si="13"/>
        <v>0.30461525508032317</v>
      </c>
      <c r="Z168" s="20">
        <f t="shared" si="14"/>
        <v>3.9258061548584466E-2</v>
      </c>
      <c r="AA168" s="21">
        <v>1</v>
      </c>
      <c r="AB168" s="21">
        <v>1</v>
      </c>
      <c r="AC168" s="22">
        <f t="shared" si="15"/>
        <v>0.30461525508032317</v>
      </c>
      <c r="AD168" s="22">
        <f t="shared" si="16"/>
        <v>3.9258061548584466E-2</v>
      </c>
      <c r="AE168" s="22">
        <f t="shared" si="17"/>
        <v>1</v>
      </c>
      <c r="AF168" s="7" t="s">
        <v>1647</v>
      </c>
      <c r="AG168" s="7"/>
      <c r="AH168" s="7"/>
      <c r="AI168" s="7"/>
      <c r="AJ168" s="8" t="b">
        <v>1</v>
      </c>
      <c r="AK168" s="28" t="s">
        <v>1648</v>
      </c>
      <c r="AL168" s="28"/>
      <c r="AM168" s="28"/>
      <c r="AN168" s="7"/>
      <c r="AO168" s="7">
        <v>0</v>
      </c>
      <c r="AP168" s="8" t="b">
        <v>0</v>
      </c>
      <c r="AQ168" s="28" t="s">
        <v>1646</v>
      </c>
    </row>
    <row r="169" spans="1:43" ht="30">
      <c r="A169" s="7">
        <v>167</v>
      </c>
      <c r="B169" s="7" t="s">
        <v>583</v>
      </c>
      <c r="C169" s="7" t="s">
        <v>44</v>
      </c>
      <c r="D169" s="7" t="s">
        <v>167</v>
      </c>
      <c r="E169" s="7" t="s">
        <v>1642</v>
      </c>
      <c r="F169" s="7" t="s">
        <v>44</v>
      </c>
      <c r="G169" s="14">
        <v>1092</v>
      </c>
      <c r="H169" s="15">
        <v>4.54</v>
      </c>
      <c r="I169" s="15">
        <v>0.23</v>
      </c>
      <c r="J169" s="15">
        <v>0.37417582417582418</v>
      </c>
      <c r="K169" s="15">
        <v>1.8956043956043955E-2</v>
      </c>
      <c r="L169" s="15">
        <v>66.5</v>
      </c>
      <c r="M169" s="15">
        <v>1.75</v>
      </c>
      <c r="N169" s="16">
        <v>0.21381475667189953</v>
      </c>
      <c r="O169" s="16">
        <v>1.0832025117739402E-2</v>
      </c>
      <c r="P169" s="17">
        <f>IFERROR(G169/(G169+Priors!$H$3),0)</f>
        <v>0.52198852772466542</v>
      </c>
      <c r="Q169" s="18">
        <f>IF(E169="Premier League",Priors!$H$4,IF(E169="Championship",Priors!$H$5,Priors!$H$8))</f>
        <v>1</v>
      </c>
      <c r="R169" s="19" t="b">
        <v>0</v>
      </c>
      <c r="S169" s="18">
        <f>IF(R169=TRUE,Priors!$H$6,1)</f>
        <v>1</v>
      </c>
      <c r="T169" s="19" t="b">
        <v>1</v>
      </c>
      <c r="U169" s="18">
        <f>IF(T169=TRUE,Priors!$H$7,1)</f>
        <v>0.9</v>
      </c>
      <c r="V169" s="18">
        <f t="shared" si="12"/>
        <v>0.46978967495219887</v>
      </c>
      <c r="W169" s="20">
        <f>VLOOKUP(D169,Priors!$A$3:$C$6,2,FALSE)</f>
        <v>0.30461525508032317</v>
      </c>
      <c r="X169" s="20">
        <f>VLOOKUP(D169,Priors!$A$3:$C$6,3,FALSE)</f>
        <v>3.9258061548584466E-2</v>
      </c>
      <c r="Y169" s="20">
        <f t="shared" si="13"/>
        <v>0.2619581184475322</v>
      </c>
      <c r="Z169" s="20">
        <f t="shared" si="14"/>
        <v>2.5903803133558403E-2</v>
      </c>
      <c r="AA169" s="21">
        <v>1</v>
      </c>
      <c r="AB169" s="21">
        <v>1</v>
      </c>
      <c r="AC169" s="22">
        <f t="shared" si="15"/>
        <v>0.2619581184475322</v>
      </c>
      <c r="AD169" s="22">
        <f t="shared" si="16"/>
        <v>2.5903803133558403E-2</v>
      </c>
      <c r="AE169" s="22">
        <f t="shared" si="17"/>
        <v>0.53021032504780119</v>
      </c>
      <c r="AF169" s="7" t="s">
        <v>1643</v>
      </c>
      <c r="AG169" s="7">
        <v>4</v>
      </c>
      <c r="AH169" s="7"/>
      <c r="AI169" s="7"/>
      <c r="AJ169" s="8" t="b">
        <v>1</v>
      </c>
      <c r="AK169" s="28" t="s">
        <v>1644</v>
      </c>
      <c r="AL169" s="28" t="s">
        <v>1645</v>
      </c>
      <c r="AM169" s="28"/>
      <c r="AN169" s="7"/>
      <c r="AO169" s="7">
        <v>0</v>
      </c>
      <c r="AP169" s="8" t="b">
        <v>0</v>
      </c>
      <c r="AQ169" s="28" t="s">
        <v>1646</v>
      </c>
    </row>
    <row r="170" spans="1:43" ht="30">
      <c r="A170" s="7">
        <v>168</v>
      </c>
      <c r="B170" s="7" t="s">
        <v>586</v>
      </c>
      <c r="C170" s="7" t="s">
        <v>44</v>
      </c>
      <c r="D170" s="7" t="s">
        <v>167</v>
      </c>
      <c r="E170" s="7" t="s">
        <v>1642</v>
      </c>
      <c r="F170" s="7" t="s">
        <v>44</v>
      </c>
      <c r="G170" s="14">
        <v>265</v>
      </c>
      <c r="H170" s="15">
        <v>1.54</v>
      </c>
      <c r="I170" s="15">
        <v>0.28999999999999998</v>
      </c>
      <c r="J170" s="15">
        <v>0.52301886792452823</v>
      </c>
      <c r="K170" s="15">
        <v>9.8490566037735844E-2</v>
      </c>
      <c r="L170" s="15">
        <v>66.5</v>
      </c>
      <c r="M170" s="15">
        <v>1.75</v>
      </c>
      <c r="N170" s="16">
        <v>0.29886792452830185</v>
      </c>
      <c r="O170" s="16">
        <v>5.628032345013477E-2</v>
      </c>
      <c r="P170" s="17">
        <f>IFERROR(G170/(G170+Priors!$H$3),0)</f>
        <v>0.20948616600790515</v>
      </c>
      <c r="Q170" s="18">
        <f>IF(E170="Premier League",Priors!$H$4,IF(E170="Championship",Priors!$H$5,Priors!$H$8))</f>
        <v>1</v>
      </c>
      <c r="R170" s="19" t="b">
        <v>0</v>
      </c>
      <c r="S170" s="18">
        <f>IF(R170=TRUE,Priors!$H$6,1)</f>
        <v>1</v>
      </c>
      <c r="T170" s="19" t="b">
        <v>1</v>
      </c>
      <c r="U170" s="18">
        <f>IF(T170=TRUE,Priors!$H$7,1)</f>
        <v>0.9</v>
      </c>
      <c r="V170" s="18">
        <f t="shared" si="12"/>
        <v>0.18853754940711465</v>
      </c>
      <c r="W170" s="20">
        <f>VLOOKUP(D170,Priors!$A$3:$C$6,2,FALSE)</f>
        <v>0.30461525508032317</v>
      </c>
      <c r="X170" s="20">
        <f>VLOOKUP(D170,Priors!$A$3:$C$6,3,FALSE)</f>
        <v>3.9258061548584466E-2</v>
      </c>
      <c r="Y170" s="20">
        <f t="shared" si="13"/>
        <v>0.30353166746241245</v>
      </c>
      <c r="Z170" s="20">
        <f t="shared" si="14"/>
        <v>4.2467397092868855E-2</v>
      </c>
      <c r="AA170" s="21">
        <v>1</v>
      </c>
      <c r="AB170" s="21">
        <v>1</v>
      </c>
      <c r="AC170" s="22">
        <f t="shared" si="15"/>
        <v>0.30353166746241245</v>
      </c>
      <c r="AD170" s="22">
        <f t="shared" si="16"/>
        <v>4.2467397092868855E-2</v>
      </c>
      <c r="AE170" s="22">
        <f t="shared" si="17"/>
        <v>0.81146245059288535</v>
      </c>
      <c r="AF170" s="7" t="s">
        <v>1643</v>
      </c>
      <c r="AG170" s="7"/>
      <c r="AH170" s="7"/>
      <c r="AI170" s="7"/>
      <c r="AJ170" s="8" t="b">
        <v>1</v>
      </c>
      <c r="AK170" s="28" t="s">
        <v>1644</v>
      </c>
      <c r="AL170" s="28" t="s">
        <v>1645</v>
      </c>
      <c r="AM170" s="28"/>
      <c r="AN170" s="7"/>
      <c r="AO170" s="7">
        <v>0</v>
      </c>
      <c r="AP170" s="8" t="b">
        <v>0</v>
      </c>
      <c r="AQ170" s="28" t="s">
        <v>1646</v>
      </c>
    </row>
    <row r="171" spans="1:43" ht="30">
      <c r="A171" s="7">
        <v>169</v>
      </c>
      <c r="B171" s="7" t="s">
        <v>588</v>
      </c>
      <c r="C171" s="7" t="s">
        <v>44</v>
      </c>
      <c r="D171" s="7" t="s">
        <v>167</v>
      </c>
      <c r="E171" s="7" t="s">
        <v>1642</v>
      </c>
      <c r="F171" s="7" t="s">
        <v>44</v>
      </c>
      <c r="G171" s="14">
        <v>1</v>
      </c>
      <c r="H171" s="15">
        <v>0</v>
      </c>
      <c r="I171" s="15">
        <v>0</v>
      </c>
      <c r="J171" s="15">
        <v>0</v>
      </c>
      <c r="K171" s="15">
        <v>0</v>
      </c>
      <c r="L171" s="15">
        <v>66.5</v>
      </c>
      <c r="M171" s="15">
        <v>1.75</v>
      </c>
      <c r="N171" s="16">
        <v>0</v>
      </c>
      <c r="O171" s="16">
        <v>0</v>
      </c>
      <c r="P171" s="17">
        <f>IFERROR(G171/(G171+Priors!$H$3),0)</f>
        <v>9.99000999000999E-4</v>
      </c>
      <c r="Q171" s="18">
        <f>IF(E171="Premier League",Priors!$H$4,IF(E171="Championship",Priors!$H$5,Priors!$H$8))</f>
        <v>1</v>
      </c>
      <c r="R171" s="19" t="b">
        <v>0</v>
      </c>
      <c r="S171" s="18">
        <f>IF(R171=TRUE,Priors!$H$6,1)</f>
        <v>1</v>
      </c>
      <c r="T171" s="19" t="b">
        <v>1</v>
      </c>
      <c r="U171" s="18">
        <f>IF(T171=TRUE,Priors!$H$7,1)</f>
        <v>0.9</v>
      </c>
      <c r="V171" s="18">
        <f t="shared" si="12"/>
        <v>8.991008991008991E-4</v>
      </c>
      <c r="W171" s="20">
        <f>VLOOKUP(D171,Priors!$A$3:$C$6,2,FALSE)</f>
        <v>0.30461525508032317</v>
      </c>
      <c r="X171" s="20">
        <f>VLOOKUP(D171,Priors!$A$3:$C$6,3,FALSE)</f>
        <v>3.9258061548584466E-2</v>
      </c>
      <c r="Y171" s="20">
        <f t="shared" si="13"/>
        <v>0.30434137523060056</v>
      </c>
      <c r="Z171" s="20">
        <f t="shared" si="14"/>
        <v>3.9222764590149173E-2</v>
      </c>
      <c r="AA171" s="21">
        <v>1</v>
      </c>
      <c r="AB171" s="21">
        <v>1</v>
      </c>
      <c r="AC171" s="22">
        <f t="shared" si="15"/>
        <v>0.30434137523060056</v>
      </c>
      <c r="AD171" s="22">
        <f t="shared" si="16"/>
        <v>3.9222764590149173E-2</v>
      </c>
      <c r="AE171" s="22">
        <f t="shared" si="17"/>
        <v>0.99910089910089905</v>
      </c>
      <c r="AF171" s="7" t="s">
        <v>1643</v>
      </c>
      <c r="AG171" s="7"/>
      <c r="AH171" s="7"/>
      <c r="AI171" s="7"/>
      <c r="AJ171" s="8" t="b">
        <v>1</v>
      </c>
      <c r="AK171" s="28" t="s">
        <v>1644</v>
      </c>
      <c r="AL171" s="28" t="s">
        <v>1645</v>
      </c>
      <c r="AM171" s="28"/>
      <c r="AN171" s="7"/>
      <c r="AO171" s="7"/>
      <c r="AP171" s="7"/>
      <c r="AQ171" s="28" t="s">
        <v>1650</v>
      </c>
    </row>
    <row r="172" spans="1:43" ht="15">
      <c r="A172" s="7">
        <v>170</v>
      </c>
      <c r="B172" s="7" t="s">
        <v>590</v>
      </c>
      <c r="C172" s="7" t="s">
        <v>44</v>
      </c>
      <c r="D172" s="7" t="s">
        <v>167</v>
      </c>
      <c r="E172" s="7" t="s">
        <v>1647</v>
      </c>
      <c r="F172" s="7"/>
      <c r="G172" s="14"/>
      <c r="H172" s="15"/>
      <c r="I172" s="15"/>
      <c r="J172" s="15"/>
      <c r="K172" s="15"/>
      <c r="L172" s="15"/>
      <c r="M172" s="15"/>
      <c r="N172" s="16"/>
      <c r="O172" s="16"/>
      <c r="P172" s="17">
        <f>IFERROR(G172/(G172+Priors!$H$3),0)</f>
        <v>0</v>
      </c>
      <c r="Q172" s="18">
        <f>IF(E172="Premier League",Priors!$H$4,IF(E172="Championship",Priors!$H$5,Priors!$H$8))</f>
        <v>0</v>
      </c>
      <c r="R172" s="19" t="b">
        <v>0</v>
      </c>
      <c r="S172" s="18">
        <f>IF(R172=TRUE,Priors!$H$6,1)</f>
        <v>1</v>
      </c>
      <c r="T172" s="19" t="b">
        <v>1</v>
      </c>
      <c r="U172" s="18">
        <f>IF(T172=TRUE,Priors!$H$7,1)</f>
        <v>0.9</v>
      </c>
      <c r="V172" s="18">
        <f t="shared" si="12"/>
        <v>0</v>
      </c>
      <c r="W172" s="20">
        <f>VLOOKUP(D172,Priors!$A$3:$C$6,2,FALSE)</f>
        <v>0.30461525508032317</v>
      </c>
      <c r="X172" s="20">
        <f>VLOOKUP(D172,Priors!$A$3:$C$6,3,FALSE)</f>
        <v>3.9258061548584466E-2</v>
      </c>
      <c r="Y172" s="20">
        <f t="shared" si="13"/>
        <v>0.30461525508032317</v>
      </c>
      <c r="Z172" s="20">
        <f t="shared" si="14"/>
        <v>3.9258061548584466E-2</v>
      </c>
      <c r="AA172" s="21">
        <v>1</v>
      </c>
      <c r="AB172" s="21">
        <v>1</v>
      </c>
      <c r="AC172" s="22">
        <f t="shared" si="15"/>
        <v>0.30461525508032317</v>
      </c>
      <c r="AD172" s="22">
        <f t="shared" si="16"/>
        <v>3.9258061548584466E-2</v>
      </c>
      <c r="AE172" s="22">
        <f t="shared" si="17"/>
        <v>1</v>
      </c>
      <c r="AF172" s="7" t="s">
        <v>1647</v>
      </c>
      <c r="AG172" s="7"/>
      <c r="AH172" s="7"/>
      <c r="AI172" s="7"/>
      <c r="AJ172" s="8" t="b">
        <v>1</v>
      </c>
      <c r="AK172" s="28" t="s">
        <v>1648</v>
      </c>
      <c r="AL172" s="28"/>
      <c r="AM172" s="28"/>
      <c r="AN172" s="7"/>
      <c r="AO172" s="7"/>
      <c r="AP172" s="7"/>
      <c r="AQ172" s="28" t="s">
        <v>1650</v>
      </c>
    </row>
    <row r="173" spans="1:43" ht="30">
      <c r="A173" s="7">
        <v>200</v>
      </c>
      <c r="B173" s="7" t="s">
        <v>593</v>
      </c>
      <c r="C173" s="7" t="s">
        <v>44</v>
      </c>
      <c r="D173" s="7" t="s">
        <v>99</v>
      </c>
      <c r="E173" s="7" t="s">
        <v>1642</v>
      </c>
      <c r="F173" s="7" t="s">
        <v>46</v>
      </c>
      <c r="G173" s="14">
        <v>3085</v>
      </c>
      <c r="H173" s="15">
        <v>2.4500000000000002</v>
      </c>
      <c r="I173" s="15">
        <v>0.83</v>
      </c>
      <c r="J173" s="15">
        <v>7.1474878444084289E-2</v>
      </c>
      <c r="K173" s="15">
        <v>2.421393841166937E-2</v>
      </c>
      <c r="L173" s="15">
        <v>58.2</v>
      </c>
      <c r="M173" s="15">
        <v>1.5315789473684212</v>
      </c>
      <c r="N173" s="16">
        <v>4.6667446406790429E-2</v>
      </c>
      <c r="O173" s="16">
        <v>1.580978796638206E-2</v>
      </c>
      <c r="P173" s="17">
        <f>IFERROR(G173/(G173+Priors!$H$3),0)</f>
        <v>0.75520195838433291</v>
      </c>
      <c r="Q173" s="18">
        <f>IF(E173="Premier League",Priors!$H$4,IF(E173="Championship",Priors!$H$5,Priors!$H$8))</f>
        <v>1</v>
      </c>
      <c r="R173" s="19" t="b">
        <v>1</v>
      </c>
      <c r="S173" s="18">
        <f>IF(R173=TRUE,Priors!$H$6,1)</f>
        <v>0.85</v>
      </c>
      <c r="T173" s="19" t="b">
        <v>1</v>
      </c>
      <c r="U173" s="18">
        <f>IF(T173=TRUE,Priors!$H$7,1)</f>
        <v>0.9</v>
      </c>
      <c r="V173" s="18">
        <f t="shared" si="12"/>
        <v>0.57772949816401475</v>
      </c>
      <c r="W173" s="20">
        <f>VLOOKUP(D173,Priors!$A$3:$C$6,2,FALSE)</f>
        <v>4.1142361271531161E-2</v>
      </c>
      <c r="X173" s="20">
        <f>VLOOKUP(D173,Priors!$A$3:$C$6,3,FALSE)</f>
        <v>4.0513079897554365E-2</v>
      </c>
      <c r="Y173" s="20">
        <f t="shared" si="13"/>
        <v>4.4334365934037959E-2</v>
      </c>
      <c r="Z173" s="20">
        <f t="shared" si="14"/>
        <v>2.6241259447159035E-2</v>
      </c>
      <c r="AA173" s="21">
        <v>1</v>
      </c>
      <c r="AB173" s="21">
        <v>1</v>
      </c>
      <c r="AC173" s="22">
        <f t="shared" si="15"/>
        <v>4.4334365934037959E-2</v>
      </c>
      <c r="AD173" s="22">
        <f t="shared" si="16"/>
        <v>2.6241259447159035E-2</v>
      </c>
      <c r="AE173" s="22">
        <f t="shared" si="17"/>
        <v>0.42227050183598525</v>
      </c>
      <c r="AF173" s="7" t="s">
        <v>1643</v>
      </c>
      <c r="AG173" s="7"/>
      <c r="AH173" s="7"/>
      <c r="AI173" s="7"/>
      <c r="AJ173" s="8" t="b">
        <v>1</v>
      </c>
      <c r="AK173" s="28" t="s">
        <v>1644</v>
      </c>
      <c r="AL173" s="28" t="s">
        <v>1645</v>
      </c>
      <c r="AM173" s="28"/>
      <c r="AN173" s="7"/>
      <c r="AO173" s="7"/>
      <c r="AP173" s="7"/>
      <c r="AQ173" s="28" t="s">
        <v>1650</v>
      </c>
    </row>
    <row r="174" spans="1:43" ht="15">
      <c r="A174" s="7">
        <v>560</v>
      </c>
      <c r="B174" s="7" t="s">
        <v>596</v>
      </c>
      <c r="C174" s="7" t="s">
        <v>44</v>
      </c>
      <c r="D174" s="7" t="s">
        <v>85</v>
      </c>
      <c r="E174" s="7" t="s">
        <v>1647</v>
      </c>
      <c r="F174" s="7"/>
      <c r="G174" s="14"/>
      <c r="H174" s="15"/>
      <c r="I174" s="15"/>
      <c r="J174" s="15"/>
      <c r="K174" s="15"/>
      <c r="L174" s="15"/>
      <c r="M174" s="15"/>
      <c r="N174" s="16"/>
      <c r="O174" s="16"/>
      <c r="P174" s="17">
        <f>IFERROR(G174/(G174+Priors!$H$3),0)</f>
        <v>0</v>
      </c>
      <c r="Q174" s="18">
        <f>IF(E174="Premier League",Priors!$H$4,IF(E174="Championship",Priors!$H$5,Priors!$H$8))</f>
        <v>0</v>
      </c>
      <c r="R174" s="19" t="b">
        <v>0</v>
      </c>
      <c r="S174" s="18">
        <f>IF(R174=TRUE,Priors!$H$6,1)</f>
        <v>1</v>
      </c>
      <c r="T174" s="19" t="b">
        <v>1</v>
      </c>
      <c r="U174" s="18">
        <f>IF(T174=TRUE,Priors!$H$7,1)</f>
        <v>0.9</v>
      </c>
      <c r="V174" s="18">
        <f t="shared" si="12"/>
        <v>0</v>
      </c>
      <c r="W174" s="20">
        <f>VLOOKUP(D174,Priors!$A$3:$C$6,2,FALSE)</f>
        <v>1.6719534964712218E-4</v>
      </c>
      <c r="X174" s="20">
        <f>VLOOKUP(D174,Priors!$A$3:$C$6,3,FALSE)</f>
        <v>1.379361634588758E-3</v>
      </c>
      <c r="Y174" s="20">
        <f t="shared" si="13"/>
        <v>1.6719534964712218E-4</v>
      </c>
      <c r="Z174" s="20">
        <f t="shared" si="14"/>
        <v>1.379361634588758E-3</v>
      </c>
      <c r="AA174" s="21">
        <v>1</v>
      </c>
      <c r="AB174" s="21">
        <v>1</v>
      </c>
      <c r="AC174" s="22">
        <f t="shared" si="15"/>
        <v>1.6719534964712218E-4</v>
      </c>
      <c r="AD174" s="22">
        <f t="shared" si="16"/>
        <v>1.379361634588758E-3</v>
      </c>
      <c r="AE174" s="22">
        <f t="shared" si="17"/>
        <v>1</v>
      </c>
      <c r="AF174" s="7" t="s">
        <v>1647</v>
      </c>
      <c r="AG174" s="7"/>
      <c r="AH174" s="7"/>
      <c r="AI174" s="7"/>
      <c r="AJ174" s="8" t="b">
        <v>1</v>
      </c>
      <c r="AK174" s="28" t="s">
        <v>1648</v>
      </c>
      <c r="AL174" s="28"/>
      <c r="AM174" s="28"/>
      <c r="AN174" s="7"/>
      <c r="AO174" s="7"/>
      <c r="AP174" s="7"/>
      <c r="AQ174" s="28" t="s">
        <v>1650</v>
      </c>
    </row>
    <row r="175" spans="1:43" ht="15">
      <c r="A175" s="7">
        <v>561</v>
      </c>
      <c r="B175" s="7" t="s">
        <v>598</v>
      </c>
      <c r="C175" s="7" t="s">
        <v>44</v>
      </c>
      <c r="D175" s="7" t="s">
        <v>99</v>
      </c>
      <c r="E175" s="7" t="s">
        <v>1647</v>
      </c>
      <c r="F175" s="7"/>
      <c r="G175" s="14"/>
      <c r="H175" s="15"/>
      <c r="I175" s="15"/>
      <c r="J175" s="15"/>
      <c r="K175" s="15"/>
      <c r="L175" s="15"/>
      <c r="M175" s="15"/>
      <c r="N175" s="16"/>
      <c r="O175" s="16"/>
      <c r="P175" s="17">
        <f>IFERROR(G175/(G175+Priors!$H$3),0)</f>
        <v>0</v>
      </c>
      <c r="Q175" s="18">
        <f>IF(E175="Premier League",Priors!$H$4,IF(E175="Championship",Priors!$H$5,Priors!$H$8))</f>
        <v>0</v>
      </c>
      <c r="R175" s="19" t="b">
        <v>0</v>
      </c>
      <c r="S175" s="18">
        <f>IF(R175=TRUE,Priors!$H$6,1)</f>
        <v>1</v>
      </c>
      <c r="T175" s="19" t="b">
        <v>1</v>
      </c>
      <c r="U175" s="18">
        <f>IF(T175=TRUE,Priors!$H$7,1)</f>
        <v>0.9</v>
      </c>
      <c r="V175" s="18">
        <f t="shared" si="12"/>
        <v>0</v>
      </c>
      <c r="W175" s="20">
        <f>VLOOKUP(D175,Priors!$A$3:$C$6,2,FALSE)</f>
        <v>4.1142361271531161E-2</v>
      </c>
      <c r="X175" s="20">
        <f>VLOOKUP(D175,Priors!$A$3:$C$6,3,FALSE)</f>
        <v>4.0513079897554365E-2</v>
      </c>
      <c r="Y175" s="20">
        <f t="shared" si="13"/>
        <v>4.1142361271531161E-2</v>
      </c>
      <c r="Z175" s="20">
        <f t="shared" si="14"/>
        <v>4.0513079897554365E-2</v>
      </c>
      <c r="AA175" s="21">
        <v>1</v>
      </c>
      <c r="AB175" s="21">
        <v>1</v>
      </c>
      <c r="AC175" s="22">
        <f t="shared" si="15"/>
        <v>4.1142361271531161E-2</v>
      </c>
      <c r="AD175" s="22">
        <f t="shared" si="16"/>
        <v>4.0513079897554365E-2</v>
      </c>
      <c r="AE175" s="22">
        <f t="shared" si="17"/>
        <v>1</v>
      </c>
      <c r="AF175" s="7" t="s">
        <v>1647</v>
      </c>
      <c r="AG175" s="7"/>
      <c r="AH175" s="7"/>
      <c r="AI175" s="7"/>
      <c r="AJ175" s="8" t="b">
        <v>1</v>
      </c>
      <c r="AK175" s="28" t="s">
        <v>1648</v>
      </c>
      <c r="AL175" s="28"/>
      <c r="AM175" s="28"/>
      <c r="AN175" s="7"/>
      <c r="AO175" s="7"/>
      <c r="AP175" s="7"/>
      <c r="AQ175" s="28" t="s">
        <v>1650</v>
      </c>
    </row>
    <row r="176" spans="1:43" ht="30">
      <c r="A176" s="7">
        <v>104</v>
      </c>
      <c r="B176" s="7" t="s">
        <v>601</v>
      </c>
      <c r="C176" s="7" t="s">
        <v>45</v>
      </c>
      <c r="D176" s="7" t="s">
        <v>112</v>
      </c>
      <c r="E176" s="7" t="s">
        <v>1642</v>
      </c>
      <c r="F176" s="7" t="s">
        <v>42</v>
      </c>
      <c r="G176" s="14">
        <v>88</v>
      </c>
      <c r="H176" s="15">
        <v>0</v>
      </c>
      <c r="I176" s="15">
        <v>0.36</v>
      </c>
      <c r="J176" s="15">
        <v>0</v>
      </c>
      <c r="K176" s="15">
        <v>0.36818181818181817</v>
      </c>
      <c r="L176" s="15">
        <v>60.3</v>
      </c>
      <c r="M176" s="15">
        <v>1.5868421052631578</v>
      </c>
      <c r="N176" s="16">
        <v>0</v>
      </c>
      <c r="O176" s="16">
        <v>0.23202170963364993</v>
      </c>
      <c r="P176" s="17">
        <f>IFERROR(G176/(G176+Priors!$H$3),0)</f>
        <v>8.0882352941176475E-2</v>
      </c>
      <c r="Q176" s="18">
        <f>IF(E176="Premier League",Priors!$H$4,IF(E176="Championship",Priors!$H$5,Priors!$H$8))</f>
        <v>1</v>
      </c>
      <c r="R176" s="19" t="b">
        <v>1</v>
      </c>
      <c r="S176" s="18">
        <f>IF(R176=TRUE,Priors!$H$6,1)</f>
        <v>0.85</v>
      </c>
      <c r="T176" s="19" t="b">
        <v>0</v>
      </c>
      <c r="U176" s="18">
        <f>IF(T176=TRUE,Priors!$H$7,1)</f>
        <v>1</v>
      </c>
      <c r="V176" s="18">
        <f t="shared" si="12"/>
        <v>6.8750000000000006E-2</v>
      </c>
      <c r="W176" s="20">
        <f>VLOOKUP(D176,Priors!$A$3:$C$6,2,FALSE)</f>
        <v>0.10751786102217777</v>
      </c>
      <c r="X176" s="20">
        <f>VLOOKUP(D176,Priors!$A$3:$C$6,3,FALSE)</f>
        <v>9.0240671969462088E-2</v>
      </c>
      <c r="Y176" s="20">
        <f t="shared" si="13"/>
        <v>0.10012600807690304</v>
      </c>
      <c r="Z176" s="20">
        <f t="shared" si="14"/>
        <v>9.9988118308874996E-2</v>
      </c>
      <c r="AA176" s="21">
        <v>1</v>
      </c>
      <c r="AB176" s="21">
        <v>1</v>
      </c>
      <c r="AC176" s="22">
        <f t="shared" si="15"/>
        <v>0.10012600807690304</v>
      </c>
      <c r="AD176" s="22">
        <f t="shared" si="16"/>
        <v>9.9988118308874996E-2</v>
      </c>
      <c r="AE176" s="22">
        <f t="shared" si="17"/>
        <v>0.93125000000000002</v>
      </c>
      <c r="AF176" s="7" t="s">
        <v>1643</v>
      </c>
      <c r="AG176" s="7"/>
      <c r="AH176" s="7"/>
      <c r="AI176" s="7"/>
      <c r="AJ176" s="8" t="b">
        <v>1</v>
      </c>
      <c r="AK176" s="28" t="s">
        <v>1644</v>
      </c>
      <c r="AL176" s="28" t="s">
        <v>1645</v>
      </c>
      <c r="AM176" s="28"/>
      <c r="AN176" s="7"/>
      <c r="AO176" s="7"/>
      <c r="AP176" s="7"/>
      <c r="AQ176" s="28" t="s">
        <v>1650</v>
      </c>
    </row>
    <row r="177" spans="1:43" ht="15">
      <c r="A177" s="7">
        <v>171</v>
      </c>
      <c r="B177" s="7" t="s">
        <v>605</v>
      </c>
      <c r="C177" s="7" t="s">
        <v>45</v>
      </c>
      <c r="D177" s="7" t="s">
        <v>85</v>
      </c>
      <c r="E177" s="7" t="s">
        <v>1647</v>
      </c>
      <c r="F177" s="7"/>
      <c r="G177" s="14"/>
      <c r="H177" s="15"/>
      <c r="I177" s="15"/>
      <c r="J177" s="15"/>
      <c r="K177" s="15"/>
      <c r="L177" s="15"/>
      <c r="M177" s="15"/>
      <c r="N177" s="16"/>
      <c r="O177" s="16"/>
      <c r="P177" s="17">
        <f>IFERROR(G177/(G177+Priors!$H$3),0)</f>
        <v>0</v>
      </c>
      <c r="Q177" s="18">
        <f>IF(E177="Premier League",Priors!$H$4,IF(E177="Championship",Priors!$H$5,Priors!$H$8))</f>
        <v>0</v>
      </c>
      <c r="R177" s="19" t="b">
        <v>0</v>
      </c>
      <c r="S177" s="18">
        <f>IF(R177=TRUE,Priors!$H$6,1)</f>
        <v>1</v>
      </c>
      <c r="T177" s="19" t="b">
        <v>0</v>
      </c>
      <c r="U177" s="18">
        <f>IF(T177=TRUE,Priors!$H$7,1)</f>
        <v>1</v>
      </c>
      <c r="V177" s="18">
        <f t="shared" si="12"/>
        <v>0</v>
      </c>
      <c r="W177" s="20">
        <f>VLOOKUP(D177,Priors!$A$3:$C$6,2,FALSE)</f>
        <v>1.6719534964712218E-4</v>
      </c>
      <c r="X177" s="20">
        <f>VLOOKUP(D177,Priors!$A$3:$C$6,3,FALSE)</f>
        <v>1.379361634588758E-3</v>
      </c>
      <c r="Y177" s="20">
        <f t="shared" si="13"/>
        <v>1.6719534964712218E-4</v>
      </c>
      <c r="Z177" s="20">
        <f t="shared" si="14"/>
        <v>1.379361634588758E-3</v>
      </c>
      <c r="AA177" s="21">
        <v>1</v>
      </c>
      <c r="AB177" s="21">
        <v>1</v>
      </c>
      <c r="AC177" s="22">
        <f t="shared" si="15"/>
        <v>1.6719534964712218E-4</v>
      </c>
      <c r="AD177" s="22">
        <f t="shared" si="16"/>
        <v>1.379361634588758E-3</v>
      </c>
      <c r="AE177" s="22">
        <f t="shared" si="17"/>
        <v>1</v>
      </c>
      <c r="AF177" s="7" t="s">
        <v>1647</v>
      </c>
      <c r="AG177" s="7"/>
      <c r="AH177" s="7"/>
      <c r="AI177" s="7"/>
      <c r="AJ177" s="8" t="b">
        <v>1</v>
      </c>
      <c r="AK177" s="28" t="s">
        <v>1648</v>
      </c>
      <c r="AL177" s="28"/>
      <c r="AM177" s="28"/>
      <c r="AN177" s="7"/>
      <c r="AO177" s="7"/>
      <c r="AP177" s="7"/>
      <c r="AQ177" s="28" t="s">
        <v>1650</v>
      </c>
    </row>
    <row r="178" spans="1:43" ht="15">
      <c r="A178" s="7">
        <v>172</v>
      </c>
      <c r="B178" s="7" t="s">
        <v>416</v>
      </c>
      <c r="C178" s="7" t="s">
        <v>45</v>
      </c>
      <c r="D178" s="7" t="s">
        <v>85</v>
      </c>
      <c r="E178" s="7" t="s">
        <v>1647</v>
      </c>
      <c r="F178" s="7"/>
      <c r="G178" s="14"/>
      <c r="H178" s="15"/>
      <c r="I178" s="15"/>
      <c r="J178" s="15"/>
      <c r="K178" s="15"/>
      <c r="L178" s="15"/>
      <c r="M178" s="15"/>
      <c r="N178" s="16"/>
      <c r="O178" s="16"/>
      <c r="P178" s="17">
        <f>IFERROR(G178/(G178+Priors!$H$3),0)</f>
        <v>0</v>
      </c>
      <c r="Q178" s="18">
        <f>IF(E178="Premier League",Priors!$H$4,IF(E178="Championship",Priors!$H$5,Priors!$H$8))</f>
        <v>0</v>
      </c>
      <c r="R178" s="19" t="b">
        <v>0</v>
      </c>
      <c r="S178" s="18">
        <f>IF(R178=TRUE,Priors!$H$6,1)</f>
        <v>1</v>
      </c>
      <c r="T178" s="19" t="b">
        <v>0</v>
      </c>
      <c r="U178" s="18">
        <f>IF(T178=TRUE,Priors!$H$7,1)</f>
        <v>1</v>
      </c>
      <c r="V178" s="18">
        <f t="shared" si="12"/>
        <v>0</v>
      </c>
      <c r="W178" s="20">
        <f>VLOOKUP(D178,Priors!$A$3:$C$6,2,FALSE)</f>
        <v>1.6719534964712218E-4</v>
      </c>
      <c r="X178" s="20">
        <f>VLOOKUP(D178,Priors!$A$3:$C$6,3,FALSE)</f>
        <v>1.379361634588758E-3</v>
      </c>
      <c r="Y178" s="20">
        <f t="shared" si="13"/>
        <v>1.6719534964712218E-4</v>
      </c>
      <c r="Z178" s="20">
        <f t="shared" si="14"/>
        <v>1.379361634588758E-3</v>
      </c>
      <c r="AA178" s="21">
        <v>1</v>
      </c>
      <c r="AB178" s="21">
        <v>1</v>
      </c>
      <c r="AC178" s="22">
        <f t="shared" si="15"/>
        <v>1.6719534964712218E-4</v>
      </c>
      <c r="AD178" s="22">
        <f t="shared" si="16"/>
        <v>1.379361634588758E-3</v>
      </c>
      <c r="AE178" s="22">
        <f t="shared" si="17"/>
        <v>1</v>
      </c>
      <c r="AF178" s="7" t="s">
        <v>1647</v>
      </c>
      <c r="AG178" s="7"/>
      <c r="AH178" s="7"/>
      <c r="AI178" s="7"/>
      <c r="AJ178" s="8" t="b">
        <v>1</v>
      </c>
      <c r="AK178" s="28" t="s">
        <v>1648</v>
      </c>
      <c r="AL178" s="28"/>
      <c r="AM178" s="28"/>
      <c r="AN178" s="7"/>
      <c r="AO178" s="7"/>
      <c r="AP178" s="7"/>
      <c r="AQ178" s="28" t="s">
        <v>1650</v>
      </c>
    </row>
    <row r="179" spans="1:43" ht="45">
      <c r="A179" s="7">
        <v>173</v>
      </c>
      <c r="B179" s="7" t="s">
        <v>610</v>
      </c>
      <c r="C179" s="7" t="s">
        <v>45</v>
      </c>
      <c r="D179" s="7" t="s">
        <v>99</v>
      </c>
      <c r="E179" s="7" t="s">
        <v>1654</v>
      </c>
      <c r="F179" s="7" t="s">
        <v>45</v>
      </c>
      <c r="G179" s="14">
        <v>2900</v>
      </c>
      <c r="H179" s="15">
        <v>2.9</v>
      </c>
      <c r="I179" s="15">
        <v>3.4</v>
      </c>
      <c r="J179" s="15">
        <v>0.09</v>
      </c>
      <c r="K179" s="15">
        <v>0.1</v>
      </c>
      <c r="L179" s="15">
        <v>87.3</v>
      </c>
      <c r="M179" s="15">
        <v>1.8978260869565218</v>
      </c>
      <c r="N179" s="16">
        <v>4.7422680412371132E-2</v>
      </c>
      <c r="O179" s="16">
        <v>5.2691867124856816E-2</v>
      </c>
      <c r="P179" s="17">
        <f>IFERROR(G179/(G179+Priors!$H$3),0)</f>
        <v>0.74358974358974361</v>
      </c>
      <c r="Q179" s="18">
        <f>IF(E179="Premier League",Priors!$H$4,IF(E179="Championship",Priors!$H$5,Priors!$H$8))</f>
        <v>0.8</v>
      </c>
      <c r="R179" s="19" t="b">
        <v>0</v>
      </c>
      <c r="S179" s="18">
        <f>IF(R179=TRUE,Priors!$H$6,1)</f>
        <v>1</v>
      </c>
      <c r="T179" s="19" t="b">
        <v>0</v>
      </c>
      <c r="U179" s="18">
        <f>IF(T179=TRUE,Priors!$H$7,1)</f>
        <v>1</v>
      </c>
      <c r="V179" s="18">
        <f t="shared" si="12"/>
        <v>0.59487179487179487</v>
      </c>
      <c r="W179" s="20">
        <f>VLOOKUP(D179,Priors!$A$3:$C$6,2,FALSE)</f>
        <v>4.1142361271531161E-2</v>
      </c>
      <c r="X179" s="20">
        <f>VLOOKUP(D179,Priors!$A$3:$C$6,3,FALSE)</f>
        <v>4.0513079897554365E-2</v>
      </c>
      <c r="Y179" s="20">
        <f t="shared" si="13"/>
        <v>4.4878345991210322E-2</v>
      </c>
      <c r="Z179" s="20">
        <f t="shared" si="14"/>
        <v>4.7757896914821463E-2</v>
      </c>
      <c r="AA179" s="21">
        <v>1</v>
      </c>
      <c r="AB179" s="21">
        <v>1</v>
      </c>
      <c r="AC179" s="22">
        <f t="shared" si="15"/>
        <v>4.4878345991210322E-2</v>
      </c>
      <c r="AD179" s="22">
        <f t="shared" si="16"/>
        <v>4.7757896914821463E-2</v>
      </c>
      <c r="AE179" s="22">
        <f t="shared" si="17"/>
        <v>0.40512820512820513</v>
      </c>
      <c r="AF179" s="7" t="s">
        <v>1655</v>
      </c>
      <c r="AG179" s="7"/>
      <c r="AH179" s="7"/>
      <c r="AI179" s="7"/>
      <c r="AJ179" s="8" t="b">
        <v>0</v>
      </c>
      <c r="AK179" s="28" t="s">
        <v>1656</v>
      </c>
      <c r="AL179" s="28" t="s">
        <v>1657</v>
      </c>
      <c r="AM179" s="28"/>
      <c r="AN179" s="7"/>
      <c r="AO179" s="7"/>
      <c r="AP179" s="7"/>
      <c r="AQ179" s="28" t="s">
        <v>1650</v>
      </c>
    </row>
    <row r="180" spans="1:43" ht="45">
      <c r="A180" s="7">
        <v>174</v>
      </c>
      <c r="B180" s="7" t="s">
        <v>613</v>
      </c>
      <c r="C180" s="7" t="s">
        <v>45</v>
      </c>
      <c r="D180" s="7" t="s">
        <v>99</v>
      </c>
      <c r="E180" s="7" t="s">
        <v>1654</v>
      </c>
      <c r="F180" s="7" t="s">
        <v>45</v>
      </c>
      <c r="G180" s="14">
        <v>3185</v>
      </c>
      <c r="H180" s="15">
        <v>4.5999999999999996</v>
      </c>
      <c r="I180" s="15">
        <v>3.3</v>
      </c>
      <c r="J180" s="15">
        <v>0.13</v>
      </c>
      <c r="K180" s="15">
        <v>0.09</v>
      </c>
      <c r="L180" s="15">
        <v>87.3</v>
      </c>
      <c r="M180" s="15">
        <v>1.8978260869565218</v>
      </c>
      <c r="N180" s="16">
        <v>6.8499427262313867E-2</v>
      </c>
      <c r="O180" s="16">
        <v>4.7422680412371132E-2</v>
      </c>
      <c r="P180" s="17">
        <f>IFERROR(G180/(G180+Priors!$H$3),0)</f>
        <v>0.76105137395459976</v>
      </c>
      <c r="Q180" s="18">
        <f>IF(E180="Premier League",Priors!$H$4,IF(E180="Championship",Priors!$H$5,Priors!$H$8))</f>
        <v>0.8</v>
      </c>
      <c r="R180" s="19" t="b">
        <v>0</v>
      </c>
      <c r="S180" s="18">
        <f>IF(R180=TRUE,Priors!$H$6,1)</f>
        <v>1</v>
      </c>
      <c r="T180" s="19" t="b">
        <v>0</v>
      </c>
      <c r="U180" s="18">
        <f>IF(T180=TRUE,Priors!$H$7,1)</f>
        <v>1</v>
      </c>
      <c r="V180" s="18">
        <f t="shared" si="12"/>
        <v>0.6088410991636799</v>
      </c>
      <c r="W180" s="20">
        <f>VLOOKUP(D180,Priors!$A$3:$C$6,2,FALSE)</f>
        <v>4.1142361271531161E-2</v>
      </c>
      <c r="X180" s="20">
        <f>VLOOKUP(D180,Priors!$A$3:$C$6,3,FALSE)</f>
        <v>4.0513079897554365E-2</v>
      </c>
      <c r="Y180" s="20">
        <f t="shared" si="13"/>
        <v>5.779846739925263E-2</v>
      </c>
      <c r="Z180" s="20">
        <f t="shared" si="14"/>
        <v>4.4719928669777337E-2</v>
      </c>
      <c r="AA180" s="21">
        <v>1</v>
      </c>
      <c r="AB180" s="21">
        <v>1</v>
      </c>
      <c r="AC180" s="22">
        <f t="shared" si="15"/>
        <v>5.779846739925263E-2</v>
      </c>
      <c r="AD180" s="22">
        <f t="shared" si="16"/>
        <v>4.4719928669777337E-2</v>
      </c>
      <c r="AE180" s="22">
        <f t="shared" si="17"/>
        <v>0.3911589008363201</v>
      </c>
      <c r="AF180" s="7" t="s">
        <v>1655</v>
      </c>
      <c r="AG180" s="7"/>
      <c r="AH180" s="7"/>
      <c r="AI180" s="7"/>
      <c r="AJ180" s="8" t="b">
        <v>0</v>
      </c>
      <c r="AK180" s="28" t="s">
        <v>1656</v>
      </c>
      <c r="AL180" s="28" t="s">
        <v>1657</v>
      </c>
      <c r="AM180" s="28"/>
      <c r="AN180" s="7"/>
      <c r="AO180" s="7"/>
      <c r="AP180" s="7"/>
      <c r="AQ180" s="28" t="s">
        <v>1650</v>
      </c>
    </row>
    <row r="181" spans="1:43" ht="45">
      <c r="A181" s="7">
        <v>175</v>
      </c>
      <c r="B181" s="7" t="s">
        <v>615</v>
      </c>
      <c r="C181" s="7" t="s">
        <v>45</v>
      </c>
      <c r="D181" s="7" t="s">
        <v>99</v>
      </c>
      <c r="E181" s="7" t="s">
        <v>1654</v>
      </c>
      <c r="F181" s="7" t="s">
        <v>45</v>
      </c>
      <c r="G181" s="14">
        <v>3300</v>
      </c>
      <c r="H181" s="15">
        <v>1.1000000000000001</v>
      </c>
      <c r="I181" s="15">
        <v>5.9</v>
      </c>
      <c r="J181" s="15">
        <v>0.03</v>
      </c>
      <c r="K181" s="15">
        <v>0.14000000000000001</v>
      </c>
      <c r="L181" s="15">
        <v>87.3</v>
      </c>
      <c r="M181" s="15">
        <v>1.8978260869565218</v>
      </c>
      <c r="N181" s="16">
        <v>1.5807560137457044E-2</v>
      </c>
      <c r="O181" s="16">
        <v>7.3768613974799543E-2</v>
      </c>
      <c r="P181" s="17">
        <f>IFERROR(G181/(G181+Priors!$H$3),0)</f>
        <v>0.76744186046511631</v>
      </c>
      <c r="Q181" s="18">
        <f>IF(E181="Premier League",Priors!$H$4,IF(E181="Championship",Priors!$H$5,Priors!$H$8))</f>
        <v>0.8</v>
      </c>
      <c r="R181" s="19" t="b">
        <v>0</v>
      </c>
      <c r="S181" s="18">
        <f>IF(R181=TRUE,Priors!$H$6,1)</f>
        <v>1</v>
      </c>
      <c r="T181" s="19" t="b">
        <v>0</v>
      </c>
      <c r="U181" s="18">
        <f>IF(T181=TRUE,Priors!$H$7,1)</f>
        <v>1</v>
      </c>
      <c r="V181" s="18">
        <f t="shared" si="12"/>
        <v>0.61395348837209307</v>
      </c>
      <c r="W181" s="20">
        <f>VLOOKUP(D181,Priors!$A$3:$C$6,2,FALSE)</f>
        <v>4.1142361271531161E-2</v>
      </c>
      <c r="X181" s="20">
        <f>VLOOKUP(D181,Priors!$A$3:$C$6,3,FALSE)</f>
        <v>4.0513079897554365E-2</v>
      </c>
      <c r="Y181" s="20">
        <f t="shared" si="13"/>
        <v>2.5587971738053099E-2</v>
      </c>
      <c r="Z181" s="20">
        <f t="shared" si="14"/>
        <v>6.0930431051956058E-2</v>
      </c>
      <c r="AA181" s="21">
        <v>1</v>
      </c>
      <c r="AB181" s="21">
        <v>1</v>
      </c>
      <c r="AC181" s="22">
        <f t="shared" si="15"/>
        <v>2.5587971738053099E-2</v>
      </c>
      <c r="AD181" s="22">
        <f t="shared" si="16"/>
        <v>6.0930431051956058E-2</v>
      </c>
      <c r="AE181" s="22">
        <f t="shared" si="17"/>
        <v>0.38604651162790693</v>
      </c>
      <c r="AF181" s="7" t="s">
        <v>1655</v>
      </c>
      <c r="AG181" s="7"/>
      <c r="AH181" s="7"/>
      <c r="AI181" s="7"/>
      <c r="AJ181" s="8" t="b">
        <v>0</v>
      </c>
      <c r="AK181" s="28" t="s">
        <v>1656</v>
      </c>
      <c r="AL181" s="28" t="s">
        <v>1657</v>
      </c>
      <c r="AM181" s="28"/>
      <c r="AN181" s="7"/>
      <c r="AO181" s="7"/>
      <c r="AP181" s="7"/>
      <c r="AQ181" s="28" t="s">
        <v>1650</v>
      </c>
    </row>
    <row r="182" spans="1:43" ht="45">
      <c r="A182" s="7">
        <v>176</v>
      </c>
      <c r="B182" s="7" t="s">
        <v>405</v>
      </c>
      <c r="C182" s="7" t="s">
        <v>45</v>
      </c>
      <c r="D182" s="7" t="s">
        <v>99</v>
      </c>
      <c r="E182" s="7" t="s">
        <v>1654</v>
      </c>
      <c r="F182" s="7" t="s">
        <v>45</v>
      </c>
      <c r="G182" s="14">
        <v>2700</v>
      </c>
      <c r="H182" s="15">
        <v>0.6</v>
      </c>
      <c r="I182" s="15">
        <v>5.0999999999999996</v>
      </c>
      <c r="J182" s="15">
        <v>0.02</v>
      </c>
      <c r="K182" s="15">
        <v>0.13</v>
      </c>
      <c r="L182" s="15">
        <v>87.3</v>
      </c>
      <c r="M182" s="15">
        <v>1.8978260869565218</v>
      </c>
      <c r="N182" s="16">
        <v>1.0538373424971364E-2</v>
      </c>
      <c r="O182" s="16">
        <v>6.8499427262313867E-2</v>
      </c>
      <c r="P182" s="17">
        <f>IFERROR(G182/(G182+Priors!$H$3),0)</f>
        <v>0.72972972972972971</v>
      </c>
      <c r="Q182" s="18">
        <f>IF(E182="Premier League",Priors!$H$4,IF(E182="Championship",Priors!$H$5,Priors!$H$8))</f>
        <v>0.8</v>
      </c>
      <c r="R182" s="19" t="b">
        <v>0</v>
      </c>
      <c r="S182" s="18">
        <f>IF(R182=TRUE,Priors!$H$6,1)</f>
        <v>1</v>
      </c>
      <c r="T182" s="19" t="b">
        <v>0</v>
      </c>
      <c r="U182" s="18">
        <f>IF(T182=TRUE,Priors!$H$7,1)</f>
        <v>1</v>
      </c>
      <c r="V182" s="18">
        <f t="shared" si="12"/>
        <v>0.58378378378378382</v>
      </c>
      <c r="W182" s="20">
        <f>VLOOKUP(D182,Priors!$A$3:$C$6,2,FALSE)</f>
        <v>4.1142361271531161E-2</v>
      </c>
      <c r="X182" s="20">
        <f>VLOOKUP(D182,Priors!$A$3:$C$6,3,FALSE)</f>
        <v>4.0513079897554365E-2</v>
      </c>
      <c r="Y182" s="20">
        <f t="shared" si="13"/>
        <v>2.3276249447593548E-2</v>
      </c>
      <c r="Z182" s="20">
        <f t="shared" si="14"/>
        <v>5.6851055656440996E-2</v>
      </c>
      <c r="AA182" s="21">
        <v>1</v>
      </c>
      <c r="AB182" s="21">
        <v>1</v>
      </c>
      <c r="AC182" s="22">
        <f t="shared" si="15"/>
        <v>2.3276249447593548E-2</v>
      </c>
      <c r="AD182" s="22">
        <f t="shared" si="16"/>
        <v>5.6851055656440996E-2</v>
      </c>
      <c r="AE182" s="22">
        <f t="shared" si="17"/>
        <v>0.41621621621621618</v>
      </c>
      <c r="AF182" s="7" t="s">
        <v>1655</v>
      </c>
      <c r="AG182" s="7"/>
      <c r="AH182" s="7"/>
      <c r="AI182" s="7"/>
      <c r="AJ182" s="8" t="b">
        <v>0</v>
      </c>
      <c r="AK182" s="28" t="s">
        <v>1656</v>
      </c>
      <c r="AL182" s="28" t="s">
        <v>1657</v>
      </c>
      <c r="AM182" s="28"/>
      <c r="AN182" s="7"/>
      <c r="AO182" s="7"/>
      <c r="AP182" s="7"/>
      <c r="AQ182" s="28" t="s">
        <v>1650</v>
      </c>
    </row>
    <row r="183" spans="1:43" ht="45">
      <c r="A183" s="7">
        <v>177</v>
      </c>
      <c r="B183" s="7" t="s">
        <v>619</v>
      </c>
      <c r="C183" s="7" t="s">
        <v>45</v>
      </c>
      <c r="D183" s="7" t="s">
        <v>99</v>
      </c>
      <c r="E183" s="7" t="s">
        <v>1654</v>
      </c>
      <c r="F183" s="7" t="s">
        <v>45</v>
      </c>
      <c r="G183" s="14"/>
      <c r="H183" s="15">
        <v>0.8</v>
      </c>
      <c r="I183" s="15"/>
      <c r="J183" s="15"/>
      <c r="K183" s="15"/>
      <c r="L183" s="15">
        <v>87.3</v>
      </c>
      <c r="M183" s="15">
        <v>1.8978260869565218</v>
      </c>
      <c r="N183" s="16"/>
      <c r="O183" s="16"/>
      <c r="P183" s="17">
        <f>IFERROR(G183/(G183+Priors!$H$3),0)</f>
        <v>0</v>
      </c>
      <c r="Q183" s="18">
        <f>IF(E183="Premier League",Priors!$H$4,IF(E183="Championship",Priors!$H$5,Priors!$H$8))</f>
        <v>0.8</v>
      </c>
      <c r="R183" s="19" t="b">
        <v>0</v>
      </c>
      <c r="S183" s="18">
        <f>IF(R183=TRUE,Priors!$H$6,1)</f>
        <v>1</v>
      </c>
      <c r="T183" s="19" t="b">
        <v>0</v>
      </c>
      <c r="U183" s="18">
        <f>IF(T183=TRUE,Priors!$H$7,1)</f>
        <v>1</v>
      </c>
      <c r="V183" s="18">
        <f t="shared" si="12"/>
        <v>0</v>
      </c>
      <c r="W183" s="20">
        <f>VLOOKUP(D183,Priors!$A$3:$C$6,2,FALSE)</f>
        <v>4.1142361271531161E-2</v>
      </c>
      <c r="X183" s="20">
        <f>VLOOKUP(D183,Priors!$A$3:$C$6,3,FALSE)</f>
        <v>4.0513079897554365E-2</v>
      </c>
      <c r="Y183" s="20">
        <f t="shared" si="13"/>
        <v>4.1142361271531161E-2</v>
      </c>
      <c r="Z183" s="20">
        <f t="shared" si="14"/>
        <v>4.0513079897554365E-2</v>
      </c>
      <c r="AA183" s="21">
        <v>1</v>
      </c>
      <c r="AB183" s="21">
        <v>1</v>
      </c>
      <c r="AC183" s="22">
        <f t="shared" si="15"/>
        <v>4.1142361271531161E-2</v>
      </c>
      <c r="AD183" s="22">
        <f t="shared" si="16"/>
        <v>4.0513079897554365E-2</v>
      </c>
      <c r="AE183" s="22">
        <f t="shared" si="17"/>
        <v>1</v>
      </c>
      <c r="AF183" s="7" t="s">
        <v>1655</v>
      </c>
      <c r="AG183" s="7"/>
      <c r="AH183" s="7"/>
      <c r="AI183" s="7"/>
      <c r="AJ183" s="8" t="b">
        <v>1</v>
      </c>
      <c r="AK183" s="28" t="s">
        <v>1656</v>
      </c>
      <c r="AL183" s="28" t="s">
        <v>1657</v>
      </c>
      <c r="AM183" s="28"/>
      <c r="AN183" s="7"/>
      <c r="AO183" s="7"/>
      <c r="AP183" s="7"/>
      <c r="AQ183" s="28" t="s">
        <v>1650</v>
      </c>
    </row>
    <row r="184" spans="1:43" ht="45">
      <c r="A184" s="7">
        <v>178</v>
      </c>
      <c r="B184" s="7" t="s">
        <v>621</v>
      </c>
      <c r="C184" s="7" t="s">
        <v>45</v>
      </c>
      <c r="D184" s="7" t="s">
        <v>99</v>
      </c>
      <c r="E184" s="7" t="s">
        <v>1654</v>
      </c>
      <c r="F184" s="7" t="s">
        <v>45</v>
      </c>
      <c r="G184" s="14"/>
      <c r="H184" s="15">
        <v>0.1</v>
      </c>
      <c r="I184" s="15"/>
      <c r="J184" s="15"/>
      <c r="K184" s="15"/>
      <c r="L184" s="15">
        <v>87.3</v>
      </c>
      <c r="M184" s="15">
        <v>1.8978260869565218</v>
      </c>
      <c r="N184" s="16"/>
      <c r="O184" s="16"/>
      <c r="P184" s="17">
        <f>IFERROR(G184/(G184+Priors!$H$3),0)</f>
        <v>0</v>
      </c>
      <c r="Q184" s="18">
        <f>IF(E184="Premier League",Priors!$H$4,IF(E184="Championship",Priors!$H$5,Priors!$H$8))</f>
        <v>0.8</v>
      </c>
      <c r="R184" s="19" t="b">
        <v>0</v>
      </c>
      <c r="S184" s="18">
        <f>IF(R184=TRUE,Priors!$H$6,1)</f>
        <v>1</v>
      </c>
      <c r="T184" s="19" t="b">
        <v>0</v>
      </c>
      <c r="U184" s="18">
        <f>IF(T184=TRUE,Priors!$H$7,1)</f>
        <v>1</v>
      </c>
      <c r="V184" s="18">
        <f t="shared" si="12"/>
        <v>0</v>
      </c>
      <c r="W184" s="20">
        <f>VLOOKUP(D184,Priors!$A$3:$C$6,2,FALSE)</f>
        <v>4.1142361271531161E-2</v>
      </c>
      <c r="X184" s="20">
        <f>VLOOKUP(D184,Priors!$A$3:$C$6,3,FALSE)</f>
        <v>4.0513079897554365E-2</v>
      </c>
      <c r="Y184" s="20">
        <f t="shared" si="13"/>
        <v>4.1142361271531161E-2</v>
      </c>
      <c r="Z184" s="20">
        <f t="shared" si="14"/>
        <v>4.0513079897554365E-2</v>
      </c>
      <c r="AA184" s="21">
        <v>1</v>
      </c>
      <c r="AB184" s="21">
        <v>1</v>
      </c>
      <c r="AC184" s="22">
        <f t="shared" si="15"/>
        <v>4.1142361271531161E-2</v>
      </c>
      <c r="AD184" s="22">
        <f t="shared" si="16"/>
        <v>4.0513079897554365E-2</v>
      </c>
      <c r="AE184" s="22">
        <f t="shared" si="17"/>
        <v>1</v>
      </c>
      <c r="AF184" s="7" t="s">
        <v>1655</v>
      </c>
      <c r="AG184" s="7"/>
      <c r="AH184" s="7"/>
      <c r="AI184" s="7"/>
      <c r="AJ184" s="8" t="b">
        <v>1</v>
      </c>
      <c r="AK184" s="28" t="s">
        <v>1656</v>
      </c>
      <c r="AL184" s="28" t="s">
        <v>1657</v>
      </c>
      <c r="AM184" s="28"/>
      <c r="AN184" s="7"/>
      <c r="AO184" s="7"/>
      <c r="AP184" s="7"/>
      <c r="AQ184" s="28" t="s">
        <v>1650</v>
      </c>
    </row>
    <row r="185" spans="1:43" ht="45">
      <c r="A185" s="7">
        <v>179</v>
      </c>
      <c r="B185" s="7" t="s">
        <v>624</v>
      </c>
      <c r="C185" s="7" t="s">
        <v>45</v>
      </c>
      <c r="D185" s="7" t="s">
        <v>99</v>
      </c>
      <c r="E185" s="7" t="s">
        <v>1654</v>
      </c>
      <c r="F185" s="7" t="s">
        <v>45</v>
      </c>
      <c r="G185" s="14"/>
      <c r="H185" s="15">
        <v>0.7</v>
      </c>
      <c r="I185" s="15"/>
      <c r="J185" s="15"/>
      <c r="K185" s="15"/>
      <c r="L185" s="15">
        <v>87.3</v>
      </c>
      <c r="M185" s="15">
        <v>1.8978260869565218</v>
      </c>
      <c r="N185" s="16"/>
      <c r="O185" s="16"/>
      <c r="P185" s="17">
        <f>IFERROR(G185/(G185+Priors!$H$3),0)</f>
        <v>0</v>
      </c>
      <c r="Q185" s="18">
        <f>IF(E185="Premier League",Priors!$H$4,IF(E185="Championship",Priors!$H$5,Priors!$H$8))</f>
        <v>0.8</v>
      </c>
      <c r="R185" s="19" t="b">
        <v>0</v>
      </c>
      <c r="S185" s="18">
        <f>IF(R185=TRUE,Priors!$H$6,1)</f>
        <v>1</v>
      </c>
      <c r="T185" s="19" t="b">
        <v>0</v>
      </c>
      <c r="U185" s="18">
        <f>IF(T185=TRUE,Priors!$H$7,1)</f>
        <v>1</v>
      </c>
      <c r="V185" s="18">
        <f t="shared" si="12"/>
        <v>0</v>
      </c>
      <c r="W185" s="20">
        <f>VLOOKUP(D185,Priors!$A$3:$C$6,2,FALSE)</f>
        <v>4.1142361271531161E-2</v>
      </c>
      <c r="X185" s="20">
        <f>VLOOKUP(D185,Priors!$A$3:$C$6,3,FALSE)</f>
        <v>4.0513079897554365E-2</v>
      </c>
      <c r="Y185" s="20">
        <f t="shared" si="13"/>
        <v>4.1142361271531161E-2</v>
      </c>
      <c r="Z185" s="20">
        <f t="shared" si="14"/>
        <v>4.0513079897554365E-2</v>
      </c>
      <c r="AA185" s="21">
        <v>1</v>
      </c>
      <c r="AB185" s="21">
        <v>1</v>
      </c>
      <c r="AC185" s="22">
        <f t="shared" si="15"/>
        <v>4.1142361271531161E-2</v>
      </c>
      <c r="AD185" s="22">
        <f t="shared" si="16"/>
        <v>4.0513079897554365E-2</v>
      </c>
      <c r="AE185" s="22">
        <f t="shared" si="17"/>
        <v>1</v>
      </c>
      <c r="AF185" s="7" t="s">
        <v>1655</v>
      </c>
      <c r="AG185" s="7"/>
      <c r="AH185" s="7"/>
      <c r="AI185" s="7"/>
      <c r="AJ185" s="8" t="b">
        <v>1</v>
      </c>
      <c r="AK185" s="28" t="s">
        <v>1656</v>
      </c>
      <c r="AL185" s="28" t="s">
        <v>1657</v>
      </c>
      <c r="AM185" s="28"/>
      <c r="AN185" s="7"/>
      <c r="AO185" s="7"/>
      <c r="AP185" s="7"/>
      <c r="AQ185" s="28" t="s">
        <v>1650</v>
      </c>
    </row>
    <row r="186" spans="1:43" ht="45">
      <c r="A186" s="7">
        <v>180</v>
      </c>
      <c r="B186" s="7" t="s">
        <v>627</v>
      </c>
      <c r="C186" s="7" t="s">
        <v>45</v>
      </c>
      <c r="D186" s="7" t="s">
        <v>99</v>
      </c>
      <c r="E186" s="7" t="s">
        <v>1654</v>
      </c>
      <c r="F186" s="7" t="s">
        <v>45</v>
      </c>
      <c r="G186" s="14"/>
      <c r="H186" s="15">
        <v>0.7</v>
      </c>
      <c r="I186" s="15"/>
      <c r="J186" s="15"/>
      <c r="K186" s="15"/>
      <c r="L186" s="15">
        <v>87.3</v>
      </c>
      <c r="M186" s="15">
        <v>1.8978260869565218</v>
      </c>
      <c r="N186" s="16"/>
      <c r="O186" s="16"/>
      <c r="P186" s="17">
        <f>IFERROR(G186/(G186+Priors!$H$3),0)</f>
        <v>0</v>
      </c>
      <c r="Q186" s="18">
        <f>IF(E186="Premier League",Priors!$H$4,IF(E186="Championship",Priors!$H$5,Priors!$H$8))</f>
        <v>0.8</v>
      </c>
      <c r="R186" s="19" t="b">
        <v>0</v>
      </c>
      <c r="S186" s="18">
        <f>IF(R186=TRUE,Priors!$H$6,1)</f>
        <v>1</v>
      </c>
      <c r="T186" s="19" t="b">
        <v>0</v>
      </c>
      <c r="U186" s="18">
        <f>IF(T186=TRUE,Priors!$H$7,1)</f>
        <v>1</v>
      </c>
      <c r="V186" s="18">
        <f t="shared" si="12"/>
        <v>0</v>
      </c>
      <c r="W186" s="20">
        <f>VLOOKUP(D186,Priors!$A$3:$C$6,2,FALSE)</f>
        <v>4.1142361271531161E-2</v>
      </c>
      <c r="X186" s="20">
        <f>VLOOKUP(D186,Priors!$A$3:$C$6,3,FALSE)</f>
        <v>4.0513079897554365E-2</v>
      </c>
      <c r="Y186" s="20">
        <f t="shared" si="13"/>
        <v>4.1142361271531161E-2</v>
      </c>
      <c r="Z186" s="20">
        <f t="shared" si="14"/>
        <v>4.0513079897554365E-2</v>
      </c>
      <c r="AA186" s="21">
        <v>1</v>
      </c>
      <c r="AB186" s="21">
        <v>1</v>
      </c>
      <c r="AC186" s="22">
        <f t="shared" si="15"/>
        <v>4.1142361271531161E-2</v>
      </c>
      <c r="AD186" s="22">
        <f t="shared" si="16"/>
        <v>4.0513079897554365E-2</v>
      </c>
      <c r="AE186" s="22">
        <f t="shared" si="17"/>
        <v>1</v>
      </c>
      <c r="AF186" s="7" t="s">
        <v>1655</v>
      </c>
      <c r="AG186" s="7"/>
      <c r="AH186" s="7"/>
      <c r="AI186" s="7"/>
      <c r="AJ186" s="8" t="b">
        <v>1</v>
      </c>
      <c r="AK186" s="28" t="s">
        <v>1656</v>
      </c>
      <c r="AL186" s="28" t="s">
        <v>1657</v>
      </c>
      <c r="AM186" s="28"/>
      <c r="AN186" s="7"/>
      <c r="AO186" s="7"/>
      <c r="AP186" s="7"/>
      <c r="AQ186" s="28" t="s">
        <v>1650</v>
      </c>
    </row>
    <row r="187" spans="1:43" ht="45">
      <c r="A187" s="7">
        <v>181</v>
      </c>
      <c r="B187" s="7" t="s">
        <v>629</v>
      </c>
      <c r="C187" s="7" t="s">
        <v>45</v>
      </c>
      <c r="D187" s="7" t="s">
        <v>99</v>
      </c>
      <c r="E187" s="7" t="s">
        <v>1654</v>
      </c>
      <c r="F187" s="7" t="s">
        <v>45</v>
      </c>
      <c r="G187" s="14"/>
      <c r="H187" s="15">
        <v>0.2</v>
      </c>
      <c r="I187" s="15"/>
      <c r="J187" s="15"/>
      <c r="K187" s="15"/>
      <c r="L187" s="15">
        <v>87.3</v>
      </c>
      <c r="M187" s="15">
        <v>1.8978260869565218</v>
      </c>
      <c r="N187" s="16"/>
      <c r="O187" s="16"/>
      <c r="P187" s="17">
        <f>IFERROR(G187/(G187+Priors!$H$3),0)</f>
        <v>0</v>
      </c>
      <c r="Q187" s="18">
        <f>IF(E187="Premier League",Priors!$H$4,IF(E187="Championship",Priors!$H$5,Priors!$H$8))</f>
        <v>0.8</v>
      </c>
      <c r="R187" s="19" t="b">
        <v>0</v>
      </c>
      <c r="S187" s="18">
        <f>IF(R187=TRUE,Priors!$H$6,1)</f>
        <v>1</v>
      </c>
      <c r="T187" s="19" t="b">
        <v>0</v>
      </c>
      <c r="U187" s="18">
        <f>IF(T187=TRUE,Priors!$H$7,1)</f>
        <v>1</v>
      </c>
      <c r="V187" s="18">
        <f t="shared" si="12"/>
        <v>0</v>
      </c>
      <c r="W187" s="20">
        <f>VLOOKUP(D187,Priors!$A$3:$C$6,2,FALSE)</f>
        <v>4.1142361271531161E-2</v>
      </c>
      <c r="X187" s="20">
        <f>VLOOKUP(D187,Priors!$A$3:$C$6,3,FALSE)</f>
        <v>4.0513079897554365E-2</v>
      </c>
      <c r="Y187" s="20">
        <f t="shared" si="13"/>
        <v>4.1142361271531161E-2</v>
      </c>
      <c r="Z187" s="20">
        <f t="shared" si="14"/>
        <v>4.0513079897554365E-2</v>
      </c>
      <c r="AA187" s="21">
        <v>1</v>
      </c>
      <c r="AB187" s="21">
        <v>1</v>
      </c>
      <c r="AC187" s="22">
        <f t="shared" si="15"/>
        <v>4.1142361271531161E-2</v>
      </c>
      <c r="AD187" s="22">
        <f t="shared" si="16"/>
        <v>4.0513079897554365E-2</v>
      </c>
      <c r="AE187" s="22">
        <f t="shared" si="17"/>
        <v>1</v>
      </c>
      <c r="AF187" s="7" t="s">
        <v>1655</v>
      </c>
      <c r="AG187" s="7"/>
      <c r="AH187" s="7"/>
      <c r="AI187" s="7"/>
      <c r="AJ187" s="8" t="b">
        <v>1</v>
      </c>
      <c r="AK187" s="28" t="s">
        <v>1656</v>
      </c>
      <c r="AL187" s="28" t="s">
        <v>1657</v>
      </c>
      <c r="AM187" s="28"/>
      <c r="AN187" s="7"/>
      <c r="AO187" s="7"/>
      <c r="AP187" s="7"/>
      <c r="AQ187" s="28" t="s">
        <v>1650</v>
      </c>
    </row>
    <row r="188" spans="1:43" ht="15">
      <c r="A188" s="7">
        <v>182</v>
      </c>
      <c r="B188" s="7" t="s">
        <v>631</v>
      </c>
      <c r="C188" s="7" t="s">
        <v>45</v>
      </c>
      <c r="D188" s="7" t="s">
        <v>99</v>
      </c>
      <c r="E188" s="7" t="s">
        <v>1647</v>
      </c>
      <c r="F188" s="7"/>
      <c r="G188" s="14"/>
      <c r="H188" s="15"/>
      <c r="I188" s="15"/>
      <c r="J188" s="15"/>
      <c r="K188" s="15"/>
      <c r="L188" s="15"/>
      <c r="M188" s="15"/>
      <c r="N188" s="16"/>
      <c r="O188" s="16"/>
      <c r="P188" s="17">
        <f>IFERROR(G188/(G188+Priors!$H$3),0)</f>
        <v>0</v>
      </c>
      <c r="Q188" s="18">
        <f>IF(E188="Premier League",Priors!$H$4,IF(E188="Championship",Priors!$H$5,Priors!$H$8))</f>
        <v>0</v>
      </c>
      <c r="R188" s="19" t="b">
        <v>0</v>
      </c>
      <c r="S188" s="18">
        <f>IF(R188=TRUE,Priors!$H$6,1)</f>
        <v>1</v>
      </c>
      <c r="T188" s="19" t="b">
        <v>0</v>
      </c>
      <c r="U188" s="18">
        <f>IF(T188=TRUE,Priors!$H$7,1)</f>
        <v>1</v>
      </c>
      <c r="V188" s="18">
        <f t="shared" si="12"/>
        <v>0</v>
      </c>
      <c r="W188" s="20">
        <f>VLOOKUP(D188,Priors!$A$3:$C$6,2,FALSE)</f>
        <v>4.1142361271531161E-2</v>
      </c>
      <c r="X188" s="20">
        <f>VLOOKUP(D188,Priors!$A$3:$C$6,3,FALSE)</f>
        <v>4.0513079897554365E-2</v>
      </c>
      <c r="Y188" s="20">
        <f t="shared" si="13"/>
        <v>4.1142361271531161E-2</v>
      </c>
      <c r="Z188" s="20">
        <f t="shared" si="14"/>
        <v>4.0513079897554365E-2</v>
      </c>
      <c r="AA188" s="21">
        <v>1</v>
      </c>
      <c r="AB188" s="21">
        <v>1</v>
      </c>
      <c r="AC188" s="22">
        <f t="shared" si="15"/>
        <v>4.1142361271531161E-2</v>
      </c>
      <c r="AD188" s="22">
        <f t="shared" si="16"/>
        <v>4.0513079897554365E-2</v>
      </c>
      <c r="AE188" s="22">
        <f t="shared" si="17"/>
        <v>1</v>
      </c>
      <c r="AF188" s="7" t="s">
        <v>1647</v>
      </c>
      <c r="AG188" s="7"/>
      <c r="AH188" s="7"/>
      <c r="AI188" s="7"/>
      <c r="AJ188" s="8" t="b">
        <v>1</v>
      </c>
      <c r="AK188" s="28" t="s">
        <v>1648</v>
      </c>
      <c r="AL188" s="28"/>
      <c r="AM188" s="28"/>
      <c r="AN188" s="7"/>
      <c r="AO188" s="7"/>
      <c r="AP188" s="7"/>
      <c r="AQ188" s="28" t="s">
        <v>1650</v>
      </c>
    </row>
    <row r="189" spans="1:43" ht="45">
      <c r="A189" s="7">
        <v>183</v>
      </c>
      <c r="B189" s="7" t="s">
        <v>634</v>
      </c>
      <c r="C189" s="7" t="s">
        <v>45</v>
      </c>
      <c r="D189" s="7" t="s">
        <v>112</v>
      </c>
      <c r="E189" s="7" t="s">
        <v>1654</v>
      </c>
      <c r="F189" s="7" t="s">
        <v>45</v>
      </c>
      <c r="G189" s="14">
        <v>2086</v>
      </c>
      <c r="H189" s="15">
        <v>5.0999999999999996</v>
      </c>
      <c r="I189" s="15">
        <v>4.5999999999999996</v>
      </c>
      <c r="J189" s="15">
        <v>0.22</v>
      </c>
      <c r="K189" s="15">
        <v>0.2</v>
      </c>
      <c r="L189" s="15">
        <v>87.3</v>
      </c>
      <c r="M189" s="15">
        <v>1.8978260869565218</v>
      </c>
      <c r="N189" s="16">
        <v>0.115922107674685</v>
      </c>
      <c r="O189" s="16">
        <v>0.10538373424971363</v>
      </c>
      <c r="P189" s="17">
        <f>IFERROR(G189/(G189+Priors!$H$3),0)</f>
        <v>0.67595593000648091</v>
      </c>
      <c r="Q189" s="18">
        <f>IF(E189="Premier League",Priors!$H$4,IF(E189="Championship",Priors!$H$5,Priors!$H$8))</f>
        <v>0.8</v>
      </c>
      <c r="R189" s="19" t="b">
        <v>0</v>
      </c>
      <c r="S189" s="18">
        <f>IF(R189=TRUE,Priors!$H$6,1)</f>
        <v>1</v>
      </c>
      <c r="T189" s="19" t="b">
        <v>0</v>
      </c>
      <c r="U189" s="18">
        <f>IF(T189=TRUE,Priors!$H$7,1)</f>
        <v>1</v>
      </c>
      <c r="V189" s="18">
        <f t="shared" si="12"/>
        <v>0.54076474400518471</v>
      </c>
      <c r="W189" s="20">
        <f>VLOOKUP(D189,Priors!$A$3:$C$6,2,FALSE)</f>
        <v>0.10751786102217777</v>
      </c>
      <c r="X189" s="20">
        <f>VLOOKUP(D189,Priors!$A$3:$C$6,3,FALSE)</f>
        <v>9.0240671969462088E-2</v>
      </c>
      <c r="Y189" s="20">
        <f t="shared" si="13"/>
        <v>0.11206258131177728</v>
      </c>
      <c r="Z189" s="20">
        <f t="shared" si="14"/>
        <v>9.8429506166896885E-2</v>
      </c>
      <c r="AA189" s="21">
        <v>1</v>
      </c>
      <c r="AB189" s="21">
        <v>1</v>
      </c>
      <c r="AC189" s="22">
        <f t="shared" si="15"/>
        <v>0.11206258131177728</v>
      </c>
      <c r="AD189" s="22">
        <f t="shared" si="16"/>
        <v>9.8429506166896885E-2</v>
      </c>
      <c r="AE189" s="22">
        <f t="shared" si="17"/>
        <v>0.45923525599481529</v>
      </c>
      <c r="AF189" s="7" t="s">
        <v>1655</v>
      </c>
      <c r="AG189" s="7"/>
      <c r="AH189" s="7">
        <v>1</v>
      </c>
      <c r="AI189" s="7">
        <v>5</v>
      </c>
      <c r="AJ189" s="8" t="b">
        <v>0</v>
      </c>
      <c r="AK189" s="28" t="s">
        <v>1656</v>
      </c>
      <c r="AL189" s="28" t="s">
        <v>1657</v>
      </c>
      <c r="AM189" s="28"/>
      <c r="AN189" s="7"/>
      <c r="AO189" s="7"/>
      <c r="AP189" s="7"/>
      <c r="AQ189" s="28" t="s">
        <v>1650</v>
      </c>
    </row>
    <row r="190" spans="1:43" ht="45">
      <c r="A190" s="7">
        <v>184</v>
      </c>
      <c r="B190" s="7" t="s">
        <v>638</v>
      </c>
      <c r="C190" s="7" t="s">
        <v>45</v>
      </c>
      <c r="D190" s="7" t="s">
        <v>112</v>
      </c>
      <c r="E190" s="7" t="s">
        <v>1654</v>
      </c>
      <c r="F190" s="7" t="s">
        <v>45</v>
      </c>
      <c r="G190" s="14">
        <v>3825</v>
      </c>
      <c r="H190" s="15">
        <v>1.7</v>
      </c>
      <c r="I190" s="15">
        <v>9.1</v>
      </c>
      <c r="J190" s="15">
        <v>0.04</v>
      </c>
      <c r="K190" s="15">
        <v>0.2</v>
      </c>
      <c r="L190" s="15">
        <v>87.3</v>
      </c>
      <c r="M190" s="15">
        <v>1.8978260869565218</v>
      </c>
      <c r="N190" s="16">
        <v>2.1076746849942728E-2</v>
      </c>
      <c r="O190" s="16">
        <v>0.10538373424971363</v>
      </c>
      <c r="P190" s="17">
        <f>IFERROR(G190/(G190+Priors!$H$3),0)</f>
        <v>0.79274611398963735</v>
      </c>
      <c r="Q190" s="18">
        <f>IF(E190="Premier League",Priors!$H$4,IF(E190="Championship",Priors!$H$5,Priors!$H$8))</f>
        <v>0.8</v>
      </c>
      <c r="R190" s="19" t="b">
        <v>0</v>
      </c>
      <c r="S190" s="18">
        <f>IF(R190=TRUE,Priors!$H$6,1)</f>
        <v>1</v>
      </c>
      <c r="T190" s="19" t="b">
        <v>0</v>
      </c>
      <c r="U190" s="18">
        <f>IF(T190=TRUE,Priors!$H$7,1)</f>
        <v>1</v>
      </c>
      <c r="V190" s="18">
        <f t="shared" si="12"/>
        <v>0.63419689119170997</v>
      </c>
      <c r="W190" s="20">
        <f>VLOOKUP(D190,Priors!$A$3:$C$6,2,FALSE)</f>
        <v>0.10751786102217777</v>
      </c>
      <c r="X190" s="20">
        <f>VLOOKUP(D190,Priors!$A$3:$C$6,3,FALSE)</f>
        <v>9.0240671969462088E-2</v>
      </c>
      <c r="Y190" s="20">
        <f t="shared" si="13"/>
        <v>5.2697175142998647E-2</v>
      </c>
      <c r="Z190" s="20">
        <f t="shared" si="14"/>
        <v>9.9844354990720058E-2</v>
      </c>
      <c r="AA190" s="21">
        <v>1</v>
      </c>
      <c r="AB190" s="21">
        <v>1</v>
      </c>
      <c r="AC190" s="22">
        <f t="shared" si="15"/>
        <v>5.2697175142998647E-2</v>
      </c>
      <c r="AD190" s="22">
        <f t="shared" si="16"/>
        <v>9.9844354990720058E-2</v>
      </c>
      <c r="AE190" s="22">
        <f t="shared" si="17"/>
        <v>0.36580310880829003</v>
      </c>
      <c r="AF190" s="7" t="s">
        <v>1655</v>
      </c>
      <c r="AG190" s="7">
        <v>3</v>
      </c>
      <c r="AH190" s="7"/>
      <c r="AI190" s="7">
        <v>4</v>
      </c>
      <c r="AJ190" s="8" t="b">
        <v>0</v>
      </c>
      <c r="AK190" s="28" t="s">
        <v>1656</v>
      </c>
      <c r="AL190" s="28" t="s">
        <v>1657</v>
      </c>
      <c r="AM190" s="28"/>
      <c r="AN190" s="7"/>
      <c r="AO190" s="7"/>
      <c r="AP190" s="7"/>
      <c r="AQ190" s="28" t="s">
        <v>1650</v>
      </c>
    </row>
    <row r="191" spans="1:43" ht="45">
      <c r="A191" s="7">
        <v>185</v>
      </c>
      <c r="B191" s="7" t="s">
        <v>641</v>
      </c>
      <c r="C191" s="7" t="s">
        <v>45</v>
      </c>
      <c r="D191" s="7" t="s">
        <v>112</v>
      </c>
      <c r="E191" s="7" t="s">
        <v>1654</v>
      </c>
      <c r="F191" s="7" t="s">
        <v>45</v>
      </c>
      <c r="G191" s="14">
        <v>2580</v>
      </c>
      <c r="H191" s="15">
        <v>4.3</v>
      </c>
      <c r="I191" s="15">
        <v>5.3</v>
      </c>
      <c r="J191" s="15">
        <v>0.15</v>
      </c>
      <c r="K191" s="15">
        <v>0.19</v>
      </c>
      <c r="L191" s="15">
        <v>87.3</v>
      </c>
      <c r="M191" s="15">
        <v>1.8978260869565218</v>
      </c>
      <c r="N191" s="16">
        <v>7.903780068728522E-2</v>
      </c>
      <c r="O191" s="16">
        <v>0.10011454753722795</v>
      </c>
      <c r="P191" s="17">
        <f>IFERROR(G191/(G191+Priors!$H$3),0)</f>
        <v>0.72067039106145248</v>
      </c>
      <c r="Q191" s="18">
        <f>IF(E191="Premier League",Priors!$H$4,IF(E191="Championship",Priors!$H$5,Priors!$H$8))</f>
        <v>0.8</v>
      </c>
      <c r="R191" s="19" t="b">
        <v>0</v>
      </c>
      <c r="S191" s="18">
        <f>IF(R191=TRUE,Priors!$H$6,1)</f>
        <v>1</v>
      </c>
      <c r="T191" s="19" t="b">
        <v>0</v>
      </c>
      <c r="U191" s="18">
        <f>IF(T191=TRUE,Priors!$H$7,1)</f>
        <v>1</v>
      </c>
      <c r="V191" s="18">
        <f t="shared" si="12"/>
        <v>0.57653631284916196</v>
      </c>
      <c r="W191" s="20">
        <f>VLOOKUP(D191,Priors!$A$3:$C$6,2,FALSE)</f>
        <v>0.10751786102217777</v>
      </c>
      <c r="X191" s="20">
        <f>VLOOKUP(D191,Priors!$A$3:$C$6,3,FALSE)</f>
        <v>9.0240671969462088E-2</v>
      </c>
      <c r="Y191" s="20">
        <f t="shared" si="13"/>
        <v>9.1098072046977147E-2</v>
      </c>
      <c r="Z191" s="20">
        <f t="shared" si="14"/>
        <v>9.5933319782833246E-2</v>
      </c>
      <c r="AA191" s="21">
        <v>1</v>
      </c>
      <c r="AB191" s="21">
        <v>1</v>
      </c>
      <c r="AC191" s="22">
        <f t="shared" si="15"/>
        <v>9.1098072046977147E-2</v>
      </c>
      <c r="AD191" s="22">
        <f t="shared" si="16"/>
        <v>9.5933319782833246E-2</v>
      </c>
      <c r="AE191" s="22">
        <f t="shared" si="17"/>
        <v>0.42346368715083804</v>
      </c>
      <c r="AF191" s="7" t="s">
        <v>1655</v>
      </c>
      <c r="AG191" s="7"/>
      <c r="AH191" s="7"/>
      <c r="AI191" s="7"/>
      <c r="AJ191" s="8" t="b">
        <v>0</v>
      </c>
      <c r="AK191" s="28" t="s">
        <v>1656</v>
      </c>
      <c r="AL191" s="28" t="s">
        <v>1657</v>
      </c>
      <c r="AM191" s="28"/>
      <c r="AN191" s="7"/>
      <c r="AO191" s="7">
        <v>0</v>
      </c>
      <c r="AP191" s="8" t="b">
        <v>0</v>
      </c>
      <c r="AQ191" s="28" t="s">
        <v>1646</v>
      </c>
    </row>
    <row r="192" spans="1:43" ht="45">
      <c r="A192" s="7">
        <v>186</v>
      </c>
      <c r="B192" s="7" t="s">
        <v>644</v>
      </c>
      <c r="C192" s="7" t="s">
        <v>45</v>
      </c>
      <c r="D192" s="7" t="s">
        <v>112</v>
      </c>
      <c r="E192" s="7" t="s">
        <v>1654</v>
      </c>
      <c r="F192" s="7" t="s">
        <v>45</v>
      </c>
      <c r="G192" s="14">
        <v>3010</v>
      </c>
      <c r="H192" s="15">
        <v>9.6999999999999993</v>
      </c>
      <c r="I192" s="15">
        <v>5.5</v>
      </c>
      <c r="J192" s="15">
        <v>0.28999999999999998</v>
      </c>
      <c r="K192" s="15">
        <v>0.17</v>
      </c>
      <c r="L192" s="15">
        <v>87.3</v>
      </c>
      <c r="M192" s="15">
        <v>1.8978260869565218</v>
      </c>
      <c r="N192" s="16">
        <v>0.15280641466208475</v>
      </c>
      <c r="O192" s="16">
        <v>8.9576174112256587E-2</v>
      </c>
      <c r="P192" s="17">
        <f>IFERROR(G192/(G192+Priors!$H$3),0)</f>
        <v>0.75062344139650872</v>
      </c>
      <c r="Q192" s="18">
        <f>IF(E192="Premier League",Priors!$H$4,IF(E192="Championship",Priors!$H$5,Priors!$H$8))</f>
        <v>0.8</v>
      </c>
      <c r="R192" s="19" t="b">
        <v>0</v>
      </c>
      <c r="S192" s="18">
        <f>IF(R192=TRUE,Priors!$H$6,1)</f>
        <v>1</v>
      </c>
      <c r="T192" s="19" t="b">
        <v>0</v>
      </c>
      <c r="U192" s="18">
        <f>IF(T192=TRUE,Priors!$H$7,1)</f>
        <v>1</v>
      </c>
      <c r="V192" s="18">
        <f t="shared" si="12"/>
        <v>0.60049875311720702</v>
      </c>
      <c r="W192" s="20">
        <f>VLOOKUP(D192,Priors!$A$3:$C$6,2,FALSE)</f>
        <v>0.10751786102217777</v>
      </c>
      <c r="X192" s="20">
        <f>VLOOKUP(D192,Priors!$A$3:$C$6,3,FALSE)</f>
        <v>9.0240671969462088E-2</v>
      </c>
      <c r="Y192" s="20">
        <f t="shared" si="13"/>
        <v>0.13471358101342368</v>
      </c>
      <c r="Z192" s="20">
        <f t="shared" si="14"/>
        <v>8.9841641834761121E-2</v>
      </c>
      <c r="AA192" s="21">
        <v>1</v>
      </c>
      <c r="AB192" s="21">
        <v>1</v>
      </c>
      <c r="AC192" s="22">
        <f t="shared" si="15"/>
        <v>0.13471358101342368</v>
      </c>
      <c r="AD192" s="22">
        <f t="shared" si="16"/>
        <v>8.9841641834761121E-2</v>
      </c>
      <c r="AE192" s="22">
        <f t="shared" si="17"/>
        <v>0.39950124688279298</v>
      </c>
      <c r="AF192" s="7" t="s">
        <v>1655</v>
      </c>
      <c r="AG192" s="7"/>
      <c r="AH192" s="7"/>
      <c r="AI192" s="7"/>
      <c r="AJ192" s="8" t="b">
        <v>0</v>
      </c>
      <c r="AK192" s="28" t="s">
        <v>1656</v>
      </c>
      <c r="AL192" s="28" t="s">
        <v>1657</v>
      </c>
      <c r="AM192" s="28"/>
      <c r="AN192" s="7"/>
      <c r="AO192" s="7"/>
      <c r="AP192" s="7"/>
      <c r="AQ192" s="28" t="s">
        <v>1650</v>
      </c>
    </row>
    <row r="193" spans="1:43" ht="45">
      <c r="A193" s="7">
        <v>187</v>
      </c>
      <c r="B193" s="7" t="s">
        <v>647</v>
      </c>
      <c r="C193" s="7" t="s">
        <v>45</v>
      </c>
      <c r="D193" s="7" t="s">
        <v>112</v>
      </c>
      <c r="E193" s="7" t="s">
        <v>1654</v>
      </c>
      <c r="F193" s="7" t="s">
        <v>45</v>
      </c>
      <c r="G193" s="14">
        <v>1500</v>
      </c>
      <c r="H193" s="15">
        <v>4</v>
      </c>
      <c r="I193" s="15">
        <v>2</v>
      </c>
      <c r="J193" s="15">
        <v>0.24</v>
      </c>
      <c r="K193" s="15">
        <v>0.12</v>
      </c>
      <c r="L193" s="15">
        <v>87.3</v>
      </c>
      <c r="M193" s="15">
        <v>1.8978260869565218</v>
      </c>
      <c r="N193" s="16">
        <v>0.12646048109965635</v>
      </c>
      <c r="O193" s="16">
        <v>6.3230240549828176E-2</v>
      </c>
      <c r="P193" s="17">
        <f>IFERROR(G193/(G193+Priors!$H$3),0)</f>
        <v>0.6</v>
      </c>
      <c r="Q193" s="18">
        <f>IF(E193="Premier League",Priors!$H$4,IF(E193="Championship",Priors!$H$5,Priors!$H$8))</f>
        <v>0.8</v>
      </c>
      <c r="R193" s="19" t="b">
        <v>0</v>
      </c>
      <c r="S193" s="18">
        <f>IF(R193=TRUE,Priors!$H$6,1)</f>
        <v>1</v>
      </c>
      <c r="T193" s="19" t="b">
        <v>0</v>
      </c>
      <c r="U193" s="18">
        <f>IF(T193=TRUE,Priors!$H$7,1)</f>
        <v>1</v>
      </c>
      <c r="V193" s="18">
        <f t="shared" si="12"/>
        <v>0.48</v>
      </c>
      <c r="W193" s="20">
        <f>VLOOKUP(D193,Priors!$A$3:$C$6,2,FALSE)</f>
        <v>0.10751786102217777</v>
      </c>
      <c r="X193" s="20">
        <f>VLOOKUP(D193,Priors!$A$3:$C$6,3,FALSE)</f>
        <v>9.0240671969462088E-2</v>
      </c>
      <c r="Y193" s="20">
        <f t="shared" si="13"/>
        <v>0.1166103186593675</v>
      </c>
      <c r="Z193" s="20">
        <f t="shared" si="14"/>
        <v>7.7275664888037804E-2</v>
      </c>
      <c r="AA193" s="21">
        <v>1</v>
      </c>
      <c r="AB193" s="21">
        <v>1</v>
      </c>
      <c r="AC193" s="22">
        <f t="shared" si="15"/>
        <v>0.1166103186593675</v>
      </c>
      <c r="AD193" s="22">
        <f t="shared" si="16"/>
        <v>7.7275664888037804E-2</v>
      </c>
      <c r="AE193" s="22">
        <f t="shared" si="17"/>
        <v>0.52</v>
      </c>
      <c r="AF193" s="7" t="s">
        <v>1655</v>
      </c>
      <c r="AG193" s="7"/>
      <c r="AH193" s="7"/>
      <c r="AI193" s="7"/>
      <c r="AJ193" s="8" t="b">
        <v>0</v>
      </c>
      <c r="AK193" s="28" t="s">
        <v>1656</v>
      </c>
      <c r="AL193" s="28" t="s">
        <v>1657</v>
      </c>
      <c r="AM193" s="28"/>
      <c r="AN193" s="7"/>
      <c r="AO193" s="7"/>
      <c r="AP193" s="7"/>
      <c r="AQ193" s="28" t="s">
        <v>1650</v>
      </c>
    </row>
    <row r="194" spans="1:43" ht="45">
      <c r="A194" s="7">
        <v>188</v>
      </c>
      <c r="B194" s="7" t="s">
        <v>649</v>
      </c>
      <c r="C194" s="7" t="s">
        <v>45</v>
      </c>
      <c r="D194" s="7" t="s">
        <v>112</v>
      </c>
      <c r="E194" s="7" t="s">
        <v>1654</v>
      </c>
      <c r="F194" s="7" t="s">
        <v>45</v>
      </c>
      <c r="G194" s="14">
        <v>2314</v>
      </c>
      <c r="H194" s="15">
        <v>5.4</v>
      </c>
      <c r="I194" s="15">
        <v>5.0999999999999996</v>
      </c>
      <c r="J194" s="15">
        <v>0.21</v>
      </c>
      <c r="K194" s="15">
        <v>0.2</v>
      </c>
      <c r="L194" s="15">
        <v>87.3</v>
      </c>
      <c r="M194" s="15">
        <v>1.8978260869565218</v>
      </c>
      <c r="N194" s="16">
        <v>0.11065292096219931</v>
      </c>
      <c r="O194" s="16">
        <v>0.10538373424971363</v>
      </c>
      <c r="P194" s="17">
        <f>IFERROR(G194/(G194+Priors!$H$3),0)</f>
        <v>0.6982498491249246</v>
      </c>
      <c r="Q194" s="18">
        <f>IF(E194="Premier League",Priors!$H$4,IF(E194="Championship",Priors!$H$5,Priors!$H$8))</f>
        <v>0.8</v>
      </c>
      <c r="R194" s="19" t="b">
        <v>0</v>
      </c>
      <c r="S194" s="18">
        <f>IF(R194=TRUE,Priors!$H$6,1)</f>
        <v>1</v>
      </c>
      <c r="T194" s="19" t="b">
        <v>0</v>
      </c>
      <c r="U194" s="18">
        <f>IF(T194=TRUE,Priors!$H$7,1)</f>
        <v>1</v>
      </c>
      <c r="V194" s="18">
        <f t="shared" ref="V194:V257" si="18">P194*Q194*S194*U194</f>
        <v>0.55859987929993971</v>
      </c>
      <c r="W194" s="20">
        <f>VLOOKUP(D194,Priors!$A$3:$C$6,2,FALSE)</f>
        <v>0.10751786102217777</v>
      </c>
      <c r="X194" s="20">
        <f>VLOOKUP(D194,Priors!$A$3:$C$6,3,FALSE)</f>
        <v>9.0240671969462088E-2</v>
      </c>
      <c r="Y194" s="20">
        <f t="shared" ref="Y194:Y257" si="19">IF(N194="",W194,V194*N194+(1-V194)*W194)</f>
        <v>0.10926910512627187</v>
      </c>
      <c r="Z194" s="20">
        <f t="shared" ref="Z194:Z257" si="20">IF(O194="",X194,V194*O194+(1-V194)*X194)</f>
        <v>9.869958473144208E-2</v>
      </c>
      <c r="AA194" s="21">
        <v>1</v>
      </c>
      <c r="AB194" s="21">
        <v>1</v>
      </c>
      <c r="AC194" s="22">
        <f t="shared" ref="AC194:AC257" si="21">Y194*AA194</f>
        <v>0.10926910512627187</v>
      </c>
      <c r="AD194" s="22">
        <f t="shared" ref="AD194:AD257" si="22">Z194*AB194</f>
        <v>9.869958473144208E-2</v>
      </c>
      <c r="AE194" s="22">
        <f t="shared" ref="AE194:AE257" si="23">1-V194</f>
        <v>0.44140012070006029</v>
      </c>
      <c r="AF194" s="7" t="s">
        <v>1655</v>
      </c>
      <c r="AG194" s="7">
        <v>2</v>
      </c>
      <c r="AH194" s="7">
        <v>2</v>
      </c>
      <c r="AI194" s="7">
        <v>6</v>
      </c>
      <c r="AJ194" s="8" t="b">
        <v>0</v>
      </c>
      <c r="AK194" s="28" t="s">
        <v>1656</v>
      </c>
      <c r="AL194" s="28" t="s">
        <v>1657</v>
      </c>
      <c r="AM194" s="28"/>
      <c r="AN194" s="7"/>
      <c r="AO194" s="7"/>
      <c r="AP194" s="7"/>
      <c r="AQ194" s="28" t="s">
        <v>1650</v>
      </c>
    </row>
    <row r="195" spans="1:43" ht="15">
      <c r="A195" s="7">
        <v>189</v>
      </c>
      <c r="B195" s="7" t="s">
        <v>652</v>
      </c>
      <c r="C195" s="7" t="s">
        <v>45</v>
      </c>
      <c r="D195" s="7" t="s">
        <v>112</v>
      </c>
      <c r="E195" s="7" t="s">
        <v>1647</v>
      </c>
      <c r="F195" s="7"/>
      <c r="G195" s="14"/>
      <c r="H195" s="15"/>
      <c r="I195" s="15"/>
      <c r="J195" s="15"/>
      <c r="K195" s="15"/>
      <c r="L195" s="15"/>
      <c r="M195" s="15"/>
      <c r="N195" s="16"/>
      <c r="O195" s="16"/>
      <c r="P195" s="17">
        <f>IFERROR(G195/(G195+Priors!$H$3),0)</f>
        <v>0</v>
      </c>
      <c r="Q195" s="18">
        <f>IF(E195="Premier League",Priors!$H$4,IF(E195="Championship",Priors!$H$5,Priors!$H$8))</f>
        <v>0</v>
      </c>
      <c r="R195" s="19" t="b">
        <v>0</v>
      </c>
      <c r="S195" s="18">
        <f>IF(R195=TRUE,Priors!$H$6,1)</f>
        <v>1</v>
      </c>
      <c r="T195" s="19" t="b">
        <v>0</v>
      </c>
      <c r="U195" s="18">
        <f>IF(T195=TRUE,Priors!$H$7,1)</f>
        <v>1</v>
      </c>
      <c r="V195" s="18">
        <f t="shared" si="18"/>
        <v>0</v>
      </c>
      <c r="W195" s="20">
        <f>VLOOKUP(D195,Priors!$A$3:$C$6,2,FALSE)</f>
        <v>0.10751786102217777</v>
      </c>
      <c r="X195" s="20">
        <f>VLOOKUP(D195,Priors!$A$3:$C$6,3,FALSE)</f>
        <v>9.0240671969462088E-2</v>
      </c>
      <c r="Y195" s="20">
        <f t="shared" si="19"/>
        <v>0.10751786102217777</v>
      </c>
      <c r="Z195" s="20">
        <f t="shared" si="20"/>
        <v>9.0240671969462088E-2</v>
      </c>
      <c r="AA195" s="21">
        <v>1</v>
      </c>
      <c r="AB195" s="21">
        <v>1</v>
      </c>
      <c r="AC195" s="22">
        <f t="shared" si="21"/>
        <v>0.10751786102217777</v>
      </c>
      <c r="AD195" s="22">
        <f t="shared" si="22"/>
        <v>9.0240671969462088E-2</v>
      </c>
      <c r="AE195" s="22">
        <f t="shared" si="23"/>
        <v>1</v>
      </c>
      <c r="AF195" s="7" t="s">
        <v>1647</v>
      </c>
      <c r="AG195" s="7"/>
      <c r="AH195" s="7"/>
      <c r="AI195" s="7"/>
      <c r="AJ195" s="8" t="b">
        <v>1</v>
      </c>
      <c r="AK195" s="28" t="s">
        <v>1648</v>
      </c>
      <c r="AL195" s="28"/>
      <c r="AM195" s="28"/>
      <c r="AN195" s="7"/>
      <c r="AO195" s="7"/>
      <c r="AP195" s="7"/>
      <c r="AQ195" s="28" t="s">
        <v>1650</v>
      </c>
    </row>
    <row r="196" spans="1:43" ht="30">
      <c r="A196" s="7">
        <v>190</v>
      </c>
      <c r="B196" s="7" t="s">
        <v>654</v>
      </c>
      <c r="C196" s="7" t="s">
        <v>45</v>
      </c>
      <c r="D196" s="7" t="s">
        <v>112</v>
      </c>
      <c r="E196" s="7" t="s">
        <v>1642</v>
      </c>
      <c r="F196" s="7" t="s">
        <v>1652</v>
      </c>
      <c r="G196" s="14">
        <v>1259</v>
      </c>
      <c r="H196" s="15">
        <v>1.27</v>
      </c>
      <c r="I196" s="15">
        <v>0.91</v>
      </c>
      <c r="J196" s="15">
        <v>9.0786338363780777E-2</v>
      </c>
      <c r="K196" s="15">
        <v>6.5051628276409854E-2</v>
      </c>
      <c r="L196" s="15">
        <v>32.5</v>
      </c>
      <c r="M196" s="15">
        <v>0.85526315789473684</v>
      </c>
      <c r="N196" s="16">
        <v>0.1061501802407283</v>
      </c>
      <c r="O196" s="16">
        <v>7.6060365369340757E-2</v>
      </c>
      <c r="P196" s="17">
        <f>IFERROR(G196/(G196+Priors!$H$3),0)</f>
        <v>0.55732625055334217</v>
      </c>
      <c r="Q196" s="18">
        <f>IF(E196="Premier League",Priors!$H$4,IF(E196="Championship",Priors!$H$5,Priors!$H$8))</f>
        <v>1</v>
      </c>
      <c r="R196" s="19" t="b">
        <v>1</v>
      </c>
      <c r="S196" s="18">
        <f>IF(R196=TRUE,Priors!$H$6,1)</f>
        <v>0.85</v>
      </c>
      <c r="T196" s="19" t="b">
        <v>0</v>
      </c>
      <c r="U196" s="18">
        <f>IF(T196=TRUE,Priors!$H$7,1)</f>
        <v>1</v>
      </c>
      <c r="V196" s="18">
        <f t="shared" si="18"/>
        <v>0.47372731297034082</v>
      </c>
      <c r="W196" s="20">
        <f>VLOOKUP(D196,Priors!$A$3:$C$6,2,FALSE)</f>
        <v>0.10751786102217777</v>
      </c>
      <c r="X196" s="20">
        <f>VLOOKUP(D196,Priors!$A$3:$C$6,3,FALSE)</f>
        <v>9.0240671969462088E-2</v>
      </c>
      <c r="Y196" s="20">
        <f t="shared" si="19"/>
        <v>0.10686995328058055</v>
      </c>
      <c r="Z196" s="20">
        <f t="shared" si="20"/>
        <v>8.3523073426691019E-2</v>
      </c>
      <c r="AA196" s="21">
        <v>1</v>
      </c>
      <c r="AB196" s="21">
        <v>1</v>
      </c>
      <c r="AC196" s="22">
        <f t="shared" si="21"/>
        <v>0.10686995328058055</v>
      </c>
      <c r="AD196" s="22">
        <f t="shared" si="22"/>
        <v>8.3523073426691019E-2</v>
      </c>
      <c r="AE196" s="22">
        <f t="shared" si="23"/>
        <v>0.52627268702965924</v>
      </c>
      <c r="AF196" s="7" t="s">
        <v>1643</v>
      </c>
      <c r="AG196" s="7"/>
      <c r="AH196" s="7"/>
      <c r="AI196" s="7"/>
      <c r="AJ196" s="8" t="b">
        <v>1</v>
      </c>
      <c r="AK196" s="28" t="s">
        <v>1644</v>
      </c>
      <c r="AL196" s="28" t="s">
        <v>1645</v>
      </c>
      <c r="AM196" s="28"/>
      <c r="AN196" s="7"/>
      <c r="AO196" s="7"/>
      <c r="AP196" s="7"/>
      <c r="AQ196" s="28" t="s">
        <v>1650</v>
      </c>
    </row>
    <row r="197" spans="1:43" ht="15">
      <c r="A197" s="7">
        <v>191</v>
      </c>
      <c r="B197" s="7" t="s">
        <v>657</v>
      </c>
      <c r="C197" s="7" t="s">
        <v>45</v>
      </c>
      <c r="D197" s="7" t="s">
        <v>112</v>
      </c>
      <c r="E197" s="7" t="s">
        <v>1647</v>
      </c>
      <c r="F197" s="7"/>
      <c r="G197" s="14"/>
      <c r="H197" s="15"/>
      <c r="I197" s="15"/>
      <c r="J197" s="15"/>
      <c r="K197" s="15"/>
      <c r="L197" s="15"/>
      <c r="M197" s="15"/>
      <c r="N197" s="16"/>
      <c r="O197" s="16"/>
      <c r="P197" s="17">
        <f>IFERROR(G197/(G197+Priors!$H$3),0)</f>
        <v>0</v>
      </c>
      <c r="Q197" s="18">
        <f>IF(E197="Premier League",Priors!$H$4,IF(E197="Championship",Priors!$H$5,Priors!$H$8))</f>
        <v>0</v>
      </c>
      <c r="R197" s="19" t="b">
        <v>0</v>
      </c>
      <c r="S197" s="18">
        <f>IF(R197=TRUE,Priors!$H$6,1)</f>
        <v>1</v>
      </c>
      <c r="T197" s="19" t="b">
        <v>0</v>
      </c>
      <c r="U197" s="18">
        <f>IF(T197=TRUE,Priors!$H$7,1)</f>
        <v>1</v>
      </c>
      <c r="V197" s="18">
        <f t="shared" si="18"/>
        <v>0</v>
      </c>
      <c r="W197" s="20">
        <f>VLOOKUP(D197,Priors!$A$3:$C$6,2,FALSE)</f>
        <v>0.10751786102217777</v>
      </c>
      <c r="X197" s="20">
        <f>VLOOKUP(D197,Priors!$A$3:$C$6,3,FALSE)</f>
        <v>9.0240671969462088E-2</v>
      </c>
      <c r="Y197" s="20">
        <f t="shared" si="19"/>
        <v>0.10751786102217777</v>
      </c>
      <c r="Z197" s="20">
        <f t="shared" si="20"/>
        <v>9.0240671969462088E-2</v>
      </c>
      <c r="AA197" s="21">
        <v>1</v>
      </c>
      <c r="AB197" s="21">
        <v>1</v>
      </c>
      <c r="AC197" s="22">
        <f t="shared" si="21"/>
        <v>0.10751786102217777</v>
      </c>
      <c r="AD197" s="22">
        <f t="shared" si="22"/>
        <v>9.0240671969462088E-2</v>
      </c>
      <c r="AE197" s="22">
        <f t="shared" si="23"/>
        <v>1</v>
      </c>
      <c r="AF197" s="7" t="s">
        <v>1647</v>
      </c>
      <c r="AG197" s="7"/>
      <c r="AH197" s="7"/>
      <c r="AI197" s="7"/>
      <c r="AJ197" s="8" t="b">
        <v>1</v>
      </c>
      <c r="AK197" s="28" t="s">
        <v>1648</v>
      </c>
      <c r="AL197" s="28"/>
      <c r="AM197" s="28"/>
      <c r="AN197" s="7"/>
      <c r="AO197" s="7"/>
      <c r="AP197" s="7"/>
      <c r="AQ197" s="28" t="s">
        <v>1650</v>
      </c>
    </row>
    <row r="198" spans="1:43" ht="15">
      <c r="A198" s="7">
        <v>192</v>
      </c>
      <c r="B198" s="7" t="s">
        <v>659</v>
      </c>
      <c r="C198" s="7" t="s">
        <v>45</v>
      </c>
      <c r="D198" s="7" t="s">
        <v>112</v>
      </c>
      <c r="E198" s="7" t="s">
        <v>1647</v>
      </c>
      <c r="F198" s="7"/>
      <c r="G198" s="14"/>
      <c r="H198" s="15"/>
      <c r="I198" s="15"/>
      <c r="J198" s="15"/>
      <c r="K198" s="15"/>
      <c r="L198" s="15"/>
      <c r="M198" s="15"/>
      <c r="N198" s="16"/>
      <c r="O198" s="16"/>
      <c r="P198" s="17">
        <f>IFERROR(G198/(G198+Priors!$H$3),0)</f>
        <v>0</v>
      </c>
      <c r="Q198" s="18">
        <f>IF(E198="Premier League",Priors!$H$4,IF(E198="Championship",Priors!$H$5,Priors!$H$8))</f>
        <v>0</v>
      </c>
      <c r="R198" s="19" t="b">
        <v>0</v>
      </c>
      <c r="S198" s="18">
        <f>IF(R198=TRUE,Priors!$H$6,1)</f>
        <v>1</v>
      </c>
      <c r="T198" s="19" t="b">
        <v>0</v>
      </c>
      <c r="U198" s="18">
        <f>IF(T198=TRUE,Priors!$H$7,1)</f>
        <v>1</v>
      </c>
      <c r="V198" s="18">
        <f t="shared" si="18"/>
        <v>0</v>
      </c>
      <c r="W198" s="20">
        <f>VLOOKUP(D198,Priors!$A$3:$C$6,2,FALSE)</f>
        <v>0.10751786102217777</v>
      </c>
      <c r="X198" s="20">
        <f>VLOOKUP(D198,Priors!$A$3:$C$6,3,FALSE)</f>
        <v>9.0240671969462088E-2</v>
      </c>
      <c r="Y198" s="20">
        <f t="shared" si="19"/>
        <v>0.10751786102217777</v>
      </c>
      <c r="Z198" s="20">
        <f t="shared" si="20"/>
        <v>9.0240671969462088E-2</v>
      </c>
      <c r="AA198" s="21">
        <v>1</v>
      </c>
      <c r="AB198" s="21">
        <v>1</v>
      </c>
      <c r="AC198" s="22">
        <f t="shared" si="21"/>
        <v>0.10751786102217777</v>
      </c>
      <c r="AD198" s="22">
        <f t="shared" si="22"/>
        <v>9.0240671969462088E-2</v>
      </c>
      <c r="AE198" s="22">
        <f t="shared" si="23"/>
        <v>1</v>
      </c>
      <c r="AF198" s="7" t="s">
        <v>1647</v>
      </c>
      <c r="AG198" s="7"/>
      <c r="AH198" s="7"/>
      <c r="AI198" s="7"/>
      <c r="AJ198" s="8" t="b">
        <v>1</v>
      </c>
      <c r="AK198" s="28" t="s">
        <v>1648</v>
      </c>
      <c r="AL198" s="28"/>
      <c r="AM198" s="28"/>
      <c r="AN198" s="7"/>
      <c r="AO198" s="7"/>
      <c r="AP198" s="7"/>
      <c r="AQ198" s="28" t="s">
        <v>1650</v>
      </c>
    </row>
    <row r="199" spans="1:43" ht="45">
      <c r="A199" s="7">
        <v>193</v>
      </c>
      <c r="B199" s="7" t="s">
        <v>662</v>
      </c>
      <c r="C199" s="7" t="s">
        <v>45</v>
      </c>
      <c r="D199" s="7" t="s">
        <v>167</v>
      </c>
      <c r="E199" s="7" t="s">
        <v>1654</v>
      </c>
      <c r="F199" s="7" t="s">
        <v>45</v>
      </c>
      <c r="G199" s="14">
        <v>2573</v>
      </c>
      <c r="H199" s="15">
        <v>18.3</v>
      </c>
      <c r="I199" s="15">
        <v>1.5</v>
      </c>
      <c r="J199" s="15">
        <v>0.64</v>
      </c>
      <c r="K199" s="15">
        <v>0.05</v>
      </c>
      <c r="L199" s="15">
        <v>87.3</v>
      </c>
      <c r="M199" s="15">
        <v>1.8978260869565218</v>
      </c>
      <c r="N199" s="16">
        <v>0.33722794959908364</v>
      </c>
      <c r="O199" s="16">
        <v>2.6345933562428408E-2</v>
      </c>
      <c r="P199" s="17">
        <f>IFERROR(G199/(G199+Priors!$H$3),0)</f>
        <v>0.72012314581584103</v>
      </c>
      <c r="Q199" s="18">
        <f>IF(E199="Premier League",Priors!$H$4,IF(E199="Championship",Priors!$H$5,Priors!$H$8))</f>
        <v>0.8</v>
      </c>
      <c r="R199" s="19" t="b">
        <v>0</v>
      </c>
      <c r="S199" s="18">
        <f>IF(R199=TRUE,Priors!$H$6,1)</f>
        <v>1</v>
      </c>
      <c r="T199" s="19" t="b">
        <v>0</v>
      </c>
      <c r="U199" s="18">
        <f>IF(T199=TRUE,Priors!$H$7,1)</f>
        <v>1</v>
      </c>
      <c r="V199" s="18">
        <f t="shared" si="18"/>
        <v>0.57609851665267287</v>
      </c>
      <c r="W199" s="20">
        <f>VLOOKUP(D199,Priors!$A$3:$C$6,2,FALSE)</f>
        <v>0.30461525508032317</v>
      </c>
      <c r="X199" s="20">
        <f>VLOOKUP(D199,Priors!$A$3:$C$6,3,FALSE)</f>
        <v>3.9258061548584466E-2</v>
      </c>
      <c r="Y199" s="20">
        <f t="shared" si="19"/>
        <v>0.32340338001662783</v>
      </c>
      <c r="Z199" s="20">
        <f t="shared" si="20"/>
        <v>3.1819403768930499E-2</v>
      </c>
      <c r="AA199" s="21">
        <v>1</v>
      </c>
      <c r="AB199" s="21">
        <v>1</v>
      </c>
      <c r="AC199" s="22">
        <f t="shared" si="21"/>
        <v>0.32340338001662783</v>
      </c>
      <c r="AD199" s="22">
        <f t="shared" si="22"/>
        <v>3.1819403768930499E-2</v>
      </c>
      <c r="AE199" s="22">
        <f t="shared" si="23"/>
        <v>0.42390148334732713</v>
      </c>
      <c r="AF199" s="7" t="s">
        <v>1655</v>
      </c>
      <c r="AG199" s="7">
        <v>1</v>
      </c>
      <c r="AH199" s="7"/>
      <c r="AI199" s="7"/>
      <c r="AJ199" s="8" t="b">
        <v>0</v>
      </c>
      <c r="AK199" s="28" t="s">
        <v>1656</v>
      </c>
      <c r="AL199" s="28" t="s">
        <v>1657</v>
      </c>
      <c r="AM199" s="28"/>
      <c r="AN199" s="7"/>
      <c r="AO199" s="7">
        <v>0</v>
      </c>
      <c r="AP199" s="8" t="b">
        <v>0</v>
      </c>
      <c r="AQ199" s="28" t="s">
        <v>1646</v>
      </c>
    </row>
    <row r="200" spans="1:43" ht="45">
      <c r="A200" s="7">
        <v>194</v>
      </c>
      <c r="B200" s="7" t="s">
        <v>664</v>
      </c>
      <c r="C200" s="7" t="s">
        <v>45</v>
      </c>
      <c r="D200" s="7" t="s">
        <v>167</v>
      </c>
      <c r="E200" s="7" t="s">
        <v>1654</v>
      </c>
      <c r="F200" s="7" t="s">
        <v>45</v>
      </c>
      <c r="G200" s="14">
        <v>1880</v>
      </c>
      <c r="H200" s="15">
        <v>11.7</v>
      </c>
      <c r="I200" s="15">
        <v>1.9</v>
      </c>
      <c r="J200" s="15">
        <v>0.56000000000000005</v>
      </c>
      <c r="K200" s="15">
        <v>0.09</v>
      </c>
      <c r="L200" s="15">
        <v>87.3</v>
      </c>
      <c r="M200" s="15">
        <v>1.8978260869565218</v>
      </c>
      <c r="N200" s="16">
        <v>0.29507445589919817</v>
      </c>
      <c r="O200" s="16">
        <v>4.7422680412371132E-2</v>
      </c>
      <c r="P200" s="17">
        <f>IFERROR(G200/(G200+Priors!$H$3),0)</f>
        <v>0.65277777777777779</v>
      </c>
      <c r="Q200" s="18">
        <f>IF(E200="Premier League",Priors!$H$4,IF(E200="Championship",Priors!$H$5,Priors!$H$8))</f>
        <v>0.8</v>
      </c>
      <c r="R200" s="19" t="b">
        <v>0</v>
      </c>
      <c r="S200" s="18">
        <f>IF(R200=TRUE,Priors!$H$6,1)</f>
        <v>1</v>
      </c>
      <c r="T200" s="19" t="b">
        <v>0</v>
      </c>
      <c r="U200" s="18">
        <f>IF(T200=TRUE,Priors!$H$7,1)</f>
        <v>1</v>
      </c>
      <c r="V200" s="18">
        <f t="shared" si="18"/>
        <v>0.52222222222222225</v>
      </c>
      <c r="W200" s="20">
        <f>VLOOKUP(D200,Priors!$A$3:$C$6,2,FALSE)</f>
        <v>0.30461525508032317</v>
      </c>
      <c r="X200" s="20">
        <f>VLOOKUP(D200,Priors!$A$3:$C$6,3,FALSE)</f>
        <v>3.9258061548584466E-2</v>
      </c>
      <c r="Y200" s="20">
        <f t="shared" si="19"/>
        <v>0.29963283773018012</v>
      </c>
      <c r="Z200" s="20">
        <f t="shared" si="20"/>
        <v>4.3521806955228615E-2</v>
      </c>
      <c r="AA200" s="21">
        <v>1</v>
      </c>
      <c r="AB200" s="21">
        <v>1</v>
      </c>
      <c r="AC200" s="22">
        <f t="shared" si="21"/>
        <v>0.29963283773018012</v>
      </c>
      <c r="AD200" s="22">
        <f t="shared" si="22"/>
        <v>4.3521806955228615E-2</v>
      </c>
      <c r="AE200" s="22">
        <f t="shared" si="23"/>
        <v>0.47777777777777775</v>
      </c>
      <c r="AF200" s="7" t="s">
        <v>1655</v>
      </c>
      <c r="AG200" s="7">
        <v>4</v>
      </c>
      <c r="AH200" s="7"/>
      <c r="AI200" s="7"/>
      <c r="AJ200" s="8" t="b">
        <v>0</v>
      </c>
      <c r="AK200" s="28" t="s">
        <v>1656</v>
      </c>
      <c r="AL200" s="28" t="s">
        <v>1657</v>
      </c>
      <c r="AM200" s="28"/>
      <c r="AN200" s="7"/>
      <c r="AO200" s="7">
        <v>0</v>
      </c>
      <c r="AP200" s="8" t="b">
        <v>0</v>
      </c>
      <c r="AQ200" s="28" t="s">
        <v>1646</v>
      </c>
    </row>
    <row r="201" spans="1:43" ht="45">
      <c r="A201" s="7">
        <v>195</v>
      </c>
      <c r="B201" s="7" t="s">
        <v>667</v>
      </c>
      <c r="C201" s="7" t="s">
        <v>45</v>
      </c>
      <c r="D201" s="7" t="s">
        <v>167</v>
      </c>
      <c r="E201" s="7" t="s">
        <v>1654</v>
      </c>
      <c r="F201" s="7" t="s">
        <v>45</v>
      </c>
      <c r="G201" s="14">
        <v>1631</v>
      </c>
      <c r="H201" s="15">
        <v>11.6</v>
      </c>
      <c r="I201" s="15">
        <v>0.54374999999999996</v>
      </c>
      <c r="J201" s="15">
        <v>0.64</v>
      </c>
      <c r="K201" s="15">
        <v>0.03</v>
      </c>
      <c r="L201" s="15">
        <v>87.3</v>
      </c>
      <c r="M201" s="15">
        <v>1.8978260869565218</v>
      </c>
      <c r="N201" s="16">
        <v>0.33722794959908364</v>
      </c>
      <c r="O201" s="16">
        <v>1.5807560137457044E-2</v>
      </c>
      <c r="P201" s="17">
        <f>IFERROR(G201/(G201+Priors!$H$3),0)</f>
        <v>0.6199163816039529</v>
      </c>
      <c r="Q201" s="18">
        <f>IF(E201="Premier League",Priors!$H$4,IF(E201="Championship",Priors!$H$5,Priors!$H$8))</f>
        <v>0.8</v>
      </c>
      <c r="R201" s="19" t="b">
        <v>0</v>
      </c>
      <c r="S201" s="18">
        <f>IF(R201=TRUE,Priors!$H$6,1)</f>
        <v>1</v>
      </c>
      <c r="T201" s="19" t="b">
        <v>0</v>
      </c>
      <c r="U201" s="18">
        <f>IF(T201=TRUE,Priors!$H$7,1)</f>
        <v>1</v>
      </c>
      <c r="V201" s="18">
        <f t="shared" si="18"/>
        <v>0.49593310528316237</v>
      </c>
      <c r="W201" s="20">
        <f>VLOOKUP(D201,Priors!$A$3:$C$6,2,FALSE)</f>
        <v>0.30461525508032317</v>
      </c>
      <c r="X201" s="20">
        <f>VLOOKUP(D201,Priors!$A$3:$C$6,3,FALSE)</f>
        <v>3.9258061548584466E-2</v>
      </c>
      <c r="Y201" s="20">
        <f t="shared" si="19"/>
        <v>0.32078896994466322</v>
      </c>
      <c r="Z201" s="20">
        <f t="shared" si="20"/>
        <v>2.7628181563316864E-2</v>
      </c>
      <c r="AA201" s="21">
        <v>1</v>
      </c>
      <c r="AB201" s="21">
        <v>1</v>
      </c>
      <c r="AC201" s="22">
        <f t="shared" si="21"/>
        <v>0.32078896994466322</v>
      </c>
      <c r="AD201" s="22">
        <f t="shared" si="22"/>
        <v>2.7628181563316864E-2</v>
      </c>
      <c r="AE201" s="22">
        <f t="shared" si="23"/>
        <v>0.50406689471683763</v>
      </c>
      <c r="AF201" s="7" t="s">
        <v>1655</v>
      </c>
      <c r="AG201" s="7"/>
      <c r="AH201" s="7"/>
      <c r="AI201" s="7"/>
      <c r="AJ201" s="8" t="b">
        <v>0</v>
      </c>
      <c r="AK201" s="28" t="s">
        <v>1656</v>
      </c>
      <c r="AL201" s="28" t="s">
        <v>1657</v>
      </c>
      <c r="AM201" s="28"/>
      <c r="AN201" s="7"/>
      <c r="AO201" s="7">
        <v>0</v>
      </c>
      <c r="AP201" s="8" t="b">
        <v>0</v>
      </c>
      <c r="AQ201" s="28" t="s">
        <v>1646</v>
      </c>
    </row>
    <row r="202" spans="1:43" ht="15">
      <c r="A202" s="7">
        <v>196</v>
      </c>
      <c r="B202" s="7" t="s">
        <v>670</v>
      </c>
      <c r="C202" s="7" t="s">
        <v>45</v>
      </c>
      <c r="D202" s="7" t="s">
        <v>167</v>
      </c>
      <c r="E202" s="7" t="s">
        <v>1647</v>
      </c>
      <c r="F202" s="7"/>
      <c r="G202" s="14"/>
      <c r="H202" s="15"/>
      <c r="I202" s="15"/>
      <c r="J202" s="15"/>
      <c r="K202" s="15"/>
      <c r="L202" s="15"/>
      <c r="M202" s="15"/>
      <c r="N202" s="16"/>
      <c r="O202" s="16"/>
      <c r="P202" s="17">
        <f>IFERROR(G202/(G202+Priors!$H$3),0)</f>
        <v>0</v>
      </c>
      <c r="Q202" s="18">
        <f>IF(E202="Premier League",Priors!$H$4,IF(E202="Championship",Priors!$H$5,Priors!$H$8))</f>
        <v>0</v>
      </c>
      <c r="R202" s="19" t="b">
        <v>0</v>
      </c>
      <c r="S202" s="18">
        <f>IF(R202=TRUE,Priors!$H$6,1)</f>
        <v>1</v>
      </c>
      <c r="T202" s="19" t="b">
        <v>0</v>
      </c>
      <c r="U202" s="18">
        <f>IF(T202=TRUE,Priors!$H$7,1)</f>
        <v>1</v>
      </c>
      <c r="V202" s="18">
        <f t="shared" si="18"/>
        <v>0</v>
      </c>
      <c r="W202" s="20">
        <f>VLOOKUP(D202,Priors!$A$3:$C$6,2,FALSE)</f>
        <v>0.30461525508032317</v>
      </c>
      <c r="X202" s="20">
        <f>VLOOKUP(D202,Priors!$A$3:$C$6,3,FALSE)</f>
        <v>3.9258061548584466E-2</v>
      </c>
      <c r="Y202" s="20">
        <f t="shared" si="19"/>
        <v>0.30461525508032317</v>
      </c>
      <c r="Z202" s="20">
        <f t="shared" si="20"/>
        <v>3.9258061548584466E-2</v>
      </c>
      <c r="AA202" s="21">
        <v>1</v>
      </c>
      <c r="AB202" s="21">
        <v>1</v>
      </c>
      <c r="AC202" s="22">
        <f t="shared" si="21"/>
        <v>0.30461525508032317</v>
      </c>
      <c r="AD202" s="22">
        <f t="shared" si="22"/>
        <v>3.9258061548584466E-2</v>
      </c>
      <c r="AE202" s="22">
        <f t="shared" si="23"/>
        <v>1</v>
      </c>
      <c r="AF202" s="7" t="s">
        <v>1647</v>
      </c>
      <c r="AG202" s="7"/>
      <c r="AH202" s="7"/>
      <c r="AI202" s="7"/>
      <c r="AJ202" s="8" t="b">
        <v>1</v>
      </c>
      <c r="AK202" s="28" t="s">
        <v>1648</v>
      </c>
      <c r="AL202" s="28"/>
      <c r="AM202" s="28"/>
      <c r="AN202" s="7"/>
      <c r="AO202" s="7">
        <v>0</v>
      </c>
      <c r="AP202" s="8" t="b">
        <v>0</v>
      </c>
      <c r="AQ202" s="28" t="s">
        <v>1646</v>
      </c>
    </row>
    <row r="203" spans="1:43" ht="15">
      <c r="A203" s="7">
        <v>197</v>
      </c>
      <c r="B203" s="7" t="s">
        <v>672</v>
      </c>
      <c r="C203" s="7" t="s">
        <v>45</v>
      </c>
      <c r="D203" s="7" t="s">
        <v>167</v>
      </c>
      <c r="E203" s="7" t="s">
        <v>1647</v>
      </c>
      <c r="F203" s="7"/>
      <c r="G203" s="14"/>
      <c r="H203" s="15"/>
      <c r="I203" s="15"/>
      <c r="J203" s="15"/>
      <c r="K203" s="15"/>
      <c r="L203" s="15"/>
      <c r="M203" s="15"/>
      <c r="N203" s="16"/>
      <c r="O203" s="16"/>
      <c r="P203" s="17">
        <f>IFERROR(G203/(G203+Priors!$H$3),0)</f>
        <v>0</v>
      </c>
      <c r="Q203" s="18">
        <f>IF(E203="Premier League",Priors!$H$4,IF(E203="Championship",Priors!$H$5,Priors!$H$8))</f>
        <v>0</v>
      </c>
      <c r="R203" s="19" t="b">
        <v>0</v>
      </c>
      <c r="S203" s="18">
        <f>IF(R203=TRUE,Priors!$H$6,1)</f>
        <v>1</v>
      </c>
      <c r="T203" s="19" t="b">
        <v>0</v>
      </c>
      <c r="U203" s="18">
        <f>IF(T203=TRUE,Priors!$H$7,1)</f>
        <v>1</v>
      </c>
      <c r="V203" s="18">
        <f t="shared" si="18"/>
        <v>0</v>
      </c>
      <c r="W203" s="20">
        <f>VLOOKUP(D203,Priors!$A$3:$C$6,2,FALSE)</f>
        <v>0.30461525508032317</v>
      </c>
      <c r="X203" s="20">
        <f>VLOOKUP(D203,Priors!$A$3:$C$6,3,FALSE)</f>
        <v>3.9258061548584466E-2</v>
      </c>
      <c r="Y203" s="20">
        <f t="shared" si="19"/>
        <v>0.30461525508032317</v>
      </c>
      <c r="Z203" s="20">
        <f t="shared" si="20"/>
        <v>3.9258061548584466E-2</v>
      </c>
      <c r="AA203" s="21">
        <v>1</v>
      </c>
      <c r="AB203" s="21">
        <v>1</v>
      </c>
      <c r="AC203" s="22">
        <f t="shared" si="21"/>
        <v>0.30461525508032317</v>
      </c>
      <c r="AD203" s="22">
        <f t="shared" si="22"/>
        <v>3.9258061548584466E-2</v>
      </c>
      <c r="AE203" s="22">
        <f t="shared" si="23"/>
        <v>1</v>
      </c>
      <c r="AF203" s="7" t="s">
        <v>1647</v>
      </c>
      <c r="AG203" s="7"/>
      <c r="AH203" s="7"/>
      <c r="AI203" s="7"/>
      <c r="AJ203" s="8" t="b">
        <v>1</v>
      </c>
      <c r="AK203" s="28" t="s">
        <v>1648</v>
      </c>
      <c r="AL203" s="28"/>
      <c r="AM203" s="28"/>
      <c r="AN203" s="7"/>
      <c r="AO203" s="7">
        <v>0</v>
      </c>
      <c r="AP203" s="8" t="b">
        <v>0</v>
      </c>
      <c r="AQ203" s="28" t="s">
        <v>1646</v>
      </c>
    </row>
    <row r="204" spans="1:43" ht="30">
      <c r="A204" s="7">
        <v>198</v>
      </c>
      <c r="B204" s="7" t="s">
        <v>398</v>
      </c>
      <c r="C204" s="7" t="s">
        <v>46</v>
      </c>
      <c r="D204" s="7" t="s">
        <v>85</v>
      </c>
      <c r="E204" s="7" t="s">
        <v>1642</v>
      </c>
      <c r="F204" s="7" t="s">
        <v>46</v>
      </c>
      <c r="G204" s="14">
        <v>3330</v>
      </c>
      <c r="H204" s="15">
        <v>0</v>
      </c>
      <c r="I204" s="15">
        <v>0.11</v>
      </c>
      <c r="J204" s="15">
        <v>0</v>
      </c>
      <c r="K204" s="15">
        <v>2.972972972972973E-3</v>
      </c>
      <c r="L204" s="15">
        <v>58.2</v>
      </c>
      <c r="M204" s="15">
        <v>1.5315789473684212</v>
      </c>
      <c r="N204" s="16">
        <v>0</v>
      </c>
      <c r="O204" s="16">
        <v>1.9411163741060646E-3</v>
      </c>
      <c r="P204" s="17">
        <f>IFERROR(G204/(G204+Priors!$H$3),0)</f>
        <v>0.76905311778290997</v>
      </c>
      <c r="Q204" s="18">
        <f>IF(E204="Premier League",Priors!$H$4,IF(E204="Championship",Priors!$H$5,Priors!$H$8))</f>
        <v>1</v>
      </c>
      <c r="R204" s="19" t="b">
        <v>0</v>
      </c>
      <c r="S204" s="18">
        <f>IF(R204=TRUE,Priors!$H$6,1)</f>
        <v>1</v>
      </c>
      <c r="T204" s="19" t="b">
        <v>1</v>
      </c>
      <c r="U204" s="18">
        <f>IF(T204=TRUE,Priors!$H$7,1)</f>
        <v>0.9</v>
      </c>
      <c r="V204" s="18">
        <f t="shared" si="18"/>
        <v>0.692147806004619</v>
      </c>
      <c r="W204" s="20">
        <f>VLOOKUP(D204,Priors!$A$3:$C$6,2,FALSE)</f>
        <v>1.6719534964712218E-4</v>
      </c>
      <c r="X204" s="20">
        <f>VLOOKUP(D204,Priors!$A$3:$C$6,3,FALSE)</f>
        <v>1.379361634588758E-3</v>
      </c>
      <c r="Y204" s="20">
        <f t="shared" si="19"/>
        <v>5.1471455214691411E-5</v>
      </c>
      <c r="Z204" s="20">
        <f t="shared" si="20"/>
        <v>1.768178945058358E-3</v>
      </c>
      <c r="AA204" s="21">
        <v>1</v>
      </c>
      <c r="AB204" s="21">
        <v>1</v>
      </c>
      <c r="AC204" s="22">
        <f t="shared" si="21"/>
        <v>5.1471455214691411E-5</v>
      </c>
      <c r="AD204" s="22">
        <f t="shared" si="22"/>
        <v>1.768178945058358E-3</v>
      </c>
      <c r="AE204" s="22">
        <f t="shared" si="23"/>
        <v>0.307852193995381</v>
      </c>
      <c r="AF204" s="7" t="s">
        <v>1643</v>
      </c>
      <c r="AG204" s="7"/>
      <c r="AH204" s="7"/>
      <c r="AI204" s="7"/>
      <c r="AJ204" s="8" t="b">
        <v>1</v>
      </c>
      <c r="AK204" s="28" t="s">
        <v>1644</v>
      </c>
      <c r="AL204" s="28" t="s">
        <v>1645</v>
      </c>
      <c r="AM204" s="28"/>
      <c r="AN204" s="7"/>
      <c r="AO204" s="7">
        <v>0</v>
      </c>
      <c r="AP204" s="8" t="b">
        <v>0</v>
      </c>
      <c r="AQ204" s="28" t="s">
        <v>1646</v>
      </c>
    </row>
    <row r="205" spans="1:43" ht="30">
      <c r="A205" s="7">
        <v>199</v>
      </c>
      <c r="B205" s="7" t="s">
        <v>678</v>
      </c>
      <c r="C205" s="7" t="s">
        <v>46</v>
      </c>
      <c r="D205" s="7" t="s">
        <v>85</v>
      </c>
      <c r="E205" s="7" t="s">
        <v>1642</v>
      </c>
      <c r="F205" s="7" t="s">
        <v>46</v>
      </c>
      <c r="G205" s="14">
        <v>90</v>
      </c>
      <c r="H205" s="15">
        <v>0</v>
      </c>
      <c r="I205" s="15">
        <v>0</v>
      </c>
      <c r="J205" s="15">
        <v>0</v>
      </c>
      <c r="K205" s="15">
        <v>0</v>
      </c>
      <c r="L205" s="15">
        <v>58.2</v>
      </c>
      <c r="M205" s="15">
        <v>1.5315789473684212</v>
      </c>
      <c r="N205" s="16">
        <v>0</v>
      </c>
      <c r="O205" s="16">
        <v>0</v>
      </c>
      <c r="P205" s="17">
        <f>IFERROR(G205/(G205+Priors!$H$3),0)</f>
        <v>8.2568807339449546E-2</v>
      </c>
      <c r="Q205" s="18">
        <f>IF(E205="Premier League",Priors!$H$4,IF(E205="Championship",Priors!$H$5,Priors!$H$8))</f>
        <v>1</v>
      </c>
      <c r="R205" s="19" t="b">
        <v>0</v>
      </c>
      <c r="S205" s="18">
        <f>IF(R205=TRUE,Priors!$H$6,1)</f>
        <v>1</v>
      </c>
      <c r="T205" s="19" t="b">
        <v>1</v>
      </c>
      <c r="U205" s="18">
        <f>IF(T205=TRUE,Priors!$H$7,1)</f>
        <v>0.9</v>
      </c>
      <c r="V205" s="18">
        <f t="shared" si="18"/>
        <v>7.4311926605504591E-2</v>
      </c>
      <c r="W205" s="20">
        <f>VLOOKUP(D205,Priors!$A$3:$C$6,2,FALSE)</f>
        <v>1.6719534964712218E-4</v>
      </c>
      <c r="X205" s="20">
        <f>VLOOKUP(D205,Priors!$A$3:$C$6,3,FALSE)</f>
        <v>1.379361634588758E-3</v>
      </c>
      <c r="Y205" s="20">
        <f t="shared" si="19"/>
        <v>1.5477074109536355E-4</v>
      </c>
      <c r="Z205" s="20">
        <f t="shared" si="20"/>
        <v>1.2768586140367495E-3</v>
      </c>
      <c r="AA205" s="21">
        <v>1</v>
      </c>
      <c r="AB205" s="21">
        <v>1</v>
      </c>
      <c r="AC205" s="22">
        <f t="shared" si="21"/>
        <v>1.5477074109536355E-4</v>
      </c>
      <c r="AD205" s="22">
        <f t="shared" si="22"/>
        <v>1.2768586140367495E-3</v>
      </c>
      <c r="AE205" s="22">
        <f t="shared" si="23"/>
        <v>0.92568807339449544</v>
      </c>
      <c r="AF205" s="7" t="s">
        <v>1643</v>
      </c>
      <c r="AG205" s="7"/>
      <c r="AH205" s="7"/>
      <c r="AI205" s="7"/>
      <c r="AJ205" s="8" t="b">
        <v>1</v>
      </c>
      <c r="AK205" s="28" t="s">
        <v>1644</v>
      </c>
      <c r="AL205" s="28" t="s">
        <v>1645</v>
      </c>
      <c r="AM205" s="28"/>
      <c r="AN205" s="7"/>
      <c r="AO205" s="7">
        <v>0</v>
      </c>
      <c r="AP205" s="8" t="b">
        <v>0</v>
      </c>
      <c r="AQ205" s="28" t="s">
        <v>1646</v>
      </c>
    </row>
    <row r="206" spans="1:43" ht="30">
      <c r="A206" s="7">
        <v>201</v>
      </c>
      <c r="B206" s="7" t="s">
        <v>680</v>
      </c>
      <c r="C206" s="7" t="s">
        <v>46</v>
      </c>
      <c r="D206" s="7" t="s">
        <v>99</v>
      </c>
      <c r="E206" s="7" t="s">
        <v>1642</v>
      </c>
      <c r="F206" s="7" t="s">
        <v>46</v>
      </c>
      <c r="G206" s="14">
        <v>2400</v>
      </c>
      <c r="H206" s="15">
        <v>2.4500000000000002</v>
      </c>
      <c r="I206" s="15">
        <v>3.94</v>
      </c>
      <c r="J206" s="15">
        <v>9.1875000000000012E-2</v>
      </c>
      <c r="K206" s="15">
        <v>0.14775000000000002</v>
      </c>
      <c r="L206" s="15">
        <v>58.2</v>
      </c>
      <c r="M206" s="15">
        <v>1.5315789473684212</v>
      </c>
      <c r="N206" s="16">
        <v>5.9987113402061858E-2</v>
      </c>
      <c r="O206" s="16">
        <v>9.6469072164948461E-2</v>
      </c>
      <c r="P206" s="17">
        <f>IFERROR(G206/(G206+Priors!$H$3),0)</f>
        <v>0.70588235294117652</v>
      </c>
      <c r="Q206" s="18">
        <f>IF(E206="Premier League",Priors!$H$4,IF(E206="Championship",Priors!$H$5,Priors!$H$8))</f>
        <v>1</v>
      </c>
      <c r="R206" s="19" t="b">
        <v>0</v>
      </c>
      <c r="S206" s="18">
        <f>IF(R206=TRUE,Priors!$H$6,1)</f>
        <v>1</v>
      </c>
      <c r="T206" s="19" t="b">
        <v>1</v>
      </c>
      <c r="U206" s="18">
        <f>IF(T206=TRUE,Priors!$H$7,1)</f>
        <v>0.9</v>
      </c>
      <c r="V206" s="18">
        <f t="shared" si="18"/>
        <v>0.6352941176470589</v>
      </c>
      <c r="W206" s="20">
        <f>VLOOKUP(D206,Priors!$A$3:$C$6,2,FALSE)</f>
        <v>4.1142361271531161E-2</v>
      </c>
      <c r="X206" s="20">
        <f>VLOOKUP(D206,Priors!$A$3:$C$6,3,FALSE)</f>
        <v>4.0513079897554365E-2</v>
      </c>
      <c r="Y206" s="20">
        <f t="shared" si="19"/>
        <v>5.3114321448574198E-2</v>
      </c>
      <c r="Z206" s="20">
        <f t="shared" si="20"/>
        <v>7.6061592632134148E-2</v>
      </c>
      <c r="AA206" s="21">
        <v>1</v>
      </c>
      <c r="AB206" s="21">
        <v>1</v>
      </c>
      <c r="AC206" s="22">
        <f t="shared" si="21"/>
        <v>5.3114321448574198E-2</v>
      </c>
      <c r="AD206" s="22">
        <f t="shared" si="22"/>
        <v>7.6061592632134148E-2</v>
      </c>
      <c r="AE206" s="22">
        <f t="shared" si="23"/>
        <v>0.3647058823529411</v>
      </c>
      <c r="AF206" s="7" t="s">
        <v>1643</v>
      </c>
      <c r="AG206" s="7"/>
      <c r="AH206" s="7"/>
      <c r="AI206" s="7"/>
      <c r="AJ206" s="8" t="b">
        <v>1</v>
      </c>
      <c r="AK206" s="28" t="s">
        <v>1644</v>
      </c>
      <c r="AL206" s="28" t="s">
        <v>1645</v>
      </c>
      <c r="AM206" s="28"/>
      <c r="AN206" s="7"/>
      <c r="AO206" s="7">
        <v>0</v>
      </c>
      <c r="AP206" s="8" t="b">
        <v>0</v>
      </c>
      <c r="AQ206" s="28" t="s">
        <v>1646</v>
      </c>
    </row>
    <row r="207" spans="1:43" ht="30">
      <c r="A207" s="7">
        <v>202</v>
      </c>
      <c r="B207" s="7" t="s">
        <v>683</v>
      </c>
      <c r="C207" s="7" t="s">
        <v>46</v>
      </c>
      <c r="D207" s="7" t="s">
        <v>99</v>
      </c>
      <c r="E207" s="7" t="s">
        <v>1642</v>
      </c>
      <c r="F207" s="7" t="s">
        <v>46</v>
      </c>
      <c r="G207" s="14">
        <v>2825</v>
      </c>
      <c r="H207" s="15">
        <v>2.42</v>
      </c>
      <c r="I207" s="15">
        <v>1.56</v>
      </c>
      <c r="J207" s="15">
        <v>7.7097345132743356E-2</v>
      </c>
      <c r="K207" s="15">
        <v>4.9699115044247788E-2</v>
      </c>
      <c r="L207" s="15">
        <v>58.2</v>
      </c>
      <c r="M207" s="15">
        <v>1.5315789473684212</v>
      </c>
      <c r="N207" s="16">
        <v>5.0338472767083288E-2</v>
      </c>
      <c r="O207" s="16">
        <v>3.2449594015144599E-2</v>
      </c>
      <c r="P207" s="17">
        <f>IFERROR(G207/(G207+Priors!$H$3),0)</f>
        <v>0.73856209150326801</v>
      </c>
      <c r="Q207" s="18">
        <f>IF(E207="Premier League",Priors!$H$4,IF(E207="Championship",Priors!$H$5,Priors!$H$8))</f>
        <v>1</v>
      </c>
      <c r="R207" s="19" t="b">
        <v>0</v>
      </c>
      <c r="S207" s="18">
        <f>IF(R207=TRUE,Priors!$H$6,1)</f>
        <v>1</v>
      </c>
      <c r="T207" s="19" t="b">
        <v>1</v>
      </c>
      <c r="U207" s="18">
        <f>IF(T207=TRUE,Priors!$H$7,1)</f>
        <v>0.9</v>
      </c>
      <c r="V207" s="18">
        <f t="shared" si="18"/>
        <v>0.66470588235294126</v>
      </c>
      <c r="W207" s="20">
        <f>VLOOKUP(D207,Priors!$A$3:$C$6,2,FALSE)</f>
        <v>4.1142361271531161E-2</v>
      </c>
      <c r="X207" s="20">
        <f>VLOOKUP(D207,Priors!$A$3:$C$6,3,FALSE)</f>
        <v>4.0513079897554365E-2</v>
      </c>
      <c r="Y207" s="20">
        <f t="shared" si="19"/>
        <v>4.7255070677398169E-2</v>
      </c>
      <c r="Z207" s="20">
        <f t="shared" si="20"/>
        <v>3.5153233399246697E-2</v>
      </c>
      <c r="AA207" s="21">
        <v>1</v>
      </c>
      <c r="AB207" s="21">
        <v>1</v>
      </c>
      <c r="AC207" s="22">
        <f t="shared" si="21"/>
        <v>4.7255070677398169E-2</v>
      </c>
      <c r="AD207" s="22">
        <f t="shared" si="22"/>
        <v>3.5153233399246697E-2</v>
      </c>
      <c r="AE207" s="22">
        <f t="shared" si="23"/>
        <v>0.33529411764705874</v>
      </c>
      <c r="AF207" s="7" t="s">
        <v>1643</v>
      </c>
      <c r="AG207" s="7"/>
      <c r="AH207" s="7"/>
      <c r="AI207" s="7"/>
      <c r="AJ207" s="8" t="b">
        <v>1</v>
      </c>
      <c r="AK207" s="28" t="s">
        <v>1644</v>
      </c>
      <c r="AL207" s="28" t="s">
        <v>1645</v>
      </c>
      <c r="AM207" s="28"/>
      <c r="AN207" s="7"/>
      <c r="AO207" s="7">
        <v>0</v>
      </c>
      <c r="AP207" s="8" t="b">
        <v>0</v>
      </c>
      <c r="AQ207" s="28" t="s">
        <v>1646</v>
      </c>
    </row>
    <row r="208" spans="1:43" ht="30">
      <c r="A208" s="7">
        <v>203</v>
      </c>
      <c r="B208" s="7" t="s">
        <v>686</v>
      </c>
      <c r="C208" s="7" t="s">
        <v>46</v>
      </c>
      <c r="D208" s="7" t="s">
        <v>99</v>
      </c>
      <c r="E208" s="7" t="s">
        <v>1642</v>
      </c>
      <c r="F208" s="7" t="s">
        <v>46</v>
      </c>
      <c r="G208" s="14">
        <v>1331</v>
      </c>
      <c r="H208" s="15">
        <v>1.48</v>
      </c>
      <c r="I208" s="15">
        <v>0.33</v>
      </c>
      <c r="J208" s="15">
        <v>0.10007513148009015</v>
      </c>
      <c r="K208" s="15">
        <v>2.2314049586776862E-2</v>
      </c>
      <c r="L208" s="15">
        <v>58.2</v>
      </c>
      <c r="M208" s="15">
        <v>1.5315789473684212</v>
      </c>
      <c r="N208" s="16">
        <v>6.5341151138203185E-2</v>
      </c>
      <c r="O208" s="16">
        <v>1.4569310726761524E-2</v>
      </c>
      <c r="P208" s="17">
        <f>IFERROR(G208/(G208+Priors!$H$3),0)</f>
        <v>0.57099957099957099</v>
      </c>
      <c r="Q208" s="18">
        <f>IF(E208="Premier League",Priors!$H$4,IF(E208="Championship",Priors!$H$5,Priors!$H$8))</f>
        <v>1</v>
      </c>
      <c r="R208" s="19" t="b">
        <v>0</v>
      </c>
      <c r="S208" s="18">
        <f>IF(R208=TRUE,Priors!$H$6,1)</f>
        <v>1</v>
      </c>
      <c r="T208" s="19" t="b">
        <v>1</v>
      </c>
      <c r="U208" s="18">
        <f>IF(T208=TRUE,Priors!$H$7,1)</f>
        <v>0.9</v>
      </c>
      <c r="V208" s="18">
        <f t="shared" si="18"/>
        <v>0.51389961389961392</v>
      </c>
      <c r="W208" s="20">
        <f>VLOOKUP(D208,Priors!$A$3:$C$6,2,FALSE)</f>
        <v>4.1142361271531161E-2</v>
      </c>
      <c r="X208" s="20">
        <f>VLOOKUP(D208,Priors!$A$3:$C$6,3,FALSE)</f>
        <v>4.0513079897554365E-2</v>
      </c>
      <c r="Y208" s="20">
        <f t="shared" si="19"/>
        <v>5.3578110040851806E-2</v>
      </c>
      <c r="Z208" s="20">
        <f t="shared" si="20"/>
        <v>2.7180586937583216E-2</v>
      </c>
      <c r="AA208" s="21">
        <v>1</v>
      </c>
      <c r="AB208" s="21">
        <v>1</v>
      </c>
      <c r="AC208" s="22">
        <f t="shared" si="21"/>
        <v>5.3578110040851806E-2</v>
      </c>
      <c r="AD208" s="22">
        <f t="shared" si="22"/>
        <v>2.7180586937583216E-2</v>
      </c>
      <c r="AE208" s="22">
        <f t="shared" si="23"/>
        <v>0.48610038610038608</v>
      </c>
      <c r="AF208" s="7" t="s">
        <v>1643</v>
      </c>
      <c r="AG208" s="7"/>
      <c r="AH208" s="7"/>
      <c r="AI208" s="7"/>
      <c r="AJ208" s="8" t="b">
        <v>1</v>
      </c>
      <c r="AK208" s="28" t="s">
        <v>1644</v>
      </c>
      <c r="AL208" s="28" t="s">
        <v>1645</v>
      </c>
      <c r="AM208" s="28"/>
      <c r="AN208" s="7"/>
      <c r="AO208" s="7"/>
      <c r="AP208" s="7"/>
      <c r="AQ208" s="28" t="s">
        <v>1650</v>
      </c>
    </row>
    <row r="209" spans="1:43" ht="30">
      <c r="A209" s="7">
        <v>204</v>
      </c>
      <c r="B209" s="7" t="s">
        <v>688</v>
      </c>
      <c r="C209" s="7" t="s">
        <v>46</v>
      </c>
      <c r="D209" s="7" t="s">
        <v>99</v>
      </c>
      <c r="E209" s="7" t="s">
        <v>1642</v>
      </c>
      <c r="F209" s="7" t="s">
        <v>46</v>
      </c>
      <c r="G209" s="14">
        <v>3253</v>
      </c>
      <c r="H209" s="15">
        <v>1.59</v>
      </c>
      <c r="I209" s="15">
        <v>2.5299999999999998</v>
      </c>
      <c r="J209" s="15">
        <v>4.3990162926529353E-2</v>
      </c>
      <c r="K209" s="15">
        <v>6.9996925914540417E-2</v>
      </c>
      <c r="L209" s="15">
        <v>58.2</v>
      </c>
      <c r="M209" s="15">
        <v>1.5315789473684212</v>
      </c>
      <c r="N209" s="16">
        <v>2.8722099505294078E-2</v>
      </c>
      <c r="O209" s="16">
        <v>4.5702460219115733E-2</v>
      </c>
      <c r="P209" s="17">
        <f>IFERROR(G209/(G209+Priors!$H$3),0)</f>
        <v>0.76487185516106282</v>
      </c>
      <c r="Q209" s="18">
        <f>IF(E209="Premier League",Priors!$H$4,IF(E209="Championship",Priors!$H$5,Priors!$H$8))</f>
        <v>1</v>
      </c>
      <c r="R209" s="19" t="b">
        <v>0</v>
      </c>
      <c r="S209" s="18">
        <f>IF(R209=TRUE,Priors!$H$6,1)</f>
        <v>1</v>
      </c>
      <c r="T209" s="19" t="b">
        <v>1</v>
      </c>
      <c r="U209" s="18">
        <f>IF(T209=TRUE,Priors!$H$7,1)</f>
        <v>0.9</v>
      </c>
      <c r="V209" s="18">
        <f t="shared" si="18"/>
        <v>0.68838466964495659</v>
      </c>
      <c r="W209" s="20">
        <f>VLOOKUP(D209,Priors!$A$3:$C$6,2,FALSE)</f>
        <v>4.1142361271531161E-2</v>
      </c>
      <c r="X209" s="20">
        <f>VLOOKUP(D209,Priors!$A$3:$C$6,3,FALSE)</f>
        <v>4.0513079897554365E-2</v>
      </c>
      <c r="Y209" s="20">
        <f t="shared" si="19"/>
        <v>3.259244347867616E-2</v>
      </c>
      <c r="Z209" s="20">
        <f t="shared" si="20"/>
        <v>4.4085369755874425E-2</v>
      </c>
      <c r="AA209" s="21">
        <v>1</v>
      </c>
      <c r="AB209" s="21">
        <v>1</v>
      </c>
      <c r="AC209" s="22">
        <f t="shared" si="21"/>
        <v>3.259244347867616E-2</v>
      </c>
      <c r="AD209" s="22">
        <f t="shared" si="22"/>
        <v>4.4085369755874425E-2</v>
      </c>
      <c r="AE209" s="22">
        <f t="shared" si="23"/>
        <v>0.31161533035504341</v>
      </c>
      <c r="AF209" s="7" t="s">
        <v>1643</v>
      </c>
      <c r="AG209" s="7"/>
      <c r="AH209" s="7"/>
      <c r="AI209" s="7"/>
      <c r="AJ209" s="8" t="b">
        <v>1</v>
      </c>
      <c r="AK209" s="28" t="s">
        <v>1644</v>
      </c>
      <c r="AL209" s="28" t="s">
        <v>1645</v>
      </c>
      <c r="AM209" s="28"/>
      <c r="AN209" s="7">
        <v>3</v>
      </c>
      <c r="AO209" s="7">
        <v>0</v>
      </c>
      <c r="AP209" s="8" t="b">
        <v>0</v>
      </c>
      <c r="AQ209" s="28" t="s">
        <v>1646</v>
      </c>
    </row>
    <row r="210" spans="1:43" ht="30">
      <c r="A210" s="7">
        <v>205</v>
      </c>
      <c r="B210" s="7" t="s">
        <v>691</v>
      </c>
      <c r="C210" s="7" t="s">
        <v>46</v>
      </c>
      <c r="D210" s="7" t="s">
        <v>99</v>
      </c>
      <c r="E210" s="7" t="s">
        <v>1642</v>
      </c>
      <c r="F210" s="7" t="s">
        <v>46</v>
      </c>
      <c r="G210" s="14">
        <v>99</v>
      </c>
      <c r="H210" s="15">
        <v>0.04</v>
      </c>
      <c r="I210" s="15">
        <v>7.0000000000000007E-2</v>
      </c>
      <c r="J210" s="15">
        <v>3.6363636363636362E-2</v>
      </c>
      <c r="K210" s="15">
        <v>6.3636363636363644E-2</v>
      </c>
      <c r="L210" s="15">
        <v>58.2</v>
      </c>
      <c r="M210" s="15">
        <v>1.5315789473684212</v>
      </c>
      <c r="N210" s="16">
        <v>2.3742580443611369E-2</v>
      </c>
      <c r="O210" s="16">
        <v>4.1549515776319899E-2</v>
      </c>
      <c r="P210" s="17">
        <f>IFERROR(G210/(G210+Priors!$H$3),0)</f>
        <v>9.0081892629663332E-2</v>
      </c>
      <c r="Q210" s="18">
        <f>IF(E210="Premier League",Priors!$H$4,IF(E210="Championship",Priors!$H$5,Priors!$H$8))</f>
        <v>1</v>
      </c>
      <c r="R210" s="19" t="b">
        <v>0</v>
      </c>
      <c r="S210" s="18">
        <f>IF(R210=TRUE,Priors!$H$6,1)</f>
        <v>1</v>
      </c>
      <c r="T210" s="19" t="b">
        <v>1</v>
      </c>
      <c r="U210" s="18">
        <f>IF(T210=TRUE,Priors!$H$7,1)</f>
        <v>0.9</v>
      </c>
      <c r="V210" s="18">
        <f t="shared" si="18"/>
        <v>8.1073703366697003E-2</v>
      </c>
      <c r="W210" s="20">
        <f>VLOOKUP(D210,Priors!$A$3:$C$6,2,FALSE)</f>
        <v>4.1142361271531161E-2</v>
      </c>
      <c r="X210" s="20">
        <f>VLOOKUP(D210,Priors!$A$3:$C$6,3,FALSE)</f>
        <v>4.0513079897554365E-2</v>
      </c>
      <c r="Y210" s="20">
        <f t="shared" si="19"/>
        <v>3.9731696602042843E-2</v>
      </c>
      <c r="Z210" s="20">
        <f t="shared" si="20"/>
        <v>4.0597107592547997E-2</v>
      </c>
      <c r="AA210" s="21">
        <v>1</v>
      </c>
      <c r="AB210" s="21">
        <v>1</v>
      </c>
      <c r="AC210" s="22">
        <f t="shared" si="21"/>
        <v>3.9731696602042843E-2</v>
      </c>
      <c r="AD210" s="22">
        <f t="shared" si="22"/>
        <v>4.0597107592547997E-2</v>
      </c>
      <c r="AE210" s="22">
        <f t="shared" si="23"/>
        <v>0.91892629663330294</v>
      </c>
      <c r="AF210" s="7" t="s">
        <v>1643</v>
      </c>
      <c r="AG210" s="7"/>
      <c r="AH210" s="7"/>
      <c r="AI210" s="7"/>
      <c r="AJ210" s="8" t="b">
        <v>1</v>
      </c>
      <c r="AK210" s="28" t="s">
        <v>1644</v>
      </c>
      <c r="AL210" s="28" t="s">
        <v>1645</v>
      </c>
      <c r="AM210" s="28"/>
      <c r="AN210" s="7"/>
      <c r="AO210" s="7">
        <v>0</v>
      </c>
      <c r="AP210" s="8" t="b">
        <v>0</v>
      </c>
      <c r="AQ210" s="28" t="s">
        <v>1646</v>
      </c>
    </row>
    <row r="211" spans="1:43" ht="30">
      <c r="A211" s="7">
        <v>206</v>
      </c>
      <c r="B211" s="7" t="s">
        <v>694</v>
      </c>
      <c r="C211" s="7" t="s">
        <v>46</v>
      </c>
      <c r="D211" s="7" t="s">
        <v>99</v>
      </c>
      <c r="E211" s="7" t="s">
        <v>1642</v>
      </c>
      <c r="F211" s="7" t="s">
        <v>46</v>
      </c>
      <c r="G211" s="14">
        <v>550</v>
      </c>
      <c r="H211" s="15">
        <v>0.33</v>
      </c>
      <c r="I211" s="15">
        <v>0.13</v>
      </c>
      <c r="J211" s="15">
        <v>5.4000000000000006E-2</v>
      </c>
      <c r="K211" s="15">
        <v>2.1272727272727273E-2</v>
      </c>
      <c r="L211" s="15">
        <v>58.2</v>
      </c>
      <c r="M211" s="15">
        <v>1.5315789473684212</v>
      </c>
      <c r="N211" s="16">
        <v>3.5257731958762889E-2</v>
      </c>
      <c r="O211" s="16">
        <v>1.3889409559512652E-2</v>
      </c>
      <c r="P211" s="17">
        <f>IFERROR(G211/(G211+Priors!$H$3),0)</f>
        <v>0.35483870967741937</v>
      </c>
      <c r="Q211" s="18">
        <f>IF(E211="Premier League",Priors!$H$4,IF(E211="Championship",Priors!$H$5,Priors!$H$8))</f>
        <v>1</v>
      </c>
      <c r="R211" s="19" t="b">
        <v>0</v>
      </c>
      <c r="S211" s="18">
        <f>IF(R211=TRUE,Priors!$H$6,1)</f>
        <v>1</v>
      </c>
      <c r="T211" s="19" t="b">
        <v>1</v>
      </c>
      <c r="U211" s="18">
        <f>IF(T211=TRUE,Priors!$H$7,1)</f>
        <v>0.9</v>
      </c>
      <c r="V211" s="18">
        <f t="shared" si="18"/>
        <v>0.31935483870967746</v>
      </c>
      <c r="W211" s="20">
        <f>VLOOKUP(D211,Priors!$A$3:$C$6,2,FALSE)</f>
        <v>4.1142361271531161E-2</v>
      </c>
      <c r="X211" s="20">
        <f>VLOOKUP(D211,Priors!$A$3:$C$6,3,FALSE)</f>
        <v>4.0513079897554365E-2</v>
      </c>
      <c r="Y211" s="20">
        <f t="shared" si="19"/>
        <v>3.9263076426485813E-2</v>
      </c>
      <c r="Z211" s="20">
        <f t="shared" si="20"/>
        <v>3.2010681950889436E-2</v>
      </c>
      <c r="AA211" s="21">
        <v>1</v>
      </c>
      <c r="AB211" s="21">
        <v>1</v>
      </c>
      <c r="AC211" s="22">
        <f t="shared" si="21"/>
        <v>3.9263076426485813E-2</v>
      </c>
      <c r="AD211" s="22">
        <f t="shared" si="22"/>
        <v>3.2010681950889436E-2</v>
      </c>
      <c r="AE211" s="22">
        <f t="shared" si="23"/>
        <v>0.6806451612903226</v>
      </c>
      <c r="AF211" s="7" t="s">
        <v>1643</v>
      </c>
      <c r="AG211" s="7"/>
      <c r="AH211" s="7"/>
      <c r="AI211" s="7"/>
      <c r="AJ211" s="8" t="b">
        <v>1</v>
      </c>
      <c r="AK211" s="28" t="s">
        <v>1644</v>
      </c>
      <c r="AL211" s="28" t="s">
        <v>1645</v>
      </c>
      <c r="AM211" s="28"/>
      <c r="AN211" s="7"/>
      <c r="AO211" s="7">
        <v>0</v>
      </c>
      <c r="AP211" s="8" t="b">
        <v>0</v>
      </c>
      <c r="AQ211" s="28" t="s">
        <v>1646</v>
      </c>
    </row>
    <row r="212" spans="1:43" ht="15">
      <c r="A212" s="7">
        <v>207</v>
      </c>
      <c r="B212" s="7" t="s">
        <v>696</v>
      </c>
      <c r="C212" s="7" t="s">
        <v>46</v>
      </c>
      <c r="D212" s="7" t="s">
        <v>99</v>
      </c>
      <c r="E212" s="7" t="s">
        <v>1647</v>
      </c>
      <c r="F212" s="7"/>
      <c r="G212" s="14"/>
      <c r="H212" s="15"/>
      <c r="I212" s="15"/>
      <c r="J212" s="15"/>
      <c r="K212" s="15"/>
      <c r="L212" s="15"/>
      <c r="M212" s="15"/>
      <c r="N212" s="16"/>
      <c r="O212" s="16"/>
      <c r="P212" s="17">
        <f>IFERROR(G212/(G212+Priors!$H$3),0)</f>
        <v>0</v>
      </c>
      <c r="Q212" s="18">
        <f>IF(E212="Premier League",Priors!$H$4,IF(E212="Championship",Priors!$H$5,Priors!$H$8))</f>
        <v>0</v>
      </c>
      <c r="R212" s="19" t="b">
        <v>0</v>
      </c>
      <c r="S212" s="18">
        <f>IF(R212=TRUE,Priors!$H$6,1)</f>
        <v>1</v>
      </c>
      <c r="T212" s="19" t="b">
        <v>1</v>
      </c>
      <c r="U212" s="18">
        <f>IF(T212=TRUE,Priors!$H$7,1)</f>
        <v>0.9</v>
      </c>
      <c r="V212" s="18">
        <f t="shared" si="18"/>
        <v>0</v>
      </c>
      <c r="W212" s="20">
        <f>VLOOKUP(D212,Priors!$A$3:$C$6,2,FALSE)</f>
        <v>4.1142361271531161E-2</v>
      </c>
      <c r="X212" s="20">
        <f>VLOOKUP(D212,Priors!$A$3:$C$6,3,FALSE)</f>
        <v>4.0513079897554365E-2</v>
      </c>
      <c r="Y212" s="20">
        <f t="shared" si="19"/>
        <v>4.1142361271531161E-2</v>
      </c>
      <c r="Z212" s="20">
        <f t="shared" si="20"/>
        <v>4.0513079897554365E-2</v>
      </c>
      <c r="AA212" s="21">
        <v>1</v>
      </c>
      <c r="AB212" s="21">
        <v>1</v>
      </c>
      <c r="AC212" s="22">
        <f t="shared" si="21"/>
        <v>4.1142361271531161E-2</v>
      </c>
      <c r="AD212" s="22">
        <f t="shared" si="22"/>
        <v>4.0513079897554365E-2</v>
      </c>
      <c r="AE212" s="22">
        <f t="shared" si="23"/>
        <v>1</v>
      </c>
      <c r="AF212" s="7" t="s">
        <v>1647</v>
      </c>
      <c r="AG212" s="7"/>
      <c r="AH212" s="7"/>
      <c r="AI212" s="7"/>
      <c r="AJ212" s="8" t="b">
        <v>1</v>
      </c>
      <c r="AK212" s="28" t="s">
        <v>1648</v>
      </c>
      <c r="AL212" s="28"/>
      <c r="AM212" s="28"/>
      <c r="AN212" s="7"/>
      <c r="AO212" s="7">
        <v>0</v>
      </c>
      <c r="AP212" s="8" t="b">
        <v>0</v>
      </c>
      <c r="AQ212" s="28" t="s">
        <v>1646</v>
      </c>
    </row>
    <row r="213" spans="1:43" ht="30">
      <c r="A213" s="7">
        <v>208</v>
      </c>
      <c r="B213" s="7" t="s">
        <v>698</v>
      </c>
      <c r="C213" s="7" t="s">
        <v>46</v>
      </c>
      <c r="D213" s="7" t="s">
        <v>112</v>
      </c>
      <c r="E213" s="7" t="s">
        <v>1642</v>
      </c>
      <c r="F213" s="7" t="s">
        <v>46</v>
      </c>
      <c r="G213" s="14">
        <v>2173</v>
      </c>
      <c r="H213" s="15">
        <v>10.93</v>
      </c>
      <c r="I213" s="15">
        <v>1.17</v>
      </c>
      <c r="J213" s="15">
        <v>0.45269213069489184</v>
      </c>
      <c r="K213" s="15">
        <v>4.845835250805338E-2</v>
      </c>
      <c r="L213" s="15">
        <v>58.2</v>
      </c>
      <c r="M213" s="15">
        <v>1.5315789473684212</v>
      </c>
      <c r="N213" s="16">
        <v>0.29557218155336579</v>
      </c>
      <c r="O213" s="16">
        <v>3.1639474146151689E-2</v>
      </c>
      <c r="P213" s="17">
        <f>IFERROR(G213/(G213+Priors!$H$3),0)</f>
        <v>0.68484084462653638</v>
      </c>
      <c r="Q213" s="18">
        <f>IF(E213="Premier League",Priors!$H$4,IF(E213="Championship",Priors!$H$5,Priors!$H$8))</f>
        <v>1</v>
      </c>
      <c r="R213" s="19" t="b">
        <v>0</v>
      </c>
      <c r="S213" s="18">
        <f>IF(R213=TRUE,Priors!$H$6,1)</f>
        <v>1</v>
      </c>
      <c r="T213" s="19" t="b">
        <v>1</v>
      </c>
      <c r="U213" s="18">
        <f>IF(T213=TRUE,Priors!$H$7,1)</f>
        <v>0.9</v>
      </c>
      <c r="V213" s="18">
        <f t="shared" si="18"/>
        <v>0.61635676016388274</v>
      </c>
      <c r="W213" s="20">
        <f>VLOOKUP(D213,Priors!$A$3:$C$6,2,FALSE)</f>
        <v>0.10751786102217777</v>
      </c>
      <c r="X213" s="20">
        <f>VLOOKUP(D213,Priors!$A$3:$C$6,3,FALSE)</f>
        <v>9.0240671969462088E-2</v>
      </c>
      <c r="Y213" s="20">
        <f t="shared" si="19"/>
        <v>0.22342641275960115</v>
      </c>
      <c r="Z213" s="20">
        <f t="shared" si="20"/>
        <v>5.4121427537363709E-2</v>
      </c>
      <c r="AA213" s="21">
        <v>1</v>
      </c>
      <c r="AB213" s="21">
        <v>1</v>
      </c>
      <c r="AC213" s="22">
        <f t="shared" si="21"/>
        <v>0.22342641275960115</v>
      </c>
      <c r="AD213" s="22">
        <f t="shared" si="22"/>
        <v>5.4121427537363709E-2</v>
      </c>
      <c r="AE213" s="22">
        <f t="shared" si="23"/>
        <v>0.38364323983611726</v>
      </c>
      <c r="AF213" s="7" t="s">
        <v>1643</v>
      </c>
      <c r="AG213" s="7">
        <v>2</v>
      </c>
      <c r="AH213" s="7"/>
      <c r="AI213" s="7"/>
      <c r="AJ213" s="8" t="b">
        <v>1</v>
      </c>
      <c r="AK213" s="28" t="s">
        <v>1644</v>
      </c>
      <c r="AL213" s="28" t="s">
        <v>1645</v>
      </c>
      <c r="AM213" s="28"/>
      <c r="AN213" s="7"/>
      <c r="AO213" s="7">
        <v>0</v>
      </c>
      <c r="AP213" s="8" t="b">
        <v>0</v>
      </c>
      <c r="AQ213" s="28" t="s">
        <v>1646</v>
      </c>
    </row>
    <row r="214" spans="1:43" ht="30">
      <c r="A214" s="7">
        <v>209</v>
      </c>
      <c r="B214" s="7" t="s">
        <v>700</v>
      </c>
      <c r="C214" s="7" t="s">
        <v>46</v>
      </c>
      <c r="D214" s="7" t="s">
        <v>112</v>
      </c>
      <c r="E214" s="7" t="s">
        <v>1642</v>
      </c>
      <c r="F214" s="7" t="s">
        <v>46</v>
      </c>
      <c r="G214" s="14">
        <v>1710</v>
      </c>
      <c r="H214" s="15">
        <v>2.4500000000000002</v>
      </c>
      <c r="I214" s="15">
        <v>1.31</v>
      </c>
      <c r="J214" s="15">
        <v>0.12894736842105264</v>
      </c>
      <c r="K214" s="15">
        <v>6.8947368421052632E-2</v>
      </c>
      <c r="L214" s="15">
        <v>58.2</v>
      </c>
      <c r="M214" s="15">
        <v>1.5315789473684212</v>
      </c>
      <c r="N214" s="16">
        <v>8.4192439862542962E-2</v>
      </c>
      <c r="O214" s="16">
        <v>4.5017182130584192E-2</v>
      </c>
      <c r="P214" s="17">
        <f>IFERROR(G214/(G214+Priors!$H$3),0)</f>
        <v>0.63099630996309963</v>
      </c>
      <c r="Q214" s="18">
        <f>IF(E214="Premier League",Priors!$H$4,IF(E214="Championship",Priors!$H$5,Priors!$H$8))</f>
        <v>1</v>
      </c>
      <c r="R214" s="19" t="b">
        <v>0</v>
      </c>
      <c r="S214" s="18">
        <f>IF(R214=TRUE,Priors!$H$6,1)</f>
        <v>1</v>
      </c>
      <c r="T214" s="19" t="b">
        <v>1</v>
      </c>
      <c r="U214" s="18">
        <f>IF(T214=TRUE,Priors!$H$7,1)</f>
        <v>0.9</v>
      </c>
      <c r="V214" s="18">
        <f t="shared" si="18"/>
        <v>0.56789667896678964</v>
      </c>
      <c r="W214" s="20">
        <f>VLOOKUP(D214,Priors!$A$3:$C$6,2,FALSE)</f>
        <v>0.10751786102217777</v>
      </c>
      <c r="X214" s="20">
        <f>VLOOKUP(D214,Priors!$A$3:$C$6,3,FALSE)</f>
        <v>9.0240671969462088E-2</v>
      </c>
      <c r="Y214" s="20">
        <f t="shared" si="19"/>
        <v>9.4271431810119488E-2</v>
      </c>
      <c r="Z214" s="20">
        <f t="shared" si="20"/>
        <v>6.4558402278674973E-2</v>
      </c>
      <c r="AA214" s="21">
        <v>1</v>
      </c>
      <c r="AB214" s="21">
        <v>1</v>
      </c>
      <c r="AC214" s="22">
        <f t="shared" si="21"/>
        <v>9.4271431810119488E-2</v>
      </c>
      <c r="AD214" s="22">
        <f t="shared" si="22"/>
        <v>6.4558402278674973E-2</v>
      </c>
      <c r="AE214" s="22">
        <f t="shared" si="23"/>
        <v>0.43210332103321036</v>
      </c>
      <c r="AF214" s="7" t="s">
        <v>1643</v>
      </c>
      <c r="AG214" s="7"/>
      <c r="AH214" s="7">
        <v>2</v>
      </c>
      <c r="AI214" s="7"/>
      <c r="AJ214" s="8" t="b">
        <v>1</v>
      </c>
      <c r="AK214" s="28" t="s">
        <v>1644</v>
      </c>
      <c r="AL214" s="28" t="s">
        <v>1645</v>
      </c>
      <c r="AM214" s="28"/>
      <c r="AN214" s="7"/>
      <c r="AO214" s="7">
        <v>0</v>
      </c>
      <c r="AP214" s="8" t="b">
        <v>0</v>
      </c>
      <c r="AQ214" s="28" t="s">
        <v>1646</v>
      </c>
    </row>
    <row r="215" spans="1:43" ht="30">
      <c r="A215" s="7">
        <v>210</v>
      </c>
      <c r="B215" s="7" t="s">
        <v>702</v>
      </c>
      <c r="C215" s="7" t="s">
        <v>46</v>
      </c>
      <c r="D215" s="7" t="s">
        <v>112</v>
      </c>
      <c r="E215" s="7" t="s">
        <v>1642</v>
      </c>
      <c r="F215" s="7" t="s">
        <v>46</v>
      </c>
      <c r="G215" s="14">
        <v>2552</v>
      </c>
      <c r="H215" s="15">
        <v>1.52</v>
      </c>
      <c r="I215" s="15">
        <v>7.47</v>
      </c>
      <c r="J215" s="15">
        <v>5.3605015673981196E-2</v>
      </c>
      <c r="K215" s="15">
        <v>0.26344043887147334</v>
      </c>
      <c r="L215" s="15">
        <v>58.2</v>
      </c>
      <c r="M215" s="15">
        <v>1.5315789473684212</v>
      </c>
      <c r="N215" s="16">
        <v>3.4999838412565043E-2</v>
      </c>
      <c r="O215" s="16">
        <v>0.17200578483017159</v>
      </c>
      <c r="P215" s="17">
        <f>IFERROR(G215/(G215+Priors!$H$3),0)</f>
        <v>0.71846846846846846</v>
      </c>
      <c r="Q215" s="18">
        <f>IF(E215="Premier League",Priors!$H$4,IF(E215="Championship",Priors!$H$5,Priors!$H$8))</f>
        <v>1</v>
      </c>
      <c r="R215" s="19" t="b">
        <v>0</v>
      </c>
      <c r="S215" s="18">
        <f>IF(R215=TRUE,Priors!$H$6,1)</f>
        <v>1</v>
      </c>
      <c r="T215" s="19" t="b">
        <v>1</v>
      </c>
      <c r="U215" s="18">
        <f>IF(T215=TRUE,Priors!$H$7,1)</f>
        <v>0.9</v>
      </c>
      <c r="V215" s="18">
        <f t="shared" si="18"/>
        <v>0.64662162162162162</v>
      </c>
      <c r="W215" s="20">
        <f>VLOOKUP(D215,Priors!$A$3:$C$6,2,FALSE)</f>
        <v>0.10751786102217777</v>
      </c>
      <c r="X215" s="20">
        <f>VLOOKUP(D215,Priors!$A$3:$C$6,3,FALSE)</f>
        <v>9.0240671969462088E-2</v>
      </c>
      <c r="Y215" s="20">
        <f t="shared" si="19"/>
        <v>6.0626139645556562E-2</v>
      </c>
      <c r="Z215" s="20">
        <f t="shared" si="20"/>
        <v>0.14311176183952898</v>
      </c>
      <c r="AA215" s="21">
        <v>1</v>
      </c>
      <c r="AB215" s="21">
        <v>1</v>
      </c>
      <c r="AC215" s="22">
        <f t="shared" si="21"/>
        <v>6.0626139645556562E-2</v>
      </c>
      <c r="AD215" s="22">
        <f t="shared" si="22"/>
        <v>0.14311176183952898</v>
      </c>
      <c r="AE215" s="22">
        <f t="shared" si="23"/>
        <v>0.35337837837837838</v>
      </c>
      <c r="AF215" s="7" t="s">
        <v>1643</v>
      </c>
      <c r="AG215" s="7"/>
      <c r="AH215" s="7"/>
      <c r="AI215" s="7">
        <v>5</v>
      </c>
      <c r="AJ215" s="8" t="b">
        <v>1</v>
      </c>
      <c r="AK215" s="28" t="s">
        <v>1644</v>
      </c>
      <c r="AL215" s="28" t="s">
        <v>1645</v>
      </c>
      <c r="AM215" s="28"/>
      <c r="AN215" s="7"/>
      <c r="AO215" s="7">
        <v>0</v>
      </c>
      <c r="AP215" s="8" t="b">
        <v>0</v>
      </c>
      <c r="AQ215" s="28" t="s">
        <v>1646</v>
      </c>
    </row>
    <row r="216" spans="1:43" ht="30">
      <c r="A216" s="7">
        <v>211</v>
      </c>
      <c r="B216" s="7" t="s">
        <v>705</v>
      </c>
      <c r="C216" s="7" t="s">
        <v>46</v>
      </c>
      <c r="D216" s="7" t="s">
        <v>112</v>
      </c>
      <c r="E216" s="7" t="s">
        <v>1642</v>
      </c>
      <c r="F216" s="7" t="s">
        <v>46</v>
      </c>
      <c r="G216" s="14">
        <v>2074</v>
      </c>
      <c r="H216" s="15">
        <v>4.53</v>
      </c>
      <c r="I216" s="15">
        <v>6.12</v>
      </c>
      <c r="J216" s="15">
        <v>0.19657666345226618</v>
      </c>
      <c r="K216" s="15">
        <v>0.26557377049180325</v>
      </c>
      <c r="L216" s="15">
        <v>58.2</v>
      </c>
      <c r="M216" s="15">
        <v>1.5315789473684212</v>
      </c>
      <c r="N216" s="16">
        <v>0.12834902424718408</v>
      </c>
      <c r="O216" s="16">
        <v>0.17339868176440762</v>
      </c>
      <c r="P216" s="17">
        <f>IFERROR(G216/(G216+Priors!$H$3),0)</f>
        <v>0.67469095640858812</v>
      </c>
      <c r="Q216" s="18">
        <f>IF(E216="Premier League",Priors!$H$4,IF(E216="Championship",Priors!$H$5,Priors!$H$8))</f>
        <v>1</v>
      </c>
      <c r="R216" s="19" t="b">
        <v>0</v>
      </c>
      <c r="S216" s="18">
        <f>IF(R216=TRUE,Priors!$H$6,1)</f>
        <v>1</v>
      </c>
      <c r="T216" s="19" t="b">
        <v>1</v>
      </c>
      <c r="U216" s="18">
        <f>IF(T216=TRUE,Priors!$H$7,1)</f>
        <v>0.9</v>
      </c>
      <c r="V216" s="18">
        <f t="shared" si="18"/>
        <v>0.60722186076772933</v>
      </c>
      <c r="W216" s="20">
        <f>VLOOKUP(D216,Priors!$A$3:$C$6,2,FALSE)</f>
        <v>0.10751786102217777</v>
      </c>
      <c r="X216" s="20">
        <f>VLOOKUP(D216,Priors!$A$3:$C$6,3,FALSE)</f>
        <v>9.0240671969462088E-2</v>
      </c>
      <c r="Y216" s="20">
        <f t="shared" si="19"/>
        <v>0.1201669987176224</v>
      </c>
      <c r="Z216" s="20">
        <f t="shared" si="20"/>
        <v>0.14073603341488999</v>
      </c>
      <c r="AA216" s="21">
        <v>1</v>
      </c>
      <c r="AB216" s="21">
        <v>1</v>
      </c>
      <c r="AC216" s="22">
        <f t="shared" si="21"/>
        <v>0.1201669987176224</v>
      </c>
      <c r="AD216" s="22">
        <f t="shared" si="22"/>
        <v>0.14073603341488999</v>
      </c>
      <c r="AE216" s="22">
        <f t="shared" si="23"/>
        <v>0.39277813923227067</v>
      </c>
      <c r="AF216" s="7" t="s">
        <v>1643</v>
      </c>
      <c r="AG216" s="7"/>
      <c r="AH216" s="7">
        <v>1</v>
      </c>
      <c r="AI216" s="7">
        <v>6</v>
      </c>
      <c r="AJ216" s="8" t="b">
        <v>1</v>
      </c>
      <c r="AK216" s="28" t="s">
        <v>1644</v>
      </c>
      <c r="AL216" s="28" t="s">
        <v>1645</v>
      </c>
      <c r="AM216" s="28"/>
      <c r="AN216" s="7">
        <v>4</v>
      </c>
      <c r="AO216" s="7">
        <v>0</v>
      </c>
      <c r="AP216" s="8" t="b">
        <v>0</v>
      </c>
      <c r="AQ216" s="28" t="s">
        <v>1646</v>
      </c>
    </row>
    <row r="217" spans="1:43" ht="30">
      <c r="A217" s="7">
        <v>212</v>
      </c>
      <c r="B217" s="7" t="s">
        <v>708</v>
      </c>
      <c r="C217" s="7" t="s">
        <v>46</v>
      </c>
      <c r="D217" s="7" t="s">
        <v>112</v>
      </c>
      <c r="E217" s="7" t="s">
        <v>1642</v>
      </c>
      <c r="F217" s="7" t="s">
        <v>46</v>
      </c>
      <c r="G217" s="14">
        <v>1560</v>
      </c>
      <c r="H217" s="15">
        <v>1.1100000000000001</v>
      </c>
      <c r="I217" s="15">
        <v>1.94</v>
      </c>
      <c r="J217" s="15">
        <v>6.4038461538461544E-2</v>
      </c>
      <c r="K217" s="15">
        <v>0.11192307692307692</v>
      </c>
      <c r="L217" s="15">
        <v>58.2</v>
      </c>
      <c r="M217" s="15">
        <v>1.5315789473684212</v>
      </c>
      <c r="N217" s="16">
        <v>4.1812053925455991E-2</v>
      </c>
      <c r="O217" s="16">
        <v>7.3076923076923067E-2</v>
      </c>
      <c r="P217" s="17">
        <f>IFERROR(G217/(G217+Priors!$H$3),0)</f>
        <v>0.609375</v>
      </c>
      <c r="Q217" s="18">
        <f>IF(E217="Premier League",Priors!$H$4,IF(E217="Championship",Priors!$H$5,Priors!$H$8))</f>
        <v>1</v>
      </c>
      <c r="R217" s="19" t="b">
        <v>0</v>
      </c>
      <c r="S217" s="18">
        <f>IF(R217=TRUE,Priors!$H$6,1)</f>
        <v>1</v>
      </c>
      <c r="T217" s="19" t="b">
        <v>1</v>
      </c>
      <c r="U217" s="18">
        <f>IF(T217=TRUE,Priors!$H$7,1)</f>
        <v>0.9</v>
      </c>
      <c r="V217" s="18">
        <f t="shared" si="18"/>
        <v>0.54843750000000002</v>
      </c>
      <c r="W217" s="20">
        <f>VLOOKUP(D217,Priors!$A$3:$C$6,2,FALSE)</f>
        <v>0.10751786102217777</v>
      </c>
      <c r="X217" s="20">
        <f>VLOOKUP(D217,Priors!$A$3:$C$6,3,FALSE)</f>
        <v>9.0240671969462088E-2</v>
      </c>
      <c r="Y217" s="20">
        <f t="shared" si="19"/>
        <v>7.1482332442569407E-2</v>
      </c>
      <c r="Z217" s="20">
        <f t="shared" si="20"/>
        <v>8.0827428436210214E-2</v>
      </c>
      <c r="AA217" s="21">
        <v>1</v>
      </c>
      <c r="AB217" s="21">
        <v>1</v>
      </c>
      <c r="AC217" s="22">
        <f t="shared" si="21"/>
        <v>7.1482332442569407E-2</v>
      </c>
      <c r="AD217" s="22">
        <f t="shared" si="22"/>
        <v>8.0827428436210214E-2</v>
      </c>
      <c r="AE217" s="22">
        <f t="shared" si="23"/>
        <v>0.45156249999999998</v>
      </c>
      <c r="AF217" s="7" t="s">
        <v>1643</v>
      </c>
      <c r="AG217" s="7"/>
      <c r="AH217" s="7"/>
      <c r="AI217" s="7">
        <v>7</v>
      </c>
      <c r="AJ217" s="8" t="b">
        <v>1</v>
      </c>
      <c r="AK217" s="28" t="s">
        <v>1644</v>
      </c>
      <c r="AL217" s="28" t="s">
        <v>1645</v>
      </c>
      <c r="AM217" s="28"/>
      <c r="AN217" s="7"/>
      <c r="AO217" s="7">
        <v>0</v>
      </c>
      <c r="AP217" s="8" t="b">
        <v>0</v>
      </c>
      <c r="AQ217" s="28" t="s">
        <v>1646</v>
      </c>
    </row>
    <row r="218" spans="1:43" ht="30">
      <c r="A218" s="7">
        <v>213</v>
      </c>
      <c r="B218" s="7" t="s">
        <v>711</v>
      </c>
      <c r="C218" s="7" t="s">
        <v>46</v>
      </c>
      <c r="D218" s="7" t="s">
        <v>112</v>
      </c>
      <c r="E218" s="7" t="s">
        <v>1642</v>
      </c>
      <c r="F218" s="7" t="s">
        <v>46</v>
      </c>
      <c r="G218" s="14">
        <v>1722</v>
      </c>
      <c r="H218" s="15">
        <v>1.84</v>
      </c>
      <c r="I218" s="15">
        <v>1.48</v>
      </c>
      <c r="J218" s="15">
        <v>9.616724738675958E-2</v>
      </c>
      <c r="K218" s="15">
        <v>7.7351916376306618E-2</v>
      </c>
      <c r="L218" s="15">
        <v>58.2</v>
      </c>
      <c r="M218" s="15">
        <v>1.5315789473684212</v>
      </c>
      <c r="N218" s="16">
        <v>6.2789611695822409E-2</v>
      </c>
      <c r="O218" s="16">
        <v>5.0504687668378886E-2</v>
      </c>
      <c r="P218" s="17">
        <f>IFERROR(G218/(G218+Priors!$H$3),0)</f>
        <v>0.63262307127112416</v>
      </c>
      <c r="Q218" s="18">
        <f>IF(E218="Premier League",Priors!$H$4,IF(E218="Championship",Priors!$H$5,Priors!$H$8))</f>
        <v>1</v>
      </c>
      <c r="R218" s="19" t="b">
        <v>0</v>
      </c>
      <c r="S218" s="18">
        <f>IF(R218=TRUE,Priors!$H$6,1)</f>
        <v>1</v>
      </c>
      <c r="T218" s="19" t="b">
        <v>1</v>
      </c>
      <c r="U218" s="18">
        <f>IF(T218=TRUE,Priors!$H$7,1)</f>
        <v>0.9</v>
      </c>
      <c r="V218" s="18">
        <f t="shared" si="18"/>
        <v>0.56936076414401171</v>
      </c>
      <c r="W218" s="20">
        <f>VLOOKUP(D218,Priors!$A$3:$C$6,2,FALSE)</f>
        <v>0.10751786102217777</v>
      </c>
      <c r="X218" s="20">
        <f>VLOOKUP(D218,Priors!$A$3:$C$6,3,FALSE)</f>
        <v>9.0240671969462088E-2</v>
      </c>
      <c r="Y218" s="20">
        <f t="shared" si="19"/>
        <v>8.2051350806900208E-2</v>
      </c>
      <c r="Z218" s="20">
        <f t="shared" si="20"/>
        <v>6.7616561583782903E-2</v>
      </c>
      <c r="AA218" s="21">
        <v>1</v>
      </c>
      <c r="AB218" s="21">
        <v>1</v>
      </c>
      <c r="AC218" s="22">
        <f t="shared" si="21"/>
        <v>8.2051350806900208E-2</v>
      </c>
      <c r="AD218" s="22">
        <f t="shared" si="22"/>
        <v>6.7616561583782903E-2</v>
      </c>
      <c r="AE218" s="22">
        <f t="shared" si="23"/>
        <v>0.43063923585598829</v>
      </c>
      <c r="AF218" s="7" t="s">
        <v>1643</v>
      </c>
      <c r="AG218" s="7"/>
      <c r="AH218" s="7"/>
      <c r="AI218" s="7"/>
      <c r="AJ218" s="8" t="b">
        <v>1</v>
      </c>
      <c r="AK218" s="28" t="s">
        <v>1644</v>
      </c>
      <c r="AL218" s="28" t="s">
        <v>1645</v>
      </c>
      <c r="AM218" s="28"/>
      <c r="AN218" s="7"/>
      <c r="AO218" s="7">
        <v>0</v>
      </c>
      <c r="AP218" s="8" t="b">
        <v>0</v>
      </c>
      <c r="AQ218" s="28" t="s">
        <v>1646</v>
      </c>
    </row>
    <row r="219" spans="1:43" ht="30">
      <c r="A219" s="7">
        <v>214</v>
      </c>
      <c r="B219" s="7" t="s">
        <v>713</v>
      </c>
      <c r="C219" s="7" t="s">
        <v>46</v>
      </c>
      <c r="D219" s="7" t="s">
        <v>112</v>
      </c>
      <c r="E219" s="7" t="s">
        <v>1642</v>
      </c>
      <c r="F219" s="7" t="s">
        <v>46</v>
      </c>
      <c r="G219" s="14">
        <v>1899</v>
      </c>
      <c r="H219" s="15">
        <v>1.64</v>
      </c>
      <c r="I219" s="15">
        <v>3.24</v>
      </c>
      <c r="J219" s="15">
        <v>7.772511848341232E-2</v>
      </c>
      <c r="K219" s="15">
        <v>0.15355450236966825</v>
      </c>
      <c r="L219" s="15">
        <v>58.2</v>
      </c>
      <c r="M219" s="15">
        <v>1.5315789473684212</v>
      </c>
      <c r="N219" s="16">
        <v>5.0748359147245153E-2</v>
      </c>
      <c r="O219" s="16">
        <v>0.10025895343724044</v>
      </c>
      <c r="P219" s="17">
        <f>IFERROR(G219/(G219+Priors!$H$3),0)</f>
        <v>0.65505346671265952</v>
      </c>
      <c r="Q219" s="18">
        <f>IF(E219="Premier League",Priors!$H$4,IF(E219="Championship",Priors!$H$5,Priors!$H$8))</f>
        <v>1</v>
      </c>
      <c r="R219" s="19" t="b">
        <v>0</v>
      </c>
      <c r="S219" s="18">
        <f>IF(R219=TRUE,Priors!$H$6,1)</f>
        <v>1</v>
      </c>
      <c r="T219" s="19" t="b">
        <v>1</v>
      </c>
      <c r="U219" s="18">
        <f>IF(T219=TRUE,Priors!$H$7,1)</f>
        <v>0.9</v>
      </c>
      <c r="V219" s="18">
        <f t="shared" si="18"/>
        <v>0.58954812004139356</v>
      </c>
      <c r="W219" s="20">
        <f>VLOOKUP(D219,Priors!$A$3:$C$6,2,FALSE)</f>
        <v>0.10751786102217777</v>
      </c>
      <c r="X219" s="20">
        <f>VLOOKUP(D219,Priors!$A$3:$C$6,3,FALSE)</f>
        <v>9.0240671969462088E-2</v>
      </c>
      <c r="Y219" s="20">
        <f t="shared" si="19"/>
        <v>7.4049507916124871E-2</v>
      </c>
      <c r="Z219" s="20">
        <f t="shared" si="20"/>
        <v>9.6146930974836342E-2</v>
      </c>
      <c r="AA219" s="21">
        <v>1</v>
      </c>
      <c r="AB219" s="21">
        <v>1</v>
      </c>
      <c r="AC219" s="22">
        <f t="shared" si="21"/>
        <v>7.4049507916124871E-2</v>
      </c>
      <c r="AD219" s="22">
        <f t="shared" si="22"/>
        <v>9.6146930974836342E-2</v>
      </c>
      <c r="AE219" s="22">
        <f t="shared" si="23"/>
        <v>0.41045187995860644</v>
      </c>
      <c r="AF219" s="7" t="s">
        <v>1643</v>
      </c>
      <c r="AG219" s="7"/>
      <c r="AH219" s="7"/>
      <c r="AI219" s="7">
        <v>8</v>
      </c>
      <c r="AJ219" s="8" t="b">
        <v>1</v>
      </c>
      <c r="AK219" s="28" t="s">
        <v>1644</v>
      </c>
      <c r="AL219" s="28" t="s">
        <v>1645</v>
      </c>
      <c r="AM219" s="28"/>
      <c r="AN219" s="7"/>
      <c r="AO219" s="7">
        <v>0</v>
      </c>
      <c r="AP219" s="8" t="b">
        <v>0</v>
      </c>
      <c r="AQ219" s="28" t="s">
        <v>1646</v>
      </c>
    </row>
    <row r="220" spans="1:43" ht="30">
      <c r="A220" s="7">
        <v>215</v>
      </c>
      <c r="B220" s="7" t="s">
        <v>715</v>
      </c>
      <c r="C220" s="7" t="s">
        <v>46</v>
      </c>
      <c r="D220" s="7" t="s">
        <v>112</v>
      </c>
      <c r="E220" s="7" t="s">
        <v>1642</v>
      </c>
      <c r="F220" s="7" t="s">
        <v>46</v>
      </c>
      <c r="G220" s="14">
        <v>785</v>
      </c>
      <c r="H220" s="15">
        <v>2.38</v>
      </c>
      <c r="I220" s="15">
        <v>0.39</v>
      </c>
      <c r="J220" s="15">
        <v>0.27286624203821652</v>
      </c>
      <c r="K220" s="15">
        <v>4.4713375796178345E-2</v>
      </c>
      <c r="L220" s="15">
        <v>58.2</v>
      </c>
      <c r="M220" s="15">
        <v>1.5315789473684212</v>
      </c>
      <c r="N220" s="16">
        <v>0.17816008930330288</v>
      </c>
      <c r="O220" s="16">
        <v>2.9194300348020223E-2</v>
      </c>
      <c r="P220" s="17">
        <f>IFERROR(G220/(G220+Priors!$H$3),0)</f>
        <v>0.43977591036414565</v>
      </c>
      <c r="Q220" s="18">
        <f>IF(E220="Premier League",Priors!$H$4,IF(E220="Championship",Priors!$H$5,Priors!$H$8))</f>
        <v>1</v>
      </c>
      <c r="R220" s="19" t="b">
        <v>0</v>
      </c>
      <c r="S220" s="18">
        <f>IF(R220=TRUE,Priors!$H$6,1)</f>
        <v>1</v>
      </c>
      <c r="T220" s="19" t="b">
        <v>1</v>
      </c>
      <c r="U220" s="18">
        <f>IF(T220=TRUE,Priors!$H$7,1)</f>
        <v>0.9</v>
      </c>
      <c r="V220" s="18">
        <f t="shared" si="18"/>
        <v>0.39579831932773107</v>
      </c>
      <c r="W220" s="20">
        <f>VLOOKUP(D220,Priors!$A$3:$C$6,2,FALSE)</f>
        <v>0.10751786102217777</v>
      </c>
      <c r="X220" s="20">
        <f>VLOOKUP(D220,Priors!$A$3:$C$6,3,FALSE)</f>
        <v>9.0240671969462088E-2</v>
      </c>
      <c r="Y220" s="20">
        <f t="shared" si="19"/>
        <v>0.13547793624941301</v>
      </c>
      <c r="Z220" s="20">
        <f t="shared" si="20"/>
        <v>6.6078620680639313E-2</v>
      </c>
      <c r="AA220" s="21">
        <v>1</v>
      </c>
      <c r="AB220" s="21">
        <v>1</v>
      </c>
      <c r="AC220" s="22">
        <f t="shared" si="21"/>
        <v>0.13547793624941301</v>
      </c>
      <c r="AD220" s="22">
        <f t="shared" si="22"/>
        <v>6.6078620680639313E-2</v>
      </c>
      <c r="AE220" s="22">
        <f t="shared" si="23"/>
        <v>0.60420168067226898</v>
      </c>
      <c r="AF220" s="7" t="s">
        <v>1643</v>
      </c>
      <c r="AG220" s="7">
        <v>3</v>
      </c>
      <c r="AH220" s="7">
        <v>3</v>
      </c>
      <c r="AI220" s="7"/>
      <c r="AJ220" s="8" t="b">
        <v>1</v>
      </c>
      <c r="AK220" s="28" t="s">
        <v>1644</v>
      </c>
      <c r="AL220" s="28" t="s">
        <v>1645</v>
      </c>
      <c r="AM220" s="28"/>
      <c r="AN220" s="7"/>
      <c r="AO220" s="7">
        <v>0</v>
      </c>
      <c r="AP220" s="8" t="b">
        <v>0</v>
      </c>
      <c r="AQ220" s="28" t="s">
        <v>1646</v>
      </c>
    </row>
    <row r="221" spans="1:43" ht="30">
      <c r="A221" s="7">
        <v>216</v>
      </c>
      <c r="B221" s="7" t="s">
        <v>718</v>
      </c>
      <c r="C221" s="7" t="s">
        <v>46</v>
      </c>
      <c r="D221" s="7" t="s">
        <v>112</v>
      </c>
      <c r="E221" s="7" t="s">
        <v>1642</v>
      </c>
      <c r="F221" s="7" t="s">
        <v>46</v>
      </c>
      <c r="G221" s="14">
        <v>40</v>
      </c>
      <c r="H221" s="15">
        <v>0</v>
      </c>
      <c r="I221" s="15">
        <v>0.04</v>
      </c>
      <c r="J221" s="15">
        <v>0</v>
      </c>
      <c r="K221" s="15">
        <v>0.09</v>
      </c>
      <c r="L221" s="15">
        <v>58.2</v>
      </c>
      <c r="M221" s="15">
        <v>1.5315789473684212</v>
      </c>
      <c r="N221" s="16">
        <v>0</v>
      </c>
      <c r="O221" s="16">
        <v>5.8762886597938137E-2</v>
      </c>
      <c r="P221" s="17">
        <f>IFERROR(G221/(G221+Priors!$H$3),0)</f>
        <v>3.8461538461538464E-2</v>
      </c>
      <c r="Q221" s="18">
        <f>IF(E221="Premier League",Priors!$H$4,IF(E221="Championship",Priors!$H$5,Priors!$H$8))</f>
        <v>1</v>
      </c>
      <c r="R221" s="19" t="b">
        <v>0</v>
      </c>
      <c r="S221" s="18">
        <f>IF(R221=TRUE,Priors!$H$6,1)</f>
        <v>1</v>
      </c>
      <c r="T221" s="19" t="b">
        <v>1</v>
      </c>
      <c r="U221" s="18">
        <f>IF(T221=TRUE,Priors!$H$7,1)</f>
        <v>0.9</v>
      </c>
      <c r="V221" s="18">
        <f t="shared" si="18"/>
        <v>3.4615384615384617E-2</v>
      </c>
      <c r="W221" s="20">
        <f>VLOOKUP(D221,Priors!$A$3:$C$6,2,FALSE)</f>
        <v>0.10751786102217777</v>
      </c>
      <c r="X221" s="20">
        <f>VLOOKUP(D221,Priors!$A$3:$C$6,3,FALSE)</f>
        <v>9.0240671969462088E-2</v>
      </c>
      <c r="Y221" s="20">
        <f t="shared" si="19"/>
        <v>0.10379608890987162</v>
      </c>
      <c r="Z221" s="20">
        <f t="shared" si="20"/>
        <v>8.9151056321986263E-2</v>
      </c>
      <c r="AA221" s="21">
        <v>1</v>
      </c>
      <c r="AB221" s="21">
        <v>1</v>
      </c>
      <c r="AC221" s="22">
        <f t="shared" si="21"/>
        <v>0.10379608890987162</v>
      </c>
      <c r="AD221" s="22">
        <f t="shared" si="22"/>
        <v>8.9151056321986263E-2</v>
      </c>
      <c r="AE221" s="22">
        <f t="shared" si="23"/>
        <v>0.9653846153846154</v>
      </c>
      <c r="AF221" s="7" t="s">
        <v>1643</v>
      </c>
      <c r="AG221" s="7"/>
      <c r="AH221" s="7"/>
      <c r="AI221" s="7"/>
      <c r="AJ221" s="8" t="b">
        <v>1</v>
      </c>
      <c r="AK221" s="28" t="s">
        <v>1644</v>
      </c>
      <c r="AL221" s="28" t="s">
        <v>1645</v>
      </c>
      <c r="AM221" s="28"/>
      <c r="AN221" s="7"/>
      <c r="AO221" s="7">
        <v>0</v>
      </c>
      <c r="AP221" s="8" t="b">
        <v>0</v>
      </c>
      <c r="AQ221" s="28" t="s">
        <v>1646</v>
      </c>
    </row>
    <row r="222" spans="1:43" ht="15">
      <c r="A222" s="7">
        <v>217</v>
      </c>
      <c r="B222" s="7" t="s">
        <v>721</v>
      </c>
      <c r="C222" s="7" t="s">
        <v>46</v>
      </c>
      <c r="D222" s="7" t="s">
        <v>112</v>
      </c>
      <c r="E222" s="7" t="s">
        <v>1647</v>
      </c>
      <c r="F222" s="7"/>
      <c r="G222" s="14"/>
      <c r="H222" s="15"/>
      <c r="I222" s="15"/>
      <c r="J222" s="15"/>
      <c r="K222" s="15"/>
      <c r="L222" s="15"/>
      <c r="M222" s="15"/>
      <c r="N222" s="16"/>
      <c r="O222" s="16"/>
      <c r="P222" s="17">
        <f>IFERROR(G222/(G222+Priors!$H$3),0)</f>
        <v>0</v>
      </c>
      <c r="Q222" s="18">
        <f>IF(E222="Premier League",Priors!$H$4,IF(E222="Championship",Priors!$H$5,Priors!$H$8))</f>
        <v>0</v>
      </c>
      <c r="R222" s="19" t="b">
        <v>0</v>
      </c>
      <c r="S222" s="18">
        <f>IF(R222=TRUE,Priors!$H$6,1)</f>
        <v>1</v>
      </c>
      <c r="T222" s="19" t="b">
        <v>1</v>
      </c>
      <c r="U222" s="18">
        <f>IF(T222=TRUE,Priors!$H$7,1)</f>
        <v>0.9</v>
      </c>
      <c r="V222" s="18">
        <f t="shared" si="18"/>
        <v>0</v>
      </c>
      <c r="W222" s="20">
        <f>VLOOKUP(D222,Priors!$A$3:$C$6,2,FALSE)</f>
        <v>0.10751786102217777</v>
      </c>
      <c r="X222" s="20">
        <f>VLOOKUP(D222,Priors!$A$3:$C$6,3,FALSE)</f>
        <v>9.0240671969462088E-2</v>
      </c>
      <c r="Y222" s="20">
        <f t="shared" si="19"/>
        <v>0.10751786102217777</v>
      </c>
      <c r="Z222" s="20">
        <f t="shared" si="20"/>
        <v>9.0240671969462088E-2</v>
      </c>
      <c r="AA222" s="21">
        <v>1</v>
      </c>
      <c r="AB222" s="21">
        <v>1</v>
      </c>
      <c r="AC222" s="22">
        <f t="shared" si="21"/>
        <v>0.10751786102217777</v>
      </c>
      <c r="AD222" s="22">
        <f t="shared" si="22"/>
        <v>9.0240671969462088E-2</v>
      </c>
      <c r="AE222" s="22">
        <f t="shared" si="23"/>
        <v>1</v>
      </c>
      <c r="AF222" s="7" t="s">
        <v>1647</v>
      </c>
      <c r="AG222" s="7"/>
      <c r="AH222" s="7"/>
      <c r="AI222" s="7"/>
      <c r="AJ222" s="8" t="b">
        <v>1</v>
      </c>
      <c r="AK222" s="28" t="s">
        <v>1648</v>
      </c>
      <c r="AL222" s="28"/>
      <c r="AM222" s="28"/>
      <c r="AN222" s="7"/>
      <c r="AO222" s="7">
        <v>0</v>
      </c>
      <c r="AP222" s="8" t="b">
        <v>0</v>
      </c>
      <c r="AQ222" s="28" t="s">
        <v>1646</v>
      </c>
    </row>
    <row r="223" spans="1:43" ht="15">
      <c r="A223" s="7">
        <v>218</v>
      </c>
      <c r="B223" s="7" t="s">
        <v>723</v>
      </c>
      <c r="C223" s="7" t="s">
        <v>46</v>
      </c>
      <c r="D223" s="7" t="s">
        <v>112</v>
      </c>
      <c r="E223" s="7" t="s">
        <v>1647</v>
      </c>
      <c r="F223" s="7"/>
      <c r="G223" s="14"/>
      <c r="H223" s="15"/>
      <c r="I223" s="15"/>
      <c r="J223" s="15"/>
      <c r="K223" s="15"/>
      <c r="L223" s="15"/>
      <c r="M223" s="15"/>
      <c r="N223" s="16"/>
      <c r="O223" s="16"/>
      <c r="P223" s="17">
        <f>IFERROR(G223/(G223+Priors!$H$3),0)</f>
        <v>0</v>
      </c>
      <c r="Q223" s="18">
        <f>IF(E223="Premier League",Priors!$H$4,IF(E223="Championship",Priors!$H$5,Priors!$H$8))</f>
        <v>0</v>
      </c>
      <c r="R223" s="19" t="b">
        <v>0</v>
      </c>
      <c r="S223" s="18">
        <f>IF(R223=TRUE,Priors!$H$6,1)</f>
        <v>1</v>
      </c>
      <c r="T223" s="19" t="b">
        <v>1</v>
      </c>
      <c r="U223" s="18">
        <f>IF(T223=TRUE,Priors!$H$7,1)</f>
        <v>0.9</v>
      </c>
      <c r="V223" s="18">
        <f t="shared" si="18"/>
        <v>0</v>
      </c>
      <c r="W223" s="20">
        <f>VLOOKUP(D223,Priors!$A$3:$C$6,2,FALSE)</f>
        <v>0.10751786102217777</v>
      </c>
      <c r="X223" s="20">
        <f>VLOOKUP(D223,Priors!$A$3:$C$6,3,FALSE)</f>
        <v>9.0240671969462088E-2</v>
      </c>
      <c r="Y223" s="20">
        <f t="shared" si="19"/>
        <v>0.10751786102217777</v>
      </c>
      <c r="Z223" s="20">
        <f t="shared" si="20"/>
        <v>9.0240671969462088E-2</v>
      </c>
      <c r="AA223" s="21">
        <v>1</v>
      </c>
      <c r="AB223" s="21">
        <v>1</v>
      </c>
      <c r="AC223" s="22">
        <f t="shared" si="21"/>
        <v>0.10751786102217777</v>
      </c>
      <c r="AD223" s="22">
        <f t="shared" si="22"/>
        <v>9.0240671969462088E-2</v>
      </c>
      <c r="AE223" s="22">
        <f t="shared" si="23"/>
        <v>1</v>
      </c>
      <c r="AF223" s="7" t="s">
        <v>1647</v>
      </c>
      <c r="AG223" s="7"/>
      <c r="AH223" s="7"/>
      <c r="AI223" s="7"/>
      <c r="AJ223" s="8" t="b">
        <v>1</v>
      </c>
      <c r="AK223" s="28" t="s">
        <v>1648</v>
      </c>
      <c r="AL223" s="28"/>
      <c r="AM223" s="28"/>
      <c r="AN223" s="7"/>
      <c r="AO223" s="7">
        <v>1</v>
      </c>
      <c r="AP223" s="8" t="b">
        <v>1</v>
      </c>
      <c r="AQ223" s="28" t="s">
        <v>1649</v>
      </c>
    </row>
    <row r="224" spans="1:43" ht="15">
      <c r="A224" s="7">
        <v>219</v>
      </c>
      <c r="B224" s="7" t="s">
        <v>726</v>
      </c>
      <c r="C224" s="7" t="s">
        <v>46</v>
      </c>
      <c r="D224" s="7" t="s">
        <v>112</v>
      </c>
      <c r="E224" s="7" t="s">
        <v>1647</v>
      </c>
      <c r="F224" s="7"/>
      <c r="G224" s="14"/>
      <c r="H224" s="15"/>
      <c r="I224" s="15"/>
      <c r="J224" s="15"/>
      <c r="K224" s="15"/>
      <c r="L224" s="15"/>
      <c r="M224" s="15"/>
      <c r="N224" s="16"/>
      <c r="O224" s="16"/>
      <c r="P224" s="17">
        <f>IFERROR(G224/(G224+Priors!$H$3),0)</f>
        <v>0</v>
      </c>
      <c r="Q224" s="18">
        <f>IF(E224="Premier League",Priors!$H$4,IF(E224="Championship",Priors!$H$5,Priors!$H$8))</f>
        <v>0</v>
      </c>
      <c r="R224" s="19" t="b">
        <v>0</v>
      </c>
      <c r="S224" s="18">
        <f>IF(R224=TRUE,Priors!$H$6,1)</f>
        <v>1</v>
      </c>
      <c r="T224" s="19" t="b">
        <v>1</v>
      </c>
      <c r="U224" s="18">
        <f>IF(T224=TRUE,Priors!$H$7,1)</f>
        <v>0.9</v>
      </c>
      <c r="V224" s="18">
        <f t="shared" si="18"/>
        <v>0</v>
      </c>
      <c r="W224" s="20">
        <f>VLOOKUP(D224,Priors!$A$3:$C$6,2,FALSE)</f>
        <v>0.10751786102217777</v>
      </c>
      <c r="X224" s="20">
        <f>VLOOKUP(D224,Priors!$A$3:$C$6,3,FALSE)</f>
        <v>9.0240671969462088E-2</v>
      </c>
      <c r="Y224" s="20">
        <f t="shared" si="19"/>
        <v>0.10751786102217777</v>
      </c>
      <c r="Z224" s="20">
        <f t="shared" si="20"/>
        <v>9.0240671969462088E-2</v>
      </c>
      <c r="AA224" s="21">
        <v>1</v>
      </c>
      <c r="AB224" s="21">
        <v>1</v>
      </c>
      <c r="AC224" s="22">
        <f t="shared" si="21"/>
        <v>0.10751786102217777</v>
      </c>
      <c r="AD224" s="22">
        <f t="shared" si="22"/>
        <v>9.0240671969462088E-2</v>
      </c>
      <c r="AE224" s="22">
        <f t="shared" si="23"/>
        <v>1</v>
      </c>
      <c r="AF224" s="7" t="s">
        <v>1647</v>
      </c>
      <c r="AG224" s="7"/>
      <c r="AH224" s="7"/>
      <c r="AI224" s="7"/>
      <c r="AJ224" s="8" t="b">
        <v>1</v>
      </c>
      <c r="AK224" s="28" t="s">
        <v>1648</v>
      </c>
      <c r="AL224" s="28"/>
      <c r="AM224" s="28"/>
      <c r="AN224" s="7">
        <v>2</v>
      </c>
      <c r="AO224" s="7">
        <v>0</v>
      </c>
      <c r="AP224" s="8" t="b">
        <v>1</v>
      </c>
      <c r="AQ224" s="28" t="s">
        <v>1649</v>
      </c>
    </row>
    <row r="225" spans="1:43" ht="30">
      <c r="A225" s="7">
        <v>220</v>
      </c>
      <c r="B225" s="7" t="s">
        <v>729</v>
      </c>
      <c r="C225" s="7" t="s">
        <v>46</v>
      </c>
      <c r="D225" s="7" t="s">
        <v>99</v>
      </c>
      <c r="E225" s="7" t="s">
        <v>1642</v>
      </c>
      <c r="F225" s="7" t="s">
        <v>46</v>
      </c>
      <c r="G225" s="14">
        <v>90</v>
      </c>
      <c r="H225" s="15">
        <v>0.02</v>
      </c>
      <c r="I225" s="15">
        <v>0.16</v>
      </c>
      <c r="J225" s="15">
        <v>0.02</v>
      </c>
      <c r="K225" s="15">
        <v>0.16</v>
      </c>
      <c r="L225" s="15">
        <v>58.2</v>
      </c>
      <c r="M225" s="15">
        <v>1.5315789473684212</v>
      </c>
      <c r="N225" s="16">
        <v>1.3058419243986253E-2</v>
      </c>
      <c r="O225" s="16">
        <v>0.10446735395189002</v>
      </c>
      <c r="P225" s="17">
        <f>IFERROR(G225/(G225+Priors!$H$3),0)</f>
        <v>8.2568807339449546E-2</v>
      </c>
      <c r="Q225" s="18">
        <f>IF(E225="Premier League",Priors!$H$4,IF(E225="Championship",Priors!$H$5,Priors!$H$8))</f>
        <v>1</v>
      </c>
      <c r="R225" s="19" t="b">
        <v>0</v>
      </c>
      <c r="S225" s="18">
        <f>IF(R225=TRUE,Priors!$H$6,1)</f>
        <v>1</v>
      </c>
      <c r="T225" s="19" t="b">
        <v>1</v>
      </c>
      <c r="U225" s="18">
        <f>IF(T225=TRUE,Priors!$H$7,1)</f>
        <v>0.9</v>
      </c>
      <c r="V225" s="18">
        <f t="shared" si="18"/>
        <v>7.4311926605504591E-2</v>
      </c>
      <c r="W225" s="20">
        <f>VLOOKUP(D225,Priors!$A$3:$C$6,2,FALSE)</f>
        <v>4.1142361271531161E-2</v>
      </c>
      <c r="X225" s="20">
        <f>VLOOKUP(D225,Priors!$A$3:$C$6,3,FALSE)</f>
        <v>4.0513079897554365E-2</v>
      </c>
      <c r="Y225" s="20">
        <f t="shared" si="19"/>
        <v>3.9055389432786997E-2</v>
      </c>
      <c r="Z225" s="20">
        <f t="shared" si="20"/>
        <v>4.5265645217188483E-2</v>
      </c>
      <c r="AA225" s="21">
        <v>1</v>
      </c>
      <c r="AB225" s="21">
        <v>1</v>
      </c>
      <c r="AC225" s="22">
        <f t="shared" si="21"/>
        <v>3.9055389432786997E-2</v>
      </c>
      <c r="AD225" s="22">
        <f t="shared" si="22"/>
        <v>4.5265645217188483E-2</v>
      </c>
      <c r="AE225" s="22">
        <f t="shared" si="23"/>
        <v>0.92568807339449544</v>
      </c>
      <c r="AF225" s="7" t="s">
        <v>1643</v>
      </c>
      <c r="AG225" s="7"/>
      <c r="AH225" s="7"/>
      <c r="AI225" s="7"/>
      <c r="AJ225" s="8" t="b">
        <v>1</v>
      </c>
      <c r="AK225" s="28" t="s">
        <v>1644</v>
      </c>
      <c r="AL225" s="28" t="s">
        <v>1645</v>
      </c>
      <c r="AM225" s="28"/>
      <c r="AN225" s="7"/>
      <c r="AO225" s="7">
        <v>0</v>
      </c>
      <c r="AP225" s="8" t="b">
        <v>0</v>
      </c>
      <c r="AQ225" s="28" t="s">
        <v>1646</v>
      </c>
    </row>
    <row r="226" spans="1:43" ht="30">
      <c r="A226" s="7">
        <v>221</v>
      </c>
      <c r="B226" s="7" t="s">
        <v>731</v>
      </c>
      <c r="C226" s="7" t="s">
        <v>46</v>
      </c>
      <c r="D226" s="7" t="s">
        <v>112</v>
      </c>
      <c r="E226" s="7" t="s">
        <v>1642</v>
      </c>
      <c r="F226" s="7" t="s">
        <v>46</v>
      </c>
      <c r="G226" s="14">
        <v>7</v>
      </c>
      <c r="H226" s="15">
        <v>0</v>
      </c>
      <c r="I226" s="15">
        <v>0</v>
      </c>
      <c r="J226" s="15">
        <v>0</v>
      </c>
      <c r="K226" s="15">
        <v>0</v>
      </c>
      <c r="L226" s="15">
        <v>58.2</v>
      </c>
      <c r="M226" s="15">
        <v>1.5315789473684212</v>
      </c>
      <c r="N226" s="16">
        <v>0</v>
      </c>
      <c r="O226" s="16">
        <v>0</v>
      </c>
      <c r="P226" s="17">
        <f>IFERROR(G226/(G226+Priors!$H$3),0)</f>
        <v>6.9513406156901684E-3</v>
      </c>
      <c r="Q226" s="18">
        <f>IF(E226="Premier League",Priors!$H$4,IF(E226="Championship",Priors!$H$5,Priors!$H$8))</f>
        <v>1</v>
      </c>
      <c r="R226" s="19" t="b">
        <v>0</v>
      </c>
      <c r="S226" s="18">
        <f>IF(R226=TRUE,Priors!$H$6,1)</f>
        <v>1</v>
      </c>
      <c r="T226" s="19" t="b">
        <v>1</v>
      </c>
      <c r="U226" s="18">
        <f>IF(T226=TRUE,Priors!$H$7,1)</f>
        <v>0.9</v>
      </c>
      <c r="V226" s="18">
        <f t="shared" si="18"/>
        <v>6.256206554121152E-3</v>
      </c>
      <c r="W226" s="20">
        <f>VLOOKUP(D226,Priors!$A$3:$C$6,2,FALSE)</f>
        <v>0.10751786102217777</v>
      </c>
      <c r="X226" s="20">
        <f>VLOOKUP(D226,Priors!$A$3:$C$6,3,FALSE)</f>
        <v>9.0240671969462088E-2</v>
      </c>
      <c r="Y226" s="20">
        <f t="shared" si="19"/>
        <v>0.10684520707536573</v>
      </c>
      <c r="Z226" s="20">
        <f t="shared" si="20"/>
        <v>8.9676107686038439E-2</v>
      </c>
      <c r="AA226" s="21">
        <v>1</v>
      </c>
      <c r="AB226" s="21">
        <v>1</v>
      </c>
      <c r="AC226" s="22">
        <f t="shared" si="21"/>
        <v>0.10684520707536573</v>
      </c>
      <c r="AD226" s="22">
        <f t="shared" si="22"/>
        <v>8.9676107686038439E-2</v>
      </c>
      <c r="AE226" s="22">
        <f t="shared" si="23"/>
        <v>0.99374379344587882</v>
      </c>
      <c r="AF226" s="7" t="s">
        <v>1643</v>
      </c>
      <c r="AG226" s="7"/>
      <c r="AH226" s="7"/>
      <c r="AI226" s="7"/>
      <c r="AJ226" s="8" t="b">
        <v>1</v>
      </c>
      <c r="AK226" s="28" t="s">
        <v>1644</v>
      </c>
      <c r="AL226" s="28" t="s">
        <v>1645</v>
      </c>
      <c r="AM226" s="28"/>
      <c r="AN226" s="7"/>
      <c r="AO226" s="7">
        <v>0</v>
      </c>
      <c r="AP226" s="8" t="b">
        <v>0</v>
      </c>
      <c r="AQ226" s="28" t="s">
        <v>1646</v>
      </c>
    </row>
    <row r="227" spans="1:43" ht="30">
      <c r="A227" s="7">
        <v>222</v>
      </c>
      <c r="B227" s="7" t="s">
        <v>734</v>
      </c>
      <c r="C227" s="7" t="s">
        <v>46</v>
      </c>
      <c r="D227" s="7" t="s">
        <v>167</v>
      </c>
      <c r="E227" s="7" t="s">
        <v>1642</v>
      </c>
      <c r="F227" s="7" t="s">
        <v>46</v>
      </c>
      <c r="G227" s="14">
        <v>2301</v>
      </c>
      <c r="H227" s="15">
        <v>5.3</v>
      </c>
      <c r="I227" s="15">
        <v>1.1200000000000001</v>
      </c>
      <c r="J227" s="15">
        <v>0.20730117340286833</v>
      </c>
      <c r="K227" s="15">
        <v>4.3807040417209911E-2</v>
      </c>
      <c r="L227" s="15">
        <v>58.2</v>
      </c>
      <c r="M227" s="15">
        <v>1.5315789473684212</v>
      </c>
      <c r="N227" s="16">
        <v>0.13535128160324736</v>
      </c>
      <c r="O227" s="16">
        <v>2.8602534980308875E-2</v>
      </c>
      <c r="P227" s="17">
        <f>IFERROR(G227/(G227+Priors!$H$3),0)</f>
        <v>0.69706149651620719</v>
      </c>
      <c r="Q227" s="18">
        <f>IF(E227="Premier League",Priors!$H$4,IF(E227="Championship",Priors!$H$5,Priors!$H$8))</f>
        <v>1</v>
      </c>
      <c r="R227" s="19" t="b">
        <v>0</v>
      </c>
      <c r="S227" s="18">
        <f>IF(R227=TRUE,Priors!$H$6,1)</f>
        <v>1</v>
      </c>
      <c r="T227" s="19" t="b">
        <v>1</v>
      </c>
      <c r="U227" s="18">
        <f>IF(T227=TRUE,Priors!$H$7,1)</f>
        <v>0.9</v>
      </c>
      <c r="V227" s="18">
        <f t="shared" si="18"/>
        <v>0.62735534686458649</v>
      </c>
      <c r="W227" s="20">
        <f>VLOOKUP(D227,Priors!$A$3:$C$6,2,FALSE)</f>
        <v>0.30461525508032317</v>
      </c>
      <c r="X227" s="20">
        <f>VLOOKUP(D227,Priors!$A$3:$C$6,3,FALSE)</f>
        <v>3.9258061548584466E-2</v>
      </c>
      <c r="Y227" s="20">
        <f t="shared" si="19"/>
        <v>0.1984265962879341</v>
      </c>
      <c r="Z227" s="20">
        <f t="shared" si="20"/>
        <v>3.2573259982319115E-2</v>
      </c>
      <c r="AA227" s="21">
        <v>1</v>
      </c>
      <c r="AB227" s="21">
        <v>1</v>
      </c>
      <c r="AC227" s="22">
        <f t="shared" si="21"/>
        <v>0.1984265962879341</v>
      </c>
      <c r="AD227" s="22">
        <f t="shared" si="22"/>
        <v>3.2573259982319115E-2</v>
      </c>
      <c r="AE227" s="22">
        <f t="shared" si="23"/>
        <v>0.37264465313541351</v>
      </c>
      <c r="AF227" s="7" t="s">
        <v>1643</v>
      </c>
      <c r="AG227" s="7"/>
      <c r="AH227" s="7"/>
      <c r="AI227" s="7"/>
      <c r="AJ227" s="8" t="b">
        <v>1</v>
      </c>
      <c r="AK227" s="28" t="s">
        <v>1644</v>
      </c>
      <c r="AL227" s="28" t="s">
        <v>1645</v>
      </c>
      <c r="AM227" s="28"/>
      <c r="AN227" s="7"/>
      <c r="AO227" s="7">
        <v>0</v>
      </c>
      <c r="AP227" s="8" t="b">
        <v>0</v>
      </c>
      <c r="AQ227" s="28" t="s">
        <v>1646</v>
      </c>
    </row>
    <row r="228" spans="1:43" ht="30">
      <c r="A228" s="7">
        <v>223</v>
      </c>
      <c r="B228" s="7" t="s">
        <v>737</v>
      </c>
      <c r="C228" s="7" t="s">
        <v>46</v>
      </c>
      <c r="D228" s="7" t="s">
        <v>167</v>
      </c>
      <c r="E228" s="7" t="s">
        <v>1642</v>
      </c>
      <c r="F228" s="7" t="s">
        <v>46</v>
      </c>
      <c r="G228" s="14">
        <v>2210</v>
      </c>
      <c r="H228" s="15">
        <v>14.42</v>
      </c>
      <c r="I228" s="15">
        <v>1.32</v>
      </c>
      <c r="J228" s="15">
        <v>0.58723981900452482</v>
      </c>
      <c r="K228" s="15">
        <v>5.375565610859729E-2</v>
      </c>
      <c r="L228" s="15">
        <v>58.2</v>
      </c>
      <c r="M228" s="15">
        <v>1.5315789473684212</v>
      </c>
      <c r="N228" s="16">
        <v>0.38342118766618455</v>
      </c>
      <c r="O228" s="16">
        <v>3.5098194710080702E-2</v>
      </c>
      <c r="P228" s="17">
        <f>IFERROR(G228/(G228+Priors!$H$3),0)</f>
        <v>0.68847352024922115</v>
      </c>
      <c r="Q228" s="18">
        <f>IF(E228="Premier League",Priors!$H$4,IF(E228="Championship",Priors!$H$5,Priors!$H$8))</f>
        <v>1</v>
      </c>
      <c r="R228" s="19" t="b">
        <v>0</v>
      </c>
      <c r="S228" s="18">
        <f>IF(R228=TRUE,Priors!$H$6,1)</f>
        <v>1</v>
      </c>
      <c r="T228" s="19" t="b">
        <v>1</v>
      </c>
      <c r="U228" s="18">
        <f>IF(T228=TRUE,Priors!$H$7,1)</f>
        <v>0.9</v>
      </c>
      <c r="V228" s="18">
        <f t="shared" si="18"/>
        <v>0.61962616822429906</v>
      </c>
      <c r="W228" s="20">
        <f>VLOOKUP(D228,Priors!$A$3:$C$6,2,FALSE)</f>
        <v>0.30461525508032317</v>
      </c>
      <c r="X228" s="20">
        <f>VLOOKUP(D228,Priors!$A$3:$C$6,3,FALSE)</f>
        <v>3.9258061548584466E-2</v>
      </c>
      <c r="Y228" s="20">
        <f t="shared" si="19"/>
        <v>0.35344547312184288</v>
      </c>
      <c r="Z228" s="20">
        <f t="shared" si="20"/>
        <v>3.6680499199119053E-2</v>
      </c>
      <c r="AA228" s="21">
        <v>1</v>
      </c>
      <c r="AB228" s="21">
        <v>1</v>
      </c>
      <c r="AC228" s="22">
        <f t="shared" si="21"/>
        <v>0.35344547312184288</v>
      </c>
      <c r="AD228" s="22">
        <f t="shared" si="22"/>
        <v>3.6680499199119053E-2</v>
      </c>
      <c r="AE228" s="22">
        <f t="shared" si="23"/>
        <v>0.38037383177570094</v>
      </c>
      <c r="AF228" s="7" t="s">
        <v>1643</v>
      </c>
      <c r="AG228" s="7">
        <v>1</v>
      </c>
      <c r="AH228" s="7"/>
      <c r="AI228" s="7"/>
      <c r="AJ228" s="8" t="b">
        <v>1</v>
      </c>
      <c r="AK228" s="28" t="s">
        <v>1644</v>
      </c>
      <c r="AL228" s="28" t="s">
        <v>1645</v>
      </c>
      <c r="AM228" s="28"/>
      <c r="AN228" s="7"/>
      <c r="AO228" s="7">
        <v>0</v>
      </c>
      <c r="AP228" s="8" t="b">
        <v>0</v>
      </c>
      <c r="AQ228" s="28" t="s">
        <v>1646</v>
      </c>
    </row>
    <row r="229" spans="1:43" ht="30">
      <c r="A229" s="7">
        <v>224</v>
      </c>
      <c r="B229" s="7" t="s">
        <v>740</v>
      </c>
      <c r="C229" s="7" t="s">
        <v>46</v>
      </c>
      <c r="D229" s="7" t="s">
        <v>167</v>
      </c>
      <c r="E229" s="7" t="s">
        <v>1642</v>
      </c>
      <c r="F229" s="7" t="s">
        <v>46</v>
      </c>
      <c r="G229" s="14">
        <v>414</v>
      </c>
      <c r="H229" s="15">
        <v>1.77</v>
      </c>
      <c r="I229" s="15">
        <v>0.46</v>
      </c>
      <c r="J229" s="15">
        <v>0.38478260869565223</v>
      </c>
      <c r="K229" s="15">
        <v>9.9999999999999992E-2</v>
      </c>
      <c r="L229" s="15">
        <v>58.2</v>
      </c>
      <c r="M229" s="15">
        <v>1.5315789473684212</v>
      </c>
      <c r="N229" s="16">
        <v>0.25123263110712685</v>
      </c>
      <c r="O229" s="16">
        <v>6.5292096219931262E-2</v>
      </c>
      <c r="P229" s="17">
        <f>IFERROR(G229/(G229+Priors!$H$3),0)</f>
        <v>0.29278642149929279</v>
      </c>
      <c r="Q229" s="18">
        <f>IF(E229="Premier League",Priors!$H$4,IF(E229="Championship",Priors!$H$5,Priors!$H$8))</f>
        <v>1</v>
      </c>
      <c r="R229" s="19" t="b">
        <v>0</v>
      </c>
      <c r="S229" s="18">
        <f>IF(R229=TRUE,Priors!$H$6,1)</f>
        <v>1</v>
      </c>
      <c r="T229" s="19" t="b">
        <v>1</v>
      </c>
      <c r="U229" s="18">
        <f>IF(T229=TRUE,Priors!$H$7,1)</f>
        <v>0.9</v>
      </c>
      <c r="V229" s="18">
        <f t="shared" si="18"/>
        <v>0.26350777934936354</v>
      </c>
      <c r="W229" s="20">
        <f>VLOOKUP(D229,Priors!$A$3:$C$6,2,FALSE)</f>
        <v>0.30461525508032317</v>
      </c>
      <c r="X229" s="20">
        <f>VLOOKUP(D229,Priors!$A$3:$C$6,3,FALSE)</f>
        <v>3.9258061548584466E-2</v>
      </c>
      <c r="Y229" s="20">
        <f t="shared" si="19"/>
        <v>0.29054851838130413</v>
      </c>
      <c r="Z229" s="20">
        <f t="shared" si="20"/>
        <v>4.6118232212335394E-2</v>
      </c>
      <c r="AA229" s="21">
        <v>1</v>
      </c>
      <c r="AB229" s="21">
        <v>1</v>
      </c>
      <c r="AC229" s="22">
        <f t="shared" si="21"/>
        <v>0.29054851838130413</v>
      </c>
      <c r="AD229" s="22">
        <f t="shared" si="22"/>
        <v>4.6118232212335394E-2</v>
      </c>
      <c r="AE229" s="22">
        <f t="shared" si="23"/>
        <v>0.73649222065063646</v>
      </c>
      <c r="AF229" s="7" t="s">
        <v>1643</v>
      </c>
      <c r="AG229" s="7"/>
      <c r="AH229" s="7"/>
      <c r="AI229" s="7"/>
      <c r="AJ229" s="8" t="b">
        <v>1</v>
      </c>
      <c r="AK229" s="28" t="s">
        <v>1644</v>
      </c>
      <c r="AL229" s="28" t="s">
        <v>1645</v>
      </c>
      <c r="AM229" s="28"/>
      <c r="AN229" s="7"/>
      <c r="AO229" s="7">
        <v>0</v>
      </c>
      <c r="AP229" s="8" t="b">
        <v>0</v>
      </c>
      <c r="AQ229" s="28" t="s">
        <v>1646</v>
      </c>
    </row>
    <row r="230" spans="1:43" ht="30">
      <c r="A230" s="7">
        <v>225</v>
      </c>
      <c r="B230" s="7" t="s">
        <v>743</v>
      </c>
      <c r="C230" s="7" t="s">
        <v>46</v>
      </c>
      <c r="D230" s="7" t="s">
        <v>167</v>
      </c>
      <c r="E230" s="7" t="s">
        <v>1642</v>
      </c>
      <c r="F230" s="7" t="s">
        <v>46</v>
      </c>
      <c r="G230" s="14">
        <v>159</v>
      </c>
      <c r="H230" s="15">
        <v>0.49</v>
      </c>
      <c r="I230" s="15">
        <v>0.01</v>
      </c>
      <c r="J230" s="15">
        <v>0.27735849056603773</v>
      </c>
      <c r="K230" s="15">
        <v>5.6603773584905665E-3</v>
      </c>
      <c r="L230" s="15">
        <v>58.2</v>
      </c>
      <c r="M230" s="15">
        <v>1.5315789473684212</v>
      </c>
      <c r="N230" s="16">
        <v>0.18109317253452634</v>
      </c>
      <c r="O230" s="16">
        <v>3.6957790313168646E-3</v>
      </c>
      <c r="P230" s="17">
        <f>IFERROR(G230/(G230+Priors!$H$3),0)</f>
        <v>0.13718723037100949</v>
      </c>
      <c r="Q230" s="18">
        <f>IF(E230="Premier League",Priors!$H$4,IF(E230="Championship",Priors!$H$5,Priors!$H$8))</f>
        <v>1</v>
      </c>
      <c r="R230" s="19" t="b">
        <v>0</v>
      </c>
      <c r="S230" s="18">
        <f>IF(R230=TRUE,Priors!$H$6,1)</f>
        <v>1</v>
      </c>
      <c r="T230" s="19" t="b">
        <v>1</v>
      </c>
      <c r="U230" s="18">
        <f>IF(T230=TRUE,Priors!$H$7,1)</f>
        <v>0.9</v>
      </c>
      <c r="V230" s="18">
        <f t="shared" si="18"/>
        <v>0.12346850733390854</v>
      </c>
      <c r="W230" s="20">
        <f>VLOOKUP(D230,Priors!$A$3:$C$6,2,FALSE)</f>
        <v>0.30461525508032317</v>
      </c>
      <c r="X230" s="20">
        <f>VLOOKUP(D230,Priors!$A$3:$C$6,3,FALSE)</f>
        <v>3.9258061548584466E-2</v>
      </c>
      <c r="Y230" s="20">
        <f t="shared" si="19"/>
        <v>0.28936416792561781</v>
      </c>
      <c r="Z230" s="20">
        <f t="shared" si="20"/>
        <v>3.4867239608790686E-2</v>
      </c>
      <c r="AA230" s="21">
        <v>1</v>
      </c>
      <c r="AB230" s="21">
        <v>1</v>
      </c>
      <c r="AC230" s="22">
        <f t="shared" si="21"/>
        <v>0.28936416792561781</v>
      </c>
      <c r="AD230" s="22">
        <f t="shared" si="22"/>
        <v>3.4867239608790686E-2</v>
      </c>
      <c r="AE230" s="22">
        <f t="shared" si="23"/>
        <v>0.87653149266609143</v>
      </c>
      <c r="AF230" s="7" t="s">
        <v>1643</v>
      </c>
      <c r="AG230" s="7"/>
      <c r="AH230" s="7"/>
      <c r="AI230" s="7"/>
      <c r="AJ230" s="8" t="b">
        <v>1</v>
      </c>
      <c r="AK230" s="28" t="s">
        <v>1644</v>
      </c>
      <c r="AL230" s="28" t="s">
        <v>1645</v>
      </c>
      <c r="AM230" s="28"/>
      <c r="AN230" s="7"/>
      <c r="AO230" s="7">
        <v>0</v>
      </c>
      <c r="AP230" s="8" t="b">
        <v>0</v>
      </c>
      <c r="AQ230" s="28" t="s">
        <v>1646</v>
      </c>
    </row>
    <row r="231" spans="1:43" ht="15">
      <c r="A231" s="7">
        <v>555</v>
      </c>
      <c r="B231" s="7" t="s">
        <v>746</v>
      </c>
      <c r="C231" s="7" t="s">
        <v>46</v>
      </c>
      <c r="D231" s="7" t="s">
        <v>85</v>
      </c>
      <c r="E231" s="7" t="s">
        <v>1647</v>
      </c>
      <c r="F231" s="7"/>
      <c r="G231" s="14"/>
      <c r="H231" s="15"/>
      <c r="I231" s="15"/>
      <c r="J231" s="15"/>
      <c r="K231" s="15"/>
      <c r="L231" s="15"/>
      <c r="M231" s="15"/>
      <c r="N231" s="16"/>
      <c r="O231" s="16"/>
      <c r="P231" s="17">
        <f>IFERROR(G231/(G231+Priors!$H$3),0)</f>
        <v>0</v>
      </c>
      <c r="Q231" s="18">
        <f>IF(E231="Premier League",Priors!$H$4,IF(E231="Championship",Priors!$H$5,Priors!$H$8))</f>
        <v>0</v>
      </c>
      <c r="R231" s="19" t="b">
        <v>0</v>
      </c>
      <c r="S231" s="18">
        <f>IF(R231=TRUE,Priors!$H$6,1)</f>
        <v>1</v>
      </c>
      <c r="T231" s="19" t="b">
        <v>1</v>
      </c>
      <c r="U231" s="18">
        <f>IF(T231=TRUE,Priors!$H$7,1)</f>
        <v>0.9</v>
      </c>
      <c r="V231" s="18">
        <f t="shared" si="18"/>
        <v>0</v>
      </c>
      <c r="W231" s="20">
        <f>VLOOKUP(D231,Priors!$A$3:$C$6,2,FALSE)</f>
        <v>1.6719534964712218E-4</v>
      </c>
      <c r="X231" s="20">
        <f>VLOOKUP(D231,Priors!$A$3:$C$6,3,FALSE)</f>
        <v>1.379361634588758E-3</v>
      </c>
      <c r="Y231" s="20">
        <f t="shared" si="19"/>
        <v>1.6719534964712218E-4</v>
      </c>
      <c r="Z231" s="20">
        <f t="shared" si="20"/>
        <v>1.379361634588758E-3</v>
      </c>
      <c r="AA231" s="21">
        <v>1</v>
      </c>
      <c r="AB231" s="21">
        <v>1</v>
      </c>
      <c r="AC231" s="22">
        <f t="shared" si="21"/>
        <v>1.6719534964712218E-4</v>
      </c>
      <c r="AD231" s="22">
        <f t="shared" si="22"/>
        <v>1.379361634588758E-3</v>
      </c>
      <c r="AE231" s="22">
        <f t="shared" si="23"/>
        <v>1</v>
      </c>
      <c r="AF231" s="7" t="s">
        <v>1647</v>
      </c>
      <c r="AG231" s="7"/>
      <c r="AH231" s="7"/>
      <c r="AI231" s="7"/>
      <c r="AJ231" s="8" t="b">
        <v>1</v>
      </c>
      <c r="AK231" s="28" t="s">
        <v>1648</v>
      </c>
      <c r="AL231" s="28"/>
      <c r="AM231" s="28"/>
      <c r="AN231" s="7"/>
      <c r="AO231" s="7">
        <v>0</v>
      </c>
      <c r="AP231" s="8" t="b">
        <v>0</v>
      </c>
      <c r="AQ231" s="28" t="s">
        <v>1646</v>
      </c>
    </row>
    <row r="232" spans="1:43" ht="30">
      <c r="A232" s="7">
        <v>226</v>
      </c>
      <c r="B232" s="7" t="s">
        <v>749</v>
      </c>
      <c r="C232" s="7" t="s">
        <v>47</v>
      </c>
      <c r="D232" s="7" t="s">
        <v>85</v>
      </c>
      <c r="E232" s="7" t="s">
        <v>1642</v>
      </c>
      <c r="F232" s="7" t="s">
        <v>47</v>
      </c>
      <c r="G232" s="14">
        <v>3420</v>
      </c>
      <c r="H232" s="15">
        <v>0</v>
      </c>
      <c r="I232" s="15">
        <v>0.2</v>
      </c>
      <c r="J232" s="15">
        <v>0</v>
      </c>
      <c r="K232" s="15">
        <v>5.263157894736842E-3</v>
      </c>
      <c r="L232" s="15">
        <v>46.7</v>
      </c>
      <c r="M232" s="15">
        <v>1.2289473684210528</v>
      </c>
      <c r="N232" s="16">
        <v>0</v>
      </c>
      <c r="O232" s="16">
        <v>4.282655246252676E-3</v>
      </c>
      <c r="P232" s="17">
        <f>IFERROR(G232/(G232+Priors!$H$3),0)</f>
        <v>0.77375565610859731</v>
      </c>
      <c r="Q232" s="18">
        <f>IF(E232="Premier League",Priors!$H$4,IF(E232="Championship",Priors!$H$5,Priors!$H$8))</f>
        <v>1</v>
      </c>
      <c r="R232" s="19" t="b">
        <v>0</v>
      </c>
      <c r="S232" s="18">
        <f>IF(R232=TRUE,Priors!$H$6,1)</f>
        <v>1</v>
      </c>
      <c r="T232" s="19" t="b">
        <v>0</v>
      </c>
      <c r="U232" s="18">
        <f>IF(T232=TRUE,Priors!$H$7,1)</f>
        <v>1</v>
      </c>
      <c r="V232" s="18">
        <f t="shared" si="18"/>
        <v>0.77375565610859731</v>
      </c>
      <c r="W232" s="20">
        <f>VLOOKUP(D232,Priors!$A$3:$C$6,2,FALSE)</f>
        <v>1.6719534964712218E-4</v>
      </c>
      <c r="X232" s="20">
        <f>VLOOKUP(D232,Priors!$A$3:$C$6,3,FALSE)</f>
        <v>1.379361634588758E-3</v>
      </c>
      <c r="Y232" s="20">
        <f t="shared" si="19"/>
        <v>3.7827002182606826E-5</v>
      </c>
      <c r="Z232" s="20">
        <f t="shared" si="20"/>
        <v>3.6258014879576722E-3</v>
      </c>
      <c r="AA232" s="21">
        <v>1</v>
      </c>
      <c r="AB232" s="21">
        <v>1</v>
      </c>
      <c r="AC232" s="22">
        <f t="shared" si="21"/>
        <v>3.7827002182606826E-5</v>
      </c>
      <c r="AD232" s="22">
        <f t="shared" si="22"/>
        <v>3.6258014879576722E-3</v>
      </c>
      <c r="AE232" s="22">
        <f t="shared" si="23"/>
        <v>0.22624434389140269</v>
      </c>
      <c r="AF232" s="7" t="s">
        <v>1643</v>
      </c>
      <c r="AG232" s="7"/>
      <c r="AH232" s="7"/>
      <c r="AI232" s="7"/>
      <c r="AJ232" s="8" t="b">
        <v>0</v>
      </c>
      <c r="AK232" s="28" t="s">
        <v>1644</v>
      </c>
      <c r="AL232" s="28" t="s">
        <v>1645</v>
      </c>
      <c r="AM232" s="28"/>
      <c r="AN232" s="7"/>
      <c r="AO232" s="7">
        <v>0</v>
      </c>
      <c r="AP232" s="8" t="b">
        <v>0</v>
      </c>
      <c r="AQ232" s="28" t="s">
        <v>1646</v>
      </c>
    </row>
    <row r="233" spans="1:43" ht="15">
      <c r="A233" s="7">
        <v>227</v>
      </c>
      <c r="B233" s="7" t="s">
        <v>754</v>
      </c>
      <c r="C233" s="7" t="s">
        <v>47</v>
      </c>
      <c r="D233" s="7" t="s">
        <v>85</v>
      </c>
      <c r="E233" s="7" t="s">
        <v>1647</v>
      </c>
      <c r="F233" s="7"/>
      <c r="G233" s="14"/>
      <c r="H233" s="15"/>
      <c r="I233" s="15"/>
      <c r="J233" s="15"/>
      <c r="K233" s="15"/>
      <c r="L233" s="15"/>
      <c r="M233" s="15"/>
      <c r="N233" s="16"/>
      <c r="O233" s="16"/>
      <c r="P233" s="17">
        <f>IFERROR(G233/(G233+Priors!$H$3),0)</f>
        <v>0</v>
      </c>
      <c r="Q233" s="18">
        <f>IF(E233="Premier League",Priors!$H$4,IF(E233="Championship",Priors!$H$5,Priors!$H$8))</f>
        <v>0</v>
      </c>
      <c r="R233" s="19" t="b">
        <v>0</v>
      </c>
      <c r="S233" s="18">
        <f>IF(R233=TRUE,Priors!$H$6,1)</f>
        <v>1</v>
      </c>
      <c r="T233" s="19" t="b">
        <v>0</v>
      </c>
      <c r="U233" s="18">
        <f>IF(T233=TRUE,Priors!$H$7,1)</f>
        <v>1</v>
      </c>
      <c r="V233" s="18">
        <f t="shared" si="18"/>
        <v>0</v>
      </c>
      <c r="W233" s="20">
        <f>VLOOKUP(D233,Priors!$A$3:$C$6,2,FALSE)</f>
        <v>1.6719534964712218E-4</v>
      </c>
      <c r="X233" s="20">
        <f>VLOOKUP(D233,Priors!$A$3:$C$6,3,FALSE)</f>
        <v>1.379361634588758E-3</v>
      </c>
      <c r="Y233" s="20">
        <f t="shared" si="19"/>
        <v>1.6719534964712218E-4</v>
      </c>
      <c r="Z233" s="20">
        <f t="shared" si="20"/>
        <v>1.379361634588758E-3</v>
      </c>
      <c r="AA233" s="21">
        <v>1</v>
      </c>
      <c r="AB233" s="21">
        <v>1</v>
      </c>
      <c r="AC233" s="22">
        <f t="shared" si="21"/>
        <v>1.6719534964712218E-4</v>
      </c>
      <c r="AD233" s="22">
        <f t="shared" si="22"/>
        <v>1.379361634588758E-3</v>
      </c>
      <c r="AE233" s="22">
        <f t="shared" si="23"/>
        <v>1</v>
      </c>
      <c r="AF233" s="7" t="s">
        <v>1647</v>
      </c>
      <c r="AG233" s="7"/>
      <c r="AH233" s="7"/>
      <c r="AI233" s="7"/>
      <c r="AJ233" s="8" t="b">
        <v>1</v>
      </c>
      <c r="AK233" s="28" t="s">
        <v>1648</v>
      </c>
      <c r="AL233" s="28"/>
      <c r="AM233" s="28"/>
      <c r="AN233" s="7"/>
      <c r="AO233" s="7">
        <v>0</v>
      </c>
      <c r="AP233" s="8" t="b">
        <v>0</v>
      </c>
      <c r="AQ233" s="28" t="s">
        <v>1646</v>
      </c>
    </row>
    <row r="234" spans="1:43" ht="15">
      <c r="A234" s="7">
        <v>228</v>
      </c>
      <c r="B234" s="7" t="s">
        <v>756</v>
      </c>
      <c r="C234" s="7" t="s">
        <v>47</v>
      </c>
      <c r="D234" s="7" t="s">
        <v>85</v>
      </c>
      <c r="E234" s="7" t="s">
        <v>1647</v>
      </c>
      <c r="F234" s="7"/>
      <c r="G234" s="14"/>
      <c r="H234" s="15"/>
      <c r="I234" s="15"/>
      <c r="J234" s="15"/>
      <c r="K234" s="15"/>
      <c r="L234" s="15"/>
      <c r="M234" s="15"/>
      <c r="N234" s="16"/>
      <c r="O234" s="16"/>
      <c r="P234" s="17">
        <f>IFERROR(G234/(G234+Priors!$H$3),0)</f>
        <v>0</v>
      </c>
      <c r="Q234" s="18">
        <f>IF(E234="Premier League",Priors!$H$4,IF(E234="Championship",Priors!$H$5,Priors!$H$8))</f>
        <v>0</v>
      </c>
      <c r="R234" s="19" t="b">
        <v>0</v>
      </c>
      <c r="S234" s="18">
        <f>IF(R234=TRUE,Priors!$H$6,1)</f>
        <v>1</v>
      </c>
      <c r="T234" s="19" t="b">
        <v>0</v>
      </c>
      <c r="U234" s="18">
        <f>IF(T234=TRUE,Priors!$H$7,1)</f>
        <v>1</v>
      </c>
      <c r="V234" s="18">
        <f t="shared" si="18"/>
        <v>0</v>
      </c>
      <c r="W234" s="20">
        <f>VLOOKUP(D234,Priors!$A$3:$C$6,2,FALSE)</f>
        <v>1.6719534964712218E-4</v>
      </c>
      <c r="X234" s="20">
        <f>VLOOKUP(D234,Priors!$A$3:$C$6,3,FALSE)</f>
        <v>1.379361634588758E-3</v>
      </c>
      <c r="Y234" s="20">
        <f t="shared" si="19"/>
        <v>1.6719534964712218E-4</v>
      </c>
      <c r="Z234" s="20">
        <f t="shared" si="20"/>
        <v>1.379361634588758E-3</v>
      </c>
      <c r="AA234" s="21">
        <v>1</v>
      </c>
      <c r="AB234" s="21">
        <v>1</v>
      </c>
      <c r="AC234" s="22">
        <f t="shared" si="21"/>
        <v>1.6719534964712218E-4</v>
      </c>
      <c r="AD234" s="22">
        <f t="shared" si="22"/>
        <v>1.379361634588758E-3</v>
      </c>
      <c r="AE234" s="22">
        <f t="shared" si="23"/>
        <v>1</v>
      </c>
      <c r="AF234" s="7" t="s">
        <v>1647</v>
      </c>
      <c r="AG234" s="7"/>
      <c r="AH234" s="7"/>
      <c r="AI234" s="7"/>
      <c r="AJ234" s="8" t="b">
        <v>1</v>
      </c>
      <c r="AK234" s="28" t="s">
        <v>1648</v>
      </c>
      <c r="AL234" s="28"/>
      <c r="AM234" s="28"/>
      <c r="AN234" s="7"/>
      <c r="AO234" s="7">
        <v>0</v>
      </c>
      <c r="AP234" s="8" t="b">
        <v>0</v>
      </c>
      <c r="AQ234" s="28" t="s">
        <v>1646</v>
      </c>
    </row>
    <row r="235" spans="1:43" ht="30">
      <c r="A235" s="7">
        <v>229</v>
      </c>
      <c r="B235" s="7" t="s">
        <v>759</v>
      </c>
      <c r="C235" s="7" t="s">
        <v>47</v>
      </c>
      <c r="D235" s="7" t="s">
        <v>99</v>
      </c>
      <c r="E235" s="7" t="s">
        <v>1642</v>
      </c>
      <c r="F235" s="7" t="s">
        <v>47</v>
      </c>
      <c r="G235" s="14">
        <v>3330</v>
      </c>
      <c r="H235" s="15">
        <v>2.5299999999999998</v>
      </c>
      <c r="I235" s="15">
        <v>2.1</v>
      </c>
      <c r="J235" s="15">
        <v>6.8378378378378374E-2</v>
      </c>
      <c r="K235" s="15">
        <v>5.675675675675676E-2</v>
      </c>
      <c r="L235" s="15">
        <v>46.7</v>
      </c>
      <c r="M235" s="15">
        <v>1.2289473684210528</v>
      </c>
      <c r="N235" s="16">
        <v>5.5639793969558413E-2</v>
      </c>
      <c r="O235" s="16">
        <v>4.6183228196076155E-2</v>
      </c>
      <c r="P235" s="17">
        <f>IFERROR(G235/(G235+Priors!$H$3),0)</f>
        <v>0.76905311778290997</v>
      </c>
      <c r="Q235" s="18">
        <f>IF(E235="Premier League",Priors!$H$4,IF(E235="Championship",Priors!$H$5,Priors!$H$8))</f>
        <v>1</v>
      </c>
      <c r="R235" s="19" t="b">
        <v>0</v>
      </c>
      <c r="S235" s="18">
        <f>IF(R235=TRUE,Priors!$H$6,1)</f>
        <v>1</v>
      </c>
      <c r="T235" s="19" t="b">
        <v>0</v>
      </c>
      <c r="U235" s="18">
        <f>IF(T235=TRUE,Priors!$H$7,1)</f>
        <v>1</v>
      </c>
      <c r="V235" s="18">
        <f t="shared" si="18"/>
        <v>0.76905311778290997</v>
      </c>
      <c r="W235" s="20">
        <f>VLOOKUP(D235,Priors!$A$3:$C$6,2,FALSE)</f>
        <v>4.1142361271531161E-2</v>
      </c>
      <c r="X235" s="20">
        <f>VLOOKUP(D235,Priors!$A$3:$C$6,3,FALSE)</f>
        <v>4.0513079897554365E-2</v>
      </c>
      <c r="Y235" s="20">
        <f t="shared" si="19"/>
        <v>5.2291657087796928E-2</v>
      </c>
      <c r="Z235" s="20">
        <f t="shared" si="20"/>
        <v>4.4873725124824008E-2</v>
      </c>
      <c r="AA235" s="21">
        <v>1</v>
      </c>
      <c r="AB235" s="21">
        <v>1</v>
      </c>
      <c r="AC235" s="22">
        <f t="shared" si="21"/>
        <v>5.2291657087796928E-2</v>
      </c>
      <c r="AD235" s="22">
        <f t="shared" si="22"/>
        <v>4.4873725124824008E-2</v>
      </c>
      <c r="AE235" s="22">
        <f t="shared" si="23"/>
        <v>0.23094688221709003</v>
      </c>
      <c r="AF235" s="7" t="s">
        <v>1643</v>
      </c>
      <c r="AG235" s="7"/>
      <c r="AH235" s="7"/>
      <c r="AI235" s="7"/>
      <c r="AJ235" s="8" t="b">
        <v>0</v>
      </c>
      <c r="AK235" s="28" t="s">
        <v>1644</v>
      </c>
      <c r="AL235" s="28" t="s">
        <v>1645</v>
      </c>
      <c r="AM235" s="28"/>
      <c r="AN235" s="7"/>
      <c r="AO235" s="7">
        <v>0</v>
      </c>
      <c r="AP235" s="8" t="b">
        <v>0</v>
      </c>
      <c r="AQ235" s="28" t="s">
        <v>1646</v>
      </c>
    </row>
    <row r="236" spans="1:43" ht="30">
      <c r="A236" s="7">
        <v>230</v>
      </c>
      <c r="B236" s="7" t="s">
        <v>761</v>
      </c>
      <c r="C236" s="7" t="s">
        <v>47</v>
      </c>
      <c r="D236" s="7" t="s">
        <v>99</v>
      </c>
      <c r="E236" s="7" t="s">
        <v>1642</v>
      </c>
      <c r="F236" s="7" t="s">
        <v>47</v>
      </c>
      <c r="G236" s="14">
        <v>678</v>
      </c>
      <c r="H236" s="15">
        <v>0.34</v>
      </c>
      <c r="I236" s="15">
        <v>0.11</v>
      </c>
      <c r="J236" s="15">
        <v>4.5132743362831858E-2</v>
      </c>
      <c r="K236" s="15">
        <v>1.4601769911504425E-2</v>
      </c>
      <c r="L236" s="15">
        <v>46.7</v>
      </c>
      <c r="M236" s="15">
        <v>1.2289473684210528</v>
      </c>
      <c r="N236" s="16">
        <v>3.6724716226715429E-2</v>
      </c>
      <c r="O236" s="16">
        <v>1.188152583805499E-2</v>
      </c>
      <c r="P236" s="17">
        <f>IFERROR(G236/(G236+Priors!$H$3),0)</f>
        <v>0.40405244338498214</v>
      </c>
      <c r="Q236" s="18">
        <f>IF(E236="Premier League",Priors!$H$4,IF(E236="Championship",Priors!$H$5,Priors!$H$8))</f>
        <v>1</v>
      </c>
      <c r="R236" s="19" t="b">
        <v>0</v>
      </c>
      <c r="S236" s="18">
        <f>IF(R236=TRUE,Priors!$H$6,1)</f>
        <v>1</v>
      </c>
      <c r="T236" s="19" t="b">
        <v>0</v>
      </c>
      <c r="U236" s="18">
        <f>IF(T236=TRUE,Priors!$H$7,1)</f>
        <v>1</v>
      </c>
      <c r="V236" s="18">
        <f t="shared" si="18"/>
        <v>0.40405244338498214</v>
      </c>
      <c r="W236" s="20">
        <f>VLOOKUP(D236,Priors!$A$3:$C$6,2,FALSE)</f>
        <v>4.1142361271531161E-2</v>
      </c>
      <c r="X236" s="20">
        <f>VLOOKUP(D236,Priors!$A$3:$C$6,3,FALSE)</f>
        <v>4.0513079897554365E-2</v>
      </c>
      <c r="Y236" s="20">
        <f t="shared" si="19"/>
        <v>3.9357400997165809E-2</v>
      </c>
      <c r="Z236" s="20">
        <f t="shared" si="20"/>
        <v>2.894443052190444E-2</v>
      </c>
      <c r="AA236" s="21">
        <v>1</v>
      </c>
      <c r="AB236" s="21">
        <v>1</v>
      </c>
      <c r="AC236" s="22">
        <f t="shared" si="21"/>
        <v>3.9357400997165809E-2</v>
      </c>
      <c r="AD236" s="22">
        <f t="shared" si="22"/>
        <v>2.894443052190444E-2</v>
      </c>
      <c r="AE236" s="22">
        <f t="shared" si="23"/>
        <v>0.59594755661501786</v>
      </c>
      <c r="AF236" s="7" t="s">
        <v>1643</v>
      </c>
      <c r="AG236" s="7"/>
      <c r="AH236" s="7"/>
      <c r="AI236" s="7"/>
      <c r="AJ236" s="8" t="b">
        <v>1</v>
      </c>
      <c r="AK236" s="28" t="s">
        <v>1644</v>
      </c>
      <c r="AL236" s="28" t="s">
        <v>1645</v>
      </c>
      <c r="AM236" s="28"/>
      <c r="AN236" s="7"/>
      <c r="AO236" s="7">
        <v>0</v>
      </c>
      <c r="AP236" s="8" t="b">
        <v>0</v>
      </c>
      <c r="AQ236" s="28" t="s">
        <v>1646</v>
      </c>
    </row>
    <row r="237" spans="1:43" ht="30">
      <c r="A237" s="7">
        <v>231</v>
      </c>
      <c r="B237" s="7" t="s">
        <v>764</v>
      </c>
      <c r="C237" s="7" t="s">
        <v>47</v>
      </c>
      <c r="D237" s="7" t="s">
        <v>99</v>
      </c>
      <c r="E237" s="7" t="s">
        <v>1642</v>
      </c>
      <c r="F237" s="7" t="s">
        <v>47</v>
      </c>
      <c r="G237" s="14">
        <v>2588</v>
      </c>
      <c r="H237" s="15">
        <v>2.2999999999999998</v>
      </c>
      <c r="I237" s="15">
        <v>0.49</v>
      </c>
      <c r="J237" s="15">
        <v>7.9984544049459025E-2</v>
      </c>
      <c r="K237" s="15">
        <v>1.7040185471406493E-2</v>
      </c>
      <c r="L237" s="15">
        <v>46.7</v>
      </c>
      <c r="M237" s="15">
        <v>1.2289473684210528</v>
      </c>
      <c r="N237" s="16">
        <v>6.508378316658335E-2</v>
      </c>
      <c r="O237" s="16">
        <v>1.3865675544185153E-2</v>
      </c>
      <c r="P237" s="17">
        <f>IFERROR(G237/(G237+Priors!$H$3),0)</f>
        <v>0.72129319955406912</v>
      </c>
      <c r="Q237" s="18">
        <f>IF(E237="Premier League",Priors!$H$4,IF(E237="Championship",Priors!$H$5,Priors!$H$8))</f>
        <v>1</v>
      </c>
      <c r="R237" s="19" t="b">
        <v>0</v>
      </c>
      <c r="S237" s="18">
        <f>IF(R237=TRUE,Priors!$H$6,1)</f>
        <v>1</v>
      </c>
      <c r="T237" s="19" t="b">
        <v>0</v>
      </c>
      <c r="U237" s="18">
        <f>IF(T237=TRUE,Priors!$H$7,1)</f>
        <v>1</v>
      </c>
      <c r="V237" s="18">
        <f t="shared" si="18"/>
        <v>0.72129319955406912</v>
      </c>
      <c r="W237" s="20">
        <f>VLOOKUP(D237,Priors!$A$3:$C$6,2,FALSE)</f>
        <v>4.1142361271531161E-2</v>
      </c>
      <c r="X237" s="20">
        <f>VLOOKUP(D237,Priors!$A$3:$C$6,3,FALSE)</f>
        <v>4.0513079897554365E-2</v>
      </c>
      <c r="Y237" s="20">
        <f t="shared" si="19"/>
        <v>5.8411146072087201E-2</v>
      </c>
      <c r="Z237" s="20">
        <f t="shared" si="20"/>
        <v>2.1292488351701656E-2</v>
      </c>
      <c r="AA237" s="21">
        <v>1</v>
      </c>
      <c r="AB237" s="21">
        <v>1</v>
      </c>
      <c r="AC237" s="22">
        <f t="shared" si="21"/>
        <v>5.8411146072087201E-2</v>
      </c>
      <c r="AD237" s="22">
        <f t="shared" si="22"/>
        <v>2.1292488351701656E-2</v>
      </c>
      <c r="AE237" s="22">
        <f t="shared" si="23"/>
        <v>0.27870680044593088</v>
      </c>
      <c r="AF237" s="7" t="s">
        <v>1643</v>
      </c>
      <c r="AG237" s="7"/>
      <c r="AH237" s="7"/>
      <c r="AI237" s="7"/>
      <c r="AJ237" s="8" t="b">
        <v>0</v>
      </c>
      <c r="AK237" s="28" t="s">
        <v>1644</v>
      </c>
      <c r="AL237" s="28" t="s">
        <v>1645</v>
      </c>
      <c r="AM237" s="28"/>
      <c r="AN237" s="7"/>
      <c r="AO237" s="7">
        <v>0</v>
      </c>
      <c r="AP237" s="8" t="b">
        <v>0</v>
      </c>
      <c r="AQ237" s="28" t="s">
        <v>1646</v>
      </c>
    </row>
    <row r="238" spans="1:43" ht="30">
      <c r="A238" s="7">
        <v>232</v>
      </c>
      <c r="B238" s="7" t="s">
        <v>767</v>
      </c>
      <c r="C238" s="7" t="s">
        <v>47</v>
      </c>
      <c r="D238" s="7" t="s">
        <v>99</v>
      </c>
      <c r="E238" s="7" t="s">
        <v>1642</v>
      </c>
      <c r="F238" s="7" t="s">
        <v>47</v>
      </c>
      <c r="G238" s="14">
        <v>3118</v>
      </c>
      <c r="H238" s="15">
        <v>1.67</v>
      </c>
      <c r="I238" s="15">
        <v>1</v>
      </c>
      <c r="J238" s="15">
        <v>4.8203976908274528E-2</v>
      </c>
      <c r="K238" s="15">
        <v>2.8864656831302116E-2</v>
      </c>
      <c r="L238" s="15">
        <v>46.7</v>
      </c>
      <c r="M238" s="15">
        <v>1.2289473684210528</v>
      </c>
      <c r="N238" s="16">
        <v>3.9223792773328305E-2</v>
      </c>
      <c r="O238" s="16">
        <v>2.3487301061873238E-2</v>
      </c>
      <c r="P238" s="17">
        <f>IFERROR(G238/(G238+Priors!$H$3),0)</f>
        <v>0.75716367168528409</v>
      </c>
      <c r="Q238" s="18">
        <f>IF(E238="Premier League",Priors!$H$4,IF(E238="Championship",Priors!$H$5,Priors!$H$8))</f>
        <v>1</v>
      </c>
      <c r="R238" s="19" t="b">
        <v>0</v>
      </c>
      <c r="S238" s="18">
        <f>IF(R238=TRUE,Priors!$H$6,1)</f>
        <v>1</v>
      </c>
      <c r="T238" s="19" t="b">
        <v>0</v>
      </c>
      <c r="U238" s="18">
        <f>IF(T238=TRUE,Priors!$H$7,1)</f>
        <v>1</v>
      </c>
      <c r="V238" s="18">
        <f t="shared" si="18"/>
        <v>0.75716367168528409</v>
      </c>
      <c r="W238" s="20">
        <f>VLOOKUP(D238,Priors!$A$3:$C$6,2,FALSE)</f>
        <v>4.1142361271531161E-2</v>
      </c>
      <c r="X238" s="20">
        <f>VLOOKUP(D238,Priors!$A$3:$C$6,3,FALSE)</f>
        <v>4.0513079897554365E-2</v>
      </c>
      <c r="Y238" s="20">
        <f t="shared" si="19"/>
        <v>3.9689690903052161E-2</v>
      </c>
      <c r="Z238" s="20">
        <f t="shared" si="20"/>
        <v>2.7621778681028442E-2</v>
      </c>
      <c r="AA238" s="21">
        <v>1</v>
      </c>
      <c r="AB238" s="21">
        <v>1</v>
      </c>
      <c r="AC238" s="22">
        <f t="shared" si="21"/>
        <v>3.9689690903052161E-2</v>
      </c>
      <c r="AD238" s="22">
        <f t="shared" si="22"/>
        <v>2.7621778681028442E-2</v>
      </c>
      <c r="AE238" s="22">
        <f t="shared" si="23"/>
        <v>0.24283632831471591</v>
      </c>
      <c r="AF238" s="7" t="s">
        <v>1643</v>
      </c>
      <c r="AG238" s="7"/>
      <c r="AH238" s="7"/>
      <c r="AI238" s="7"/>
      <c r="AJ238" s="8" t="b">
        <v>0</v>
      </c>
      <c r="AK238" s="28" t="s">
        <v>1644</v>
      </c>
      <c r="AL238" s="28" t="s">
        <v>1645</v>
      </c>
      <c r="AM238" s="28"/>
      <c r="AN238" s="7">
        <v>1</v>
      </c>
      <c r="AO238" s="7">
        <v>0</v>
      </c>
      <c r="AP238" s="8" t="b">
        <v>1</v>
      </c>
      <c r="AQ238" s="28" t="s">
        <v>1649</v>
      </c>
    </row>
    <row r="239" spans="1:43" ht="30">
      <c r="A239" s="7">
        <v>233</v>
      </c>
      <c r="B239" s="7" t="s">
        <v>769</v>
      </c>
      <c r="C239" s="7" t="s">
        <v>47</v>
      </c>
      <c r="D239" s="7" t="s">
        <v>99</v>
      </c>
      <c r="E239" s="7" t="s">
        <v>1642</v>
      </c>
      <c r="F239" s="7" t="s">
        <v>47</v>
      </c>
      <c r="G239" s="14">
        <v>2959</v>
      </c>
      <c r="H239" s="15">
        <v>0.28000000000000003</v>
      </c>
      <c r="I239" s="15">
        <v>2.46</v>
      </c>
      <c r="J239" s="15">
        <v>8.5163906725245018E-3</v>
      </c>
      <c r="K239" s="15">
        <v>7.4822575194322408E-2</v>
      </c>
      <c r="L239" s="15">
        <v>46.7</v>
      </c>
      <c r="M239" s="15">
        <v>1.2289473684210528</v>
      </c>
      <c r="N239" s="16">
        <v>6.9298253866366391E-3</v>
      </c>
      <c r="O239" s="16">
        <v>6.0883465896879041E-2</v>
      </c>
      <c r="P239" s="17">
        <f>IFERROR(G239/(G239+Priors!$H$3),0)</f>
        <v>0.74741096236423343</v>
      </c>
      <c r="Q239" s="18">
        <f>IF(E239="Premier League",Priors!$H$4,IF(E239="Championship",Priors!$H$5,Priors!$H$8))</f>
        <v>1</v>
      </c>
      <c r="R239" s="19" t="b">
        <v>0</v>
      </c>
      <c r="S239" s="18">
        <f>IF(R239=TRUE,Priors!$H$6,1)</f>
        <v>1</v>
      </c>
      <c r="T239" s="19" t="b">
        <v>0</v>
      </c>
      <c r="U239" s="18">
        <f>IF(T239=TRUE,Priors!$H$7,1)</f>
        <v>1</v>
      </c>
      <c r="V239" s="18">
        <f t="shared" si="18"/>
        <v>0.74741096236423343</v>
      </c>
      <c r="W239" s="20">
        <f>VLOOKUP(D239,Priors!$A$3:$C$6,2,FALSE)</f>
        <v>4.1142361271531161E-2</v>
      </c>
      <c r="X239" s="20">
        <f>VLOOKUP(D239,Priors!$A$3:$C$6,3,FALSE)</f>
        <v>4.0513079897554365E-2</v>
      </c>
      <c r="Y239" s="20">
        <f t="shared" si="19"/>
        <v>1.5571536900881276E-2</v>
      </c>
      <c r="Z239" s="20">
        <f t="shared" si="20"/>
        <v>5.5738129701040529E-2</v>
      </c>
      <c r="AA239" s="21">
        <v>1</v>
      </c>
      <c r="AB239" s="21">
        <v>1</v>
      </c>
      <c r="AC239" s="22">
        <f t="shared" si="21"/>
        <v>1.5571536900881276E-2</v>
      </c>
      <c r="AD239" s="22">
        <f t="shared" si="22"/>
        <v>5.5738129701040529E-2</v>
      </c>
      <c r="AE239" s="22">
        <f t="shared" si="23"/>
        <v>0.25258903763576657</v>
      </c>
      <c r="AF239" s="7" t="s">
        <v>1643</v>
      </c>
      <c r="AG239" s="7"/>
      <c r="AH239" s="7"/>
      <c r="AI239" s="7"/>
      <c r="AJ239" s="8" t="b">
        <v>0</v>
      </c>
      <c r="AK239" s="28" t="s">
        <v>1644</v>
      </c>
      <c r="AL239" s="28" t="s">
        <v>1645</v>
      </c>
      <c r="AM239" s="28"/>
      <c r="AN239" s="7"/>
      <c r="AO239" s="7">
        <v>0</v>
      </c>
      <c r="AP239" s="8" t="b">
        <v>0</v>
      </c>
      <c r="AQ239" s="28" t="s">
        <v>1646</v>
      </c>
    </row>
    <row r="240" spans="1:43" ht="30">
      <c r="A240" s="7">
        <v>234</v>
      </c>
      <c r="B240" s="7" t="s">
        <v>772</v>
      </c>
      <c r="C240" s="7" t="s">
        <v>47</v>
      </c>
      <c r="D240" s="7" t="s">
        <v>99</v>
      </c>
      <c r="E240" s="7" t="s">
        <v>1642</v>
      </c>
      <c r="F240" s="7" t="s">
        <v>47</v>
      </c>
      <c r="G240" s="14">
        <v>238</v>
      </c>
      <c r="H240" s="15">
        <v>0.03</v>
      </c>
      <c r="I240" s="15">
        <v>0.04</v>
      </c>
      <c r="J240" s="15">
        <v>1.134453781512605E-2</v>
      </c>
      <c r="K240" s="15">
        <v>1.5126050420168067E-2</v>
      </c>
      <c r="L240" s="15">
        <v>46.7</v>
      </c>
      <c r="M240" s="15">
        <v>1.2289473684210528</v>
      </c>
      <c r="N240" s="16">
        <v>9.2311014341496748E-3</v>
      </c>
      <c r="O240" s="16">
        <v>1.2308135245532901E-2</v>
      </c>
      <c r="P240" s="17">
        <f>IFERROR(G240/(G240+Priors!$H$3),0)</f>
        <v>0.19224555735056542</v>
      </c>
      <c r="Q240" s="18">
        <f>IF(E240="Premier League",Priors!$H$4,IF(E240="Championship",Priors!$H$5,Priors!$H$8))</f>
        <v>1</v>
      </c>
      <c r="R240" s="19" t="b">
        <v>0</v>
      </c>
      <c r="S240" s="18">
        <f>IF(R240=TRUE,Priors!$H$6,1)</f>
        <v>1</v>
      </c>
      <c r="T240" s="19" t="b">
        <v>0</v>
      </c>
      <c r="U240" s="18">
        <f>IF(T240=TRUE,Priors!$H$7,1)</f>
        <v>1</v>
      </c>
      <c r="V240" s="18">
        <f t="shared" si="18"/>
        <v>0.19224555735056542</v>
      </c>
      <c r="W240" s="20">
        <f>VLOOKUP(D240,Priors!$A$3:$C$6,2,FALSE)</f>
        <v>4.1142361271531161E-2</v>
      </c>
      <c r="X240" s="20">
        <f>VLOOKUP(D240,Priors!$A$3:$C$6,3,FALSE)</f>
        <v>4.0513079897554365E-2</v>
      </c>
      <c r="Y240" s="20">
        <f t="shared" si="19"/>
        <v>3.5007563338335039E-2</v>
      </c>
      <c r="Z240" s="20">
        <f t="shared" si="20"/>
        <v>3.5090804592884647E-2</v>
      </c>
      <c r="AA240" s="21">
        <v>1</v>
      </c>
      <c r="AB240" s="21">
        <v>1</v>
      </c>
      <c r="AC240" s="22">
        <f t="shared" si="21"/>
        <v>3.5007563338335039E-2</v>
      </c>
      <c r="AD240" s="22">
        <f t="shared" si="22"/>
        <v>3.5090804592884647E-2</v>
      </c>
      <c r="AE240" s="22">
        <f t="shared" si="23"/>
        <v>0.80775444264943452</v>
      </c>
      <c r="AF240" s="7" t="s">
        <v>1643</v>
      </c>
      <c r="AG240" s="7"/>
      <c r="AH240" s="7"/>
      <c r="AI240" s="7"/>
      <c r="AJ240" s="8" t="b">
        <v>1</v>
      </c>
      <c r="AK240" s="28" t="s">
        <v>1644</v>
      </c>
      <c r="AL240" s="28" t="s">
        <v>1645</v>
      </c>
      <c r="AM240" s="28"/>
      <c r="AN240" s="7">
        <v>2</v>
      </c>
      <c r="AO240" s="7">
        <v>0</v>
      </c>
      <c r="AP240" s="8" t="b">
        <v>1</v>
      </c>
      <c r="AQ240" s="28" t="s">
        <v>1649</v>
      </c>
    </row>
    <row r="241" spans="1:43" ht="15">
      <c r="A241" s="7">
        <v>235</v>
      </c>
      <c r="B241" s="7" t="s">
        <v>775</v>
      </c>
      <c r="C241" s="7" t="s">
        <v>47</v>
      </c>
      <c r="D241" s="7" t="s">
        <v>99</v>
      </c>
      <c r="E241" s="7" t="s">
        <v>1647</v>
      </c>
      <c r="F241" s="7"/>
      <c r="G241" s="14"/>
      <c r="H241" s="15"/>
      <c r="I241" s="15"/>
      <c r="J241" s="15"/>
      <c r="K241" s="15"/>
      <c r="L241" s="15"/>
      <c r="M241" s="15"/>
      <c r="N241" s="16"/>
      <c r="O241" s="16"/>
      <c r="P241" s="17">
        <f>IFERROR(G241/(G241+Priors!$H$3),0)</f>
        <v>0</v>
      </c>
      <c r="Q241" s="18">
        <f>IF(E241="Premier League",Priors!$H$4,IF(E241="Championship",Priors!$H$5,Priors!$H$8))</f>
        <v>0</v>
      </c>
      <c r="R241" s="19" t="b">
        <v>0</v>
      </c>
      <c r="S241" s="18">
        <f>IF(R241=TRUE,Priors!$H$6,1)</f>
        <v>1</v>
      </c>
      <c r="T241" s="19" t="b">
        <v>0</v>
      </c>
      <c r="U241" s="18">
        <f>IF(T241=TRUE,Priors!$H$7,1)</f>
        <v>1</v>
      </c>
      <c r="V241" s="18">
        <f t="shared" si="18"/>
        <v>0</v>
      </c>
      <c r="W241" s="20">
        <f>VLOOKUP(D241,Priors!$A$3:$C$6,2,FALSE)</f>
        <v>4.1142361271531161E-2</v>
      </c>
      <c r="X241" s="20">
        <f>VLOOKUP(D241,Priors!$A$3:$C$6,3,FALSE)</f>
        <v>4.0513079897554365E-2</v>
      </c>
      <c r="Y241" s="20">
        <f t="shared" si="19"/>
        <v>4.1142361271531161E-2</v>
      </c>
      <c r="Z241" s="20">
        <f t="shared" si="20"/>
        <v>4.0513079897554365E-2</v>
      </c>
      <c r="AA241" s="21">
        <v>1</v>
      </c>
      <c r="AB241" s="21">
        <v>1</v>
      </c>
      <c r="AC241" s="22">
        <f t="shared" si="21"/>
        <v>4.1142361271531161E-2</v>
      </c>
      <c r="AD241" s="22">
        <f t="shared" si="22"/>
        <v>4.0513079897554365E-2</v>
      </c>
      <c r="AE241" s="22">
        <f t="shared" si="23"/>
        <v>1</v>
      </c>
      <c r="AF241" s="7" t="s">
        <v>1647</v>
      </c>
      <c r="AG241" s="7"/>
      <c r="AH241" s="7"/>
      <c r="AI241" s="7"/>
      <c r="AJ241" s="8" t="b">
        <v>1</v>
      </c>
      <c r="AK241" s="28" t="s">
        <v>1648</v>
      </c>
      <c r="AL241" s="28"/>
      <c r="AM241" s="28"/>
      <c r="AN241" s="7"/>
      <c r="AO241" s="7">
        <v>0</v>
      </c>
      <c r="AP241" s="8" t="b">
        <v>0</v>
      </c>
      <c r="AQ241" s="28" t="s">
        <v>1646</v>
      </c>
    </row>
    <row r="242" spans="1:43" ht="30">
      <c r="A242" s="7">
        <v>236</v>
      </c>
      <c r="B242" s="7" t="s">
        <v>778</v>
      </c>
      <c r="C242" s="7" t="s">
        <v>47</v>
      </c>
      <c r="D242" s="7" t="s">
        <v>112</v>
      </c>
      <c r="E242" s="7" t="s">
        <v>1642</v>
      </c>
      <c r="F242" s="7" t="s">
        <v>47</v>
      </c>
      <c r="G242" s="14">
        <v>2629</v>
      </c>
      <c r="H242" s="15">
        <v>4.3499999999999996</v>
      </c>
      <c r="I242" s="15">
        <v>5.34</v>
      </c>
      <c r="J242" s="15">
        <v>0.14891593761886646</v>
      </c>
      <c r="K242" s="15">
        <v>0.18280715100798781</v>
      </c>
      <c r="L242" s="15">
        <v>46.7</v>
      </c>
      <c r="M242" s="15">
        <v>1.2289473684210528</v>
      </c>
      <c r="N242" s="16">
        <v>0.12117356808387419</v>
      </c>
      <c r="O242" s="16">
        <v>0.1487510008202042</v>
      </c>
      <c r="P242" s="17">
        <f>IFERROR(G242/(G242+Priors!$H$3),0)</f>
        <v>0.72444199503995588</v>
      </c>
      <c r="Q242" s="18">
        <f>IF(E242="Premier League",Priors!$H$4,IF(E242="Championship",Priors!$H$5,Priors!$H$8))</f>
        <v>1</v>
      </c>
      <c r="R242" s="19" t="b">
        <v>0</v>
      </c>
      <c r="S242" s="18">
        <f>IF(R242=TRUE,Priors!$H$6,1)</f>
        <v>1</v>
      </c>
      <c r="T242" s="19" t="b">
        <v>0</v>
      </c>
      <c r="U242" s="18">
        <f>IF(T242=TRUE,Priors!$H$7,1)</f>
        <v>1</v>
      </c>
      <c r="V242" s="18">
        <f t="shared" si="18"/>
        <v>0.72444199503995588</v>
      </c>
      <c r="W242" s="20">
        <f>VLOOKUP(D242,Priors!$A$3:$C$6,2,FALSE)</f>
        <v>0.10751786102217777</v>
      </c>
      <c r="X242" s="20">
        <f>VLOOKUP(D242,Priors!$A$3:$C$6,3,FALSE)</f>
        <v>9.0240671969462088E-2</v>
      </c>
      <c r="Y242" s="20">
        <f t="shared" si="19"/>
        <v>0.11741062868963434</v>
      </c>
      <c r="Z242" s="20">
        <f t="shared" si="20"/>
        <v>0.1326280113325376</v>
      </c>
      <c r="AA242" s="21">
        <v>1</v>
      </c>
      <c r="AB242" s="21">
        <v>1</v>
      </c>
      <c r="AC242" s="22">
        <f t="shared" si="21"/>
        <v>0.11741062868963434</v>
      </c>
      <c r="AD242" s="22">
        <f t="shared" si="22"/>
        <v>0.1326280113325376</v>
      </c>
      <c r="AE242" s="22">
        <f t="shared" si="23"/>
        <v>0.27555800496004412</v>
      </c>
      <c r="AF242" s="7" t="s">
        <v>1643</v>
      </c>
      <c r="AG242" s="7"/>
      <c r="AH242" s="7"/>
      <c r="AI242" s="7">
        <v>5</v>
      </c>
      <c r="AJ242" s="8" t="b">
        <v>0</v>
      </c>
      <c r="AK242" s="28" t="s">
        <v>1644</v>
      </c>
      <c r="AL242" s="28" t="s">
        <v>1645</v>
      </c>
      <c r="AM242" s="28"/>
      <c r="AN242" s="7"/>
      <c r="AO242" s="7">
        <v>0</v>
      </c>
      <c r="AP242" s="8" t="b">
        <v>0</v>
      </c>
      <c r="AQ242" s="28" t="s">
        <v>1646</v>
      </c>
    </row>
    <row r="243" spans="1:43" ht="30">
      <c r="A243" s="7">
        <v>237</v>
      </c>
      <c r="B243" s="7" t="s">
        <v>781</v>
      </c>
      <c r="C243" s="7" t="s">
        <v>47</v>
      </c>
      <c r="D243" s="7" t="s">
        <v>112</v>
      </c>
      <c r="E243" s="7" t="s">
        <v>1642</v>
      </c>
      <c r="F243" s="7" t="s">
        <v>47</v>
      </c>
      <c r="G243" s="14">
        <v>2781</v>
      </c>
      <c r="H243" s="15">
        <v>6.68</v>
      </c>
      <c r="I243" s="15">
        <v>4.41</v>
      </c>
      <c r="J243" s="15">
        <v>0.21618122977346277</v>
      </c>
      <c r="K243" s="15">
        <v>0.14271844660194177</v>
      </c>
      <c r="L243" s="15">
        <v>46.7</v>
      </c>
      <c r="M243" s="15">
        <v>1.2289473684210528</v>
      </c>
      <c r="N243" s="16">
        <v>0.17590763878782836</v>
      </c>
      <c r="O243" s="16">
        <v>0.11613064177459928</v>
      </c>
      <c r="P243" s="17">
        <f>IFERROR(G243/(G243+Priors!$H$3),0)</f>
        <v>0.73551970378206821</v>
      </c>
      <c r="Q243" s="18">
        <f>IF(E243="Premier League",Priors!$H$4,IF(E243="Championship",Priors!$H$5,Priors!$H$8))</f>
        <v>1</v>
      </c>
      <c r="R243" s="19" t="b">
        <v>0</v>
      </c>
      <c r="S243" s="18">
        <f>IF(R243=TRUE,Priors!$H$6,1)</f>
        <v>1</v>
      </c>
      <c r="T243" s="19" t="b">
        <v>0</v>
      </c>
      <c r="U243" s="18">
        <f>IF(T243=TRUE,Priors!$H$7,1)</f>
        <v>1</v>
      </c>
      <c r="V243" s="18">
        <f t="shared" si="18"/>
        <v>0.73551970378206821</v>
      </c>
      <c r="W243" s="20">
        <f>VLOOKUP(D243,Priors!$A$3:$C$6,2,FALSE)</f>
        <v>0.10751786102217777</v>
      </c>
      <c r="X243" s="20">
        <f>VLOOKUP(D243,Priors!$A$3:$C$6,3,FALSE)</f>
        <v>9.0240671969462088E-2</v>
      </c>
      <c r="Y243" s="20">
        <f t="shared" si="19"/>
        <v>0.15781989010609054</v>
      </c>
      <c r="Z243" s="20">
        <f t="shared" si="20"/>
        <v>0.10928325489146329</v>
      </c>
      <c r="AA243" s="21">
        <v>1</v>
      </c>
      <c r="AB243" s="21">
        <v>1</v>
      </c>
      <c r="AC243" s="22">
        <f t="shared" si="21"/>
        <v>0.15781989010609054</v>
      </c>
      <c r="AD243" s="22">
        <f t="shared" si="22"/>
        <v>0.10928325489146329</v>
      </c>
      <c r="AE243" s="22">
        <f t="shared" si="23"/>
        <v>0.26448029621793179</v>
      </c>
      <c r="AF243" s="7" t="s">
        <v>1643</v>
      </c>
      <c r="AG243" s="7">
        <v>1</v>
      </c>
      <c r="AH243" s="7"/>
      <c r="AI243" s="7"/>
      <c r="AJ243" s="8" t="b">
        <v>0</v>
      </c>
      <c r="AK243" s="28" t="s">
        <v>1644</v>
      </c>
      <c r="AL243" s="28" t="s">
        <v>1645</v>
      </c>
      <c r="AM243" s="28"/>
      <c r="AN243" s="7"/>
      <c r="AO243" s="7">
        <v>0</v>
      </c>
      <c r="AP243" s="8" t="b">
        <v>0</v>
      </c>
      <c r="AQ243" s="28" t="s">
        <v>1646</v>
      </c>
    </row>
    <row r="244" spans="1:43" ht="30">
      <c r="A244" s="7">
        <v>239</v>
      </c>
      <c r="B244" s="7" t="s">
        <v>784</v>
      </c>
      <c r="C244" s="7" t="s">
        <v>47</v>
      </c>
      <c r="D244" s="7" t="s">
        <v>112</v>
      </c>
      <c r="E244" s="7" t="s">
        <v>1642</v>
      </c>
      <c r="F244" s="7" t="s">
        <v>47</v>
      </c>
      <c r="G244" s="14">
        <v>3413</v>
      </c>
      <c r="H244" s="15">
        <v>2.1</v>
      </c>
      <c r="I244" s="15">
        <v>6.18</v>
      </c>
      <c r="J244" s="15">
        <v>5.5376501611485496E-2</v>
      </c>
      <c r="K244" s="15">
        <v>0.16296513331380016</v>
      </c>
      <c r="L244" s="15">
        <v>46.7</v>
      </c>
      <c r="M244" s="15">
        <v>1.2289473684210528</v>
      </c>
      <c r="N244" s="16">
        <v>4.5060108377654146E-2</v>
      </c>
      <c r="O244" s="16">
        <v>0.13260546179709648</v>
      </c>
      <c r="P244" s="17">
        <f>IFERROR(G244/(G244+Priors!$H$3),0)</f>
        <v>0.77339678223430774</v>
      </c>
      <c r="Q244" s="18">
        <f>IF(E244="Premier League",Priors!$H$4,IF(E244="Championship",Priors!$H$5,Priors!$H$8))</f>
        <v>1</v>
      </c>
      <c r="R244" s="19" t="b">
        <v>0</v>
      </c>
      <c r="S244" s="18">
        <f>IF(R244=TRUE,Priors!$H$6,1)</f>
        <v>1</v>
      </c>
      <c r="T244" s="19" t="b">
        <v>0</v>
      </c>
      <c r="U244" s="18">
        <f>IF(T244=TRUE,Priors!$H$7,1)</f>
        <v>1</v>
      </c>
      <c r="V244" s="18">
        <f t="shared" si="18"/>
        <v>0.77339678223430774</v>
      </c>
      <c r="W244" s="20">
        <f>VLOOKUP(D244,Priors!$A$3:$C$6,2,FALSE)</f>
        <v>0.10751786102217777</v>
      </c>
      <c r="X244" s="20">
        <f>VLOOKUP(D244,Priors!$A$3:$C$6,3,FALSE)</f>
        <v>9.0240671969462088E-2</v>
      </c>
      <c r="Y244" s="20">
        <f t="shared" si="19"/>
        <v>5.9213236101316874E-2</v>
      </c>
      <c r="Z244" s="20">
        <f t="shared" si="20"/>
        <v>0.12300546410218725</v>
      </c>
      <c r="AA244" s="21">
        <v>1</v>
      </c>
      <c r="AB244" s="21">
        <v>1</v>
      </c>
      <c r="AC244" s="22">
        <f t="shared" si="21"/>
        <v>5.9213236101316874E-2</v>
      </c>
      <c r="AD244" s="22">
        <f t="shared" si="22"/>
        <v>0.12300546410218725</v>
      </c>
      <c r="AE244" s="22">
        <f t="shared" si="23"/>
        <v>0.22660321776569226</v>
      </c>
      <c r="AF244" s="7" t="s">
        <v>1643</v>
      </c>
      <c r="AG244" s="7">
        <v>3</v>
      </c>
      <c r="AH244" s="7">
        <v>1</v>
      </c>
      <c r="AI244" s="7">
        <v>4</v>
      </c>
      <c r="AJ244" s="8" t="b">
        <v>0</v>
      </c>
      <c r="AK244" s="28" t="s">
        <v>1644</v>
      </c>
      <c r="AL244" s="28" t="s">
        <v>1645</v>
      </c>
      <c r="AM244" s="28"/>
      <c r="AN244" s="7"/>
      <c r="AO244" s="7">
        <v>0</v>
      </c>
      <c r="AP244" s="8" t="b">
        <v>0</v>
      </c>
      <c r="AQ244" s="28" t="s">
        <v>1646</v>
      </c>
    </row>
    <row r="245" spans="1:43" ht="30">
      <c r="A245" s="7">
        <v>240</v>
      </c>
      <c r="B245" s="7" t="s">
        <v>788</v>
      </c>
      <c r="C245" s="7" t="s">
        <v>47</v>
      </c>
      <c r="D245" s="7" t="s">
        <v>112</v>
      </c>
      <c r="E245" s="7" t="s">
        <v>1642</v>
      </c>
      <c r="F245" s="7" t="s">
        <v>47</v>
      </c>
      <c r="G245" s="14">
        <v>1477</v>
      </c>
      <c r="H245" s="15">
        <v>0.54</v>
      </c>
      <c r="I245" s="15">
        <v>0.71</v>
      </c>
      <c r="J245" s="15">
        <v>3.2904536222071769E-2</v>
      </c>
      <c r="K245" s="15">
        <v>4.3263371699390658E-2</v>
      </c>
      <c r="L245" s="15">
        <v>46.7</v>
      </c>
      <c r="M245" s="15">
        <v>1.2289473684210528</v>
      </c>
      <c r="N245" s="16">
        <v>2.6774569088623707E-2</v>
      </c>
      <c r="O245" s="16">
        <v>3.5203600098005244E-2</v>
      </c>
      <c r="P245" s="17">
        <f>IFERROR(G245/(G245+Priors!$H$3),0)</f>
        <v>0.59628582963262011</v>
      </c>
      <c r="Q245" s="18">
        <f>IF(E245="Premier League",Priors!$H$4,IF(E245="Championship",Priors!$H$5,Priors!$H$8))</f>
        <v>1</v>
      </c>
      <c r="R245" s="19" t="b">
        <v>0</v>
      </c>
      <c r="S245" s="18">
        <f>IF(R245=TRUE,Priors!$H$6,1)</f>
        <v>1</v>
      </c>
      <c r="T245" s="19" t="b">
        <v>0</v>
      </c>
      <c r="U245" s="18">
        <f>IF(T245=TRUE,Priors!$H$7,1)</f>
        <v>1</v>
      </c>
      <c r="V245" s="18">
        <f t="shared" si="18"/>
        <v>0.59628582963262011</v>
      </c>
      <c r="W245" s="20">
        <f>VLOOKUP(D245,Priors!$A$3:$C$6,2,FALSE)</f>
        <v>0.10751786102217777</v>
      </c>
      <c r="X245" s="20">
        <f>VLOOKUP(D245,Priors!$A$3:$C$6,3,FALSE)</f>
        <v>9.0240671969462088E-2</v>
      </c>
      <c r="Y245" s="20">
        <f t="shared" si="19"/>
        <v>5.9371780204309638E-2</v>
      </c>
      <c r="Z245" s="20">
        <f t="shared" si="20"/>
        <v>5.7422845908040303E-2</v>
      </c>
      <c r="AA245" s="21">
        <v>1</v>
      </c>
      <c r="AB245" s="21">
        <v>1</v>
      </c>
      <c r="AC245" s="22">
        <f t="shared" si="21"/>
        <v>5.9371780204309638E-2</v>
      </c>
      <c r="AD245" s="22">
        <f t="shared" si="22"/>
        <v>5.7422845908040303E-2</v>
      </c>
      <c r="AE245" s="22">
        <f t="shared" si="23"/>
        <v>0.40371417036737989</v>
      </c>
      <c r="AF245" s="7" t="s">
        <v>1643</v>
      </c>
      <c r="AG245" s="7"/>
      <c r="AH245" s="7"/>
      <c r="AI245" s="7"/>
      <c r="AJ245" s="8" t="b">
        <v>0</v>
      </c>
      <c r="AK245" s="28" t="s">
        <v>1644</v>
      </c>
      <c r="AL245" s="28" t="s">
        <v>1645</v>
      </c>
      <c r="AM245" s="28"/>
      <c r="AN245" s="7"/>
      <c r="AO245" s="7">
        <v>0</v>
      </c>
      <c r="AP245" s="8" t="b">
        <v>0</v>
      </c>
      <c r="AQ245" s="28" t="s">
        <v>1646</v>
      </c>
    </row>
    <row r="246" spans="1:43" ht="30">
      <c r="A246" s="7">
        <v>241</v>
      </c>
      <c r="B246" s="7" t="s">
        <v>791</v>
      </c>
      <c r="C246" s="7" t="s">
        <v>47</v>
      </c>
      <c r="D246" s="7" t="s">
        <v>112</v>
      </c>
      <c r="E246" s="7" t="s">
        <v>1642</v>
      </c>
      <c r="F246" s="7" t="s">
        <v>47</v>
      </c>
      <c r="G246" s="14">
        <v>1161</v>
      </c>
      <c r="H246" s="15">
        <v>1.37</v>
      </c>
      <c r="I246" s="15">
        <v>1.91</v>
      </c>
      <c r="J246" s="15">
        <v>0.1062015503875969</v>
      </c>
      <c r="K246" s="15">
        <v>0.14806201550387599</v>
      </c>
      <c r="L246" s="15">
        <v>46.7</v>
      </c>
      <c r="M246" s="15">
        <v>1.2289473684210528</v>
      </c>
      <c r="N246" s="16">
        <v>8.641667911624587E-2</v>
      </c>
      <c r="O246" s="16">
        <v>0.12047872781899972</v>
      </c>
      <c r="P246" s="17">
        <f>IFERROR(G246/(G246+Priors!$H$3),0)</f>
        <v>0.53725127255900051</v>
      </c>
      <c r="Q246" s="18">
        <f>IF(E246="Premier League",Priors!$H$4,IF(E246="Championship",Priors!$H$5,Priors!$H$8))</f>
        <v>1</v>
      </c>
      <c r="R246" s="19" t="b">
        <v>0</v>
      </c>
      <c r="S246" s="18">
        <f>IF(R246=TRUE,Priors!$H$6,1)</f>
        <v>1</v>
      </c>
      <c r="T246" s="19" t="b">
        <v>0</v>
      </c>
      <c r="U246" s="18">
        <f>IF(T246=TRUE,Priors!$H$7,1)</f>
        <v>1</v>
      </c>
      <c r="V246" s="18">
        <f t="shared" si="18"/>
        <v>0.53725127255900051</v>
      </c>
      <c r="W246" s="20">
        <f>VLOOKUP(D246,Priors!$A$3:$C$6,2,FALSE)</f>
        <v>0.10751786102217777</v>
      </c>
      <c r="X246" s="20">
        <f>VLOOKUP(D246,Priors!$A$3:$C$6,3,FALSE)</f>
        <v>9.0240671969462088E-2</v>
      </c>
      <c r="Y246" s="20">
        <f t="shared" si="19"/>
        <v>9.6181224190716896E-2</v>
      </c>
      <c r="Z246" s="20">
        <f t="shared" si="20"/>
        <v>0.10648610595433632</v>
      </c>
      <c r="AA246" s="21">
        <v>1</v>
      </c>
      <c r="AB246" s="21">
        <v>1</v>
      </c>
      <c r="AC246" s="22">
        <f t="shared" si="21"/>
        <v>9.6181224190716896E-2</v>
      </c>
      <c r="AD246" s="22">
        <f t="shared" si="22"/>
        <v>0.10648610595433632</v>
      </c>
      <c r="AE246" s="22">
        <f t="shared" si="23"/>
        <v>0.46274872744099949</v>
      </c>
      <c r="AF246" s="7" t="s">
        <v>1643</v>
      </c>
      <c r="AG246" s="7"/>
      <c r="AH246" s="7">
        <v>2</v>
      </c>
      <c r="AI246" s="7">
        <v>6</v>
      </c>
      <c r="AJ246" s="8" t="b">
        <v>0</v>
      </c>
      <c r="AK246" s="28" t="s">
        <v>1644</v>
      </c>
      <c r="AL246" s="28" t="s">
        <v>1645</v>
      </c>
      <c r="AM246" s="28"/>
      <c r="AN246" s="7"/>
      <c r="AO246" s="7">
        <v>0</v>
      </c>
      <c r="AP246" s="8" t="b">
        <v>0</v>
      </c>
      <c r="AQ246" s="28" t="s">
        <v>1646</v>
      </c>
    </row>
    <row r="247" spans="1:43" ht="30">
      <c r="A247" s="7">
        <v>242</v>
      </c>
      <c r="B247" s="7" t="s">
        <v>794</v>
      </c>
      <c r="C247" s="7" t="s">
        <v>47</v>
      </c>
      <c r="D247" s="7" t="s">
        <v>112</v>
      </c>
      <c r="E247" s="7" t="s">
        <v>1642</v>
      </c>
      <c r="F247" s="7" t="s">
        <v>47</v>
      </c>
      <c r="G247" s="14">
        <v>351</v>
      </c>
      <c r="H247" s="15">
        <v>0.64</v>
      </c>
      <c r="I247" s="15">
        <v>1.19</v>
      </c>
      <c r="J247" s="15">
        <v>0.1641025641025641</v>
      </c>
      <c r="K247" s="15">
        <v>0.3051282051282051</v>
      </c>
      <c r="L247" s="15">
        <v>46.7</v>
      </c>
      <c r="M247" s="15">
        <v>1.2289473684210528</v>
      </c>
      <c r="N247" s="16">
        <v>0.13353099434469881</v>
      </c>
      <c r="O247" s="16">
        <v>0.24828419260967435</v>
      </c>
      <c r="P247" s="17">
        <f>IFERROR(G247/(G247+Priors!$H$3),0)</f>
        <v>0.25980754996299038</v>
      </c>
      <c r="Q247" s="18">
        <f>IF(E247="Premier League",Priors!$H$4,IF(E247="Championship",Priors!$H$5,Priors!$H$8))</f>
        <v>1</v>
      </c>
      <c r="R247" s="19" t="b">
        <v>0</v>
      </c>
      <c r="S247" s="18">
        <f>IF(R247=TRUE,Priors!$H$6,1)</f>
        <v>1</v>
      </c>
      <c r="T247" s="19" t="b">
        <v>0</v>
      </c>
      <c r="U247" s="18">
        <f>IF(T247=TRUE,Priors!$H$7,1)</f>
        <v>1</v>
      </c>
      <c r="V247" s="18">
        <f t="shared" si="18"/>
        <v>0.25980754996299038</v>
      </c>
      <c r="W247" s="20">
        <f>VLOOKUP(D247,Priors!$A$3:$C$6,2,FALSE)</f>
        <v>0.10751786102217777</v>
      </c>
      <c r="X247" s="20">
        <f>VLOOKUP(D247,Priors!$A$3:$C$6,3,FALSE)</f>
        <v>9.0240671969462088E-2</v>
      </c>
      <c r="Y247" s="20">
        <f t="shared" si="19"/>
        <v>0.11427626945756258</v>
      </c>
      <c r="Z247" s="20">
        <f t="shared" si="20"/>
        <v>0.13130157185452093</v>
      </c>
      <c r="AA247" s="21">
        <v>1</v>
      </c>
      <c r="AB247" s="21">
        <v>1</v>
      </c>
      <c r="AC247" s="22">
        <f t="shared" si="21"/>
        <v>0.11427626945756258</v>
      </c>
      <c r="AD247" s="22">
        <f t="shared" si="22"/>
        <v>0.13130157185452093</v>
      </c>
      <c r="AE247" s="22">
        <f t="shared" si="23"/>
        <v>0.74019245003700962</v>
      </c>
      <c r="AF247" s="7" t="s">
        <v>1643</v>
      </c>
      <c r="AG247" s="7"/>
      <c r="AH247" s="7"/>
      <c r="AI247" s="7"/>
      <c r="AJ247" s="8" t="b">
        <v>1</v>
      </c>
      <c r="AK247" s="28" t="s">
        <v>1644</v>
      </c>
      <c r="AL247" s="28" t="s">
        <v>1645</v>
      </c>
      <c r="AM247" s="28"/>
      <c r="AN247" s="7"/>
      <c r="AO247" s="7">
        <v>0</v>
      </c>
      <c r="AP247" s="8" t="b">
        <v>0</v>
      </c>
      <c r="AQ247" s="28" t="s">
        <v>1646</v>
      </c>
    </row>
    <row r="248" spans="1:43" ht="30">
      <c r="A248" s="7">
        <v>243</v>
      </c>
      <c r="B248" s="7" t="s">
        <v>797</v>
      </c>
      <c r="C248" s="7" t="s">
        <v>47</v>
      </c>
      <c r="D248" s="7" t="s">
        <v>112</v>
      </c>
      <c r="E248" s="7" t="s">
        <v>1642</v>
      </c>
      <c r="F248" s="7" t="s">
        <v>47</v>
      </c>
      <c r="G248" s="14">
        <v>679</v>
      </c>
      <c r="H248" s="15">
        <v>1.17</v>
      </c>
      <c r="I248" s="15">
        <v>0.54</v>
      </c>
      <c r="J248" s="15">
        <v>0.15508100147275405</v>
      </c>
      <c r="K248" s="15">
        <v>7.1575846833578788E-2</v>
      </c>
      <c r="L248" s="15">
        <v>46.7</v>
      </c>
      <c r="M248" s="15">
        <v>1.2289473684210528</v>
      </c>
      <c r="N248" s="16">
        <v>0.12619010826476773</v>
      </c>
      <c r="O248" s="16">
        <v>5.8241588429892799E-2</v>
      </c>
      <c r="P248" s="17">
        <f>IFERROR(G248/(G248+Priors!$H$3),0)</f>
        <v>0.40440738534842169</v>
      </c>
      <c r="Q248" s="18">
        <f>IF(E248="Premier League",Priors!$H$4,IF(E248="Championship",Priors!$H$5,Priors!$H$8))</f>
        <v>1</v>
      </c>
      <c r="R248" s="19" t="b">
        <v>0</v>
      </c>
      <c r="S248" s="18">
        <f>IF(R248=TRUE,Priors!$H$6,1)</f>
        <v>1</v>
      </c>
      <c r="T248" s="19" t="b">
        <v>0</v>
      </c>
      <c r="U248" s="18">
        <f>IF(T248=TRUE,Priors!$H$7,1)</f>
        <v>1</v>
      </c>
      <c r="V248" s="18">
        <f t="shared" si="18"/>
        <v>0.40440738534842169</v>
      </c>
      <c r="W248" s="20">
        <f>VLOOKUP(D248,Priors!$A$3:$C$6,2,FALSE)</f>
        <v>0.10751786102217777</v>
      </c>
      <c r="X248" s="20">
        <f>VLOOKUP(D248,Priors!$A$3:$C$6,3,FALSE)</f>
        <v>9.0240671969462088E-2</v>
      </c>
      <c r="Y248" s="20">
        <f t="shared" si="19"/>
        <v>0.11506905570813285</v>
      </c>
      <c r="Z248" s="20">
        <f t="shared" si="20"/>
        <v>7.7300006261679155E-2</v>
      </c>
      <c r="AA248" s="21">
        <v>1</v>
      </c>
      <c r="AB248" s="21">
        <v>1</v>
      </c>
      <c r="AC248" s="22">
        <f t="shared" si="21"/>
        <v>0.11506905570813285</v>
      </c>
      <c r="AD248" s="22">
        <f t="shared" si="22"/>
        <v>7.7300006261679155E-2</v>
      </c>
      <c r="AE248" s="22">
        <f t="shared" si="23"/>
        <v>0.59559261465157831</v>
      </c>
      <c r="AF248" s="7" t="s">
        <v>1643</v>
      </c>
      <c r="AG248" s="7"/>
      <c r="AH248" s="7"/>
      <c r="AI248" s="7"/>
      <c r="AJ248" s="8" t="b">
        <v>1</v>
      </c>
      <c r="AK248" s="28" t="s">
        <v>1644</v>
      </c>
      <c r="AL248" s="28" t="s">
        <v>1645</v>
      </c>
      <c r="AM248" s="28"/>
      <c r="AN248" s="7"/>
      <c r="AO248" s="7"/>
      <c r="AP248" s="7"/>
      <c r="AQ248" s="28" t="s">
        <v>1650</v>
      </c>
    </row>
    <row r="249" spans="1:43" ht="30">
      <c r="A249" s="7">
        <v>244</v>
      </c>
      <c r="B249" s="7" t="s">
        <v>799</v>
      </c>
      <c r="C249" s="7" t="s">
        <v>47</v>
      </c>
      <c r="D249" s="7" t="s">
        <v>112</v>
      </c>
      <c r="E249" s="7" t="s">
        <v>1642</v>
      </c>
      <c r="F249" s="7" t="s">
        <v>47</v>
      </c>
      <c r="G249" s="14">
        <v>524</v>
      </c>
      <c r="H249" s="15">
        <v>0.79</v>
      </c>
      <c r="I249" s="15">
        <v>0.22</v>
      </c>
      <c r="J249" s="15">
        <v>0.13568702290076337</v>
      </c>
      <c r="K249" s="15">
        <v>3.7786259541984737E-2</v>
      </c>
      <c r="L249" s="15">
        <v>46.7</v>
      </c>
      <c r="M249" s="15">
        <v>1.2289473684210528</v>
      </c>
      <c r="N249" s="16">
        <v>0.11040914069012864</v>
      </c>
      <c r="O249" s="16">
        <v>3.0746849306111775E-2</v>
      </c>
      <c r="P249" s="17">
        <f>IFERROR(G249/(G249+Priors!$H$3),0)</f>
        <v>0.34383202099737531</v>
      </c>
      <c r="Q249" s="18">
        <f>IF(E249="Premier League",Priors!$H$4,IF(E249="Championship",Priors!$H$5,Priors!$H$8))</f>
        <v>1</v>
      </c>
      <c r="R249" s="19" t="b">
        <v>0</v>
      </c>
      <c r="S249" s="18">
        <f>IF(R249=TRUE,Priors!$H$6,1)</f>
        <v>1</v>
      </c>
      <c r="T249" s="19" t="b">
        <v>0</v>
      </c>
      <c r="U249" s="18">
        <f>IF(T249=TRUE,Priors!$H$7,1)</f>
        <v>1</v>
      </c>
      <c r="V249" s="18">
        <f t="shared" si="18"/>
        <v>0.34383202099737531</v>
      </c>
      <c r="W249" s="20">
        <f>VLOOKUP(D249,Priors!$A$3:$C$6,2,FALSE)</f>
        <v>0.10751786102217777</v>
      </c>
      <c r="X249" s="20">
        <f>VLOOKUP(D249,Priors!$A$3:$C$6,3,FALSE)</f>
        <v>9.0240671969462088E-2</v>
      </c>
      <c r="Y249" s="20">
        <f t="shared" si="19"/>
        <v>0.10851197555367793</v>
      </c>
      <c r="Z249" s="20">
        <f t="shared" si="20"/>
        <v>6.9784790686262893E-2</v>
      </c>
      <c r="AA249" s="21">
        <v>1</v>
      </c>
      <c r="AB249" s="21">
        <v>1</v>
      </c>
      <c r="AC249" s="22">
        <f t="shared" si="21"/>
        <v>0.10851197555367793</v>
      </c>
      <c r="AD249" s="22">
        <f t="shared" si="22"/>
        <v>6.9784790686262893E-2</v>
      </c>
      <c r="AE249" s="22">
        <f t="shared" si="23"/>
        <v>0.65616797900262469</v>
      </c>
      <c r="AF249" s="7" t="s">
        <v>1643</v>
      </c>
      <c r="AG249" s="7"/>
      <c r="AH249" s="7"/>
      <c r="AI249" s="7"/>
      <c r="AJ249" s="8" t="b">
        <v>1</v>
      </c>
      <c r="AK249" s="28" t="s">
        <v>1644</v>
      </c>
      <c r="AL249" s="28" t="s">
        <v>1645</v>
      </c>
      <c r="AM249" s="28"/>
      <c r="AN249" s="7">
        <v>3</v>
      </c>
      <c r="AO249" s="7">
        <v>0</v>
      </c>
      <c r="AP249" s="8" t="b">
        <v>0</v>
      </c>
      <c r="AQ249" s="28" t="s">
        <v>1646</v>
      </c>
    </row>
    <row r="250" spans="1:43" ht="30">
      <c r="A250" s="7">
        <v>245</v>
      </c>
      <c r="B250" s="7" t="s">
        <v>802</v>
      </c>
      <c r="C250" s="7" t="s">
        <v>47</v>
      </c>
      <c r="D250" s="7" t="s">
        <v>112</v>
      </c>
      <c r="E250" s="7" t="s">
        <v>1642</v>
      </c>
      <c r="F250" s="7" t="s">
        <v>47</v>
      </c>
      <c r="G250" s="14">
        <v>349</v>
      </c>
      <c r="H250" s="15">
        <v>0.2</v>
      </c>
      <c r="I250" s="15">
        <v>0.14000000000000001</v>
      </c>
      <c r="J250" s="15">
        <v>5.1575931232091692E-2</v>
      </c>
      <c r="K250" s="15">
        <v>3.610315186246419E-2</v>
      </c>
      <c r="L250" s="15">
        <v>46.7</v>
      </c>
      <c r="M250" s="15">
        <v>1.2289473684210528</v>
      </c>
      <c r="N250" s="16">
        <v>4.1967567169582103E-2</v>
      </c>
      <c r="O250" s="16">
        <v>2.9377297018707473E-2</v>
      </c>
      <c r="P250" s="17">
        <f>IFERROR(G250/(G250+Priors!$H$3),0)</f>
        <v>0.2587101556708673</v>
      </c>
      <c r="Q250" s="18">
        <f>IF(E250="Premier League",Priors!$H$4,IF(E250="Championship",Priors!$H$5,Priors!$H$8))</f>
        <v>1</v>
      </c>
      <c r="R250" s="19" t="b">
        <v>0</v>
      </c>
      <c r="S250" s="18">
        <f>IF(R250=TRUE,Priors!$H$6,1)</f>
        <v>1</v>
      </c>
      <c r="T250" s="19" t="b">
        <v>0</v>
      </c>
      <c r="U250" s="18">
        <f>IF(T250=TRUE,Priors!$H$7,1)</f>
        <v>1</v>
      </c>
      <c r="V250" s="18">
        <f t="shared" si="18"/>
        <v>0.2587101556708673</v>
      </c>
      <c r="W250" s="20">
        <f>VLOOKUP(D250,Priors!$A$3:$C$6,2,FALSE)</f>
        <v>0.10751786102217777</v>
      </c>
      <c r="X250" s="20">
        <f>VLOOKUP(D250,Priors!$A$3:$C$6,3,FALSE)</f>
        <v>9.0240671969462088E-2</v>
      </c>
      <c r="Y250" s="20">
        <f t="shared" si="19"/>
        <v>9.0559334295301649E-2</v>
      </c>
      <c r="Z250" s="20">
        <f t="shared" si="20"/>
        <v>7.4494698761297995E-2</v>
      </c>
      <c r="AA250" s="21">
        <v>1</v>
      </c>
      <c r="AB250" s="21">
        <v>1</v>
      </c>
      <c r="AC250" s="22">
        <f t="shared" si="21"/>
        <v>9.0559334295301649E-2</v>
      </c>
      <c r="AD250" s="22">
        <f t="shared" si="22"/>
        <v>7.4494698761297995E-2</v>
      </c>
      <c r="AE250" s="22">
        <f t="shared" si="23"/>
        <v>0.7412898443291327</v>
      </c>
      <c r="AF250" s="7" t="s">
        <v>1643</v>
      </c>
      <c r="AG250" s="7"/>
      <c r="AH250" s="7"/>
      <c r="AI250" s="7"/>
      <c r="AJ250" s="8" t="b">
        <v>1</v>
      </c>
      <c r="AK250" s="28" t="s">
        <v>1644</v>
      </c>
      <c r="AL250" s="28" t="s">
        <v>1645</v>
      </c>
      <c r="AM250" s="28"/>
      <c r="AN250" s="7"/>
      <c r="AO250" s="7">
        <v>0</v>
      </c>
      <c r="AP250" s="8" t="b">
        <v>0</v>
      </c>
      <c r="AQ250" s="28" t="s">
        <v>1646</v>
      </c>
    </row>
    <row r="251" spans="1:43" ht="30">
      <c r="A251" s="7">
        <v>246</v>
      </c>
      <c r="B251" s="7" t="s">
        <v>805</v>
      </c>
      <c r="C251" s="7" t="s">
        <v>47</v>
      </c>
      <c r="D251" s="7" t="s">
        <v>112</v>
      </c>
      <c r="E251" s="7" t="s">
        <v>1642</v>
      </c>
      <c r="F251" s="7" t="s">
        <v>47</v>
      </c>
      <c r="G251" s="14">
        <v>675</v>
      </c>
      <c r="H251" s="15">
        <v>0.67</v>
      </c>
      <c r="I251" s="15">
        <v>0.35</v>
      </c>
      <c r="J251" s="15">
        <v>8.9333333333333334E-2</v>
      </c>
      <c r="K251" s="15">
        <v>4.6666666666666662E-2</v>
      </c>
      <c r="L251" s="15">
        <v>46.7</v>
      </c>
      <c r="M251" s="15">
        <v>1.2289473684210528</v>
      </c>
      <c r="N251" s="16">
        <v>7.2690935046395427E-2</v>
      </c>
      <c r="O251" s="16">
        <v>3.7972876516773724E-2</v>
      </c>
      <c r="P251" s="17">
        <f>IFERROR(G251/(G251+Priors!$H$3),0)</f>
        <v>0.40298507462686567</v>
      </c>
      <c r="Q251" s="18">
        <f>IF(E251="Premier League",Priors!$H$4,IF(E251="Championship",Priors!$H$5,Priors!$H$8))</f>
        <v>1</v>
      </c>
      <c r="R251" s="19" t="b">
        <v>0</v>
      </c>
      <c r="S251" s="18">
        <f>IF(R251=TRUE,Priors!$H$6,1)</f>
        <v>1</v>
      </c>
      <c r="T251" s="19" t="b">
        <v>0</v>
      </c>
      <c r="U251" s="18">
        <f>IF(T251=TRUE,Priors!$H$7,1)</f>
        <v>1</v>
      </c>
      <c r="V251" s="18">
        <f t="shared" si="18"/>
        <v>0.40298507462686567</v>
      </c>
      <c r="W251" s="20">
        <f>VLOOKUP(D251,Priors!$A$3:$C$6,2,FALSE)</f>
        <v>0.10751786102217777</v>
      </c>
      <c r="X251" s="20">
        <f>VLOOKUP(D251,Priors!$A$3:$C$6,3,FALSE)</f>
        <v>9.0240671969462088E-2</v>
      </c>
      <c r="Y251" s="20">
        <f t="shared" si="19"/>
        <v>9.3483129658802788E-2</v>
      </c>
      <c r="Z251" s="20">
        <f t="shared" si="20"/>
        <v>6.9177530518378716E-2</v>
      </c>
      <c r="AA251" s="21">
        <v>1</v>
      </c>
      <c r="AB251" s="21">
        <v>1</v>
      </c>
      <c r="AC251" s="22">
        <f t="shared" si="21"/>
        <v>9.3483129658802788E-2</v>
      </c>
      <c r="AD251" s="22">
        <f t="shared" si="22"/>
        <v>6.9177530518378716E-2</v>
      </c>
      <c r="AE251" s="22">
        <f t="shared" si="23"/>
        <v>0.59701492537313428</v>
      </c>
      <c r="AF251" s="7" t="s">
        <v>1643</v>
      </c>
      <c r="AG251" s="7"/>
      <c r="AH251" s="7"/>
      <c r="AI251" s="7"/>
      <c r="AJ251" s="8" t="b">
        <v>1</v>
      </c>
      <c r="AK251" s="28" t="s">
        <v>1644</v>
      </c>
      <c r="AL251" s="28" t="s">
        <v>1645</v>
      </c>
      <c r="AM251" s="28"/>
      <c r="AN251" s="7"/>
      <c r="AO251" s="7">
        <v>0</v>
      </c>
      <c r="AP251" s="8" t="b">
        <v>0</v>
      </c>
      <c r="AQ251" s="28" t="s">
        <v>1646</v>
      </c>
    </row>
    <row r="252" spans="1:43" ht="15">
      <c r="A252" s="7">
        <v>247</v>
      </c>
      <c r="B252" s="7" t="s">
        <v>807</v>
      </c>
      <c r="C252" s="7" t="s">
        <v>47</v>
      </c>
      <c r="D252" s="7" t="s">
        <v>112</v>
      </c>
      <c r="E252" s="7" t="s">
        <v>1647</v>
      </c>
      <c r="F252" s="7"/>
      <c r="G252" s="14"/>
      <c r="H252" s="15"/>
      <c r="I252" s="15"/>
      <c r="J252" s="15"/>
      <c r="K252" s="15"/>
      <c r="L252" s="15"/>
      <c r="M252" s="15"/>
      <c r="N252" s="16"/>
      <c r="O252" s="16"/>
      <c r="P252" s="17">
        <f>IFERROR(G252/(G252+Priors!$H$3),0)</f>
        <v>0</v>
      </c>
      <c r="Q252" s="18">
        <f>IF(E252="Premier League",Priors!$H$4,IF(E252="Championship",Priors!$H$5,Priors!$H$8))</f>
        <v>0</v>
      </c>
      <c r="R252" s="19" t="b">
        <v>0</v>
      </c>
      <c r="S252" s="18">
        <f>IF(R252=TRUE,Priors!$H$6,1)</f>
        <v>1</v>
      </c>
      <c r="T252" s="19" t="b">
        <v>0</v>
      </c>
      <c r="U252" s="18">
        <f>IF(T252=TRUE,Priors!$H$7,1)</f>
        <v>1</v>
      </c>
      <c r="V252" s="18">
        <f t="shared" si="18"/>
        <v>0</v>
      </c>
      <c r="W252" s="20">
        <f>VLOOKUP(D252,Priors!$A$3:$C$6,2,FALSE)</f>
        <v>0.10751786102217777</v>
      </c>
      <c r="X252" s="20">
        <f>VLOOKUP(D252,Priors!$A$3:$C$6,3,FALSE)</f>
        <v>9.0240671969462088E-2</v>
      </c>
      <c r="Y252" s="20">
        <f t="shared" si="19"/>
        <v>0.10751786102217777</v>
      </c>
      <c r="Z252" s="20">
        <f t="shared" si="20"/>
        <v>9.0240671969462088E-2</v>
      </c>
      <c r="AA252" s="21">
        <v>1</v>
      </c>
      <c r="AB252" s="21">
        <v>1</v>
      </c>
      <c r="AC252" s="22">
        <f t="shared" si="21"/>
        <v>0.10751786102217777</v>
      </c>
      <c r="AD252" s="22">
        <f t="shared" si="22"/>
        <v>9.0240671969462088E-2</v>
      </c>
      <c r="AE252" s="22">
        <f t="shared" si="23"/>
        <v>1</v>
      </c>
      <c r="AF252" s="7" t="s">
        <v>1647</v>
      </c>
      <c r="AG252" s="7"/>
      <c r="AH252" s="7"/>
      <c r="AI252" s="7"/>
      <c r="AJ252" s="8" t="b">
        <v>1</v>
      </c>
      <c r="AK252" s="28" t="s">
        <v>1648</v>
      </c>
      <c r="AL252" s="28"/>
      <c r="AM252" s="28"/>
      <c r="AN252" s="7"/>
      <c r="AO252" s="7">
        <v>0</v>
      </c>
      <c r="AP252" s="8" t="b">
        <v>0</v>
      </c>
      <c r="AQ252" s="28" t="s">
        <v>1646</v>
      </c>
    </row>
    <row r="253" spans="1:43" ht="30">
      <c r="A253" s="7">
        <v>248</v>
      </c>
      <c r="B253" s="7" t="s">
        <v>809</v>
      </c>
      <c r="C253" s="7" t="s">
        <v>47</v>
      </c>
      <c r="D253" s="7" t="s">
        <v>167</v>
      </c>
      <c r="E253" s="7" t="s">
        <v>1642</v>
      </c>
      <c r="F253" s="7" t="s">
        <v>47</v>
      </c>
      <c r="G253" s="14">
        <v>1551</v>
      </c>
      <c r="H253" s="15">
        <v>8.9</v>
      </c>
      <c r="I253" s="15">
        <v>0.23</v>
      </c>
      <c r="J253" s="15">
        <v>0.51644100580270791</v>
      </c>
      <c r="K253" s="15">
        <v>1.334622823984526E-2</v>
      </c>
      <c r="L253" s="15">
        <v>46.7</v>
      </c>
      <c r="M253" s="15">
        <v>1.2289473684210528</v>
      </c>
      <c r="N253" s="16">
        <v>0.4202303687473854</v>
      </c>
      <c r="O253" s="16">
        <v>1.0859885933921195E-2</v>
      </c>
      <c r="P253" s="17">
        <f>IFERROR(G253/(G253+Priors!$H$3),0)</f>
        <v>0.60799686397491182</v>
      </c>
      <c r="Q253" s="18">
        <f>IF(E253="Premier League",Priors!$H$4,IF(E253="Championship",Priors!$H$5,Priors!$H$8))</f>
        <v>1</v>
      </c>
      <c r="R253" s="19" t="b">
        <v>0</v>
      </c>
      <c r="S253" s="18">
        <f>IF(R253=TRUE,Priors!$H$6,1)</f>
        <v>1</v>
      </c>
      <c r="T253" s="19" t="b">
        <v>0</v>
      </c>
      <c r="U253" s="18">
        <f>IF(T253=TRUE,Priors!$H$7,1)</f>
        <v>1</v>
      </c>
      <c r="V253" s="18">
        <f t="shared" si="18"/>
        <v>0.60799686397491182</v>
      </c>
      <c r="W253" s="20">
        <f>VLOOKUP(D253,Priors!$A$3:$C$6,2,FALSE)</f>
        <v>0.30461525508032317</v>
      </c>
      <c r="X253" s="20">
        <f>VLOOKUP(D253,Priors!$A$3:$C$6,3,FALSE)</f>
        <v>3.9258061548584466E-2</v>
      </c>
      <c r="Y253" s="20">
        <f t="shared" si="19"/>
        <v>0.37490888161799996</v>
      </c>
      <c r="Z253" s="20">
        <f t="shared" si="20"/>
        <v>2.1992059832260383E-2</v>
      </c>
      <c r="AA253" s="21">
        <v>1</v>
      </c>
      <c r="AB253" s="21">
        <v>1</v>
      </c>
      <c r="AC253" s="22">
        <f t="shared" si="21"/>
        <v>0.37490888161799996</v>
      </c>
      <c r="AD253" s="22">
        <f t="shared" si="22"/>
        <v>2.1992059832260383E-2</v>
      </c>
      <c r="AE253" s="22">
        <f t="shared" si="23"/>
        <v>0.39200313602508818</v>
      </c>
      <c r="AF253" s="7" t="s">
        <v>1643</v>
      </c>
      <c r="AG253" s="7">
        <v>4</v>
      </c>
      <c r="AH253" s="7"/>
      <c r="AI253" s="7"/>
      <c r="AJ253" s="8" t="b">
        <v>0</v>
      </c>
      <c r="AK253" s="28" t="s">
        <v>1644</v>
      </c>
      <c r="AL253" s="28" t="s">
        <v>1645</v>
      </c>
      <c r="AM253" s="28"/>
      <c r="AN253" s="7"/>
      <c r="AO253" s="7">
        <v>0</v>
      </c>
      <c r="AP253" s="8" t="b">
        <v>0</v>
      </c>
      <c r="AQ253" s="28" t="s">
        <v>1646</v>
      </c>
    </row>
    <row r="254" spans="1:43" ht="30">
      <c r="A254" s="7">
        <v>249</v>
      </c>
      <c r="B254" s="7" t="s">
        <v>811</v>
      </c>
      <c r="C254" s="7" t="s">
        <v>47</v>
      </c>
      <c r="D254" s="7" t="s">
        <v>167</v>
      </c>
      <c r="E254" s="7" t="s">
        <v>1642</v>
      </c>
      <c r="F254" s="7" t="s">
        <v>47</v>
      </c>
      <c r="G254" s="14">
        <v>1898</v>
      </c>
      <c r="H254" s="15">
        <v>8.17</v>
      </c>
      <c r="I254" s="15">
        <v>0.44</v>
      </c>
      <c r="J254" s="15">
        <v>0.38740779768177025</v>
      </c>
      <c r="K254" s="15">
        <v>2.0864067439409904E-2</v>
      </c>
      <c r="L254" s="15">
        <v>46.7</v>
      </c>
      <c r="M254" s="15">
        <v>1.2289473684210528</v>
      </c>
      <c r="N254" s="16">
        <v>0.31523546706439542</v>
      </c>
      <c r="O254" s="16">
        <v>1.6977185496736109E-2</v>
      </c>
      <c r="P254" s="17">
        <f>IFERROR(G254/(G254+Priors!$H$3),0)</f>
        <v>0.65493443754313319</v>
      </c>
      <c r="Q254" s="18">
        <f>IF(E254="Premier League",Priors!$H$4,IF(E254="Championship",Priors!$H$5,Priors!$H$8))</f>
        <v>1</v>
      </c>
      <c r="R254" s="19" t="b">
        <v>0</v>
      </c>
      <c r="S254" s="18">
        <f>IF(R254=TRUE,Priors!$H$6,1)</f>
        <v>1</v>
      </c>
      <c r="T254" s="19" t="b">
        <v>0</v>
      </c>
      <c r="U254" s="18">
        <f>IF(T254=TRUE,Priors!$H$7,1)</f>
        <v>1</v>
      </c>
      <c r="V254" s="18">
        <f t="shared" si="18"/>
        <v>0.65493443754313319</v>
      </c>
      <c r="W254" s="20">
        <f>VLOOKUP(D254,Priors!$A$3:$C$6,2,FALSE)</f>
        <v>0.30461525508032317</v>
      </c>
      <c r="X254" s="20">
        <f>VLOOKUP(D254,Priors!$A$3:$C$6,3,FALSE)</f>
        <v>3.9258061548584466E-2</v>
      </c>
      <c r="Y254" s="20">
        <f t="shared" si="19"/>
        <v>0.31157079764270035</v>
      </c>
      <c r="Z254" s="20">
        <f t="shared" si="20"/>
        <v>2.4665548523598896E-2</v>
      </c>
      <c r="AA254" s="21">
        <v>1</v>
      </c>
      <c r="AB254" s="21">
        <v>1</v>
      </c>
      <c r="AC254" s="22">
        <f t="shared" si="21"/>
        <v>0.31157079764270035</v>
      </c>
      <c r="AD254" s="22">
        <f t="shared" si="22"/>
        <v>2.4665548523598896E-2</v>
      </c>
      <c r="AE254" s="22">
        <f t="shared" si="23"/>
        <v>0.34506556245686681</v>
      </c>
      <c r="AF254" s="7" t="s">
        <v>1643</v>
      </c>
      <c r="AG254" s="7">
        <v>2</v>
      </c>
      <c r="AH254" s="7"/>
      <c r="AI254" s="7"/>
      <c r="AJ254" s="8" t="b">
        <v>0</v>
      </c>
      <c r="AK254" s="28" t="s">
        <v>1644</v>
      </c>
      <c r="AL254" s="28" t="s">
        <v>1645</v>
      </c>
      <c r="AM254" s="28"/>
      <c r="AN254" s="7"/>
      <c r="AO254" s="7">
        <v>0</v>
      </c>
      <c r="AP254" s="8" t="b">
        <v>0</v>
      </c>
      <c r="AQ254" s="28" t="s">
        <v>1646</v>
      </c>
    </row>
    <row r="255" spans="1:43" ht="30">
      <c r="A255" s="7">
        <v>250</v>
      </c>
      <c r="B255" s="7" t="s">
        <v>814</v>
      </c>
      <c r="C255" s="7" t="s">
        <v>48</v>
      </c>
      <c r="D255" s="7" t="s">
        <v>85</v>
      </c>
      <c r="E255" s="7" t="s">
        <v>1642</v>
      </c>
      <c r="F255" s="7" t="s">
        <v>48</v>
      </c>
      <c r="G255" s="14">
        <v>3420</v>
      </c>
      <c r="H255" s="15">
        <v>0</v>
      </c>
      <c r="I255" s="15">
        <v>0.02</v>
      </c>
      <c r="J255" s="15">
        <v>0</v>
      </c>
      <c r="K255" s="15">
        <v>5.263157894736842E-4</v>
      </c>
      <c r="L255" s="15">
        <v>48.4</v>
      </c>
      <c r="M255" s="15">
        <v>1.2736842105263158</v>
      </c>
      <c r="N255" s="16">
        <v>0</v>
      </c>
      <c r="O255" s="16">
        <v>4.1322314049586776E-4</v>
      </c>
      <c r="P255" s="17">
        <f>IFERROR(G255/(G255+Priors!$H$3),0)</f>
        <v>0.77375565610859731</v>
      </c>
      <c r="Q255" s="18">
        <f>IF(E255="Premier League",Priors!$H$4,IF(E255="Championship",Priors!$H$5,Priors!$H$8))</f>
        <v>1</v>
      </c>
      <c r="R255" s="19" t="b">
        <v>0</v>
      </c>
      <c r="S255" s="18">
        <f>IF(R255=TRUE,Priors!$H$6,1)</f>
        <v>1</v>
      </c>
      <c r="T255" s="19" t="b">
        <v>1</v>
      </c>
      <c r="U255" s="18">
        <f>IF(T255=TRUE,Priors!$H$7,1)</f>
        <v>0.9</v>
      </c>
      <c r="V255" s="18">
        <f t="shared" si="18"/>
        <v>0.69638009049773764</v>
      </c>
      <c r="W255" s="20">
        <f>VLOOKUP(D255,Priors!$A$3:$C$6,2,FALSE)</f>
        <v>1.6719534964712218E-4</v>
      </c>
      <c r="X255" s="20">
        <f>VLOOKUP(D255,Priors!$A$3:$C$6,3,FALSE)</f>
        <v>1.379361634588758E-3</v>
      </c>
      <c r="Y255" s="20">
        <f t="shared" si="19"/>
        <v>5.0763836929058353E-5</v>
      </c>
      <c r="Z255" s="20">
        <f t="shared" si="20"/>
        <v>7.0656202263900307E-4</v>
      </c>
      <c r="AA255" s="21">
        <v>1</v>
      </c>
      <c r="AB255" s="21">
        <v>1</v>
      </c>
      <c r="AC255" s="22">
        <f t="shared" si="21"/>
        <v>5.0763836929058353E-5</v>
      </c>
      <c r="AD255" s="22">
        <f t="shared" si="22"/>
        <v>7.0656202263900307E-4</v>
      </c>
      <c r="AE255" s="22">
        <f t="shared" si="23"/>
        <v>0.30361990950226236</v>
      </c>
      <c r="AF255" s="7" t="s">
        <v>1643</v>
      </c>
      <c r="AG255" s="7"/>
      <c r="AH255" s="7"/>
      <c r="AI255" s="7"/>
      <c r="AJ255" s="8" t="b">
        <v>1</v>
      </c>
      <c r="AK255" s="28" t="s">
        <v>1644</v>
      </c>
      <c r="AL255" s="28" t="s">
        <v>1645</v>
      </c>
      <c r="AM255" s="28"/>
      <c r="AN255" s="7">
        <v>4</v>
      </c>
      <c r="AO255" s="7">
        <v>0</v>
      </c>
      <c r="AP255" s="8" t="b">
        <v>0</v>
      </c>
      <c r="AQ255" s="28" t="s">
        <v>1646</v>
      </c>
    </row>
    <row r="256" spans="1:43" ht="15">
      <c r="A256" s="7">
        <v>251</v>
      </c>
      <c r="B256" s="7" t="s">
        <v>818</v>
      </c>
      <c r="C256" s="7" t="s">
        <v>48</v>
      </c>
      <c r="D256" s="7" t="s">
        <v>85</v>
      </c>
      <c r="E256" s="7" t="s">
        <v>1647</v>
      </c>
      <c r="F256" s="7"/>
      <c r="G256" s="14"/>
      <c r="H256" s="15"/>
      <c r="I256" s="15"/>
      <c r="J256" s="15"/>
      <c r="K256" s="15"/>
      <c r="L256" s="15"/>
      <c r="M256" s="15"/>
      <c r="N256" s="16"/>
      <c r="O256" s="16"/>
      <c r="P256" s="17">
        <f>IFERROR(G256/(G256+Priors!$H$3),0)</f>
        <v>0</v>
      </c>
      <c r="Q256" s="18">
        <f>IF(E256="Premier League",Priors!$H$4,IF(E256="Championship",Priors!$H$5,Priors!$H$8))</f>
        <v>0</v>
      </c>
      <c r="R256" s="19" t="b">
        <v>0</v>
      </c>
      <c r="S256" s="18">
        <f>IF(R256=TRUE,Priors!$H$6,1)</f>
        <v>1</v>
      </c>
      <c r="T256" s="19" t="b">
        <v>1</v>
      </c>
      <c r="U256" s="18">
        <f>IF(T256=TRUE,Priors!$H$7,1)</f>
        <v>0.9</v>
      </c>
      <c r="V256" s="18">
        <f t="shared" si="18"/>
        <v>0</v>
      </c>
      <c r="W256" s="20">
        <f>VLOOKUP(D256,Priors!$A$3:$C$6,2,FALSE)</f>
        <v>1.6719534964712218E-4</v>
      </c>
      <c r="X256" s="20">
        <f>VLOOKUP(D256,Priors!$A$3:$C$6,3,FALSE)</f>
        <v>1.379361634588758E-3</v>
      </c>
      <c r="Y256" s="20">
        <f t="shared" si="19"/>
        <v>1.6719534964712218E-4</v>
      </c>
      <c r="Z256" s="20">
        <f t="shared" si="20"/>
        <v>1.379361634588758E-3</v>
      </c>
      <c r="AA256" s="21">
        <v>1</v>
      </c>
      <c r="AB256" s="21">
        <v>1</v>
      </c>
      <c r="AC256" s="22">
        <f t="shared" si="21"/>
        <v>1.6719534964712218E-4</v>
      </c>
      <c r="AD256" s="22">
        <f t="shared" si="22"/>
        <v>1.379361634588758E-3</v>
      </c>
      <c r="AE256" s="22">
        <f t="shared" si="23"/>
        <v>1</v>
      </c>
      <c r="AF256" s="7" t="s">
        <v>1647</v>
      </c>
      <c r="AG256" s="7"/>
      <c r="AH256" s="7"/>
      <c r="AI256" s="7"/>
      <c r="AJ256" s="8" t="b">
        <v>1</v>
      </c>
      <c r="AK256" s="28" t="s">
        <v>1648</v>
      </c>
      <c r="AL256" s="28"/>
      <c r="AM256" s="28"/>
      <c r="AN256" s="7"/>
      <c r="AO256" s="7">
        <v>0</v>
      </c>
      <c r="AP256" s="8" t="b">
        <v>0</v>
      </c>
      <c r="AQ256" s="28" t="s">
        <v>1646</v>
      </c>
    </row>
    <row r="257" spans="1:43" ht="15">
      <c r="A257" s="7">
        <v>252</v>
      </c>
      <c r="B257" s="7" t="s">
        <v>820</v>
      </c>
      <c r="C257" s="7" t="s">
        <v>48</v>
      </c>
      <c r="D257" s="7" t="s">
        <v>85</v>
      </c>
      <c r="E257" s="7" t="s">
        <v>1647</v>
      </c>
      <c r="F257" s="7"/>
      <c r="G257" s="14"/>
      <c r="H257" s="15"/>
      <c r="I257" s="15"/>
      <c r="J257" s="15"/>
      <c r="K257" s="15"/>
      <c r="L257" s="15"/>
      <c r="M257" s="15"/>
      <c r="N257" s="16"/>
      <c r="O257" s="16"/>
      <c r="P257" s="17">
        <f>IFERROR(G257/(G257+Priors!$H$3),0)</f>
        <v>0</v>
      </c>
      <c r="Q257" s="18">
        <f>IF(E257="Premier League",Priors!$H$4,IF(E257="Championship",Priors!$H$5,Priors!$H$8))</f>
        <v>0</v>
      </c>
      <c r="R257" s="19" t="b">
        <v>0</v>
      </c>
      <c r="S257" s="18">
        <f>IF(R257=TRUE,Priors!$H$6,1)</f>
        <v>1</v>
      </c>
      <c r="T257" s="19" t="b">
        <v>1</v>
      </c>
      <c r="U257" s="18">
        <f>IF(T257=TRUE,Priors!$H$7,1)</f>
        <v>0.9</v>
      </c>
      <c r="V257" s="18">
        <f t="shared" si="18"/>
        <v>0</v>
      </c>
      <c r="W257" s="20">
        <f>VLOOKUP(D257,Priors!$A$3:$C$6,2,FALSE)</f>
        <v>1.6719534964712218E-4</v>
      </c>
      <c r="X257" s="20">
        <f>VLOOKUP(D257,Priors!$A$3:$C$6,3,FALSE)</f>
        <v>1.379361634588758E-3</v>
      </c>
      <c r="Y257" s="20">
        <f t="shared" si="19"/>
        <v>1.6719534964712218E-4</v>
      </c>
      <c r="Z257" s="20">
        <f t="shared" si="20"/>
        <v>1.379361634588758E-3</v>
      </c>
      <c r="AA257" s="21">
        <v>1</v>
      </c>
      <c r="AB257" s="21">
        <v>1</v>
      </c>
      <c r="AC257" s="22">
        <f t="shared" si="21"/>
        <v>1.6719534964712218E-4</v>
      </c>
      <c r="AD257" s="22">
        <f t="shared" si="22"/>
        <v>1.379361634588758E-3</v>
      </c>
      <c r="AE257" s="22">
        <f t="shared" si="23"/>
        <v>1</v>
      </c>
      <c r="AF257" s="7" t="s">
        <v>1647</v>
      </c>
      <c r="AG257" s="7"/>
      <c r="AH257" s="7"/>
      <c r="AI257" s="7"/>
      <c r="AJ257" s="8" t="b">
        <v>1</v>
      </c>
      <c r="AK257" s="28" t="s">
        <v>1648</v>
      </c>
      <c r="AL257" s="28"/>
      <c r="AM257" s="28"/>
      <c r="AN257" s="7"/>
      <c r="AO257" s="7">
        <v>0</v>
      </c>
      <c r="AP257" s="8" t="b">
        <v>0</v>
      </c>
      <c r="AQ257" s="28" t="s">
        <v>1646</v>
      </c>
    </row>
    <row r="258" spans="1:43" ht="30">
      <c r="A258" s="7">
        <v>253</v>
      </c>
      <c r="B258" s="7" t="s">
        <v>822</v>
      </c>
      <c r="C258" s="7" t="s">
        <v>48</v>
      </c>
      <c r="D258" s="7" t="s">
        <v>99</v>
      </c>
      <c r="E258" s="7" t="s">
        <v>1642</v>
      </c>
      <c r="F258" s="7" t="s">
        <v>48</v>
      </c>
      <c r="G258" s="14">
        <v>2882</v>
      </c>
      <c r="H258" s="15">
        <v>1.43</v>
      </c>
      <c r="I258" s="15">
        <v>1.83</v>
      </c>
      <c r="J258" s="15">
        <v>4.4656488549618317E-2</v>
      </c>
      <c r="K258" s="15">
        <v>5.7147814018043031E-2</v>
      </c>
      <c r="L258" s="15">
        <v>48.4</v>
      </c>
      <c r="M258" s="15">
        <v>1.2736842105263158</v>
      </c>
      <c r="N258" s="16">
        <v>3.5060879439782977E-2</v>
      </c>
      <c r="O258" s="16">
        <v>4.4868118443918081E-2</v>
      </c>
      <c r="P258" s="17">
        <f>IFERROR(G258/(G258+Priors!$H$3),0)</f>
        <v>0.74240082431736221</v>
      </c>
      <c r="Q258" s="18">
        <f>IF(E258="Premier League",Priors!$H$4,IF(E258="Championship",Priors!$H$5,Priors!$H$8))</f>
        <v>1</v>
      </c>
      <c r="R258" s="19" t="b">
        <v>0</v>
      </c>
      <c r="S258" s="18">
        <f>IF(R258=TRUE,Priors!$H$6,1)</f>
        <v>1</v>
      </c>
      <c r="T258" s="19" t="b">
        <v>1</v>
      </c>
      <c r="U258" s="18">
        <f>IF(T258=TRUE,Priors!$H$7,1)</f>
        <v>0.9</v>
      </c>
      <c r="V258" s="18">
        <f t="shared" ref="V258:V321" si="24">P258*Q258*S258*U258</f>
        <v>0.66816074188562602</v>
      </c>
      <c r="W258" s="20">
        <f>VLOOKUP(D258,Priors!$A$3:$C$6,2,FALSE)</f>
        <v>4.1142361271531161E-2</v>
      </c>
      <c r="X258" s="20">
        <f>VLOOKUP(D258,Priors!$A$3:$C$6,3,FALSE)</f>
        <v>4.0513079897554365E-2</v>
      </c>
      <c r="Y258" s="20">
        <f t="shared" ref="Y258:Y321" si="25">IF(N258="",W258,V258*N258+(1-V258)*W258)</f>
        <v>3.7078953859066337E-2</v>
      </c>
      <c r="Z258" s="20">
        <f t="shared" ref="Z258:Z321" si="26">IF(O258="",X258,V258*O258+(1-V258)*X258)</f>
        <v>4.3422945683633245E-2</v>
      </c>
      <c r="AA258" s="21">
        <v>1</v>
      </c>
      <c r="AB258" s="21">
        <v>1</v>
      </c>
      <c r="AC258" s="22">
        <f t="shared" ref="AC258:AC321" si="27">Y258*AA258</f>
        <v>3.7078953859066337E-2</v>
      </c>
      <c r="AD258" s="22">
        <f t="shared" ref="AD258:AD321" si="28">Z258*AB258</f>
        <v>4.3422945683633245E-2</v>
      </c>
      <c r="AE258" s="22">
        <f t="shared" ref="AE258:AE321" si="29">1-V258</f>
        <v>0.33183925811437398</v>
      </c>
      <c r="AF258" s="7" t="s">
        <v>1643</v>
      </c>
      <c r="AG258" s="7"/>
      <c r="AH258" s="7"/>
      <c r="AI258" s="7"/>
      <c r="AJ258" s="8" t="b">
        <v>1</v>
      </c>
      <c r="AK258" s="28" t="s">
        <v>1644</v>
      </c>
      <c r="AL258" s="28" t="s">
        <v>1645</v>
      </c>
      <c r="AM258" s="28"/>
      <c r="AN258" s="7"/>
      <c r="AO258" s="7">
        <v>0</v>
      </c>
      <c r="AP258" s="8" t="b">
        <v>0</v>
      </c>
      <c r="AQ258" s="28" t="s">
        <v>1646</v>
      </c>
    </row>
    <row r="259" spans="1:43" ht="30">
      <c r="A259" s="7">
        <v>254</v>
      </c>
      <c r="B259" s="7" t="s">
        <v>825</v>
      </c>
      <c r="C259" s="7" t="s">
        <v>48</v>
      </c>
      <c r="D259" s="7" t="s">
        <v>99</v>
      </c>
      <c r="E259" s="7" t="s">
        <v>1642</v>
      </c>
      <c r="F259" s="7" t="s">
        <v>48</v>
      </c>
      <c r="G259" s="14">
        <v>1487</v>
      </c>
      <c r="H259" s="15">
        <v>1.07</v>
      </c>
      <c r="I259" s="15">
        <v>1.58</v>
      </c>
      <c r="J259" s="15">
        <v>6.4761264290517831E-2</v>
      </c>
      <c r="K259" s="15">
        <v>9.5628782784129132E-2</v>
      </c>
      <c r="L259" s="15">
        <v>48.4</v>
      </c>
      <c r="M259" s="15">
        <v>1.2736842105263158</v>
      </c>
      <c r="N259" s="16">
        <v>5.0845620723960282E-2</v>
      </c>
      <c r="O259" s="16">
        <v>7.5080449293324525E-2</v>
      </c>
      <c r="P259" s="17">
        <f>IFERROR(G259/(G259+Priors!$H$3),0)</f>
        <v>0.59790912746280656</v>
      </c>
      <c r="Q259" s="18">
        <f>IF(E259="Premier League",Priors!$H$4,IF(E259="Championship",Priors!$H$5,Priors!$H$8))</f>
        <v>1</v>
      </c>
      <c r="R259" s="19" t="b">
        <v>0</v>
      </c>
      <c r="S259" s="18">
        <f>IF(R259=TRUE,Priors!$H$6,1)</f>
        <v>1</v>
      </c>
      <c r="T259" s="19" t="b">
        <v>1</v>
      </c>
      <c r="U259" s="18">
        <f>IF(T259=TRUE,Priors!$H$7,1)</f>
        <v>0.9</v>
      </c>
      <c r="V259" s="18">
        <f t="shared" si="24"/>
        <v>0.53811821471652588</v>
      </c>
      <c r="W259" s="20">
        <f>VLOOKUP(D259,Priors!$A$3:$C$6,2,FALSE)</f>
        <v>4.1142361271531161E-2</v>
      </c>
      <c r="X259" s="20">
        <f>VLOOKUP(D259,Priors!$A$3:$C$6,3,FALSE)</f>
        <v>4.0513079897554365E-2</v>
      </c>
      <c r="Y259" s="20">
        <f t="shared" si="25"/>
        <v>4.636386192500358E-2</v>
      </c>
      <c r="Z259" s="20">
        <f t="shared" si="26"/>
        <v>5.9114411004252874E-2</v>
      </c>
      <c r="AA259" s="21">
        <v>1</v>
      </c>
      <c r="AB259" s="21">
        <v>1</v>
      </c>
      <c r="AC259" s="22">
        <f t="shared" si="27"/>
        <v>4.636386192500358E-2</v>
      </c>
      <c r="AD259" s="22">
        <f t="shared" si="28"/>
        <v>5.9114411004252874E-2</v>
      </c>
      <c r="AE259" s="22">
        <f t="shared" si="29"/>
        <v>0.46188178528347412</v>
      </c>
      <c r="AF259" s="7" t="s">
        <v>1643</v>
      </c>
      <c r="AG259" s="7">
        <v>1</v>
      </c>
      <c r="AH259" s="7"/>
      <c r="AI259" s="7"/>
      <c r="AJ259" s="8" t="b">
        <v>1</v>
      </c>
      <c r="AK259" s="28" t="s">
        <v>1644</v>
      </c>
      <c r="AL259" s="28" t="s">
        <v>1645</v>
      </c>
      <c r="AM259" s="28"/>
      <c r="AN259" s="7"/>
      <c r="AO259" s="7">
        <v>0</v>
      </c>
      <c r="AP259" s="8" t="b">
        <v>0</v>
      </c>
      <c r="AQ259" s="28" t="s">
        <v>1646</v>
      </c>
    </row>
    <row r="260" spans="1:43" ht="30">
      <c r="A260" s="7">
        <v>255</v>
      </c>
      <c r="B260" s="7" t="s">
        <v>828</v>
      </c>
      <c r="C260" s="7" t="s">
        <v>48</v>
      </c>
      <c r="D260" s="7" t="s">
        <v>99</v>
      </c>
      <c r="E260" s="7" t="s">
        <v>1642</v>
      </c>
      <c r="F260" s="7" t="s">
        <v>48</v>
      </c>
      <c r="G260" s="14">
        <v>935</v>
      </c>
      <c r="H260" s="15">
        <v>0.05</v>
      </c>
      <c r="I260" s="15">
        <v>0.53</v>
      </c>
      <c r="J260" s="15">
        <v>4.8128342245989308E-3</v>
      </c>
      <c r="K260" s="15">
        <v>5.1016042780748665E-2</v>
      </c>
      <c r="L260" s="15">
        <v>48.4</v>
      </c>
      <c r="M260" s="15">
        <v>1.2736842105263158</v>
      </c>
      <c r="N260" s="16">
        <v>3.7786714986520532E-3</v>
      </c>
      <c r="O260" s="16">
        <v>4.0053917885711762E-2</v>
      </c>
      <c r="P260" s="17">
        <f>IFERROR(G260/(G260+Priors!$H$3),0)</f>
        <v>0.48320413436692505</v>
      </c>
      <c r="Q260" s="18">
        <f>IF(E260="Premier League",Priors!$H$4,IF(E260="Championship",Priors!$H$5,Priors!$H$8))</f>
        <v>1</v>
      </c>
      <c r="R260" s="19" t="b">
        <v>0</v>
      </c>
      <c r="S260" s="18">
        <f>IF(R260=TRUE,Priors!$H$6,1)</f>
        <v>1</v>
      </c>
      <c r="T260" s="19" t="b">
        <v>1</v>
      </c>
      <c r="U260" s="18">
        <f>IF(T260=TRUE,Priors!$H$7,1)</f>
        <v>0.9</v>
      </c>
      <c r="V260" s="18">
        <f t="shared" si="24"/>
        <v>0.43488372093023253</v>
      </c>
      <c r="W260" s="20">
        <f>VLOOKUP(D260,Priors!$A$3:$C$6,2,FALSE)</f>
        <v>4.1142361271531161E-2</v>
      </c>
      <c r="X260" s="20">
        <f>VLOOKUP(D260,Priors!$A$3:$C$6,3,FALSE)</f>
        <v>4.0513079897554365E-2</v>
      </c>
      <c r="Y260" s="20">
        <f t="shared" si="25"/>
        <v>2.4893500835418619E-2</v>
      </c>
      <c r="Z260" s="20">
        <f t="shared" si="26"/>
        <v>4.0313397813334442E-2</v>
      </c>
      <c r="AA260" s="21">
        <v>1</v>
      </c>
      <c r="AB260" s="21">
        <v>1</v>
      </c>
      <c r="AC260" s="22">
        <f t="shared" si="27"/>
        <v>2.4893500835418619E-2</v>
      </c>
      <c r="AD260" s="22">
        <f t="shared" si="28"/>
        <v>4.0313397813334442E-2</v>
      </c>
      <c r="AE260" s="22">
        <f t="shared" si="29"/>
        <v>0.56511627906976747</v>
      </c>
      <c r="AF260" s="7" t="s">
        <v>1643</v>
      </c>
      <c r="AG260" s="7"/>
      <c r="AH260" s="7"/>
      <c r="AI260" s="7"/>
      <c r="AJ260" s="8" t="b">
        <v>1</v>
      </c>
      <c r="AK260" s="28" t="s">
        <v>1644</v>
      </c>
      <c r="AL260" s="28" t="s">
        <v>1645</v>
      </c>
      <c r="AM260" s="28"/>
      <c r="AN260" s="7"/>
      <c r="AO260" s="7">
        <v>0</v>
      </c>
      <c r="AP260" s="8" t="b">
        <v>0</v>
      </c>
      <c r="AQ260" s="28" t="s">
        <v>1646</v>
      </c>
    </row>
    <row r="261" spans="1:43" ht="30">
      <c r="A261" s="7">
        <v>256</v>
      </c>
      <c r="B261" s="7" t="s">
        <v>831</v>
      </c>
      <c r="C261" s="7" t="s">
        <v>48</v>
      </c>
      <c r="D261" s="7" t="s">
        <v>99</v>
      </c>
      <c r="E261" s="7" t="s">
        <v>1642</v>
      </c>
      <c r="F261" s="7" t="s">
        <v>48</v>
      </c>
      <c r="G261" s="14">
        <v>1791</v>
      </c>
      <c r="H261" s="15">
        <v>0.92</v>
      </c>
      <c r="I261" s="15">
        <v>1.46</v>
      </c>
      <c r="J261" s="15">
        <v>4.6231155778894473E-2</v>
      </c>
      <c r="K261" s="15">
        <v>7.3366834170854281E-2</v>
      </c>
      <c r="L261" s="15">
        <v>48.4</v>
      </c>
      <c r="M261" s="15">
        <v>1.2736842105263158</v>
      </c>
      <c r="N261" s="16">
        <v>3.6297188421446074E-2</v>
      </c>
      <c r="O261" s="16">
        <v>5.760205988620791E-2</v>
      </c>
      <c r="P261" s="17">
        <f>IFERROR(G261/(G261+Priors!$H$3),0)</f>
        <v>0.64170548190612686</v>
      </c>
      <c r="Q261" s="18">
        <f>IF(E261="Premier League",Priors!$H$4,IF(E261="Championship",Priors!$H$5,Priors!$H$8))</f>
        <v>1</v>
      </c>
      <c r="R261" s="19" t="b">
        <v>0</v>
      </c>
      <c r="S261" s="18">
        <f>IF(R261=TRUE,Priors!$H$6,1)</f>
        <v>1</v>
      </c>
      <c r="T261" s="19" t="b">
        <v>1</v>
      </c>
      <c r="U261" s="18">
        <f>IF(T261=TRUE,Priors!$H$7,1)</f>
        <v>0.9</v>
      </c>
      <c r="V261" s="18">
        <f t="shared" si="24"/>
        <v>0.57753493371551423</v>
      </c>
      <c r="W261" s="20">
        <f>VLOOKUP(D261,Priors!$A$3:$C$6,2,FALSE)</f>
        <v>4.1142361271531161E-2</v>
      </c>
      <c r="X261" s="20">
        <f>VLOOKUP(D261,Priors!$A$3:$C$6,3,FALSE)</f>
        <v>4.0513079897554365E-2</v>
      </c>
      <c r="Y261" s="20">
        <f t="shared" si="25"/>
        <v>3.8344104690717057E-2</v>
      </c>
      <c r="Z261" s="20">
        <f t="shared" si="26"/>
        <v>5.0382562822567145E-2</v>
      </c>
      <c r="AA261" s="21">
        <v>1</v>
      </c>
      <c r="AB261" s="21">
        <v>1</v>
      </c>
      <c r="AC261" s="22">
        <f t="shared" si="27"/>
        <v>3.8344104690717057E-2</v>
      </c>
      <c r="AD261" s="22">
        <f t="shared" si="28"/>
        <v>5.0382562822567145E-2</v>
      </c>
      <c r="AE261" s="22">
        <f t="shared" si="29"/>
        <v>0.42246506628448577</v>
      </c>
      <c r="AF261" s="7" t="s">
        <v>1643</v>
      </c>
      <c r="AG261" s="7"/>
      <c r="AH261" s="7"/>
      <c r="AI261" s="7"/>
      <c r="AJ261" s="8" t="b">
        <v>1</v>
      </c>
      <c r="AK261" s="28" t="s">
        <v>1644</v>
      </c>
      <c r="AL261" s="28" t="s">
        <v>1645</v>
      </c>
      <c r="AM261" s="28"/>
      <c r="AN261" s="7">
        <v>3</v>
      </c>
      <c r="AO261" s="7">
        <v>0</v>
      </c>
      <c r="AP261" s="8" t="b">
        <v>0</v>
      </c>
      <c r="AQ261" s="28" t="s">
        <v>1646</v>
      </c>
    </row>
    <row r="262" spans="1:43" ht="30">
      <c r="A262" s="7">
        <v>257</v>
      </c>
      <c r="B262" s="7" t="s">
        <v>834</v>
      </c>
      <c r="C262" s="7" t="s">
        <v>48</v>
      </c>
      <c r="D262" s="7" t="s">
        <v>99</v>
      </c>
      <c r="E262" s="7" t="s">
        <v>1642</v>
      </c>
      <c r="F262" s="7" t="s">
        <v>48</v>
      </c>
      <c r="G262" s="14">
        <v>2532</v>
      </c>
      <c r="H262" s="15">
        <v>1.71</v>
      </c>
      <c r="I262" s="15">
        <v>0.35</v>
      </c>
      <c r="J262" s="15">
        <v>6.0781990521327017E-2</v>
      </c>
      <c r="K262" s="15">
        <v>1.2440758293838861E-2</v>
      </c>
      <c r="L262" s="15">
        <v>48.4</v>
      </c>
      <c r="M262" s="15">
        <v>1.2736842105263158</v>
      </c>
      <c r="N262" s="16">
        <v>4.7721397516744354E-2</v>
      </c>
      <c r="O262" s="16">
        <v>9.7675375034272059E-3</v>
      </c>
      <c r="P262" s="17">
        <f>IFERROR(G262/(G262+Priors!$H$3),0)</f>
        <v>0.71687429218573051</v>
      </c>
      <c r="Q262" s="18">
        <f>IF(E262="Premier League",Priors!$H$4,IF(E262="Championship",Priors!$H$5,Priors!$H$8))</f>
        <v>1</v>
      </c>
      <c r="R262" s="19" t="b">
        <v>0</v>
      </c>
      <c r="S262" s="18">
        <f>IF(R262=TRUE,Priors!$H$6,1)</f>
        <v>1</v>
      </c>
      <c r="T262" s="19" t="b">
        <v>1</v>
      </c>
      <c r="U262" s="18">
        <f>IF(T262=TRUE,Priors!$H$7,1)</f>
        <v>0.9</v>
      </c>
      <c r="V262" s="18">
        <f t="shared" si="24"/>
        <v>0.64518686296715744</v>
      </c>
      <c r="W262" s="20">
        <f>VLOOKUP(D262,Priors!$A$3:$C$6,2,FALSE)</f>
        <v>4.1142361271531161E-2</v>
      </c>
      <c r="X262" s="20">
        <f>VLOOKUP(D262,Priors!$A$3:$C$6,3,FALSE)</f>
        <v>4.0513079897554365E-2</v>
      </c>
      <c r="Y262" s="20">
        <f t="shared" si="25"/>
        <v>4.5387069027927489E-2</v>
      </c>
      <c r="Z262" s="20">
        <f t="shared" si="26"/>
        <v>2.0676459850063715E-2</v>
      </c>
      <c r="AA262" s="21">
        <v>1</v>
      </c>
      <c r="AB262" s="21">
        <v>1</v>
      </c>
      <c r="AC262" s="22">
        <f t="shared" si="27"/>
        <v>4.5387069027927489E-2</v>
      </c>
      <c r="AD262" s="22">
        <f t="shared" si="28"/>
        <v>2.0676459850063715E-2</v>
      </c>
      <c r="AE262" s="22">
        <f t="shared" si="29"/>
        <v>0.35481313703284256</v>
      </c>
      <c r="AF262" s="7" t="s">
        <v>1643</v>
      </c>
      <c r="AG262" s="7"/>
      <c r="AH262" s="7"/>
      <c r="AI262" s="7"/>
      <c r="AJ262" s="8" t="b">
        <v>1</v>
      </c>
      <c r="AK262" s="28" t="s">
        <v>1644</v>
      </c>
      <c r="AL262" s="28" t="s">
        <v>1645</v>
      </c>
      <c r="AM262" s="28"/>
      <c r="AN262" s="7"/>
      <c r="AO262" s="7">
        <v>0</v>
      </c>
      <c r="AP262" s="8" t="b">
        <v>0</v>
      </c>
      <c r="AQ262" s="28" t="s">
        <v>1646</v>
      </c>
    </row>
    <row r="263" spans="1:43" ht="30">
      <c r="A263" s="7">
        <v>258</v>
      </c>
      <c r="B263" s="7" t="s">
        <v>837</v>
      </c>
      <c r="C263" s="7" t="s">
        <v>48</v>
      </c>
      <c r="D263" s="7" t="s">
        <v>99</v>
      </c>
      <c r="E263" s="7" t="s">
        <v>1642</v>
      </c>
      <c r="F263" s="7" t="s">
        <v>48</v>
      </c>
      <c r="G263" s="14">
        <v>1838</v>
      </c>
      <c r="H263" s="15">
        <v>1.5</v>
      </c>
      <c r="I263" s="15">
        <v>1.47</v>
      </c>
      <c r="J263" s="15">
        <v>7.3449401523394992E-2</v>
      </c>
      <c r="K263" s="15">
        <v>7.1980413492927095E-2</v>
      </c>
      <c r="L263" s="15">
        <v>48.4</v>
      </c>
      <c r="M263" s="15">
        <v>1.2736842105263158</v>
      </c>
      <c r="N263" s="16">
        <v>5.7666885493574585E-2</v>
      </c>
      <c r="O263" s="16">
        <v>5.6513547783703093E-2</v>
      </c>
      <c r="P263" s="17">
        <f>IFERROR(G263/(G263+Priors!$H$3),0)</f>
        <v>0.64763918252290342</v>
      </c>
      <c r="Q263" s="18">
        <f>IF(E263="Premier League",Priors!$H$4,IF(E263="Championship",Priors!$H$5,Priors!$H$8))</f>
        <v>1</v>
      </c>
      <c r="R263" s="19" t="b">
        <v>0</v>
      </c>
      <c r="S263" s="18">
        <f>IF(R263=TRUE,Priors!$H$6,1)</f>
        <v>1</v>
      </c>
      <c r="T263" s="19" t="b">
        <v>1</v>
      </c>
      <c r="U263" s="18">
        <f>IF(T263=TRUE,Priors!$H$7,1)</f>
        <v>0.9</v>
      </c>
      <c r="V263" s="18">
        <f t="shared" si="24"/>
        <v>0.58287526427061309</v>
      </c>
      <c r="W263" s="20">
        <f>VLOOKUP(D263,Priors!$A$3:$C$6,2,FALSE)</f>
        <v>4.1142361271531161E-2</v>
      </c>
      <c r="X263" s="20">
        <f>VLOOKUP(D263,Priors!$A$3:$C$6,3,FALSE)</f>
        <v>4.0513079897554365E-2</v>
      </c>
      <c r="Y263" s="20">
        <f t="shared" si="25"/>
        <v>5.0774097694400874E-2</v>
      </c>
      <c r="Z263" s="20">
        <f t="shared" si="26"/>
        <v>4.9839356845146766E-2</v>
      </c>
      <c r="AA263" s="21">
        <v>1</v>
      </c>
      <c r="AB263" s="21">
        <v>1</v>
      </c>
      <c r="AC263" s="22">
        <f t="shared" si="27"/>
        <v>5.0774097694400874E-2</v>
      </c>
      <c r="AD263" s="22">
        <f t="shared" si="28"/>
        <v>4.9839356845146766E-2</v>
      </c>
      <c r="AE263" s="22">
        <f t="shared" si="29"/>
        <v>0.41712473572938691</v>
      </c>
      <c r="AF263" s="7" t="s">
        <v>1643</v>
      </c>
      <c r="AG263" s="7"/>
      <c r="AH263" s="7"/>
      <c r="AI263" s="7"/>
      <c r="AJ263" s="8" t="b">
        <v>1</v>
      </c>
      <c r="AK263" s="28" t="s">
        <v>1644</v>
      </c>
      <c r="AL263" s="28" t="s">
        <v>1645</v>
      </c>
      <c r="AM263" s="28"/>
      <c r="AN263" s="7"/>
      <c r="AO263" s="7">
        <v>0</v>
      </c>
      <c r="AP263" s="8" t="b">
        <v>0</v>
      </c>
      <c r="AQ263" s="28" t="s">
        <v>1646</v>
      </c>
    </row>
    <row r="264" spans="1:43" ht="30">
      <c r="A264" s="7">
        <v>261</v>
      </c>
      <c r="B264" s="7" t="s">
        <v>839</v>
      </c>
      <c r="C264" s="7" t="s">
        <v>48</v>
      </c>
      <c r="D264" s="7" t="s">
        <v>112</v>
      </c>
      <c r="E264" s="7" t="s">
        <v>1642</v>
      </c>
      <c r="F264" s="7" t="s">
        <v>48</v>
      </c>
      <c r="G264" s="14">
        <v>2420</v>
      </c>
      <c r="H264" s="15">
        <v>1.91</v>
      </c>
      <c r="I264" s="15">
        <v>4.7</v>
      </c>
      <c r="J264" s="15">
        <v>7.1033057851239673E-2</v>
      </c>
      <c r="K264" s="15">
        <v>0.17479338842975206</v>
      </c>
      <c r="L264" s="15">
        <v>48.4</v>
      </c>
      <c r="M264" s="15">
        <v>1.2736842105263158</v>
      </c>
      <c r="N264" s="16">
        <v>5.5769756164196438E-2</v>
      </c>
      <c r="O264" s="16">
        <v>0.13723447851922682</v>
      </c>
      <c r="P264" s="17">
        <f>IFERROR(G264/(G264+Priors!$H$3),0)</f>
        <v>0.70760233918128657</v>
      </c>
      <c r="Q264" s="18">
        <f>IF(E264="Premier League",Priors!$H$4,IF(E264="Championship",Priors!$H$5,Priors!$H$8))</f>
        <v>1</v>
      </c>
      <c r="R264" s="19" t="b">
        <v>0</v>
      </c>
      <c r="S264" s="18">
        <f>IF(R264=TRUE,Priors!$H$6,1)</f>
        <v>1</v>
      </c>
      <c r="T264" s="19" t="b">
        <v>1</v>
      </c>
      <c r="U264" s="18">
        <f>IF(T264=TRUE,Priors!$H$7,1)</f>
        <v>0.9</v>
      </c>
      <c r="V264" s="18">
        <f t="shared" si="24"/>
        <v>0.63684210526315788</v>
      </c>
      <c r="W264" s="20">
        <f>VLOOKUP(D264,Priors!$A$3:$C$6,2,FALSE)</f>
        <v>0.10751786102217777</v>
      </c>
      <c r="X264" s="20">
        <f>VLOOKUP(D264,Priors!$A$3:$C$6,3,FALSE)</f>
        <v>9.0240671969462088E-2</v>
      </c>
      <c r="Y264" s="20">
        <f t="shared" si="25"/>
        <v>7.4562488981042285E-2</v>
      </c>
      <c r="Z264" s="20">
        <f t="shared" si="26"/>
        <v>0.12016830666694384</v>
      </c>
      <c r="AA264" s="21">
        <v>1</v>
      </c>
      <c r="AB264" s="21">
        <v>1</v>
      </c>
      <c r="AC264" s="22">
        <f t="shared" si="27"/>
        <v>7.4562488981042285E-2</v>
      </c>
      <c r="AD264" s="22">
        <f t="shared" si="28"/>
        <v>0.12016830666694384</v>
      </c>
      <c r="AE264" s="22">
        <f t="shared" si="29"/>
        <v>0.36315789473684212</v>
      </c>
      <c r="AF264" s="7" t="s">
        <v>1643</v>
      </c>
      <c r="AG264" s="7">
        <v>2</v>
      </c>
      <c r="AH264" s="7">
        <v>1</v>
      </c>
      <c r="AI264" s="7">
        <v>4</v>
      </c>
      <c r="AJ264" s="8" t="b">
        <v>1</v>
      </c>
      <c r="AK264" s="28" t="s">
        <v>1644</v>
      </c>
      <c r="AL264" s="28" t="s">
        <v>1645</v>
      </c>
      <c r="AM264" s="28"/>
      <c r="AN264" s="7"/>
      <c r="AO264" s="7">
        <v>0</v>
      </c>
      <c r="AP264" s="8" t="b">
        <v>0</v>
      </c>
      <c r="AQ264" s="28" t="s">
        <v>1646</v>
      </c>
    </row>
    <row r="265" spans="1:43" ht="30">
      <c r="A265" s="7">
        <v>262</v>
      </c>
      <c r="B265" s="7" t="s">
        <v>841</v>
      </c>
      <c r="C265" s="7" t="s">
        <v>48</v>
      </c>
      <c r="D265" s="7" t="s">
        <v>112</v>
      </c>
      <c r="E265" s="7" t="s">
        <v>1642</v>
      </c>
      <c r="F265" s="7" t="s">
        <v>48</v>
      </c>
      <c r="G265" s="14">
        <v>1909</v>
      </c>
      <c r="H265" s="15">
        <v>4.71</v>
      </c>
      <c r="I265" s="15">
        <v>1.1200000000000001</v>
      </c>
      <c r="J265" s="15">
        <v>0.22205343111576742</v>
      </c>
      <c r="K265" s="15">
        <v>5.2802514405447885E-2</v>
      </c>
      <c r="L265" s="15">
        <v>48.4</v>
      </c>
      <c r="M265" s="15">
        <v>1.2736842105263158</v>
      </c>
      <c r="N265" s="16">
        <v>0.1743394707107265</v>
      </c>
      <c r="O265" s="16">
        <v>4.1456519574525202E-2</v>
      </c>
      <c r="P265" s="17">
        <f>IFERROR(G265/(G265+Priors!$H$3),0)</f>
        <v>0.65623925747679612</v>
      </c>
      <c r="Q265" s="18">
        <f>IF(E265="Premier League",Priors!$H$4,IF(E265="Championship",Priors!$H$5,Priors!$H$8))</f>
        <v>1</v>
      </c>
      <c r="R265" s="19" t="b">
        <v>0</v>
      </c>
      <c r="S265" s="18">
        <f>IF(R265=TRUE,Priors!$H$6,1)</f>
        <v>1</v>
      </c>
      <c r="T265" s="19" t="b">
        <v>1</v>
      </c>
      <c r="U265" s="18">
        <f>IF(T265=TRUE,Priors!$H$7,1)</f>
        <v>0.9</v>
      </c>
      <c r="V265" s="18">
        <f t="shared" si="24"/>
        <v>0.59061533172911651</v>
      </c>
      <c r="W265" s="20">
        <f>VLOOKUP(D265,Priors!$A$3:$C$6,2,FALSE)</f>
        <v>0.10751786102217777</v>
      </c>
      <c r="X265" s="20">
        <f>VLOOKUP(D265,Priors!$A$3:$C$6,3,FALSE)</f>
        <v>9.0240671969462088E-2</v>
      </c>
      <c r="Y265" s="20">
        <f t="shared" si="25"/>
        <v>0.14698372819505354</v>
      </c>
      <c r="Z265" s="20">
        <f t="shared" si="26"/>
        <v>6.142800361960267E-2</v>
      </c>
      <c r="AA265" s="21">
        <v>1</v>
      </c>
      <c r="AB265" s="21">
        <v>1</v>
      </c>
      <c r="AC265" s="22">
        <f t="shared" si="27"/>
        <v>0.14698372819505354</v>
      </c>
      <c r="AD265" s="22">
        <f t="shared" si="28"/>
        <v>6.142800361960267E-2</v>
      </c>
      <c r="AE265" s="22">
        <f t="shared" si="29"/>
        <v>0.40938466827088349</v>
      </c>
      <c r="AF265" s="7" t="s">
        <v>1643</v>
      </c>
      <c r="AG265" s="7"/>
      <c r="AH265" s="7"/>
      <c r="AI265" s="7"/>
      <c r="AJ265" s="8" t="b">
        <v>1</v>
      </c>
      <c r="AK265" s="28" t="s">
        <v>1644</v>
      </c>
      <c r="AL265" s="28" t="s">
        <v>1645</v>
      </c>
      <c r="AM265" s="28"/>
      <c r="AN265" s="7"/>
      <c r="AO265" s="7">
        <v>0</v>
      </c>
      <c r="AP265" s="8" t="b">
        <v>0</v>
      </c>
      <c r="AQ265" s="28" t="s">
        <v>1646</v>
      </c>
    </row>
    <row r="266" spans="1:43" ht="30">
      <c r="A266" s="7">
        <v>263</v>
      </c>
      <c r="B266" s="7" t="s">
        <v>844</v>
      </c>
      <c r="C266" s="7" t="s">
        <v>48</v>
      </c>
      <c r="D266" s="7" t="s">
        <v>112</v>
      </c>
      <c r="E266" s="7" t="s">
        <v>1642</v>
      </c>
      <c r="F266" s="7" t="s">
        <v>48</v>
      </c>
      <c r="G266" s="14">
        <v>1030</v>
      </c>
      <c r="H266" s="15">
        <v>1.21</v>
      </c>
      <c r="I266" s="15">
        <v>1.47</v>
      </c>
      <c r="J266" s="15">
        <v>0.10572815533980581</v>
      </c>
      <c r="K266" s="15">
        <v>0.12844660194174759</v>
      </c>
      <c r="L266" s="15">
        <v>48.4</v>
      </c>
      <c r="M266" s="15">
        <v>1.2736842105263158</v>
      </c>
      <c r="N266" s="16">
        <v>8.3009708737864077E-2</v>
      </c>
      <c r="O266" s="16">
        <v>0.10084650565674398</v>
      </c>
      <c r="P266" s="17">
        <f>IFERROR(G266/(G266+Priors!$H$3),0)</f>
        <v>0.5073891625615764</v>
      </c>
      <c r="Q266" s="18">
        <f>IF(E266="Premier League",Priors!$H$4,IF(E266="Championship",Priors!$H$5,Priors!$H$8))</f>
        <v>1</v>
      </c>
      <c r="R266" s="19" t="b">
        <v>0</v>
      </c>
      <c r="S266" s="18">
        <f>IF(R266=TRUE,Priors!$H$6,1)</f>
        <v>1</v>
      </c>
      <c r="T266" s="19" t="b">
        <v>1</v>
      </c>
      <c r="U266" s="18">
        <f>IF(T266=TRUE,Priors!$H$7,1)</f>
        <v>0.9</v>
      </c>
      <c r="V266" s="18">
        <f t="shared" si="24"/>
        <v>0.45665024630541878</v>
      </c>
      <c r="W266" s="20">
        <f>VLOOKUP(D266,Priors!$A$3:$C$6,2,FALSE)</f>
        <v>0.10751786102217777</v>
      </c>
      <c r="X266" s="20">
        <f>VLOOKUP(D266,Priors!$A$3:$C$6,3,FALSE)</f>
        <v>9.0240671969462088E-2</v>
      </c>
      <c r="Y266" s="20">
        <f t="shared" si="25"/>
        <v>9.6326207245055223E-2</v>
      </c>
      <c r="Z266" s="20">
        <f t="shared" si="26"/>
        <v>9.5083828535033679E-2</v>
      </c>
      <c r="AA266" s="21">
        <v>1</v>
      </c>
      <c r="AB266" s="21">
        <v>1</v>
      </c>
      <c r="AC266" s="22">
        <f t="shared" si="27"/>
        <v>9.6326207245055223E-2</v>
      </c>
      <c r="AD266" s="22">
        <f t="shared" si="28"/>
        <v>9.5083828535033679E-2</v>
      </c>
      <c r="AE266" s="22">
        <f t="shared" si="29"/>
        <v>0.54334975369458127</v>
      </c>
      <c r="AF266" s="7" t="s">
        <v>1643</v>
      </c>
      <c r="AG266" s="7"/>
      <c r="AH266" s="7"/>
      <c r="AI266" s="7">
        <v>6</v>
      </c>
      <c r="AJ266" s="8" t="b">
        <v>1</v>
      </c>
      <c r="AK266" s="28" t="s">
        <v>1644</v>
      </c>
      <c r="AL266" s="28" t="s">
        <v>1645</v>
      </c>
      <c r="AM266" s="28"/>
      <c r="AN266" s="7"/>
      <c r="AO266" s="7">
        <v>0</v>
      </c>
      <c r="AP266" s="8" t="b">
        <v>0</v>
      </c>
      <c r="AQ266" s="28" t="s">
        <v>1646</v>
      </c>
    </row>
    <row r="267" spans="1:43" ht="30">
      <c r="A267" s="7">
        <v>264</v>
      </c>
      <c r="B267" s="7" t="s">
        <v>846</v>
      </c>
      <c r="C267" s="7" t="s">
        <v>48</v>
      </c>
      <c r="D267" s="7" t="s">
        <v>112</v>
      </c>
      <c r="E267" s="7" t="s">
        <v>1642</v>
      </c>
      <c r="F267" s="7" t="s">
        <v>48</v>
      </c>
      <c r="G267" s="14">
        <v>1030</v>
      </c>
      <c r="H267" s="15">
        <v>1.47</v>
      </c>
      <c r="I267" s="15">
        <v>2.1</v>
      </c>
      <c r="J267" s="15">
        <v>0.12844660194174759</v>
      </c>
      <c r="K267" s="15">
        <v>0.18349514563106797</v>
      </c>
      <c r="L267" s="15">
        <v>48.4</v>
      </c>
      <c r="M267" s="15">
        <v>1.2736842105263158</v>
      </c>
      <c r="N267" s="16">
        <v>0.10084650565674398</v>
      </c>
      <c r="O267" s="16">
        <v>0.14406643665249139</v>
      </c>
      <c r="P267" s="17">
        <f>IFERROR(G267/(G267+Priors!$H$3),0)</f>
        <v>0.5073891625615764</v>
      </c>
      <c r="Q267" s="18">
        <f>IF(E267="Premier League",Priors!$H$4,IF(E267="Championship",Priors!$H$5,Priors!$H$8))</f>
        <v>1</v>
      </c>
      <c r="R267" s="19" t="b">
        <v>0</v>
      </c>
      <c r="S267" s="18">
        <f>IF(R267=TRUE,Priors!$H$6,1)</f>
        <v>1</v>
      </c>
      <c r="T267" s="19" t="b">
        <v>1</v>
      </c>
      <c r="U267" s="18">
        <f>IF(T267=TRUE,Priors!$H$7,1)</f>
        <v>0.9</v>
      </c>
      <c r="V267" s="18">
        <f t="shared" si="24"/>
        <v>0.45665024630541878</v>
      </c>
      <c r="W267" s="20">
        <f>VLOOKUP(D267,Priors!$A$3:$C$6,2,FALSE)</f>
        <v>0.10751786102217777</v>
      </c>
      <c r="X267" s="20">
        <f>VLOOKUP(D267,Priors!$A$3:$C$6,3,FALSE)</f>
        <v>9.0240671969462088E-2</v>
      </c>
      <c r="Y267" s="20">
        <f t="shared" si="25"/>
        <v>0.10447138495136146</v>
      </c>
      <c r="Z267" s="20">
        <f t="shared" si="26"/>
        <v>0.11482022066954493</v>
      </c>
      <c r="AA267" s="21">
        <v>1</v>
      </c>
      <c r="AB267" s="21">
        <v>1</v>
      </c>
      <c r="AC267" s="22">
        <f t="shared" si="27"/>
        <v>0.10447138495136146</v>
      </c>
      <c r="AD267" s="22">
        <f t="shared" si="28"/>
        <v>0.11482022066954493</v>
      </c>
      <c r="AE267" s="22">
        <f t="shared" si="29"/>
        <v>0.54334975369458127</v>
      </c>
      <c r="AF267" s="7" t="s">
        <v>1643</v>
      </c>
      <c r="AG267" s="7"/>
      <c r="AH267" s="7"/>
      <c r="AI267" s="7"/>
      <c r="AJ267" s="8" t="b">
        <v>1</v>
      </c>
      <c r="AK267" s="28" t="s">
        <v>1644</v>
      </c>
      <c r="AL267" s="28" t="s">
        <v>1645</v>
      </c>
      <c r="AM267" s="28"/>
      <c r="AN267" s="7"/>
      <c r="AO267" s="7">
        <v>0</v>
      </c>
      <c r="AP267" s="8" t="b">
        <v>0</v>
      </c>
      <c r="AQ267" s="28" t="s">
        <v>1646</v>
      </c>
    </row>
    <row r="268" spans="1:43" ht="30">
      <c r="A268" s="7">
        <v>265</v>
      </c>
      <c r="B268" s="7" t="s">
        <v>849</v>
      </c>
      <c r="C268" s="7" t="s">
        <v>48</v>
      </c>
      <c r="D268" s="7" t="s">
        <v>112</v>
      </c>
      <c r="E268" s="7" t="s">
        <v>1642</v>
      </c>
      <c r="F268" s="7" t="s">
        <v>48</v>
      </c>
      <c r="G268" s="14">
        <v>2904</v>
      </c>
      <c r="H268" s="15">
        <v>1.54</v>
      </c>
      <c r="I268" s="15">
        <v>1.5</v>
      </c>
      <c r="J268" s="15">
        <v>4.7727272727272722E-2</v>
      </c>
      <c r="K268" s="15">
        <v>4.6487603305785122E-2</v>
      </c>
      <c r="L268" s="15">
        <v>48.4</v>
      </c>
      <c r="M268" s="15">
        <v>1.2736842105263158</v>
      </c>
      <c r="N268" s="16">
        <v>3.7471825694966189E-2</v>
      </c>
      <c r="O268" s="16">
        <v>3.6498531521070965E-2</v>
      </c>
      <c r="P268" s="17">
        <f>IFERROR(G268/(G268+Priors!$H$3),0)</f>
        <v>0.74385245901639341</v>
      </c>
      <c r="Q268" s="18">
        <f>IF(E268="Premier League",Priors!$H$4,IF(E268="Championship",Priors!$H$5,Priors!$H$8))</f>
        <v>1</v>
      </c>
      <c r="R268" s="19" t="b">
        <v>0</v>
      </c>
      <c r="S268" s="18">
        <f>IF(R268=TRUE,Priors!$H$6,1)</f>
        <v>1</v>
      </c>
      <c r="T268" s="19" t="b">
        <v>1</v>
      </c>
      <c r="U268" s="18">
        <f>IF(T268=TRUE,Priors!$H$7,1)</f>
        <v>0.9</v>
      </c>
      <c r="V268" s="18">
        <f t="shared" si="24"/>
        <v>0.6694672131147541</v>
      </c>
      <c r="W268" s="20">
        <f>VLOOKUP(D268,Priors!$A$3:$C$6,2,FALSE)</f>
        <v>0.10751786102217777</v>
      </c>
      <c r="X268" s="20">
        <f>VLOOKUP(D268,Priors!$A$3:$C$6,3,FALSE)</f>
        <v>9.0240671969462088E-2</v>
      </c>
      <c r="Y268" s="20">
        <f t="shared" si="25"/>
        <v>6.0624336961931813E-2</v>
      </c>
      <c r="Z268" s="20">
        <f t="shared" si="26"/>
        <v>5.4262070976655981E-2</v>
      </c>
      <c r="AA268" s="21">
        <v>1</v>
      </c>
      <c r="AB268" s="21">
        <v>1</v>
      </c>
      <c r="AC268" s="22">
        <f t="shared" si="27"/>
        <v>6.0624336961931813E-2</v>
      </c>
      <c r="AD268" s="22">
        <f t="shared" si="28"/>
        <v>5.4262070976655981E-2</v>
      </c>
      <c r="AE268" s="22">
        <f t="shared" si="29"/>
        <v>0.3305327868852459</v>
      </c>
      <c r="AF268" s="7" t="s">
        <v>1643</v>
      </c>
      <c r="AG268" s="7"/>
      <c r="AH268" s="7"/>
      <c r="AI268" s="7"/>
      <c r="AJ268" s="8" t="b">
        <v>1</v>
      </c>
      <c r="AK268" s="28" t="s">
        <v>1644</v>
      </c>
      <c r="AL268" s="28" t="s">
        <v>1645</v>
      </c>
      <c r="AM268" s="28"/>
      <c r="AN268" s="7"/>
      <c r="AO268" s="7">
        <v>0</v>
      </c>
      <c r="AP268" s="8" t="b">
        <v>0</v>
      </c>
      <c r="AQ268" s="28" t="s">
        <v>1646</v>
      </c>
    </row>
    <row r="269" spans="1:43" ht="30">
      <c r="A269" s="7">
        <v>266</v>
      </c>
      <c r="B269" s="7" t="s">
        <v>851</v>
      </c>
      <c r="C269" s="7" t="s">
        <v>48</v>
      </c>
      <c r="D269" s="7" t="s">
        <v>112</v>
      </c>
      <c r="E269" s="7" t="s">
        <v>1642</v>
      </c>
      <c r="F269" s="7" t="s">
        <v>48</v>
      </c>
      <c r="G269" s="14">
        <v>756</v>
      </c>
      <c r="H269" s="15">
        <v>1.21</v>
      </c>
      <c r="I269" s="15">
        <v>0.81</v>
      </c>
      <c r="J269" s="15">
        <v>0.14404761904761904</v>
      </c>
      <c r="K269" s="15">
        <v>9.6428571428571433E-2</v>
      </c>
      <c r="L269" s="15">
        <v>48.4</v>
      </c>
      <c r="M269" s="15">
        <v>1.2736842105263158</v>
      </c>
      <c r="N269" s="16">
        <v>0.1130952380952381</v>
      </c>
      <c r="O269" s="16">
        <v>7.5708382526564352E-2</v>
      </c>
      <c r="P269" s="17">
        <f>IFERROR(G269/(G269+Priors!$H$3),0)</f>
        <v>0.43052391799544421</v>
      </c>
      <c r="Q269" s="18">
        <f>IF(E269="Premier League",Priors!$H$4,IF(E269="Championship",Priors!$H$5,Priors!$H$8))</f>
        <v>1</v>
      </c>
      <c r="R269" s="19" t="b">
        <v>0</v>
      </c>
      <c r="S269" s="18">
        <f>IF(R269=TRUE,Priors!$H$6,1)</f>
        <v>1</v>
      </c>
      <c r="T269" s="19" t="b">
        <v>1</v>
      </c>
      <c r="U269" s="18">
        <f>IF(T269=TRUE,Priors!$H$7,1)</f>
        <v>0.9</v>
      </c>
      <c r="V269" s="18">
        <f t="shared" si="24"/>
        <v>0.38747152619589981</v>
      </c>
      <c r="W269" s="20">
        <f>VLOOKUP(D269,Priors!$A$3:$C$6,2,FALSE)</f>
        <v>0.10751786102217777</v>
      </c>
      <c r="X269" s="20">
        <f>VLOOKUP(D269,Priors!$A$3:$C$6,3,FALSE)</f>
        <v>9.0240671969462088E-2</v>
      </c>
      <c r="Y269" s="20">
        <f t="shared" si="25"/>
        <v>0.10967893582884647</v>
      </c>
      <c r="Z269" s="20">
        <f t="shared" si="26"/>
        <v>8.4609823599901934E-2</v>
      </c>
      <c r="AA269" s="21">
        <v>1</v>
      </c>
      <c r="AB269" s="21">
        <v>1</v>
      </c>
      <c r="AC269" s="22">
        <f t="shared" si="27"/>
        <v>0.10967893582884647</v>
      </c>
      <c r="AD269" s="22">
        <f t="shared" si="28"/>
        <v>8.4609823599901934E-2</v>
      </c>
      <c r="AE269" s="22">
        <f t="shared" si="29"/>
        <v>0.61252847380410014</v>
      </c>
      <c r="AF269" s="7" t="s">
        <v>1643</v>
      </c>
      <c r="AG269" s="7"/>
      <c r="AH269" s="7"/>
      <c r="AI269" s="7"/>
      <c r="AJ269" s="8" t="b">
        <v>1</v>
      </c>
      <c r="AK269" s="28" t="s">
        <v>1644</v>
      </c>
      <c r="AL269" s="28" t="s">
        <v>1645</v>
      </c>
      <c r="AM269" s="28"/>
      <c r="AN269" s="7"/>
      <c r="AO269" s="7">
        <v>0</v>
      </c>
      <c r="AP269" s="8" t="b">
        <v>0</v>
      </c>
      <c r="AQ269" s="28" t="s">
        <v>1646</v>
      </c>
    </row>
    <row r="270" spans="1:43" ht="30">
      <c r="A270" s="7">
        <v>267</v>
      </c>
      <c r="B270" s="7" t="s">
        <v>854</v>
      </c>
      <c r="C270" s="7" t="s">
        <v>48</v>
      </c>
      <c r="D270" s="7" t="s">
        <v>112</v>
      </c>
      <c r="E270" s="7" t="s">
        <v>1642</v>
      </c>
      <c r="F270" s="7" t="s">
        <v>48</v>
      </c>
      <c r="G270" s="14">
        <v>1730</v>
      </c>
      <c r="H270" s="15">
        <v>2.23</v>
      </c>
      <c r="I270" s="15">
        <v>1.91</v>
      </c>
      <c r="J270" s="15">
        <v>0.11601156069364162</v>
      </c>
      <c r="K270" s="15">
        <v>9.9364161849710989E-2</v>
      </c>
      <c r="L270" s="15">
        <v>48.4</v>
      </c>
      <c r="M270" s="15">
        <v>1.2736842105263158</v>
      </c>
      <c r="N270" s="16">
        <v>9.1083456742941771E-2</v>
      </c>
      <c r="O270" s="16">
        <v>7.8013184923326817E-2</v>
      </c>
      <c r="P270" s="17">
        <f>IFERROR(G270/(G270+Priors!$H$3),0)</f>
        <v>0.63369963369963367</v>
      </c>
      <c r="Q270" s="18">
        <f>IF(E270="Premier League",Priors!$H$4,IF(E270="Championship",Priors!$H$5,Priors!$H$8))</f>
        <v>1</v>
      </c>
      <c r="R270" s="19" t="b">
        <v>0</v>
      </c>
      <c r="S270" s="18">
        <f>IF(R270=TRUE,Priors!$H$6,1)</f>
        <v>1</v>
      </c>
      <c r="T270" s="19" t="b">
        <v>1</v>
      </c>
      <c r="U270" s="18">
        <f>IF(T270=TRUE,Priors!$H$7,1)</f>
        <v>0.9</v>
      </c>
      <c r="V270" s="18">
        <f t="shared" si="24"/>
        <v>0.5703296703296703</v>
      </c>
      <c r="W270" s="20">
        <f>VLOOKUP(D270,Priors!$A$3:$C$6,2,FALSE)</f>
        <v>0.10751786102217777</v>
      </c>
      <c r="X270" s="20">
        <f>VLOOKUP(D270,Priors!$A$3:$C$6,3,FALSE)</f>
        <v>9.0240671969462088E-2</v>
      </c>
      <c r="Y270" s="20">
        <f t="shared" si="25"/>
        <v>9.8144832647536581E-2</v>
      </c>
      <c r="Z270" s="20">
        <f t="shared" si="26"/>
        <v>8.3266973313479445E-2</v>
      </c>
      <c r="AA270" s="21">
        <v>1</v>
      </c>
      <c r="AB270" s="21">
        <v>1</v>
      </c>
      <c r="AC270" s="22">
        <f t="shared" si="27"/>
        <v>9.8144832647536581E-2</v>
      </c>
      <c r="AD270" s="22">
        <f t="shared" si="28"/>
        <v>8.3266973313479445E-2</v>
      </c>
      <c r="AE270" s="22">
        <f t="shared" si="29"/>
        <v>0.4296703296703297</v>
      </c>
      <c r="AF270" s="7" t="s">
        <v>1643</v>
      </c>
      <c r="AG270" s="7"/>
      <c r="AH270" s="7">
        <v>2</v>
      </c>
      <c r="AI270" s="7">
        <v>5</v>
      </c>
      <c r="AJ270" s="8" t="b">
        <v>1</v>
      </c>
      <c r="AK270" s="28" t="s">
        <v>1644</v>
      </c>
      <c r="AL270" s="28" t="s">
        <v>1645</v>
      </c>
      <c r="AM270" s="28"/>
      <c r="AN270" s="7"/>
      <c r="AO270" s="7">
        <v>0</v>
      </c>
      <c r="AP270" s="8" t="b">
        <v>0</v>
      </c>
      <c r="AQ270" s="28" t="s">
        <v>1646</v>
      </c>
    </row>
    <row r="271" spans="1:43" ht="30">
      <c r="A271" s="7">
        <v>268</v>
      </c>
      <c r="B271" s="7" t="s">
        <v>756</v>
      </c>
      <c r="C271" s="7" t="s">
        <v>48</v>
      </c>
      <c r="D271" s="7" t="s">
        <v>112</v>
      </c>
      <c r="E271" s="7" t="s">
        <v>1642</v>
      </c>
      <c r="F271" s="7" t="s">
        <v>48</v>
      </c>
      <c r="G271" s="14">
        <v>1290</v>
      </c>
      <c r="H271" s="15">
        <v>2.4700000000000002</v>
      </c>
      <c r="I271" s="15">
        <v>0.66</v>
      </c>
      <c r="J271" s="15">
        <v>0.17232558139534884</v>
      </c>
      <c r="K271" s="15">
        <v>4.6046511627906982E-2</v>
      </c>
      <c r="L271" s="15">
        <v>48.4</v>
      </c>
      <c r="M271" s="15">
        <v>1.2736842105263158</v>
      </c>
      <c r="N271" s="16">
        <v>0.13529694407072843</v>
      </c>
      <c r="O271" s="16">
        <v>3.6152219873150114E-2</v>
      </c>
      <c r="P271" s="17">
        <f>IFERROR(G271/(G271+Priors!$H$3),0)</f>
        <v>0.5633187772925764</v>
      </c>
      <c r="Q271" s="18">
        <f>IF(E271="Premier League",Priors!$H$4,IF(E271="Championship",Priors!$H$5,Priors!$H$8))</f>
        <v>1</v>
      </c>
      <c r="R271" s="19" t="b">
        <v>0</v>
      </c>
      <c r="S271" s="18">
        <f>IF(R271=TRUE,Priors!$H$6,1)</f>
        <v>1</v>
      </c>
      <c r="T271" s="19" t="b">
        <v>1</v>
      </c>
      <c r="U271" s="18">
        <f>IF(T271=TRUE,Priors!$H$7,1)</f>
        <v>0.9</v>
      </c>
      <c r="V271" s="18">
        <f t="shared" si="24"/>
        <v>0.50698689956331877</v>
      </c>
      <c r="W271" s="20">
        <f>VLOOKUP(D271,Priors!$A$3:$C$6,2,FALSE)</f>
        <v>0.10751786102217777</v>
      </c>
      <c r="X271" s="20">
        <f>VLOOKUP(D271,Priors!$A$3:$C$6,3,FALSE)</f>
        <v>9.0240671969462088E-2</v>
      </c>
      <c r="Y271" s="20">
        <f t="shared" si="25"/>
        <v>0.12160149220967439</v>
      </c>
      <c r="Z271" s="20">
        <f t="shared" si="26"/>
        <v>6.2818535338973788E-2</v>
      </c>
      <c r="AA271" s="21">
        <v>1</v>
      </c>
      <c r="AB271" s="21">
        <v>1</v>
      </c>
      <c r="AC271" s="22">
        <f t="shared" si="27"/>
        <v>0.12160149220967439</v>
      </c>
      <c r="AD271" s="22">
        <f t="shared" si="28"/>
        <v>6.2818535338973788E-2</v>
      </c>
      <c r="AE271" s="22">
        <f t="shared" si="29"/>
        <v>0.49301310043668123</v>
      </c>
      <c r="AF271" s="7" t="s">
        <v>1643</v>
      </c>
      <c r="AG271" s="7"/>
      <c r="AH271" s="7"/>
      <c r="AI271" s="7"/>
      <c r="AJ271" s="8" t="b">
        <v>1</v>
      </c>
      <c r="AK271" s="28" t="s">
        <v>1644</v>
      </c>
      <c r="AL271" s="28" t="s">
        <v>1645</v>
      </c>
      <c r="AM271" s="28"/>
      <c r="AN271" s="7"/>
      <c r="AO271" s="7">
        <v>0</v>
      </c>
      <c r="AP271" s="8" t="b">
        <v>0</v>
      </c>
      <c r="AQ271" s="28" t="s">
        <v>1646</v>
      </c>
    </row>
    <row r="272" spans="1:43" ht="30">
      <c r="A272" s="7">
        <v>269</v>
      </c>
      <c r="B272" s="7" t="s">
        <v>858</v>
      </c>
      <c r="C272" s="7" t="s">
        <v>48</v>
      </c>
      <c r="D272" s="7" t="s">
        <v>99</v>
      </c>
      <c r="E272" s="7" t="s">
        <v>1642</v>
      </c>
      <c r="F272" s="7" t="s">
        <v>48</v>
      </c>
      <c r="G272" s="14">
        <v>1816</v>
      </c>
      <c r="H272" s="15">
        <v>1.6</v>
      </c>
      <c r="I272" s="15">
        <v>1.8</v>
      </c>
      <c r="J272" s="15">
        <v>7.9295154185022032E-2</v>
      </c>
      <c r="K272" s="15">
        <v>8.9207048458149779E-2</v>
      </c>
      <c r="L272" s="15">
        <v>48.4</v>
      </c>
      <c r="M272" s="15">
        <v>1.2736842105263158</v>
      </c>
      <c r="N272" s="16">
        <v>6.225652601303383E-2</v>
      </c>
      <c r="O272" s="16">
        <v>7.0038591764663052E-2</v>
      </c>
      <c r="P272" s="17">
        <f>IFERROR(G272/(G272+Priors!$H$3),0)</f>
        <v>0.64488636363636365</v>
      </c>
      <c r="Q272" s="18">
        <f>IF(E272="Premier League",Priors!$H$4,IF(E272="Championship",Priors!$H$5,Priors!$H$8))</f>
        <v>1</v>
      </c>
      <c r="R272" s="19" t="b">
        <v>0</v>
      </c>
      <c r="S272" s="18">
        <f>IF(R272=TRUE,Priors!$H$6,1)</f>
        <v>1</v>
      </c>
      <c r="T272" s="19" t="b">
        <v>1</v>
      </c>
      <c r="U272" s="18">
        <f>IF(T272=TRUE,Priors!$H$7,1)</f>
        <v>0.9</v>
      </c>
      <c r="V272" s="18">
        <f t="shared" si="24"/>
        <v>0.58039772727272732</v>
      </c>
      <c r="W272" s="20">
        <f>VLOOKUP(D272,Priors!$A$3:$C$6,2,FALSE)</f>
        <v>4.1142361271531161E-2</v>
      </c>
      <c r="X272" s="20">
        <f>VLOOKUP(D272,Priors!$A$3:$C$6,3,FALSE)</f>
        <v>4.0513079897554365E-2</v>
      </c>
      <c r="Y272" s="20">
        <f t="shared" si="25"/>
        <v>5.3396974500761266E-2</v>
      </c>
      <c r="Z272" s="20">
        <f t="shared" si="26"/>
        <v>5.7649619881788183E-2</v>
      </c>
      <c r="AA272" s="21">
        <v>1</v>
      </c>
      <c r="AB272" s="21">
        <v>1</v>
      </c>
      <c r="AC272" s="22">
        <f t="shared" si="27"/>
        <v>5.3396974500761266E-2</v>
      </c>
      <c r="AD272" s="22">
        <f t="shared" si="28"/>
        <v>5.7649619881788183E-2</v>
      </c>
      <c r="AE272" s="22">
        <f t="shared" si="29"/>
        <v>0.41960227272727268</v>
      </c>
      <c r="AF272" s="7" t="s">
        <v>1643</v>
      </c>
      <c r="AG272" s="7"/>
      <c r="AH272" s="7"/>
      <c r="AI272" s="7"/>
      <c r="AJ272" s="8" t="b">
        <v>1</v>
      </c>
      <c r="AK272" s="28" t="s">
        <v>1644</v>
      </c>
      <c r="AL272" s="28" t="s">
        <v>1645</v>
      </c>
      <c r="AM272" s="28"/>
      <c r="AN272" s="7"/>
      <c r="AO272" s="7">
        <v>0</v>
      </c>
      <c r="AP272" s="8" t="b">
        <v>0</v>
      </c>
      <c r="AQ272" s="28" t="s">
        <v>1646</v>
      </c>
    </row>
    <row r="273" spans="1:43" ht="30">
      <c r="A273" s="7">
        <v>270</v>
      </c>
      <c r="B273" s="7" t="s">
        <v>861</v>
      </c>
      <c r="C273" s="7" t="s">
        <v>48</v>
      </c>
      <c r="D273" s="7" t="s">
        <v>112</v>
      </c>
      <c r="E273" s="7" t="s">
        <v>1642</v>
      </c>
      <c r="F273" s="7" t="s">
        <v>48</v>
      </c>
      <c r="G273" s="14">
        <v>89</v>
      </c>
      <c r="H273" s="15">
        <v>0.13</v>
      </c>
      <c r="I273" s="15">
        <v>0.45</v>
      </c>
      <c r="J273" s="15">
        <v>0.13146067415730339</v>
      </c>
      <c r="K273" s="15">
        <v>0.4550561797752809</v>
      </c>
      <c r="L273" s="15">
        <v>48.4</v>
      </c>
      <c r="M273" s="15">
        <v>1.2736842105263158</v>
      </c>
      <c r="N273" s="16">
        <v>0.10321292599127126</v>
      </c>
      <c r="O273" s="16">
        <v>0.35727551304670818</v>
      </c>
      <c r="P273" s="17">
        <f>IFERROR(G273/(G273+Priors!$H$3),0)</f>
        <v>8.1726354453627179E-2</v>
      </c>
      <c r="Q273" s="18">
        <f>IF(E273="Premier League",Priors!$H$4,IF(E273="Championship",Priors!$H$5,Priors!$H$8))</f>
        <v>1</v>
      </c>
      <c r="R273" s="19" t="b">
        <v>0</v>
      </c>
      <c r="S273" s="18">
        <f>IF(R273=TRUE,Priors!$H$6,1)</f>
        <v>1</v>
      </c>
      <c r="T273" s="19" t="b">
        <v>1</v>
      </c>
      <c r="U273" s="18">
        <f>IF(T273=TRUE,Priors!$H$7,1)</f>
        <v>0.9</v>
      </c>
      <c r="V273" s="18">
        <f t="shared" si="24"/>
        <v>7.3553719008264462E-2</v>
      </c>
      <c r="W273" s="20">
        <f>VLOOKUP(D273,Priors!$A$3:$C$6,2,FALSE)</f>
        <v>0.10751786102217777</v>
      </c>
      <c r="X273" s="20">
        <f>VLOOKUP(D273,Priors!$A$3:$C$6,3,FALSE)</f>
        <v>9.0240671969462088E-2</v>
      </c>
      <c r="Y273" s="20">
        <f t="shared" si="25"/>
        <v>0.10720121704056562</v>
      </c>
      <c r="Z273" s="20">
        <f t="shared" si="26"/>
        <v>0.1098820776354744</v>
      </c>
      <c r="AA273" s="21">
        <v>1</v>
      </c>
      <c r="AB273" s="21">
        <v>1</v>
      </c>
      <c r="AC273" s="22">
        <f t="shared" si="27"/>
        <v>0.10720121704056562</v>
      </c>
      <c r="AD273" s="22">
        <f t="shared" si="28"/>
        <v>0.1098820776354744</v>
      </c>
      <c r="AE273" s="22">
        <f t="shared" si="29"/>
        <v>0.92644628099173554</v>
      </c>
      <c r="AF273" s="7" t="s">
        <v>1643</v>
      </c>
      <c r="AG273" s="7"/>
      <c r="AH273" s="7"/>
      <c r="AI273" s="7"/>
      <c r="AJ273" s="8" t="b">
        <v>1</v>
      </c>
      <c r="AK273" s="28" t="s">
        <v>1644</v>
      </c>
      <c r="AL273" s="28" t="s">
        <v>1645</v>
      </c>
      <c r="AM273" s="28"/>
      <c r="AN273" s="7"/>
      <c r="AO273" s="7">
        <v>0</v>
      </c>
      <c r="AP273" s="8" t="b">
        <v>0</v>
      </c>
      <c r="AQ273" s="28" t="s">
        <v>1646</v>
      </c>
    </row>
    <row r="274" spans="1:43" ht="30">
      <c r="A274" s="7">
        <v>271</v>
      </c>
      <c r="B274" s="7" t="s">
        <v>864</v>
      </c>
      <c r="C274" s="7" t="s">
        <v>48</v>
      </c>
      <c r="D274" s="7" t="s">
        <v>167</v>
      </c>
      <c r="E274" s="7" t="s">
        <v>1642</v>
      </c>
      <c r="F274" s="7" t="s">
        <v>48</v>
      </c>
      <c r="G274" s="14">
        <v>987</v>
      </c>
      <c r="H274" s="15">
        <v>3.3</v>
      </c>
      <c r="I274" s="15">
        <v>0.15</v>
      </c>
      <c r="J274" s="15">
        <v>0.30091185410334348</v>
      </c>
      <c r="K274" s="15">
        <v>1.3677811550151976E-2</v>
      </c>
      <c r="L274" s="15">
        <v>48.4</v>
      </c>
      <c r="M274" s="15">
        <v>1.2736842105263158</v>
      </c>
      <c r="N274" s="16">
        <v>0.23625310859353416</v>
      </c>
      <c r="O274" s="16">
        <v>1.0738777663342461E-2</v>
      </c>
      <c r="P274" s="17">
        <f>IFERROR(G274/(G274+Priors!$H$3),0)</f>
        <v>0.49672873678912932</v>
      </c>
      <c r="Q274" s="18">
        <f>IF(E274="Premier League",Priors!$H$4,IF(E274="Championship",Priors!$H$5,Priors!$H$8))</f>
        <v>1</v>
      </c>
      <c r="R274" s="19" t="b">
        <v>0</v>
      </c>
      <c r="S274" s="18">
        <f>IF(R274=TRUE,Priors!$H$6,1)</f>
        <v>1</v>
      </c>
      <c r="T274" s="19" t="b">
        <v>1</v>
      </c>
      <c r="U274" s="18">
        <f>IF(T274=TRUE,Priors!$H$7,1)</f>
        <v>0.9</v>
      </c>
      <c r="V274" s="18">
        <f t="shared" si="24"/>
        <v>0.44705586311021639</v>
      </c>
      <c r="W274" s="20">
        <f>VLOOKUP(D274,Priors!$A$3:$C$6,2,FALSE)</f>
        <v>0.30461525508032317</v>
      </c>
      <c r="X274" s="20">
        <f>VLOOKUP(D274,Priors!$A$3:$C$6,3,FALSE)</f>
        <v>3.9258061548584466E-2</v>
      </c>
      <c r="Y274" s="20">
        <f t="shared" si="25"/>
        <v>0.27405355667860465</v>
      </c>
      <c r="Z274" s="20">
        <f t="shared" si="26"/>
        <v>2.6508348475982317E-2</v>
      </c>
      <c r="AA274" s="21">
        <v>1</v>
      </c>
      <c r="AB274" s="21">
        <v>1</v>
      </c>
      <c r="AC274" s="22">
        <f t="shared" si="27"/>
        <v>0.27405355667860465</v>
      </c>
      <c r="AD274" s="22">
        <f t="shared" si="28"/>
        <v>2.6508348475982317E-2</v>
      </c>
      <c r="AE274" s="22">
        <f t="shared" si="29"/>
        <v>0.55294413688978361</v>
      </c>
      <c r="AF274" s="7" t="s">
        <v>1643</v>
      </c>
      <c r="AG274" s="7"/>
      <c r="AH274" s="7"/>
      <c r="AI274" s="7"/>
      <c r="AJ274" s="8" t="b">
        <v>1</v>
      </c>
      <c r="AK274" s="28" t="s">
        <v>1644</v>
      </c>
      <c r="AL274" s="28" t="s">
        <v>1645</v>
      </c>
      <c r="AM274" s="28"/>
      <c r="AN274" s="7"/>
      <c r="AO274" s="7"/>
      <c r="AP274" s="7"/>
      <c r="AQ274" s="28" t="s">
        <v>1650</v>
      </c>
    </row>
    <row r="275" spans="1:43" ht="30">
      <c r="A275" s="7">
        <v>272</v>
      </c>
      <c r="B275" s="7" t="s">
        <v>866</v>
      </c>
      <c r="C275" s="7" t="s">
        <v>48</v>
      </c>
      <c r="D275" s="7" t="s">
        <v>167</v>
      </c>
      <c r="E275" s="7" t="s">
        <v>1642</v>
      </c>
      <c r="F275" s="7" t="s">
        <v>48</v>
      </c>
      <c r="G275" s="14">
        <v>49</v>
      </c>
      <c r="H275" s="15">
        <v>0</v>
      </c>
      <c r="I275" s="15">
        <v>7.0000000000000007E-2</v>
      </c>
      <c r="J275" s="15">
        <v>0</v>
      </c>
      <c r="K275" s="15">
        <v>0.12857142857142859</v>
      </c>
      <c r="L275" s="15">
        <v>48.4</v>
      </c>
      <c r="M275" s="15">
        <v>1.2736842105263158</v>
      </c>
      <c r="N275" s="16">
        <v>0</v>
      </c>
      <c r="O275" s="16">
        <v>0.10094451003541914</v>
      </c>
      <c r="P275" s="17">
        <f>IFERROR(G275/(G275+Priors!$H$3),0)</f>
        <v>4.6711153479504289E-2</v>
      </c>
      <c r="Q275" s="18">
        <f>IF(E275="Premier League",Priors!$H$4,IF(E275="Championship",Priors!$H$5,Priors!$H$8))</f>
        <v>1</v>
      </c>
      <c r="R275" s="19" t="b">
        <v>0</v>
      </c>
      <c r="S275" s="18">
        <f>IF(R275=TRUE,Priors!$H$6,1)</f>
        <v>1</v>
      </c>
      <c r="T275" s="19" t="b">
        <v>1</v>
      </c>
      <c r="U275" s="18">
        <f>IF(T275=TRUE,Priors!$H$7,1)</f>
        <v>0.9</v>
      </c>
      <c r="V275" s="18">
        <f t="shared" si="24"/>
        <v>4.204003813155386E-2</v>
      </c>
      <c r="W275" s="20">
        <f>VLOOKUP(D275,Priors!$A$3:$C$6,2,FALSE)</f>
        <v>0.30461525508032317</v>
      </c>
      <c r="X275" s="20">
        <f>VLOOKUP(D275,Priors!$A$3:$C$6,3,FALSE)</f>
        <v>3.9258061548584466E-2</v>
      </c>
      <c r="Y275" s="20">
        <f t="shared" si="25"/>
        <v>0.29180921814129335</v>
      </c>
      <c r="Z275" s="20">
        <f t="shared" si="26"/>
        <v>4.1851362195171125E-2</v>
      </c>
      <c r="AA275" s="21">
        <v>1</v>
      </c>
      <c r="AB275" s="21">
        <v>1</v>
      </c>
      <c r="AC275" s="22">
        <f t="shared" si="27"/>
        <v>0.29180921814129335</v>
      </c>
      <c r="AD275" s="22">
        <f t="shared" si="28"/>
        <v>4.1851362195171125E-2</v>
      </c>
      <c r="AE275" s="22">
        <f t="shared" si="29"/>
        <v>0.95795996186844612</v>
      </c>
      <c r="AF275" s="7" t="s">
        <v>1643</v>
      </c>
      <c r="AG275" s="7"/>
      <c r="AH275" s="7"/>
      <c r="AI275" s="7"/>
      <c r="AJ275" s="8" t="b">
        <v>1</v>
      </c>
      <c r="AK275" s="28" t="s">
        <v>1644</v>
      </c>
      <c r="AL275" s="28" t="s">
        <v>1645</v>
      </c>
      <c r="AM275" s="28"/>
      <c r="AN275" s="7"/>
      <c r="AO275" s="7"/>
      <c r="AP275" s="7"/>
      <c r="AQ275" s="28" t="s">
        <v>1650</v>
      </c>
    </row>
    <row r="276" spans="1:43" ht="15">
      <c r="A276" s="7">
        <v>273</v>
      </c>
      <c r="B276" s="7" t="s">
        <v>869</v>
      </c>
      <c r="C276" s="7" t="s">
        <v>49</v>
      </c>
      <c r="D276" s="7" t="s">
        <v>85</v>
      </c>
      <c r="E276" s="7" t="s">
        <v>1647</v>
      </c>
      <c r="F276" s="7"/>
      <c r="G276" s="14"/>
      <c r="H276" s="15"/>
      <c r="I276" s="15"/>
      <c r="J276" s="15"/>
      <c r="K276" s="15"/>
      <c r="L276" s="15"/>
      <c r="M276" s="15"/>
      <c r="N276" s="16"/>
      <c r="O276" s="16"/>
      <c r="P276" s="17">
        <f>IFERROR(G276/(G276+Priors!$H$3),0)</f>
        <v>0</v>
      </c>
      <c r="Q276" s="18">
        <f>IF(E276="Premier League",Priors!$H$4,IF(E276="Championship",Priors!$H$5,Priors!$H$8))</f>
        <v>0</v>
      </c>
      <c r="R276" s="19" t="b">
        <v>0</v>
      </c>
      <c r="S276" s="18">
        <f>IF(R276=TRUE,Priors!$H$6,1)</f>
        <v>1</v>
      </c>
      <c r="T276" s="19" t="b">
        <v>0</v>
      </c>
      <c r="U276" s="18">
        <f>IF(T276=TRUE,Priors!$H$7,1)</f>
        <v>1</v>
      </c>
      <c r="V276" s="18">
        <f t="shared" si="24"/>
        <v>0</v>
      </c>
      <c r="W276" s="20">
        <f>VLOOKUP(D276,Priors!$A$3:$C$6,2,FALSE)</f>
        <v>1.6719534964712218E-4</v>
      </c>
      <c r="X276" s="20">
        <f>VLOOKUP(D276,Priors!$A$3:$C$6,3,FALSE)</f>
        <v>1.379361634588758E-3</v>
      </c>
      <c r="Y276" s="20">
        <f t="shared" si="25"/>
        <v>1.6719534964712218E-4</v>
      </c>
      <c r="Z276" s="20">
        <f t="shared" si="26"/>
        <v>1.379361634588758E-3</v>
      </c>
      <c r="AA276" s="21">
        <v>1</v>
      </c>
      <c r="AB276" s="21">
        <v>1</v>
      </c>
      <c r="AC276" s="22">
        <f t="shared" si="27"/>
        <v>1.6719534964712218E-4</v>
      </c>
      <c r="AD276" s="22">
        <f t="shared" si="28"/>
        <v>1.379361634588758E-3</v>
      </c>
      <c r="AE276" s="22">
        <f t="shared" si="29"/>
        <v>1</v>
      </c>
      <c r="AF276" s="7" t="s">
        <v>1647</v>
      </c>
      <c r="AG276" s="7"/>
      <c r="AH276" s="7"/>
      <c r="AI276" s="7"/>
      <c r="AJ276" s="8" t="b">
        <v>1</v>
      </c>
      <c r="AK276" s="28" t="s">
        <v>1648</v>
      </c>
      <c r="AL276" s="28"/>
      <c r="AM276" s="28"/>
      <c r="AN276" s="7"/>
      <c r="AO276" s="7"/>
      <c r="AP276" s="7"/>
      <c r="AQ276" s="28" t="s">
        <v>1650</v>
      </c>
    </row>
    <row r="277" spans="1:43" ht="15">
      <c r="A277" s="7">
        <v>274</v>
      </c>
      <c r="B277" s="7" t="s">
        <v>873</v>
      </c>
      <c r="C277" s="7" t="s">
        <v>49</v>
      </c>
      <c r="D277" s="7" t="s">
        <v>85</v>
      </c>
      <c r="E277" s="7" t="s">
        <v>1647</v>
      </c>
      <c r="F277" s="7"/>
      <c r="G277" s="14"/>
      <c r="H277" s="15"/>
      <c r="I277" s="15"/>
      <c r="J277" s="15"/>
      <c r="K277" s="15"/>
      <c r="L277" s="15"/>
      <c r="M277" s="15"/>
      <c r="N277" s="16"/>
      <c r="O277" s="16"/>
      <c r="P277" s="17">
        <f>IFERROR(G277/(G277+Priors!$H$3),0)</f>
        <v>0</v>
      </c>
      <c r="Q277" s="18">
        <f>IF(E277="Premier League",Priors!$H$4,IF(E277="Championship",Priors!$H$5,Priors!$H$8))</f>
        <v>0</v>
      </c>
      <c r="R277" s="19" t="b">
        <v>0</v>
      </c>
      <c r="S277" s="18">
        <f>IF(R277=TRUE,Priors!$H$6,1)</f>
        <v>1</v>
      </c>
      <c r="T277" s="19" t="b">
        <v>0</v>
      </c>
      <c r="U277" s="18">
        <f>IF(T277=TRUE,Priors!$H$7,1)</f>
        <v>1</v>
      </c>
      <c r="V277" s="18">
        <f t="shared" si="24"/>
        <v>0</v>
      </c>
      <c r="W277" s="20">
        <f>VLOOKUP(D277,Priors!$A$3:$C$6,2,FALSE)</f>
        <v>1.6719534964712218E-4</v>
      </c>
      <c r="X277" s="20">
        <f>VLOOKUP(D277,Priors!$A$3:$C$6,3,FALSE)</f>
        <v>1.379361634588758E-3</v>
      </c>
      <c r="Y277" s="20">
        <f t="shared" si="25"/>
        <v>1.6719534964712218E-4</v>
      </c>
      <c r="Z277" s="20">
        <f t="shared" si="26"/>
        <v>1.379361634588758E-3</v>
      </c>
      <c r="AA277" s="21">
        <v>1</v>
      </c>
      <c r="AB277" s="21">
        <v>1</v>
      </c>
      <c r="AC277" s="22">
        <f t="shared" si="27"/>
        <v>1.6719534964712218E-4</v>
      </c>
      <c r="AD277" s="22">
        <f t="shared" si="28"/>
        <v>1.379361634588758E-3</v>
      </c>
      <c r="AE277" s="22">
        <f t="shared" si="29"/>
        <v>1</v>
      </c>
      <c r="AF277" s="7" t="s">
        <v>1647</v>
      </c>
      <c r="AG277" s="7"/>
      <c r="AH277" s="7"/>
      <c r="AI277" s="7"/>
      <c r="AJ277" s="8" t="b">
        <v>1</v>
      </c>
      <c r="AK277" s="28" t="s">
        <v>1648</v>
      </c>
      <c r="AL277" s="28"/>
      <c r="AM277" s="28"/>
      <c r="AN277" s="7"/>
      <c r="AO277" s="7"/>
      <c r="AP277" s="7"/>
      <c r="AQ277" s="28" t="s">
        <v>1650</v>
      </c>
    </row>
    <row r="278" spans="1:43" ht="15">
      <c r="A278" s="7">
        <v>275</v>
      </c>
      <c r="B278" s="7" t="s">
        <v>875</v>
      </c>
      <c r="C278" s="7" t="s">
        <v>49</v>
      </c>
      <c r="D278" s="7" t="s">
        <v>85</v>
      </c>
      <c r="E278" s="7" t="s">
        <v>1647</v>
      </c>
      <c r="F278" s="7"/>
      <c r="G278" s="14"/>
      <c r="H278" s="15"/>
      <c r="I278" s="15"/>
      <c r="J278" s="15"/>
      <c r="K278" s="15"/>
      <c r="L278" s="15"/>
      <c r="M278" s="15"/>
      <c r="N278" s="16"/>
      <c r="O278" s="16"/>
      <c r="P278" s="17">
        <f>IFERROR(G278/(G278+Priors!$H$3),0)</f>
        <v>0</v>
      </c>
      <c r="Q278" s="18">
        <f>IF(E278="Premier League",Priors!$H$4,IF(E278="Championship",Priors!$H$5,Priors!$H$8))</f>
        <v>0</v>
      </c>
      <c r="R278" s="19" t="b">
        <v>0</v>
      </c>
      <c r="S278" s="18">
        <f>IF(R278=TRUE,Priors!$H$6,1)</f>
        <v>1</v>
      </c>
      <c r="T278" s="19" t="b">
        <v>0</v>
      </c>
      <c r="U278" s="18">
        <f>IF(T278=TRUE,Priors!$H$7,1)</f>
        <v>1</v>
      </c>
      <c r="V278" s="18">
        <f t="shared" si="24"/>
        <v>0</v>
      </c>
      <c r="W278" s="20">
        <f>VLOOKUP(D278,Priors!$A$3:$C$6,2,FALSE)</f>
        <v>1.6719534964712218E-4</v>
      </c>
      <c r="X278" s="20">
        <f>VLOOKUP(D278,Priors!$A$3:$C$6,3,FALSE)</f>
        <v>1.379361634588758E-3</v>
      </c>
      <c r="Y278" s="20">
        <f t="shared" si="25"/>
        <v>1.6719534964712218E-4</v>
      </c>
      <c r="Z278" s="20">
        <f t="shared" si="26"/>
        <v>1.379361634588758E-3</v>
      </c>
      <c r="AA278" s="21">
        <v>1</v>
      </c>
      <c r="AB278" s="21">
        <v>1</v>
      </c>
      <c r="AC278" s="22">
        <f t="shared" si="27"/>
        <v>1.6719534964712218E-4</v>
      </c>
      <c r="AD278" s="22">
        <f t="shared" si="28"/>
        <v>1.379361634588758E-3</v>
      </c>
      <c r="AE278" s="22">
        <f t="shared" si="29"/>
        <v>1</v>
      </c>
      <c r="AF278" s="7" t="s">
        <v>1647</v>
      </c>
      <c r="AG278" s="7"/>
      <c r="AH278" s="7"/>
      <c r="AI278" s="7"/>
      <c r="AJ278" s="8" t="b">
        <v>1</v>
      </c>
      <c r="AK278" s="28" t="s">
        <v>1648</v>
      </c>
      <c r="AL278" s="28"/>
      <c r="AM278" s="28"/>
      <c r="AN278" s="7"/>
      <c r="AO278" s="7"/>
      <c r="AP278" s="7"/>
      <c r="AQ278" s="28" t="s">
        <v>1650</v>
      </c>
    </row>
    <row r="279" spans="1:43" ht="15">
      <c r="A279" s="7">
        <v>276</v>
      </c>
      <c r="B279" s="7" t="s">
        <v>879</v>
      </c>
      <c r="C279" s="7" t="s">
        <v>49</v>
      </c>
      <c r="D279" s="7" t="s">
        <v>85</v>
      </c>
      <c r="E279" s="7" t="s">
        <v>1647</v>
      </c>
      <c r="F279" s="7"/>
      <c r="G279" s="14"/>
      <c r="H279" s="15"/>
      <c r="I279" s="15"/>
      <c r="J279" s="15"/>
      <c r="K279" s="15"/>
      <c r="L279" s="15"/>
      <c r="M279" s="15"/>
      <c r="N279" s="16"/>
      <c r="O279" s="16"/>
      <c r="P279" s="17">
        <f>IFERROR(G279/(G279+Priors!$H$3),0)</f>
        <v>0</v>
      </c>
      <c r="Q279" s="18">
        <f>IF(E279="Premier League",Priors!$H$4,IF(E279="Championship",Priors!$H$5,Priors!$H$8))</f>
        <v>0</v>
      </c>
      <c r="R279" s="19" t="b">
        <v>0</v>
      </c>
      <c r="S279" s="18">
        <f>IF(R279=TRUE,Priors!$H$6,1)</f>
        <v>1</v>
      </c>
      <c r="T279" s="19" t="b">
        <v>0</v>
      </c>
      <c r="U279" s="18">
        <f>IF(T279=TRUE,Priors!$H$7,1)</f>
        <v>1</v>
      </c>
      <c r="V279" s="18">
        <f t="shared" si="24"/>
        <v>0</v>
      </c>
      <c r="W279" s="20">
        <f>VLOOKUP(D279,Priors!$A$3:$C$6,2,FALSE)</f>
        <v>1.6719534964712218E-4</v>
      </c>
      <c r="X279" s="20">
        <f>VLOOKUP(D279,Priors!$A$3:$C$6,3,FALSE)</f>
        <v>1.379361634588758E-3</v>
      </c>
      <c r="Y279" s="20">
        <f t="shared" si="25"/>
        <v>1.6719534964712218E-4</v>
      </c>
      <c r="Z279" s="20">
        <f t="shared" si="26"/>
        <v>1.379361634588758E-3</v>
      </c>
      <c r="AA279" s="21">
        <v>1</v>
      </c>
      <c r="AB279" s="21">
        <v>1</v>
      </c>
      <c r="AC279" s="22">
        <f t="shared" si="27"/>
        <v>1.6719534964712218E-4</v>
      </c>
      <c r="AD279" s="22">
        <f t="shared" si="28"/>
        <v>1.379361634588758E-3</v>
      </c>
      <c r="AE279" s="22">
        <f t="shared" si="29"/>
        <v>1</v>
      </c>
      <c r="AF279" s="7" t="s">
        <v>1647</v>
      </c>
      <c r="AG279" s="7"/>
      <c r="AH279" s="7"/>
      <c r="AI279" s="7"/>
      <c r="AJ279" s="8" t="b">
        <v>1</v>
      </c>
      <c r="AK279" s="28" t="s">
        <v>1648</v>
      </c>
      <c r="AL279" s="28"/>
      <c r="AM279" s="28"/>
      <c r="AN279" s="7"/>
      <c r="AO279" s="7"/>
      <c r="AP279" s="7"/>
      <c r="AQ279" s="28" t="s">
        <v>1650</v>
      </c>
    </row>
    <row r="280" spans="1:43" ht="45">
      <c r="A280" s="7">
        <v>277</v>
      </c>
      <c r="B280" s="7" t="s">
        <v>881</v>
      </c>
      <c r="C280" s="7" t="s">
        <v>49</v>
      </c>
      <c r="D280" s="7" t="s">
        <v>99</v>
      </c>
      <c r="E280" s="7" t="s">
        <v>1654</v>
      </c>
      <c r="F280" s="7" t="s">
        <v>49</v>
      </c>
      <c r="G280" s="14">
        <v>3240</v>
      </c>
      <c r="H280" s="15">
        <v>1.8</v>
      </c>
      <c r="I280" s="15">
        <v>1.44</v>
      </c>
      <c r="J280" s="15">
        <v>0.05</v>
      </c>
      <c r="K280" s="15">
        <v>0.04</v>
      </c>
      <c r="L280" s="15">
        <v>59.7</v>
      </c>
      <c r="M280" s="15">
        <v>1.2978260869565219</v>
      </c>
      <c r="N280" s="16">
        <v>3.8525963149078725E-2</v>
      </c>
      <c r="O280" s="16">
        <v>3.0820770519262977E-2</v>
      </c>
      <c r="P280" s="17">
        <f>IFERROR(G280/(G280+Priors!$H$3),0)</f>
        <v>0.76415094339622647</v>
      </c>
      <c r="Q280" s="18">
        <f>IF(E280="Premier League",Priors!$H$4,IF(E280="Championship",Priors!$H$5,Priors!$H$8))</f>
        <v>0.8</v>
      </c>
      <c r="R280" s="19" t="b">
        <v>0</v>
      </c>
      <c r="S280" s="18">
        <f>IF(R280=TRUE,Priors!$H$6,1)</f>
        <v>1</v>
      </c>
      <c r="T280" s="19" t="b">
        <v>0</v>
      </c>
      <c r="U280" s="18">
        <f>IF(T280=TRUE,Priors!$H$7,1)</f>
        <v>1</v>
      </c>
      <c r="V280" s="18">
        <f t="shared" si="24"/>
        <v>0.61132075471698122</v>
      </c>
      <c r="W280" s="20">
        <f>VLOOKUP(D280,Priors!$A$3:$C$6,2,FALSE)</f>
        <v>4.1142361271531161E-2</v>
      </c>
      <c r="X280" s="20">
        <f>VLOOKUP(D280,Priors!$A$3:$C$6,3,FALSE)</f>
        <v>4.0513079897554365E-2</v>
      </c>
      <c r="Y280" s="20">
        <f t="shared" si="25"/>
        <v>3.954290279667344E-2</v>
      </c>
      <c r="Z280" s="20">
        <f t="shared" si="26"/>
        <v>3.45879700134668E-2</v>
      </c>
      <c r="AA280" s="21">
        <v>1</v>
      </c>
      <c r="AB280" s="21">
        <v>1</v>
      </c>
      <c r="AC280" s="22">
        <f t="shared" si="27"/>
        <v>3.954290279667344E-2</v>
      </c>
      <c r="AD280" s="22">
        <f t="shared" si="28"/>
        <v>3.45879700134668E-2</v>
      </c>
      <c r="AE280" s="22">
        <f t="shared" si="29"/>
        <v>0.38867924528301878</v>
      </c>
      <c r="AF280" s="7" t="s">
        <v>1655</v>
      </c>
      <c r="AG280" s="7"/>
      <c r="AH280" s="7"/>
      <c r="AI280" s="7"/>
      <c r="AJ280" s="8" t="b">
        <v>0</v>
      </c>
      <c r="AK280" s="28" t="s">
        <v>1656</v>
      </c>
      <c r="AL280" s="28" t="s">
        <v>1657</v>
      </c>
      <c r="AM280" s="28"/>
      <c r="AN280" s="7"/>
      <c r="AO280" s="7"/>
      <c r="AP280" s="7"/>
      <c r="AQ280" s="28" t="s">
        <v>1650</v>
      </c>
    </row>
    <row r="281" spans="1:43" ht="45">
      <c r="A281" s="7">
        <v>278</v>
      </c>
      <c r="B281" s="7" t="s">
        <v>708</v>
      </c>
      <c r="C281" s="7" t="s">
        <v>49</v>
      </c>
      <c r="D281" s="7" t="s">
        <v>99</v>
      </c>
      <c r="E281" s="7" t="s">
        <v>1654</v>
      </c>
      <c r="F281" s="7" t="s">
        <v>49</v>
      </c>
      <c r="G281" s="14">
        <v>3300</v>
      </c>
      <c r="H281" s="15">
        <v>1.1000000000000001</v>
      </c>
      <c r="I281" s="15"/>
      <c r="J281" s="15">
        <v>0.03</v>
      </c>
      <c r="K281" s="15"/>
      <c r="L281" s="15">
        <v>59.7</v>
      </c>
      <c r="M281" s="15">
        <v>1.2978260869565219</v>
      </c>
      <c r="N281" s="16">
        <v>2.3115577889447233E-2</v>
      </c>
      <c r="O281" s="16"/>
      <c r="P281" s="17">
        <f>IFERROR(G281/(G281+Priors!$H$3),0)</f>
        <v>0.76744186046511631</v>
      </c>
      <c r="Q281" s="18">
        <f>IF(E281="Premier League",Priors!$H$4,IF(E281="Championship",Priors!$H$5,Priors!$H$8))</f>
        <v>0.8</v>
      </c>
      <c r="R281" s="19" t="b">
        <v>0</v>
      </c>
      <c r="S281" s="18">
        <f>IF(R281=TRUE,Priors!$H$6,1)</f>
        <v>1</v>
      </c>
      <c r="T281" s="19" t="b">
        <v>0</v>
      </c>
      <c r="U281" s="18">
        <f>IF(T281=TRUE,Priors!$H$7,1)</f>
        <v>1</v>
      </c>
      <c r="V281" s="18">
        <f t="shared" si="24"/>
        <v>0.61395348837209307</v>
      </c>
      <c r="W281" s="20">
        <f>VLOOKUP(D281,Priors!$A$3:$C$6,2,FALSE)</f>
        <v>4.1142361271531161E-2</v>
      </c>
      <c r="X281" s="20">
        <f>VLOOKUP(D281,Priors!$A$3:$C$6,3,FALSE)</f>
        <v>4.0513079897554365E-2</v>
      </c>
      <c r="Y281" s="20">
        <f t="shared" si="25"/>
        <v>3.0074754729972654E-2</v>
      </c>
      <c r="Z281" s="20">
        <f t="shared" si="26"/>
        <v>4.0513079897554365E-2</v>
      </c>
      <c r="AA281" s="21">
        <v>1</v>
      </c>
      <c r="AB281" s="21">
        <v>1</v>
      </c>
      <c r="AC281" s="22">
        <f t="shared" si="27"/>
        <v>3.0074754729972654E-2</v>
      </c>
      <c r="AD281" s="22">
        <f t="shared" si="28"/>
        <v>4.0513079897554365E-2</v>
      </c>
      <c r="AE281" s="22">
        <f t="shared" si="29"/>
        <v>0.38604651162790693</v>
      </c>
      <c r="AF281" s="7" t="s">
        <v>1655</v>
      </c>
      <c r="AG281" s="7"/>
      <c r="AH281" s="7"/>
      <c r="AI281" s="7"/>
      <c r="AJ281" s="8" t="b">
        <v>0</v>
      </c>
      <c r="AK281" s="28" t="s">
        <v>1656</v>
      </c>
      <c r="AL281" s="28" t="s">
        <v>1657</v>
      </c>
      <c r="AM281" s="28"/>
      <c r="AN281" s="7"/>
      <c r="AO281" s="7"/>
      <c r="AP281" s="7"/>
      <c r="AQ281" s="28" t="s">
        <v>1650</v>
      </c>
    </row>
    <row r="282" spans="1:43" ht="15">
      <c r="A282" s="7">
        <v>279</v>
      </c>
      <c r="B282" s="7" t="s">
        <v>885</v>
      </c>
      <c r="C282" s="7" t="s">
        <v>49</v>
      </c>
      <c r="D282" s="7" t="s">
        <v>99</v>
      </c>
      <c r="E282" s="7" t="s">
        <v>1647</v>
      </c>
      <c r="F282" s="7"/>
      <c r="G282" s="14"/>
      <c r="H282" s="15"/>
      <c r="I282" s="15"/>
      <c r="J282" s="15"/>
      <c r="K282" s="15"/>
      <c r="L282" s="15"/>
      <c r="M282" s="15"/>
      <c r="N282" s="16"/>
      <c r="O282" s="16"/>
      <c r="P282" s="17">
        <f>IFERROR(G282/(G282+Priors!$H$3),0)</f>
        <v>0</v>
      </c>
      <c r="Q282" s="18">
        <f>IF(E282="Premier League",Priors!$H$4,IF(E282="Championship",Priors!$H$5,Priors!$H$8))</f>
        <v>0</v>
      </c>
      <c r="R282" s="19" t="b">
        <v>0</v>
      </c>
      <c r="S282" s="18">
        <f>IF(R282=TRUE,Priors!$H$6,1)</f>
        <v>1</v>
      </c>
      <c r="T282" s="19" t="b">
        <v>0</v>
      </c>
      <c r="U282" s="18">
        <f>IF(T282=TRUE,Priors!$H$7,1)</f>
        <v>1</v>
      </c>
      <c r="V282" s="18">
        <f t="shared" si="24"/>
        <v>0</v>
      </c>
      <c r="W282" s="20">
        <f>VLOOKUP(D282,Priors!$A$3:$C$6,2,FALSE)</f>
        <v>4.1142361271531161E-2</v>
      </c>
      <c r="X282" s="20">
        <f>VLOOKUP(D282,Priors!$A$3:$C$6,3,FALSE)</f>
        <v>4.0513079897554365E-2</v>
      </c>
      <c r="Y282" s="20">
        <f t="shared" si="25"/>
        <v>4.1142361271531161E-2</v>
      </c>
      <c r="Z282" s="20">
        <f t="shared" si="26"/>
        <v>4.0513079897554365E-2</v>
      </c>
      <c r="AA282" s="21">
        <v>1</v>
      </c>
      <c r="AB282" s="21">
        <v>1</v>
      </c>
      <c r="AC282" s="22">
        <f t="shared" si="27"/>
        <v>4.1142361271531161E-2</v>
      </c>
      <c r="AD282" s="22">
        <f t="shared" si="28"/>
        <v>4.0513079897554365E-2</v>
      </c>
      <c r="AE282" s="22">
        <f t="shared" si="29"/>
        <v>1</v>
      </c>
      <c r="AF282" s="7" t="s">
        <v>1647</v>
      </c>
      <c r="AG282" s="7"/>
      <c r="AH282" s="7"/>
      <c r="AI282" s="7"/>
      <c r="AJ282" s="8" t="b">
        <v>1</v>
      </c>
      <c r="AK282" s="28" t="s">
        <v>1648</v>
      </c>
      <c r="AL282" s="28"/>
      <c r="AM282" s="28"/>
      <c r="AN282" s="7"/>
      <c r="AO282" s="7"/>
      <c r="AP282" s="7"/>
      <c r="AQ282" s="28" t="s">
        <v>1650</v>
      </c>
    </row>
    <row r="283" spans="1:43" ht="45">
      <c r="A283" s="7">
        <v>280</v>
      </c>
      <c r="B283" s="7" t="s">
        <v>887</v>
      </c>
      <c r="C283" s="7" t="s">
        <v>49</v>
      </c>
      <c r="D283" s="7" t="s">
        <v>99</v>
      </c>
      <c r="E283" s="7" t="s">
        <v>1654</v>
      </c>
      <c r="F283" s="7" t="s">
        <v>49</v>
      </c>
      <c r="G283" s="14">
        <v>3600</v>
      </c>
      <c r="H283" s="15">
        <v>0.4</v>
      </c>
      <c r="I283" s="15">
        <v>3.2</v>
      </c>
      <c r="J283" s="15">
        <v>0.01</v>
      </c>
      <c r="K283" s="15">
        <v>0.09</v>
      </c>
      <c r="L283" s="15">
        <v>59.7</v>
      </c>
      <c r="M283" s="15">
        <v>1.2978260869565219</v>
      </c>
      <c r="N283" s="16">
        <v>7.7051926298157443E-3</v>
      </c>
      <c r="O283" s="16">
        <v>6.9346733668341695E-2</v>
      </c>
      <c r="P283" s="17">
        <f>IFERROR(G283/(G283+Priors!$H$3),0)</f>
        <v>0.78260869565217395</v>
      </c>
      <c r="Q283" s="18">
        <f>IF(E283="Premier League",Priors!$H$4,IF(E283="Championship",Priors!$H$5,Priors!$H$8))</f>
        <v>0.8</v>
      </c>
      <c r="R283" s="19" t="b">
        <v>0</v>
      </c>
      <c r="S283" s="18">
        <f>IF(R283=TRUE,Priors!$H$6,1)</f>
        <v>1</v>
      </c>
      <c r="T283" s="19" t="b">
        <v>0</v>
      </c>
      <c r="U283" s="18">
        <f>IF(T283=TRUE,Priors!$H$7,1)</f>
        <v>1</v>
      </c>
      <c r="V283" s="18">
        <f t="shared" si="24"/>
        <v>0.62608695652173918</v>
      </c>
      <c r="W283" s="20">
        <f>VLOOKUP(D283,Priors!$A$3:$C$6,2,FALSE)</f>
        <v>4.1142361271531161E-2</v>
      </c>
      <c r="X283" s="20">
        <f>VLOOKUP(D283,Priors!$A$3:$C$6,3,FALSE)</f>
        <v>4.0513079897554365E-2</v>
      </c>
      <c r="Y283" s="20">
        <f t="shared" si="25"/>
        <v>2.0207786121935419E-2</v>
      </c>
      <c r="Z283" s="20">
        <f t="shared" si="26"/>
        <v>5.8565454432308178E-2</v>
      </c>
      <c r="AA283" s="21">
        <v>1</v>
      </c>
      <c r="AB283" s="21">
        <v>1</v>
      </c>
      <c r="AC283" s="22">
        <f t="shared" si="27"/>
        <v>2.0207786121935419E-2</v>
      </c>
      <c r="AD283" s="22">
        <f t="shared" si="28"/>
        <v>5.8565454432308178E-2</v>
      </c>
      <c r="AE283" s="22">
        <f t="shared" si="29"/>
        <v>0.37391304347826082</v>
      </c>
      <c r="AF283" s="7" t="s">
        <v>1655</v>
      </c>
      <c r="AG283" s="7"/>
      <c r="AH283" s="7"/>
      <c r="AI283" s="7"/>
      <c r="AJ283" s="8" t="b">
        <v>0</v>
      </c>
      <c r="AK283" s="28" t="s">
        <v>1656</v>
      </c>
      <c r="AL283" s="28" t="s">
        <v>1657</v>
      </c>
      <c r="AM283" s="28"/>
      <c r="AN283" s="7"/>
      <c r="AO283" s="7"/>
      <c r="AP283" s="7"/>
      <c r="AQ283" s="28" t="s">
        <v>1650</v>
      </c>
    </row>
    <row r="284" spans="1:43" ht="15">
      <c r="A284" s="7">
        <v>281</v>
      </c>
      <c r="B284" s="7" t="s">
        <v>890</v>
      </c>
      <c r="C284" s="7" t="s">
        <v>49</v>
      </c>
      <c r="D284" s="7" t="s">
        <v>99</v>
      </c>
      <c r="E284" s="7" t="s">
        <v>1647</v>
      </c>
      <c r="F284" s="7"/>
      <c r="G284" s="14"/>
      <c r="H284" s="15"/>
      <c r="I284" s="15"/>
      <c r="J284" s="15"/>
      <c r="K284" s="15"/>
      <c r="L284" s="15"/>
      <c r="M284" s="15"/>
      <c r="N284" s="16"/>
      <c r="O284" s="16"/>
      <c r="P284" s="17">
        <f>IFERROR(G284/(G284+Priors!$H$3),0)</f>
        <v>0</v>
      </c>
      <c r="Q284" s="18">
        <f>IF(E284="Premier League",Priors!$H$4,IF(E284="Championship",Priors!$H$5,Priors!$H$8))</f>
        <v>0</v>
      </c>
      <c r="R284" s="19" t="b">
        <v>0</v>
      </c>
      <c r="S284" s="18">
        <f>IF(R284=TRUE,Priors!$H$6,1)</f>
        <v>1</v>
      </c>
      <c r="T284" s="19" t="b">
        <v>0</v>
      </c>
      <c r="U284" s="18">
        <f>IF(T284=TRUE,Priors!$H$7,1)</f>
        <v>1</v>
      </c>
      <c r="V284" s="18">
        <f t="shared" si="24"/>
        <v>0</v>
      </c>
      <c r="W284" s="20">
        <f>VLOOKUP(D284,Priors!$A$3:$C$6,2,FALSE)</f>
        <v>4.1142361271531161E-2</v>
      </c>
      <c r="X284" s="20">
        <f>VLOOKUP(D284,Priors!$A$3:$C$6,3,FALSE)</f>
        <v>4.0513079897554365E-2</v>
      </c>
      <c r="Y284" s="20">
        <f t="shared" si="25"/>
        <v>4.1142361271531161E-2</v>
      </c>
      <c r="Z284" s="20">
        <f t="shared" si="26"/>
        <v>4.0513079897554365E-2</v>
      </c>
      <c r="AA284" s="21">
        <v>1</v>
      </c>
      <c r="AB284" s="21">
        <v>1</v>
      </c>
      <c r="AC284" s="22">
        <f t="shared" si="27"/>
        <v>4.1142361271531161E-2</v>
      </c>
      <c r="AD284" s="22">
        <f t="shared" si="28"/>
        <v>4.0513079897554365E-2</v>
      </c>
      <c r="AE284" s="22">
        <f t="shared" si="29"/>
        <v>1</v>
      </c>
      <c r="AF284" s="7" t="s">
        <v>1647</v>
      </c>
      <c r="AG284" s="7"/>
      <c r="AH284" s="7"/>
      <c r="AI284" s="7"/>
      <c r="AJ284" s="8" t="b">
        <v>1</v>
      </c>
      <c r="AK284" s="28" t="s">
        <v>1648</v>
      </c>
      <c r="AL284" s="28"/>
      <c r="AM284" s="28"/>
      <c r="AN284" s="7"/>
      <c r="AO284" s="7"/>
      <c r="AP284" s="7"/>
      <c r="AQ284" s="28" t="s">
        <v>1650</v>
      </c>
    </row>
    <row r="285" spans="1:43" ht="45">
      <c r="A285" s="7">
        <v>282</v>
      </c>
      <c r="B285" s="7" t="s">
        <v>893</v>
      </c>
      <c r="C285" s="7" t="s">
        <v>49</v>
      </c>
      <c r="D285" s="7" t="s">
        <v>99</v>
      </c>
      <c r="E285" s="7" t="s">
        <v>1654</v>
      </c>
      <c r="F285" s="7" t="s">
        <v>49</v>
      </c>
      <c r="G285" s="14">
        <v>1800</v>
      </c>
      <c r="H285" s="15">
        <v>0.2</v>
      </c>
      <c r="I285" s="15">
        <v>6.2</v>
      </c>
      <c r="J285" s="15">
        <v>0.01</v>
      </c>
      <c r="K285" s="15">
        <v>0.22</v>
      </c>
      <c r="L285" s="15">
        <v>59.7</v>
      </c>
      <c r="M285" s="15">
        <v>1.2978260869565219</v>
      </c>
      <c r="N285" s="16">
        <v>7.7051926298157443E-3</v>
      </c>
      <c r="O285" s="16">
        <v>0.16951423785594638</v>
      </c>
      <c r="P285" s="17">
        <f>IFERROR(G285/(G285+Priors!$H$3),0)</f>
        <v>0.6428571428571429</v>
      </c>
      <c r="Q285" s="18">
        <f>IF(E285="Premier League",Priors!$H$4,IF(E285="Championship",Priors!$H$5,Priors!$H$8))</f>
        <v>0.8</v>
      </c>
      <c r="R285" s="19" t="b">
        <v>0</v>
      </c>
      <c r="S285" s="18">
        <f>IF(R285=TRUE,Priors!$H$6,1)</f>
        <v>1</v>
      </c>
      <c r="T285" s="19" t="b">
        <v>0</v>
      </c>
      <c r="U285" s="18">
        <f>IF(T285=TRUE,Priors!$H$7,1)</f>
        <v>1</v>
      </c>
      <c r="V285" s="18">
        <f t="shared" si="24"/>
        <v>0.51428571428571435</v>
      </c>
      <c r="W285" s="20">
        <f>VLOOKUP(D285,Priors!$A$3:$C$6,2,FALSE)</f>
        <v>4.1142361271531161E-2</v>
      </c>
      <c r="X285" s="20">
        <f>VLOOKUP(D285,Priors!$A$3:$C$6,3,FALSE)</f>
        <v>4.0513079897554365E-2</v>
      </c>
      <c r="Y285" s="20">
        <f t="shared" si="25"/>
        <v>2.3946103112934658E-2</v>
      </c>
      <c r="Z285" s="20">
        <f t="shared" si="26"/>
        <v>0.10685653256187028</v>
      </c>
      <c r="AA285" s="21">
        <v>1</v>
      </c>
      <c r="AB285" s="21">
        <v>1</v>
      </c>
      <c r="AC285" s="22">
        <f t="shared" si="27"/>
        <v>2.3946103112934658E-2</v>
      </c>
      <c r="AD285" s="22">
        <f t="shared" si="28"/>
        <v>0.10685653256187028</v>
      </c>
      <c r="AE285" s="22">
        <f t="shared" si="29"/>
        <v>0.48571428571428565</v>
      </c>
      <c r="AF285" s="7" t="s">
        <v>1655</v>
      </c>
      <c r="AG285" s="7"/>
      <c r="AH285" s="7">
        <v>1</v>
      </c>
      <c r="AI285" s="7">
        <v>4</v>
      </c>
      <c r="AJ285" s="8" t="b">
        <v>0</v>
      </c>
      <c r="AK285" s="28" t="s">
        <v>1656</v>
      </c>
      <c r="AL285" s="28" t="s">
        <v>1657</v>
      </c>
      <c r="AM285" s="28"/>
      <c r="AN285" s="7"/>
      <c r="AO285" s="7"/>
      <c r="AP285" s="7"/>
      <c r="AQ285" s="28" t="s">
        <v>1650</v>
      </c>
    </row>
    <row r="286" spans="1:43" ht="15">
      <c r="A286" s="7">
        <v>283</v>
      </c>
      <c r="B286" s="7" t="s">
        <v>896</v>
      </c>
      <c r="C286" s="7" t="s">
        <v>49</v>
      </c>
      <c r="D286" s="7" t="s">
        <v>99</v>
      </c>
      <c r="E286" s="7" t="s">
        <v>1647</v>
      </c>
      <c r="F286" s="7"/>
      <c r="G286" s="14"/>
      <c r="H286" s="15"/>
      <c r="I286" s="15"/>
      <c r="J286" s="15"/>
      <c r="K286" s="15"/>
      <c r="L286" s="15"/>
      <c r="M286" s="15"/>
      <c r="N286" s="16"/>
      <c r="O286" s="16"/>
      <c r="P286" s="17">
        <f>IFERROR(G286/(G286+Priors!$H$3),0)</f>
        <v>0</v>
      </c>
      <c r="Q286" s="18">
        <f>IF(E286="Premier League",Priors!$H$4,IF(E286="Championship",Priors!$H$5,Priors!$H$8))</f>
        <v>0</v>
      </c>
      <c r="R286" s="19" t="b">
        <v>0</v>
      </c>
      <c r="S286" s="18">
        <f>IF(R286=TRUE,Priors!$H$6,1)</f>
        <v>1</v>
      </c>
      <c r="T286" s="19" t="b">
        <v>0</v>
      </c>
      <c r="U286" s="18">
        <f>IF(T286=TRUE,Priors!$H$7,1)</f>
        <v>1</v>
      </c>
      <c r="V286" s="18">
        <f t="shared" si="24"/>
        <v>0</v>
      </c>
      <c r="W286" s="20">
        <f>VLOOKUP(D286,Priors!$A$3:$C$6,2,FALSE)</f>
        <v>4.1142361271531161E-2</v>
      </c>
      <c r="X286" s="20">
        <f>VLOOKUP(D286,Priors!$A$3:$C$6,3,FALSE)</f>
        <v>4.0513079897554365E-2</v>
      </c>
      <c r="Y286" s="20">
        <f t="shared" si="25"/>
        <v>4.1142361271531161E-2</v>
      </c>
      <c r="Z286" s="20">
        <f t="shared" si="26"/>
        <v>4.0513079897554365E-2</v>
      </c>
      <c r="AA286" s="21">
        <v>1</v>
      </c>
      <c r="AB286" s="21">
        <v>1</v>
      </c>
      <c r="AC286" s="22">
        <f t="shared" si="27"/>
        <v>4.1142361271531161E-2</v>
      </c>
      <c r="AD286" s="22">
        <f t="shared" si="28"/>
        <v>4.0513079897554365E-2</v>
      </c>
      <c r="AE286" s="22">
        <f t="shared" si="29"/>
        <v>1</v>
      </c>
      <c r="AF286" s="7" t="s">
        <v>1647</v>
      </c>
      <c r="AG286" s="7"/>
      <c r="AH286" s="7"/>
      <c r="AI286" s="7"/>
      <c r="AJ286" s="8" t="b">
        <v>1</v>
      </c>
      <c r="AK286" s="28" t="s">
        <v>1648</v>
      </c>
      <c r="AL286" s="28"/>
      <c r="AM286" s="28"/>
      <c r="AN286" s="7"/>
      <c r="AO286" s="7"/>
      <c r="AP286" s="7"/>
      <c r="AQ286" s="28" t="s">
        <v>1650</v>
      </c>
    </row>
    <row r="287" spans="1:43" ht="15">
      <c r="A287" s="7">
        <v>284</v>
      </c>
      <c r="B287" s="7" t="s">
        <v>899</v>
      </c>
      <c r="C287" s="7" t="s">
        <v>49</v>
      </c>
      <c r="D287" s="7" t="s">
        <v>99</v>
      </c>
      <c r="E287" s="7" t="s">
        <v>1647</v>
      </c>
      <c r="F287" s="7"/>
      <c r="G287" s="14"/>
      <c r="H287" s="15"/>
      <c r="I287" s="15"/>
      <c r="J287" s="15"/>
      <c r="K287" s="15"/>
      <c r="L287" s="15"/>
      <c r="M287" s="15"/>
      <c r="N287" s="16"/>
      <c r="O287" s="16"/>
      <c r="P287" s="17">
        <f>IFERROR(G287/(G287+Priors!$H$3),0)</f>
        <v>0</v>
      </c>
      <c r="Q287" s="18">
        <f>IF(E287="Premier League",Priors!$H$4,IF(E287="Championship",Priors!$H$5,Priors!$H$8))</f>
        <v>0</v>
      </c>
      <c r="R287" s="19" t="b">
        <v>0</v>
      </c>
      <c r="S287" s="18">
        <f>IF(R287=TRUE,Priors!$H$6,1)</f>
        <v>1</v>
      </c>
      <c r="T287" s="19" t="b">
        <v>0</v>
      </c>
      <c r="U287" s="18">
        <f>IF(T287=TRUE,Priors!$H$7,1)</f>
        <v>1</v>
      </c>
      <c r="V287" s="18">
        <f t="shared" si="24"/>
        <v>0</v>
      </c>
      <c r="W287" s="20">
        <f>VLOOKUP(D287,Priors!$A$3:$C$6,2,FALSE)</f>
        <v>4.1142361271531161E-2</v>
      </c>
      <c r="X287" s="20">
        <f>VLOOKUP(D287,Priors!$A$3:$C$6,3,FALSE)</f>
        <v>4.0513079897554365E-2</v>
      </c>
      <c r="Y287" s="20">
        <f t="shared" si="25"/>
        <v>4.1142361271531161E-2</v>
      </c>
      <c r="Z287" s="20">
        <f t="shared" si="26"/>
        <v>4.0513079897554365E-2</v>
      </c>
      <c r="AA287" s="21">
        <v>1</v>
      </c>
      <c r="AB287" s="21">
        <v>1</v>
      </c>
      <c r="AC287" s="22">
        <f t="shared" si="27"/>
        <v>4.1142361271531161E-2</v>
      </c>
      <c r="AD287" s="22">
        <f t="shared" si="28"/>
        <v>4.0513079897554365E-2</v>
      </c>
      <c r="AE287" s="22">
        <f t="shared" si="29"/>
        <v>1</v>
      </c>
      <c r="AF287" s="7" t="s">
        <v>1647</v>
      </c>
      <c r="AG287" s="7"/>
      <c r="AH287" s="7"/>
      <c r="AI287" s="7"/>
      <c r="AJ287" s="8" t="b">
        <v>1</v>
      </c>
      <c r="AK287" s="28" t="s">
        <v>1648</v>
      </c>
      <c r="AL287" s="28"/>
      <c r="AM287" s="28"/>
      <c r="AN287" s="7"/>
      <c r="AO287" s="7"/>
      <c r="AP287" s="7"/>
      <c r="AQ287" s="28" t="s">
        <v>1650</v>
      </c>
    </row>
    <row r="288" spans="1:43" ht="15">
      <c r="A288" s="7">
        <v>285</v>
      </c>
      <c r="B288" s="7" t="s">
        <v>901</v>
      </c>
      <c r="C288" s="7" t="s">
        <v>49</v>
      </c>
      <c r="D288" s="7" t="s">
        <v>99</v>
      </c>
      <c r="E288" s="7" t="s">
        <v>1647</v>
      </c>
      <c r="F288" s="7"/>
      <c r="G288" s="14"/>
      <c r="H288" s="15"/>
      <c r="I288" s="15"/>
      <c r="J288" s="15"/>
      <c r="K288" s="15"/>
      <c r="L288" s="15"/>
      <c r="M288" s="15"/>
      <c r="N288" s="16"/>
      <c r="O288" s="16"/>
      <c r="P288" s="17">
        <f>IFERROR(G288/(G288+Priors!$H$3),0)</f>
        <v>0</v>
      </c>
      <c r="Q288" s="18">
        <f>IF(E288="Premier League",Priors!$H$4,IF(E288="Championship",Priors!$H$5,Priors!$H$8))</f>
        <v>0</v>
      </c>
      <c r="R288" s="19" t="b">
        <v>0</v>
      </c>
      <c r="S288" s="18">
        <f>IF(R288=TRUE,Priors!$H$6,1)</f>
        <v>1</v>
      </c>
      <c r="T288" s="19" t="b">
        <v>0</v>
      </c>
      <c r="U288" s="18">
        <f>IF(T288=TRUE,Priors!$H$7,1)</f>
        <v>1</v>
      </c>
      <c r="V288" s="18">
        <f t="shared" si="24"/>
        <v>0</v>
      </c>
      <c r="W288" s="20">
        <f>VLOOKUP(D288,Priors!$A$3:$C$6,2,FALSE)</f>
        <v>4.1142361271531161E-2</v>
      </c>
      <c r="X288" s="20">
        <f>VLOOKUP(D288,Priors!$A$3:$C$6,3,FALSE)</f>
        <v>4.0513079897554365E-2</v>
      </c>
      <c r="Y288" s="20">
        <f t="shared" si="25"/>
        <v>4.1142361271531161E-2</v>
      </c>
      <c r="Z288" s="20">
        <f t="shared" si="26"/>
        <v>4.0513079897554365E-2</v>
      </c>
      <c r="AA288" s="21">
        <v>1</v>
      </c>
      <c r="AB288" s="21">
        <v>1</v>
      </c>
      <c r="AC288" s="22">
        <f t="shared" si="27"/>
        <v>4.1142361271531161E-2</v>
      </c>
      <c r="AD288" s="22">
        <f t="shared" si="28"/>
        <v>4.0513079897554365E-2</v>
      </c>
      <c r="AE288" s="22">
        <f t="shared" si="29"/>
        <v>1</v>
      </c>
      <c r="AF288" s="7" t="s">
        <v>1647</v>
      </c>
      <c r="AG288" s="7"/>
      <c r="AH288" s="7"/>
      <c r="AI288" s="7"/>
      <c r="AJ288" s="8" t="b">
        <v>1</v>
      </c>
      <c r="AK288" s="28" t="s">
        <v>1648</v>
      </c>
      <c r="AL288" s="28"/>
      <c r="AM288" s="28"/>
      <c r="AN288" s="7"/>
      <c r="AO288" s="7"/>
      <c r="AP288" s="7"/>
      <c r="AQ288" s="28" t="s">
        <v>1650</v>
      </c>
    </row>
    <row r="289" spans="1:43" ht="15">
      <c r="A289" s="7">
        <v>286</v>
      </c>
      <c r="B289" s="7" t="s">
        <v>904</v>
      </c>
      <c r="C289" s="7" t="s">
        <v>49</v>
      </c>
      <c r="D289" s="7" t="s">
        <v>112</v>
      </c>
      <c r="E289" s="7" t="s">
        <v>1647</v>
      </c>
      <c r="F289" s="7"/>
      <c r="G289" s="14"/>
      <c r="H289" s="15"/>
      <c r="I289" s="15"/>
      <c r="J289" s="15"/>
      <c r="K289" s="15"/>
      <c r="L289" s="15"/>
      <c r="M289" s="15"/>
      <c r="N289" s="16"/>
      <c r="O289" s="16"/>
      <c r="P289" s="17">
        <f>IFERROR(G289/(G289+Priors!$H$3),0)</f>
        <v>0</v>
      </c>
      <c r="Q289" s="18">
        <f>IF(E289="Premier League",Priors!$H$4,IF(E289="Championship",Priors!$H$5,Priors!$H$8))</f>
        <v>0</v>
      </c>
      <c r="R289" s="19" t="b">
        <v>0</v>
      </c>
      <c r="S289" s="18">
        <f>IF(R289=TRUE,Priors!$H$6,1)</f>
        <v>1</v>
      </c>
      <c r="T289" s="19" t="b">
        <v>0</v>
      </c>
      <c r="U289" s="18">
        <f>IF(T289=TRUE,Priors!$H$7,1)</f>
        <v>1</v>
      </c>
      <c r="V289" s="18">
        <f t="shared" si="24"/>
        <v>0</v>
      </c>
      <c r="W289" s="20">
        <f>VLOOKUP(D289,Priors!$A$3:$C$6,2,FALSE)</f>
        <v>0.10751786102217777</v>
      </c>
      <c r="X289" s="20">
        <f>VLOOKUP(D289,Priors!$A$3:$C$6,3,FALSE)</f>
        <v>9.0240671969462088E-2</v>
      </c>
      <c r="Y289" s="20">
        <f t="shared" si="25"/>
        <v>0.10751786102217777</v>
      </c>
      <c r="Z289" s="20">
        <f t="shared" si="26"/>
        <v>9.0240671969462088E-2</v>
      </c>
      <c r="AA289" s="21">
        <v>1</v>
      </c>
      <c r="AB289" s="21">
        <v>1</v>
      </c>
      <c r="AC289" s="22">
        <f t="shared" si="27"/>
        <v>0.10751786102217777</v>
      </c>
      <c r="AD289" s="22">
        <f t="shared" si="28"/>
        <v>9.0240671969462088E-2</v>
      </c>
      <c r="AE289" s="22">
        <f t="shared" si="29"/>
        <v>1</v>
      </c>
      <c r="AF289" s="7" t="s">
        <v>1647</v>
      </c>
      <c r="AG289" s="7"/>
      <c r="AH289" s="7">
        <v>2</v>
      </c>
      <c r="AI289" s="7">
        <v>5</v>
      </c>
      <c r="AJ289" s="8" t="b">
        <v>1</v>
      </c>
      <c r="AK289" s="28" t="s">
        <v>1648</v>
      </c>
      <c r="AL289" s="28"/>
      <c r="AM289" s="28"/>
      <c r="AN289" s="7"/>
      <c r="AO289" s="7"/>
      <c r="AP289" s="7"/>
      <c r="AQ289" s="28" t="s">
        <v>1650</v>
      </c>
    </row>
    <row r="290" spans="1:43" ht="45">
      <c r="A290" s="7">
        <v>287</v>
      </c>
      <c r="B290" s="7" t="s">
        <v>906</v>
      </c>
      <c r="C290" s="7" t="s">
        <v>49</v>
      </c>
      <c r="D290" s="7" t="s">
        <v>112</v>
      </c>
      <c r="E290" s="7" t="s">
        <v>1654</v>
      </c>
      <c r="F290" s="7" t="s">
        <v>49</v>
      </c>
      <c r="G290" s="14">
        <v>1800</v>
      </c>
      <c r="H290" s="15">
        <v>3.4</v>
      </c>
      <c r="I290" s="15">
        <v>3.4</v>
      </c>
      <c r="J290" s="15">
        <v>0.17</v>
      </c>
      <c r="K290" s="15">
        <v>0.16</v>
      </c>
      <c r="L290" s="15">
        <v>59.7</v>
      </c>
      <c r="M290" s="15">
        <v>1.2978260869565219</v>
      </c>
      <c r="N290" s="16">
        <v>0.13098827470686766</v>
      </c>
      <c r="O290" s="16">
        <v>0.12328308207705191</v>
      </c>
      <c r="P290" s="17">
        <f>IFERROR(G290/(G290+Priors!$H$3),0)</f>
        <v>0.6428571428571429</v>
      </c>
      <c r="Q290" s="18">
        <f>IF(E290="Premier League",Priors!$H$4,IF(E290="Championship",Priors!$H$5,Priors!$H$8))</f>
        <v>0.8</v>
      </c>
      <c r="R290" s="19" t="b">
        <v>0</v>
      </c>
      <c r="S290" s="18">
        <f>IF(R290=TRUE,Priors!$H$6,1)</f>
        <v>1</v>
      </c>
      <c r="T290" s="19" t="b">
        <v>0</v>
      </c>
      <c r="U290" s="18">
        <f>IF(T290=TRUE,Priors!$H$7,1)</f>
        <v>1</v>
      </c>
      <c r="V290" s="18">
        <f t="shared" si="24"/>
        <v>0.51428571428571435</v>
      </c>
      <c r="W290" s="20">
        <f>VLOOKUP(D290,Priors!$A$3:$C$6,2,FALSE)</f>
        <v>0.10751786102217777</v>
      </c>
      <c r="X290" s="20">
        <f>VLOOKUP(D290,Priors!$A$3:$C$6,3,FALSE)</f>
        <v>9.0240671969462088E-2</v>
      </c>
      <c r="Y290" s="20">
        <f t="shared" si="25"/>
        <v>0.11958835948858972</v>
      </c>
      <c r="Z290" s="20">
        <f t="shared" si="26"/>
        <v>0.10723391145336543</v>
      </c>
      <c r="AA290" s="21">
        <v>1</v>
      </c>
      <c r="AB290" s="21">
        <v>1</v>
      </c>
      <c r="AC290" s="22">
        <f t="shared" si="27"/>
        <v>0.11958835948858972</v>
      </c>
      <c r="AD290" s="22">
        <f t="shared" si="28"/>
        <v>0.10723391145336543</v>
      </c>
      <c r="AE290" s="22">
        <f t="shared" si="29"/>
        <v>0.48571428571428565</v>
      </c>
      <c r="AF290" s="7" t="s">
        <v>1655</v>
      </c>
      <c r="AG290" s="7"/>
      <c r="AH290" s="7"/>
      <c r="AI290" s="7"/>
      <c r="AJ290" s="8" t="b">
        <v>0</v>
      </c>
      <c r="AK290" s="28" t="s">
        <v>1656</v>
      </c>
      <c r="AL290" s="28" t="s">
        <v>1657</v>
      </c>
      <c r="AM290" s="28"/>
      <c r="AN290" s="7"/>
      <c r="AO290" s="7"/>
      <c r="AP290" s="7"/>
      <c r="AQ290" s="28" t="s">
        <v>1650</v>
      </c>
    </row>
    <row r="291" spans="1:43" ht="15">
      <c r="A291" s="7">
        <v>288</v>
      </c>
      <c r="B291" s="7" t="s">
        <v>908</v>
      </c>
      <c r="C291" s="7" t="s">
        <v>49</v>
      </c>
      <c r="D291" s="7" t="s">
        <v>112</v>
      </c>
      <c r="E291" s="7" t="s">
        <v>1647</v>
      </c>
      <c r="F291" s="7"/>
      <c r="G291" s="14"/>
      <c r="H291" s="15"/>
      <c r="I291" s="15"/>
      <c r="J291" s="15"/>
      <c r="K291" s="15"/>
      <c r="L291" s="15"/>
      <c r="M291" s="15"/>
      <c r="N291" s="16"/>
      <c r="O291" s="16"/>
      <c r="P291" s="17">
        <f>IFERROR(G291/(G291+Priors!$H$3),0)</f>
        <v>0</v>
      </c>
      <c r="Q291" s="18">
        <f>IF(E291="Premier League",Priors!$H$4,IF(E291="Championship",Priors!$H$5,Priors!$H$8))</f>
        <v>0</v>
      </c>
      <c r="R291" s="19" t="b">
        <v>0</v>
      </c>
      <c r="S291" s="18">
        <f>IF(R291=TRUE,Priors!$H$6,1)</f>
        <v>1</v>
      </c>
      <c r="T291" s="19" t="b">
        <v>0</v>
      </c>
      <c r="U291" s="18">
        <f>IF(T291=TRUE,Priors!$H$7,1)</f>
        <v>1</v>
      </c>
      <c r="V291" s="18">
        <f t="shared" si="24"/>
        <v>0</v>
      </c>
      <c r="W291" s="20">
        <f>VLOOKUP(D291,Priors!$A$3:$C$6,2,FALSE)</f>
        <v>0.10751786102217777</v>
      </c>
      <c r="X291" s="20">
        <f>VLOOKUP(D291,Priors!$A$3:$C$6,3,FALSE)</f>
        <v>9.0240671969462088E-2</v>
      </c>
      <c r="Y291" s="20">
        <f t="shared" si="25"/>
        <v>0.10751786102217777</v>
      </c>
      <c r="Z291" s="20">
        <f t="shared" si="26"/>
        <v>9.0240671969462088E-2</v>
      </c>
      <c r="AA291" s="21">
        <v>1</v>
      </c>
      <c r="AB291" s="21">
        <v>1</v>
      </c>
      <c r="AC291" s="22">
        <f t="shared" si="27"/>
        <v>0.10751786102217777</v>
      </c>
      <c r="AD291" s="22">
        <f t="shared" si="28"/>
        <v>9.0240671969462088E-2</v>
      </c>
      <c r="AE291" s="22">
        <f t="shared" si="29"/>
        <v>1</v>
      </c>
      <c r="AF291" s="7" t="s">
        <v>1647</v>
      </c>
      <c r="AG291" s="7"/>
      <c r="AH291" s="7"/>
      <c r="AI291" s="7"/>
      <c r="AJ291" s="8" t="b">
        <v>1</v>
      </c>
      <c r="AK291" s="28" t="s">
        <v>1648</v>
      </c>
      <c r="AL291" s="28"/>
      <c r="AM291" s="28"/>
      <c r="AN291" s="7"/>
      <c r="AO291" s="7"/>
      <c r="AP291" s="7"/>
      <c r="AQ291" s="28" t="s">
        <v>1650</v>
      </c>
    </row>
    <row r="292" spans="1:43" ht="45">
      <c r="A292" s="7">
        <v>289</v>
      </c>
      <c r="B292" s="7" t="s">
        <v>911</v>
      </c>
      <c r="C292" s="7" t="s">
        <v>49</v>
      </c>
      <c r="D292" s="7" t="s">
        <v>112</v>
      </c>
      <c r="E292" s="7" t="s">
        <v>1654</v>
      </c>
      <c r="F292" s="7" t="s">
        <v>49</v>
      </c>
      <c r="G292" s="14">
        <v>2423</v>
      </c>
      <c r="H292" s="15">
        <v>3.5</v>
      </c>
      <c r="I292" s="15">
        <v>1.9</v>
      </c>
      <c r="J292" s="15">
        <v>0.13</v>
      </c>
      <c r="K292" s="15">
        <v>7.0000000000000007E-2</v>
      </c>
      <c r="L292" s="15">
        <v>59.7</v>
      </c>
      <c r="M292" s="15">
        <v>1.2978260869565219</v>
      </c>
      <c r="N292" s="16">
        <v>0.10016750418760469</v>
      </c>
      <c r="O292" s="16">
        <v>5.3936348408710214E-2</v>
      </c>
      <c r="P292" s="17">
        <f>IFERROR(G292/(G292+Priors!$H$3),0)</f>
        <v>0.707858603564125</v>
      </c>
      <c r="Q292" s="18">
        <f>IF(E292="Premier League",Priors!$H$4,IF(E292="Championship",Priors!$H$5,Priors!$H$8))</f>
        <v>0.8</v>
      </c>
      <c r="R292" s="19" t="b">
        <v>0</v>
      </c>
      <c r="S292" s="18">
        <f>IF(R292=TRUE,Priors!$H$6,1)</f>
        <v>1</v>
      </c>
      <c r="T292" s="19" t="b">
        <v>0</v>
      </c>
      <c r="U292" s="18">
        <f>IF(T292=TRUE,Priors!$H$7,1)</f>
        <v>1</v>
      </c>
      <c r="V292" s="18">
        <f t="shared" si="24"/>
        <v>0.56628688285130002</v>
      </c>
      <c r="W292" s="20">
        <f>VLOOKUP(D292,Priors!$A$3:$C$6,2,FALSE)</f>
        <v>0.10751786102217777</v>
      </c>
      <c r="X292" s="20">
        <f>VLOOKUP(D292,Priors!$A$3:$C$6,3,FALSE)</f>
        <v>9.0240671969462088E-2</v>
      </c>
      <c r="Y292" s="20">
        <f t="shared" si="25"/>
        <v>0.10335545036248263</v>
      </c>
      <c r="Z292" s="20">
        <f t="shared" si="26"/>
        <v>6.9682009746218895E-2</v>
      </c>
      <c r="AA292" s="21">
        <v>1</v>
      </c>
      <c r="AB292" s="21">
        <v>1</v>
      </c>
      <c r="AC292" s="22">
        <f t="shared" si="27"/>
        <v>0.10335545036248263</v>
      </c>
      <c r="AD292" s="22">
        <f t="shared" si="28"/>
        <v>6.9682009746218895E-2</v>
      </c>
      <c r="AE292" s="22">
        <f t="shared" si="29"/>
        <v>0.43371311714869998</v>
      </c>
      <c r="AF292" s="7" t="s">
        <v>1655</v>
      </c>
      <c r="AG292" s="7">
        <v>1</v>
      </c>
      <c r="AH292" s="7"/>
      <c r="AI292" s="7"/>
      <c r="AJ292" s="8" t="b">
        <v>0</v>
      </c>
      <c r="AK292" s="28" t="s">
        <v>1656</v>
      </c>
      <c r="AL292" s="28" t="s">
        <v>1657</v>
      </c>
      <c r="AM292" s="28"/>
      <c r="AN292" s="7"/>
      <c r="AO292" s="7"/>
      <c r="AP292" s="7"/>
      <c r="AQ292" s="28" t="s">
        <v>1650</v>
      </c>
    </row>
    <row r="293" spans="1:43" ht="45">
      <c r="A293" s="7">
        <v>290</v>
      </c>
      <c r="B293" s="7" t="s">
        <v>914</v>
      </c>
      <c r="C293" s="7" t="s">
        <v>49</v>
      </c>
      <c r="D293" s="7" t="s">
        <v>112</v>
      </c>
      <c r="E293" s="7" t="s">
        <v>1654</v>
      </c>
      <c r="F293" s="7" t="s">
        <v>49</v>
      </c>
      <c r="G293" s="14">
        <v>3000</v>
      </c>
      <c r="H293" s="15">
        <v>2</v>
      </c>
      <c r="I293" s="15">
        <v>1.9</v>
      </c>
      <c r="J293" s="15">
        <v>0.06</v>
      </c>
      <c r="K293" s="15">
        <v>0.05</v>
      </c>
      <c r="L293" s="15">
        <v>59.7</v>
      </c>
      <c r="M293" s="15">
        <v>1.2978260869565219</v>
      </c>
      <c r="N293" s="16">
        <v>4.6231155778894466E-2</v>
      </c>
      <c r="O293" s="16">
        <v>3.8525963149078725E-2</v>
      </c>
      <c r="P293" s="17">
        <f>IFERROR(G293/(G293+Priors!$H$3),0)</f>
        <v>0.75</v>
      </c>
      <c r="Q293" s="18">
        <f>IF(E293="Premier League",Priors!$H$4,IF(E293="Championship",Priors!$H$5,Priors!$H$8))</f>
        <v>0.8</v>
      </c>
      <c r="R293" s="19" t="b">
        <v>0</v>
      </c>
      <c r="S293" s="18">
        <f>IF(R293=TRUE,Priors!$H$6,1)</f>
        <v>1</v>
      </c>
      <c r="T293" s="19" t="b">
        <v>0</v>
      </c>
      <c r="U293" s="18">
        <f>IF(T293=TRUE,Priors!$H$7,1)</f>
        <v>1</v>
      </c>
      <c r="V293" s="18">
        <f t="shared" si="24"/>
        <v>0.60000000000000009</v>
      </c>
      <c r="W293" s="20">
        <f>VLOOKUP(D293,Priors!$A$3:$C$6,2,FALSE)</f>
        <v>0.10751786102217777</v>
      </c>
      <c r="X293" s="20">
        <f>VLOOKUP(D293,Priors!$A$3:$C$6,3,FALSE)</f>
        <v>9.0240671969462088E-2</v>
      </c>
      <c r="Y293" s="20">
        <f t="shared" si="25"/>
        <v>7.0745837876207779E-2</v>
      </c>
      <c r="Z293" s="20">
        <f t="shared" si="26"/>
        <v>5.9211846677232061E-2</v>
      </c>
      <c r="AA293" s="21">
        <v>1</v>
      </c>
      <c r="AB293" s="21">
        <v>1</v>
      </c>
      <c r="AC293" s="22">
        <f t="shared" si="27"/>
        <v>7.0745837876207779E-2</v>
      </c>
      <c r="AD293" s="22">
        <f t="shared" si="28"/>
        <v>5.9211846677232061E-2</v>
      </c>
      <c r="AE293" s="22">
        <f t="shared" si="29"/>
        <v>0.39999999999999991</v>
      </c>
      <c r="AF293" s="7" t="s">
        <v>1655</v>
      </c>
      <c r="AG293" s="7"/>
      <c r="AH293" s="7"/>
      <c r="AI293" s="7">
        <v>6</v>
      </c>
      <c r="AJ293" s="8" t="b">
        <v>0</v>
      </c>
      <c r="AK293" s="28" t="s">
        <v>1656</v>
      </c>
      <c r="AL293" s="28" t="s">
        <v>1657</v>
      </c>
      <c r="AM293" s="28"/>
      <c r="AN293" s="7"/>
      <c r="AO293" s="7"/>
      <c r="AP293" s="7"/>
      <c r="AQ293" s="28" t="s">
        <v>1650</v>
      </c>
    </row>
    <row r="294" spans="1:43" ht="15">
      <c r="A294" s="7">
        <v>291</v>
      </c>
      <c r="B294" s="7" t="s">
        <v>917</v>
      </c>
      <c r="C294" s="7" t="s">
        <v>49</v>
      </c>
      <c r="D294" s="7" t="s">
        <v>112</v>
      </c>
      <c r="E294" s="7" t="s">
        <v>1647</v>
      </c>
      <c r="F294" s="7"/>
      <c r="G294" s="14"/>
      <c r="H294" s="15"/>
      <c r="I294" s="15"/>
      <c r="J294" s="15"/>
      <c r="K294" s="15"/>
      <c r="L294" s="15"/>
      <c r="M294" s="15"/>
      <c r="N294" s="16"/>
      <c r="O294" s="16"/>
      <c r="P294" s="17">
        <f>IFERROR(G294/(G294+Priors!$H$3),0)</f>
        <v>0</v>
      </c>
      <c r="Q294" s="18">
        <f>IF(E294="Premier League",Priors!$H$4,IF(E294="Championship",Priors!$H$5,Priors!$H$8))</f>
        <v>0</v>
      </c>
      <c r="R294" s="19" t="b">
        <v>0</v>
      </c>
      <c r="S294" s="18">
        <f>IF(R294=TRUE,Priors!$H$6,1)</f>
        <v>1</v>
      </c>
      <c r="T294" s="19" t="b">
        <v>0</v>
      </c>
      <c r="U294" s="18">
        <f>IF(T294=TRUE,Priors!$H$7,1)</f>
        <v>1</v>
      </c>
      <c r="V294" s="18">
        <f t="shared" si="24"/>
        <v>0</v>
      </c>
      <c r="W294" s="20">
        <f>VLOOKUP(D294,Priors!$A$3:$C$6,2,FALSE)</f>
        <v>0.10751786102217777</v>
      </c>
      <c r="X294" s="20">
        <f>VLOOKUP(D294,Priors!$A$3:$C$6,3,FALSE)</f>
        <v>9.0240671969462088E-2</v>
      </c>
      <c r="Y294" s="20">
        <f t="shared" si="25"/>
        <v>0.10751786102217777</v>
      </c>
      <c r="Z294" s="20">
        <f t="shared" si="26"/>
        <v>9.0240671969462088E-2</v>
      </c>
      <c r="AA294" s="21">
        <v>1</v>
      </c>
      <c r="AB294" s="21">
        <v>1</v>
      </c>
      <c r="AC294" s="22">
        <f t="shared" si="27"/>
        <v>0.10751786102217777</v>
      </c>
      <c r="AD294" s="22">
        <f t="shared" si="28"/>
        <v>9.0240671969462088E-2</v>
      </c>
      <c r="AE294" s="22">
        <f t="shared" si="29"/>
        <v>1</v>
      </c>
      <c r="AF294" s="7" t="s">
        <v>1647</v>
      </c>
      <c r="AG294" s="7"/>
      <c r="AH294" s="7"/>
      <c r="AI294" s="7"/>
      <c r="AJ294" s="8" t="b">
        <v>1</v>
      </c>
      <c r="AK294" s="28" t="s">
        <v>1648</v>
      </c>
      <c r="AL294" s="28"/>
      <c r="AM294" s="28"/>
      <c r="AN294" s="7"/>
      <c r="AO294" s="7"/>
      <c r="AP294" s="7"/>
      <c r="AQ294" s="28" t="s">
        <v>1650</v>
      </c>
    </row>
    <row r="295" spans="1:43" ht="15">
      <c r="A295" s="7">
        <v>292</v>
      </c>
      <c r="B295" s="7" t="s">
        <v>920</v>
      </c>
      <c r="C295" s="7" t="s">
        <v>49</v>
      </c>
      <c r="D295" s="7" t="s">
        <v>112</v>
      </c>
      <c r="E295" s="7" t="s">
        <v>1647</v>
      </c>
      <c r="F295" s="7"/>
      <c r="G295" s="14"/>
      <c r="H295" s="15"/>
      <c r="I295" s="15"/>
      <c r="J295" s="15"/>
      <c r="K295" s="15"/>
      <c r="L295" s="15"/>
      <c r="M295" s="15"/>
      <c r="N295" s="16"/>
      <c r="O295" s="16"/>
      <c r="P295" s="17">
        <f>IFERROR(G295/(G295+Priors!$H$3),0)</f>
        <v>0</v>
      </c>
      <c r="Q295" s="18">
        <f>IF(E295="Premier League",Priors!$H$4,IF(E295="Championship",Priors!$H$5,Priors!$H$8))</f>
        <v>0</v>
      </c>
      <c r="R295" s="19" t="b">
        <v>0</v>
      </c>
      <c r="S295" s="18">
        <f>IF(R295=TRUE,Priors!$H$6,1)</f>
        <v>1</v>
      </c>
      <c r="T295" s="19" t="b">
        <v>0</v>
      </c>
      <c r="U295" s="18">
        <f>IF(T295=TRUE,Priors!$H$7,1)</f>
        <v>1</v>
      </c>
      <c r="V295" s="18">
        <f t="shared" si="24"/>
        <v>0</v>
      </c>
      <c r="W295" s="20">
        <f>VLOOKUP(D295,Priors!$A$3:$C$6,2,FALSE)</f>
        <v>0.10751786102217777</v>
      </c>
      <c r="X295" s="20">
        <f>VLOOKUP(D295,Priors!$A$3:$C$6,3,FALSE)</f>
        <v>9.0240671969462088E-2</v>
      </c>
      <c r="Y295" s="20">
        <f t="shared" si="25"/>
        <v>0.10751786102217777</v>
      </c>
      <c r="Z295" s="20">
        <f t="shared" si="26"/>
        <v>9.0240671969462088E-2</v>
      </c>
      <c r="AA295" s="21">
        <v>1</v>
      </c>
      <c r="AB295" s="21">
        <v>1</v>
      </c>
      <c r="AC295" s="22">
        <f t="shared" si="27"/>
        <v>0.10751786102217777</v>
      </c>
      <c r="AD295" s="22">
        <f t="shared" si="28"/>
        <v>9.0240671969462088E-2</v>
      </c>
      <c r="AE295" s="22">
        <f t="shared" si="29"/>
        <v>1</v>
      </c>
      <c r="AF295" s="7" t="s">
        <v>1647</v>
      </c>
      <c r="AG295" s="7"/>
      <c r="AH295" s="7"/>
      <c r="AI295" s="7"/>
      <c r="AJ295" s="8" t="b">
        <v>1</v>
      </c>
      <c r="AK295" s="28" t="s">
        <v>1648</v>
      </c>
      <c r="AL295" s="28"/>
      <c r="AM295" s="28"/>
      <c r="AN295" s="7"/>
      <c r="AO295" s="7"/>
      <c r="AP295" s="7"/>
      <c r="AQ295" s="28" t="s">
        <v>1650</v>
      </c>
    </row>
    <row r="296" spans="1:43" ht="15">
      <c r="A296" s="7">
        <v>293</v>
      </c>
      <c r="B296" s="7" t="s">
        <v>230</v>
      </c>
      <c r="C296" s="7" t="s">
        <v>49</v>
      </c>
      <c r="D296" s="7" t="s">
        <v>112</v>
      </c>
      <c r="E296" s="7" t="s">
        <v>1647</v>
      </c>
      <c r="F296" s="7"/>
      <c r="G296" s="14"/>
      <c r="H296" s="15"/>
      <c r="I296" s="15"/>
      <c r="J296" s="15"/>
      <c r="K296" s="15"/>
      <c r="L296" s="15"/>
      <c r="M296" s="15"/>
      <c r="N296" s="16"/>
      <c r="O296" s="16"/>
      <c r="P296" s="17">
        <f>IFERROR(G296/(G296+Priors!$H$3),0)</f>
        <v>0</v>
      </c>
      <c r="Q296" s="18">
        <f>IF(E296="Premier League",Priors!$H$4,IF(E296="Championship",Priors!$H$5,Priors!$H$8))</f>
        <v>0</v>
      </c>
      <c r="R296" s="19" t="b">
        <v>0</v>
      </c>
      <c r="S296" s="18">
        <f>IF(R296=TRUE,Priors!$H$6,1)</f>
        <v>1</v>
      </c>
      <c r="T296" s="19" t="b">
        <v>0</v>
      </c>
      <c r="U296" s="18">
        <f>IF(T296=TRUE,Priors!$H$7,1)</f>
        <v>1</v>
      </c>
      <c r="V296" s="18">
        <f t="shared" si="24"/>
        <v>0</v>
      </c>
      <c r="W296" s="20">
        <f>VLOOKUP(D296,Priors!$A$3:$C$6,2,FALSE)</f>
        <v>0.10751786102217777</v>
      </c>
      <c r="X296" s="20">
        <f>VLOOKUP(D296,Priors!$A$3:$C$6,3,FALSE)</f>
        <v>9.0240671969462088E-2</v>
      </c>
      <c r="Y296" s="20">
        <f t="shared" si="25"/>
        <v>0.10751786102217777</v>
      </c>
      <c r="Z296" s="20">
        <f t="shared" si="26"/>
        <v>9.0240671969462088E-2</v>
      </c>
      <c r="AA296" s="21">
        <v>1</v>
      </c>
      <c r="AB296" s="21">
        <v>1</v>
      </c>
      <c r="AC296" s="22">
        <f t="shared" si="27"/>
        <v>0.10751786102217777</v>
      </c>
      <c r="AD296" s="22">
        <f t="shared" si="28"/>
        <v>9.0240671969462088E-2</v>
      </c>
      <c r="AE296" s="22">
        <f t="shared" si="29"/>
        <v>1</v>
      </c>
      <c r="AF296" s="7" t="s">
        <v>1647</v>
      </c>
      <c r="AG296" s="7"/>
      <c r="AH296" s="7"/>
      <c r="AI296" s="7"/>
      <c r="AJ296" s="8" t="b">
        <v>1</v>
      </c>
      <c r="AK296" s="28" t="s">
        <v>1648</v>
      </c>
      <c r="AL296" s="28"/>
      <c r="AM296" s="28"/>
      <c r="AN296" s="7"/>
      <c r="AO296" s="7"/>
      <c r="AP296" s="7"/>
      <c r="AQ296" s="28" t="s">
        <v>1650</v>
      </c>
    </row>
    <row r="297" spans="1:43" ht="15">
      <c r="A297" s="7">
        <v>294</v>
      </c>
      <c r="B297" s="7" t="s">
        <v>923</v>
      </c>
      <c r="C297" s="7" t="s">
        <v>49</v>
      </c>
      <c r="D297" s="7" t="s">
        <v>112</v>
      </c>
      <c r="E297" s="7" t="s">
        <v>1647</v>
      </c>
      <c r="F297" s="7"/>
      <c r="G297" s="14"/>
      <c r="H297" s="15"/>
      <c r="I297" s="15"/>
      <c r="J297" s="15"/>
      <c r="K297" s="15"/>
      <c r="L297" s="15"/>
      <c r="M297" s="15"/>
      <c r="N297" s="16"/>
      <c r="O297" s="16"/>
      <c r="P297" s="17">
        <f>IFERROR(G297/(G297+Priors!$H$3),0)</f>
        <v>0</v>
      </c>
      <c r="Q297" s="18">
        <f>IF(E297="Premier League",Priors!$H$4,IF(E297="Championship",Priors!$H$5,Priors!$H$8))</f>
        <v>0</v>
      </c>
      <c r="R297" s="19" t="b">
        <v>0</v>
      </c>
      <c r="S297" s="18">
        <f>IF(R297=TRUE,Priors!$H$6,1)</f>
        <v>1</v>
      </c>
      <c r="T297" s="19" t="b">
        <v>0</v>
      </c>
      <c r="U297" s="18">
        <f>IF(T297=TRUE,Priors!$H$7,1)</f>
        <v>1</v>
      </c>
      <c r="V297" s="18">
        <f t="shared" si="24"/>
        <v>0</v>
      </c>
      <c r="W297" s="20">
        <f>VLOOKUP(D297,Priors!$A$3:$C$6,2,FALSE)</f>
        <v>0.10751786102217777</v>
      </c>
      <c r="X297" s="20">
        <f>VLOOKUP(D297,Priors!$A$3:$C$6,3,FALSE)</f>
        <v>9.0240671969462088E-2</v>
      </c>
      <c r="Y297" s="20">
        <f t="shared" si="25"/>
        <v>0.10751786102217777</v>
      </c>
      <c r="Z297" s="20">
        <f t="shared" si="26"/>
        <v>9.0240671969462088E-2</v>
      </c>
      <c r="AA297" s="21">
        <v>1</v>
      </c>
      <c r="AB297" s="21">
        <v>1</v>
      </c>
      <c r="AC297" s="22">
        <f t="shared" si="27"/>
        <v>0.10751786102217777</v>
      </c>
      <c r="AD297" s="22">
        <f t="shared" si="28"/>
        <v>9.0240671969462088E-2</v>
      </c>
      <c r="AE297" s="22">
        <f t="shared" si="29"/>
        <v>1</v>
      </c>
      <c r="AF297" s="7" t="s">
        <v>1647</v>
      </c>
      <c r="AG297" s="7"/>
      <c r="AH297" s="7"/>
      <c r="AI297" s="7"/>
      <c r="AJ297" s="8" t="b">
        <v>1</v>
      </c>
      <c r="AK297" s="28" t="s">
        <v>1648</v>
      </c>
      <c r="AL297" s="28"/>
      <c r="AM297" s="28"/>
      <c r="AN297" s="7"/>
      <c r="AO297" s="7"/>
      <c r="AP297" s="7"/>
      <c r="AQ297" s="28" t="s">
        <v>1650</v>
      </c>
    </row>
    <row r="298" spans="1:43" ht="45">
      <c r="A298" s="7">
        <v>295</v>
      </c>
      <c r="B298" s="7" t="s">
        <v>925</v>
      </c>
      <c r="C298" s="7" t="s">
        <v>49</v>
      </c>
      <c r="D298" s="7" t="s">
        <v>167</v>
      </c>
      <c r="E298" s="7" t="s">
        <v>1654</v>
      </c>
      <c r="F298" s="7" t="s">
        <v>49</v>
      </c>
      <c r="G298" s="14">
        <v>2913</v>
      </c>
      <c r="H298" s="15">
        <v>12.3</v>
      </c>
      <c r="I298" s="15">
        <v>2.2000000000000002</v>
      </c>
      <c r="J298" s="15">
        <v>0.38</v>
      </c>
      <c r="K298" s="15">
        <v>7.0000000000000007E-2</v>
      </c>
      <c r="L298" s="15">
        <v>59.7</v>
      </c>
      <c r="M298" s="15">
        <v>1.2978260869565219</v>
      </c>
      <c r="N298" s="16">
        <v>0.29279731993299829</v>
      </c>
      <c r="O298" s="16">
        <v>5.3936348408710214E-2</v>
      </c>
      <c r="P298" s="17">
        <f>IFERROR(G298/(G298+Priors!$H$3),0)</f>
        <v>0.74444160490672118</v>
      </c>
      <c r="Q298" s="18">
        <f>IF(E298="Premier League",Priors!$H$4,IF(E298="Championship",Priors!$H$5,Priors!$H$8))</f>
        <v>0.8</v>
      </c>
      <c r="R298" s="19" t="b">
        <v>0</v>
      </c>
      <c r="S298" s="18">
        <f>IF(R298=TRUE,Priors!$H$6,1)</f>
        <v>1</v>
      </c>
      <c r="T298" s="19" t="b">
        <v>0</v>
      </c>
      <c r="U298" s="18">
        <f>IF(T298=TRUE,Priors!$H$7,1)</f>
        <v>1</v>
      </c>
      <c r="V298" s="18">
        <f t="shared" si="24"/>
        <v>0.59555328392537699</v>
      </c>
      <c r="W298" s="20">
        <f>VLOOKUP(D298,Priors!$A$3:$C$6,2,FALSE)</f>
        <v>0.30461525508032317</v>
      </c>
      <c r="X298" s="20">
        <f>VLOOKUP(D298,Priors!$A$3:$C$6,3,FALSE)</f>
        <v>3.9258061548584466E-2</v>
      </c>
      <c r="Y298" s="20">
        <f t="shared" si="25"/>
        <v>0.29757704499411669</v>
      </c>
      <c r="Z298" s="20">
        <f t="shared" si="26"/>
        <v>4.7999763490531061E-2</v>
      </c>
      <c r="AA298" s="21">
        <v>1</v>
      </c>
      <c r="AB298" s="21">
        <v>1</v>
      </c>
      <c r="AC298" s="22">
        <f t="shared" si="27"/>
        <v>0.29757704499411669</v>
      </c>
      <c r="AD298" s="22">
        <f t="shared" si="28"/>
        <v>4.7999763490531061E-2</v>
      </c>
      <c r="AE298" s="22">
        <f t="shared" si="29"/>
        <v>0.40444671607462301</v>
      </c>
      <c r="AF298" s="7" t="s">
        <v>1655</v>
      </c>
      <c r="AG298" s="7">
        <v>2</v>
      </c>
      <c r="AH298" s="7"/>
      <c r="AI298" s="7"/>
      <c r="AJ298" s="8" t="b">
        <v>0</v>
      </c>
      <c r="AK298" s="28" t="s">
        <v>1656</v>
      </c>
      <c r="AL298" s="28" t="s">
        <v>1657</v>
      </c>
      <c r="AM298" s="28"/>
      <c r="AN298" s="7"/>
      <c r="AO298" s="7">
        <v>0</v>
      </c>
      <c r="AP298" s="8" t="b">
        <v>0</v>
      </c>
      <c r="AQ298" s="28" t="s">
        <v>1646</v>
      </c>
    </row>
    <row r="299" spans="1:43" ht="15">
      <c r="A299" s="7">
        <v>296</v>
      </c>
      <c r="B299" s="7" t="s">
        <v>927</v>
      </c>
      <c r="C299" s="7" t="s">
        <v>49</v>
      </c>
      <c r="D299" s="7" t="s">
        <v>112</v>
      </c>
      <c r="E299" s="7" t="s">
        <v>1647</v>
      </c>
      <c r="F299" s="7"/>
      <c r="G299" s="14"/>
      <c r="H299" s="15"/>
      <c r="I299" s="15"/>
      <c r="J299" s="15"/>
      <c r="K299" s="15"/>
      <c r="L299" s="15"/>
      <c r="M299" s="15"/>
      <c r="N299" s="16"/>
      <c r="O299" s="16"/>
      <c r="P299" s="17">
        <f>IFERROR(G299/(G299+Priors!$H$3),0)</f>
        <v>0</v>
      </c>
      <c r="Q299" s="18">
        <f>IF(E299="Premier League",Priors!$H$4,IF(E299="Championship",Priors!$H$5,Priors!$H$8))</f>
        <v>0</v>
      </c>
      <c r="R299" s="19" t="b">
        <v>0</v>
      </c>
      <c r="S299" s="18">
        <f>IF(R299=TRUE,Priors!$H$6,1)</f>
        <v>1</v>
      </c>
      <c r="T299" s="19" t="b">
        <v>0</v>
      </c>
      <c r="U299" s="18">
        <f>IF(T299=TRUE,Priors!$H$7,1)</f>
        <v>1</v>
      </c>
      <c r="V299" s="18">
        <f t="shared" si="24"/>
        <v>0</v>
      </c>
      <c r="W299" s="20">
        <f>VLOOKUP(D299,Priors!$A$3:$C$6,2,FALSE)</f>
        <v>0.10751786102217777</v>
      </c>
      <c r="X299" s="20">
        <f>VLOOKUP(D299,Priors!$A$3:$C$6,3,FALSE)</f>
        <v>9.0240671969462088E-2</v>
      </c>
      <c r="Y299" s="20">
        <f t="shared" si="25"/>
        <v>0.10751786102217777</v>
      </c>
      <c r="Z299" s="20">
        <f t="shared" si="26"/>
        <v>9.0240671969462088E-2</v>
      </c>
      <c r="AA299" s="21">
        <v>1</v>
      </c>
      <c r="AB299" s="21">
        <v>1</v>
      </c>
      <c r="AC299" s="22">
        <f t="shared" si="27"/>
        <v>0.10751786102217777</v>
      </c>
      <c r="AD299" s="22">
        <f t="shared" si="28"/>
        <v>9.0240671969462088E-2</v>
      </c>
      <c r="AE299" s="22">
        <f t="shared" si="29"/>
        <v>1</v>
      </c>
      <c r="AF299" s="7" t="s">
        <v>1647</v>
      </c>
      <c r="AG299" s="7"/>
      <c r="AH299" s="7"/>
      <c r="AI299" s="7"/>
      <c r="AJ299" s="8" t="b">
        <v>1</v>
      </c>
      <c r="AK299" s="28" t="s">
        <v>1648</v>
      </c>
      <c r="AL299" s="28"/>
      <c r="AM299" s="28"/>
      <c r="AN299" s="7"/>
      <c r="AO299" s="7"/>
      <c r="AP299" s="7"/>
      <c r="AQ299" s="28" t="s">
        <v>1650</v>
      </c>
    </row>
    <row r="300" spans="1:43" ht="15">
      <c r="A300" s="7">
        <v>297</v>
      </c>
      <c r="B300" s="7" t="s">
        <v>929</v>
      </c>
      <c r="C300" s="7" t="s">
        <v>49</v>
      </c>
      <c r="D300" s="7" t="s">
        <v>112</v>
      </c>
      <c r="E300" s="7" t="s">
        <v>1647</v>
      </c>
      <c r="F300" s="7"/>
      <c r="G300" s="14"/>
      <c r="H300" s="15"/>
      <c r="I300" s="15"/>
      <c r="J300" s="15"/>
      <c r="K300" s="15"/>
      <c r="L300" s="15"/>
      <c r="M300" s="15"/>
      <c r="N300" s="16"/>
      <c r="O300" s="16"/>
      <c r="P300" s="17">
        <f>IFERROR(G300/(G300+Priors!$H$3),0)</f>
        <v>0</v>
      </c>
      <c r="Q300" s="18">
        <f>IF(E300="Premier League",Priors!$H$4,IF(E300="Championship",Priors!$H$5,Priors!$H$8))</f>
        <v>0</v>
      </c>
      <c r="R300" s="19" t="b">
        <v>0</v>
      </c>
      <c r="S300" s="18">
        <f>IF(R300=TRUE,Priors!$H$6,1)</f>
        <v>1</v>
      </c>
      <c r="T300" s="19" t="b">
        <v>0</v>
      </c>
      <c r="U300" s="18">
        <f>IF(T300=TRUE,Priors!$H$7,1)</f>
        <v>1</v>
      </c>
      <c r="V300" s="18">
        <f t="shared" si="24"/>
        <v>0</v>
      </c>
      <c r="W300" s="20">
        <f>VLOOKUP(D300,Priors!$A$3:$C$6,2,FALSE)</f>
        <v>0.10751786102217777</v>
      </c>
      <c r="X300" s="20">
        <f>VLOOKUP(D300,Priors!$A$3:$C$6,3,FALSE)</f>
        <v>9.0240671969462088E-2</v>
      </c>
      <c r="Y300" s="20">
        <f t="shared" si="25"/>
        <v>0.10751786102217777</v>
      </c>
      <c r="Z300" s="20">
        <f t="shared" si="26"/>
        <v>9.0240671969462088E-2</v>
      </c>
      <c r="AA300" s="21">
        <v>1</v>
      </c>
      <c r="AB300" s="21">
        <v>1</v>
      </c>
      <c r="AC300" s="22">
        <f t="shared" si="27"/>
        <v>0.10751786102217777</v>
      </c>
      <c r="AD300" s="22">
        <f t="shared" si="28"/>
        <v>9.0240671969462088E-2</v>
      </c>
      <c r="AE300" s="22">
        <f t="shared" si="29"/>
        <v>1</v>
      </c>
      <c r="AF300" s="7" t="s">
        <v>1647</v>
      </c>
      <c r="AG300" s="7"/>
      <c r="AH300" s="7"/>
      <c r="AI300" s="7"/>
      <c r="AJ300" s="8" t="b">
        <v>1</v>
      </c>
      <c r="AK300" s="28" t="s">
        <v>1648</v>
      </c>
      <c r="AL300" s="28"/>
      <c r="AM300" s="28"/>
      <c r="AN300" s="7"/>
      <c r="AO300" s="7"/>
      <c r="AP300" s="7"/>
      <c r="AQ300" s="28" t="s">
        <v>1650</v>
      </c>
    </row>
    <row r="301" spans="1:43" ht="15">
      <c r="A301" s="7">
        <v>298</v>
      </c>
      <c r="B301" s="7" t="s">
        <v>931</v>
      </c>
      <c r="C301" s="7" t="s">
        <v>49</v>
      </c>
      <c r="D301" s="7" t="s">
        <v>167</v>
      </c>
      <c r="E301" s="7" t="s">
        <v>1647</v>
      </c>
      <c r="F301" s="7"/>
      <c r="G301" s="14"/>
      <c r="H301" s="15"/>
      <c r="I301" s="15"/>
      <c r="J301" s="15"/>
      <c r="K301" s="15"/>
      <c r="L301" s="15"/>
      <c r="M301" s="15"/>
      <c r="N301" s="16"/>
      <c r="O301" s="16"/>
      <c r="P301" s="17">
        <f>IFERROR(G301/(G301+Priors!$H$3),0)</f>
        <v>0</v>
      </c>
      <c r="Q301" s="18">
        <f>IF(E301="Premier League",Priors!$H$4,IF(E301="Championship",Priors!$H$5,Priors!$H$8))</f>
        <v>0</v>
      </c>
      <c r="R301" s="19" t="b">
        <v>0</v>
      </c>
      <c r="S301" s="18">
        <f>IF(R301=TRUE,Priors!$H$6,1)</f>
        <v>1</v>
      </c>
      <c r="T301" s="19" t="b">
        <v>0</v>
      </c>
      <c r="U301" s="18">
        <f>IF(T301=TRUE,Priors!$H$7,1)</f>
        <v>1</v>
      </c>
      <c r="V301" s="18">
        <f t="shared" si="24"/>
        <v>0</v>
      </c>
      <c r="W301" s="20">
        <f>VLOOKUP(D301,Priors!$A$3:$C$6,2,FALSE)</f>
        <v>0.30461525508032317</v>
      </c>
      <c r="X301" s="20">
        <f>VLOOKUP(D301,Priors!$A$3:$C$6,3,FALSE)</f>
        <v>3.9258061548584466E-2</v>
      </c>
      <c r="Y301" s="20">
        <f t="shared" si="25"/>
        <v>0.30461525508032317</v>
      </c>
      <c r="Z301" s="20">
        <f t="shared" si="26"/>
        <v>3.9258061548584466E-2</v>
      </c>
      <c r="AA301" s="21">
        <v>1</v>
      </c>
      <c r="AB301" s="21">
        <v>1</v>
      </c>
      <c r="AC301" s="22">
        <f t="shared" si="27"/>
        <v>0.30461525508032317</v>
      </c>
      <c r="AD301" s="22">
        <f t="shared" si="28"/>
        <v>3.9258061548584466E-2</v>
      </c>
      <c r="AE301" s="22">
        <f t="shared" si="29"/>
        <v>1</v>
      </c>
      <c r="AF301" s="7" t="s">
        <v>1647</v>
      </c>
      <c r="AG301" s="7"/>
      <c r="AH301" s="7"/>
      <c r="AI301" s="7"/>
      <c r="AJ301" s="8" t="b">
        <v>1</v>
      </c>
      <c r="AK301" s="28" t="s">
        <v>1648</v>
      </c>
      <c r="AL301" s="28"/>
      <c r="AM301" s="28"/>
      <c r="AN301" s="7"/>
      <c r="AO301" s="7"/>
      <c r="AP301" s="7"/>
      <c r="AQ301" s="28" t="s">
        <v>1650</v>
      </c>
    </row>
    <row r="302" spans="1:43" ht="15">
      <c r="A302" s="7">
        <v>299</v>
      </c>
      <c r="B302" s="7" t="s">
        <v>934</v>
      </c>
      <c r="C302" s="7" t="s">
        <v>49</v>
      </c>
      <c r="D302" s="7" t="s">
        <v>167</v>
      </c>
      <c r="E302" s="7" t="s">
        <v>1647</v>
      </c>
      <c r="F302" s="7"/>
      <c r="G302" s="14"/>
      <c r="H302" s="15"/>
      <c r="I302" s="15"/>
      <c r="J302" s="15"/>
      <c r="K302" s="15"/>
      <c r="L302" s="15"/>
      <c r="M302" s="15"/>
      <c r="N302" s="16"/>
      <c r="O302" s="16"/>
      <c r="P302" s="17">
        <f>IFERROR(G302/(G302+Priors!$H$3),0)</f>
        <v>0</v>
      </c>
      <c r="Q302" s="18">
        <f>IF(E302="Premier League",Priors!$H$4,IF(E302="Championship",Priors!$H$5,Priors!$H$8))</f>
        <v>0</v>
      </c>
      <c r="R302" s="19" t="b">
        <v>0</v>
      </c>
      <c r="S302" s="18">
        <f>IF(R302=TRUE,Priors!$H$6,1)</f>
        <v>1</v>
      </c>
      <c r="T302" s="19" t="b">
        <v>0</v>
      </c>
      <c r="U302" s="18">
        <f>IF(T302=TRUE,Priors!$H$7,1)</f>
        <v>1</v>
      </c>
      <c r="V302" s="18">
        <f t="shared" si="24"/>
        <v>0</v>
      </c>
      <c r="W302" s="20">
        <f>VLOOKUP(D302,Priors!$A$3:$C$6,2,FALSE)</f>
        <v>0.30461525508032317</v>
      </c>
      <c r="X302" s="20">
        <f>VLOOKUP(D302,Priors!$A$3:$C$6,3,FALSE)</f>
        <v>3.9258061548584466E-2</v>
      </c>
      <c r="Y302" s="20">
        <f t="shared" si="25"/>
        <v>0.30461525508032317</v>
      </c>
      <c r="Z302" s="20">
        <f t="shared" si="26"/>
        <v>3.9258061548584466E-2</v>
      </c>
      <c r="AA302" s="21">
        <v>1</v>
      </c>
      <c r="AB302" s="21">
        <v>1</v>
      </c>
      <c r="AC302" s="22">
        <f t="shared" si="27"/>
        <v>0.30461525508032317</v>
      </c>
      <c r="AD302" s="22">
        <f t="shared" si="28"/>
        <v>3.9258061548584466E-2</v>
      </c>
      <c r="AE302" s="22">
        <f t="shared" si="29"/>
        <v>1</v>
      </c>
      <c r="AF302" s="7" t="s">
        <v>1647</v>
      </c>
      <c r="AG302" s="7"/>
      <c r="AH302" s="7"/>
      <c r="AI302" s="7"/>
      <c r="AJ302" s="8" t="b">
        <v>1</v>
      </c>
      <c r="AK302" s="28" t="s">
        <v>1648</v>
      </c>
      <c r="AL302" s="28"/>
      <c r="AM302" s="28"/>
      <c r="AN302" s="7"/>
      <c r="AO302" s="7"/>
      <c r="AP302" s="7"/>
      <c r="AQ302" s="28" t="s">
        <v>1650</v>
      </c>
    </row>
    <row r="303" spans="1:43" ht="15">
      <c r="A303" s="7">
        <v>556</v>
      </c>
      <c r="B303" s="7" t="s">
        <v>937</v>
      </c>
      <c r="C303" s="7" t="s">
        <v>49</v>
      </c>
      <c r="D303" s="7" t="s">
        <v>99</v>
      </c>
      <c r="E303" s="7" t="s">
        <v>1647</v>
      </c>
      <c r="F303" s="7"/>
      <c r="G303" s="14"/>
      <c r="H303" s="15"/>
      <c r="I303" s="15"/>
      <c r="J303" s="15"/>
      <c r="K303" s="15"/>
      <c r="L303" s="15"/>
      <c r="M303" s="15"/>
      <c r="N303" s="16"/>
      <c r="O303" s="16"/>
      <c r="P303" s="17">
        <f>IFERROR(G303/(G303+Priors!$H$3),0)</f>
        <v>0</v>
      </c>
      <c r="Q303" s="18">
        <f>IF(E303="Premier League",Priors!$H$4,IF(E303="Championship",Priors!$H$5,Priors!$H$8))</f>
        <v>0</v>
      </c>
      <c r="R303" s="19" t="b">
        <v>0</v>
      </c>
      <c r="S303" s="18">
        <f>IF(R303=TRUE,Priors!$H$6,1)</f>
        <v>1</v>
      </c>
      <c r="T303" s="19" t="b">
        <v>0</v>
      </c>
      <c r="U303" s="18">
        <f>IF(T303=TRUE,Priors!$H$7,1)</f>
        <v>1</v>
      </c>
      <c r="V303" s="18">
        <f t="shared" si="24"/>
        <v>0</v>
      </c>
      <c r="W303" s="20">
        <f>VLOOKUP(D303,Priors!$A$3:$C$6,2,FALSE)</f>
        <v>4.1142361271531161E-2</v>
      </c>
      <c r="X303" s="20">
        <f>VLOOKUP(D303,Priors!$A$3:$C$6,3,FALSE)</f>
        <v>4.0513079897554365E-2</v>
      </c>
      <c r="Y303" s="20">
        <f t="shared" si="25"/>
        <v>4.1142361271531161E-2</v>
      </c>
      <c r="Z303" s="20">
        <f t="shared" si="26"/>
        <v>4.0513079897554365E-2</v>
      </c>
      <c r="AA303" s="21">
        <v>1</v>
      </c>
      <c r="AB303" s="21">
        <v>1</v>
      </c>
      <c r="AC303" s="22">
        <f t="shared" si="27"/>
        <v>4.1142361271531161E-2</v>
      </c>
      <c r="AD303" s="22">
        <f t="shared" si="28"/>
        <v>4.0513079897554365E-2</v>
      </c>
      <c r="AE303" s="22">
        <f t="shared" si="29"/>
        <v>1</v>
      </c>
      <c r="AF303" s="7" t="s">
        <v>1647</v>
      </c>
      <c r="AG303" s="7"/>
      <c r="AH303" s="7"/>
      <c r="AI303" s="7"/>
      <c r="AJ303" s="8" t="b">
        <v>1</v>
      </c>
      <c r="AK303" s="28" t="s">
        <v>1648</v>
      </c>
      <c r="AL303" s="28"/>
      <c r="AM303" s="28"/>
      <c r="AN303" s="7"/>
      <c r="AO303" s="7"/>
      <c r="AP303" s="7"/>
      <c r="AQ303" s="28" t="s">
        <v>1650</v>
      </c>
    </row>
    <row r="304" spans="1:43" ht="15">
      <c r="A304" s="7">
        <v>563</v>
      </c>
      <c r="B304" s="7" t="s">
        <v>939</v>
      </c>
      <c r="C304" s="7" t="s">
        <v>49</v>
      </c>
      <c r="D304" s="7" t="s">
        <v>112</v>
      </c>
      <c r="E304" s="7" t="s">
        <v>1647</v>
      </c>
      <c r="F304" s="7"/>
      <c r="G304" s="14"/>
      <c r="H304" s="15"/>
      <c r="I304" s="15"/>
      <c r="J304" s="15"/>
      <c r="K304" s="15"/>
      <c r="L304" s="15"/>
      <c r="M304" s="15"/>
      <c r="N304" s="16"/>
      <c r="O304" s="16"/>
      <c r="P304" s="17">
        <f>IFERROR(G304/(G304+Priors!$H$3),0)</f>
        <v>0</v>
      </c>
      <c r="Q304" s="18">
        <f>IF(E304="Premier League",Priors!$H$4,IF(E304="Championship",Priors!$H$5,Priors!$H$8))</f>
        <v>0</v>
      </c>
      <c r="R304" s="19" t="b">
        <v>0</v>
      </c>
      <c r="S304" s="18">
        <f>IF(R304=TRUE,Priors!$H$6,1)</f>
        <v>1</v>
      </c>
      <c r="T304" s="19" t="b">
        <v>0</v>
      </c>
      <c r="U304" s="18">
        <f>IF(T304=TRUE,Priors!$H$7,1)</f>
        <v>1</v>
      </c>
      <c r="V304" s="18">
        <f t="shared" si="24"/>
        <v>0</v>
      </c>
      <c r="W304" s="20">
        <f>VLOOKUP(D304,Priors!$A$3:$C$6,2,FALSE)</f>
        <v>0.10751786102217777</v>
      </c>
      <c r="X304" s="20">
        <f>VLOOKUP(D304,Priors!$A$3:$C$6,3,FALSE)</f>
        <v>9.0240671969462088E-2</v>
      </c>
      <c r="Y304" s="20">
        <f t="shared" si="25"/>
        <v>0.10751786102217777</v>
      </c>
      <c r="Z304" s="20">
        <f t="shared" si="26"/>
        <v>9.0240671969462088E-2</v>
      </c>
      <c r="AA304" s="21">
        <v>1</v>
      </c>
      <c r="AB304" s="21">
        <v>1</v>
      </c>
      <c r="AC304" s="22">
        <f t="shared" si="27"/>
        <v>0.10751786102217777</v>
      </c>
      <c r="AD304" s="22">
        <f t="shared" si="28"/>
        <v>9.0240671969462088E-2</v>
      </c>
      <c r="AE304" s="22">
        <f t="shared" si="29"/>
        <v>1</v>
      </c>
      <c r="AF304" s="7" t="s">
        <v>1647</v>
      </c>
      <c r="AG304" s="7"/>
      <c r="AH304" s="7"/>
      <c r="AI304" s="7"/>
      <c r="AJ304" s="8" t="b">
        <v>1</v>
      </c>
      <c r="AK304" s="28" t="s">
        <v>1648</v>
      </c>
      <c r="AL304" s="28"/>
      <c r="AM304" s="28"/>
      <c r="AN304" s="7"/>
      <c r="AO304" s="7"/>
      <c r="AP304" s="7"/>
      <c r="AQ304" s="28" t="s">
        <v>1650</v>
      </c>
    </row>
    <row r="305" spans="1:43" ht="30">
      <c r="A305" s="7">
        <v>259</v>
      </c>
      <c r="B305" s="7" t="s">
        <v>942</v>
      </c>
      <c r="C305" s="7" t="s">
        <v>50</v>
      </c>
      <c r="D305" s="7" t="s">
        <v>99</v>
      </c>
      <c r="E305" s="7" t="s">
        <v>1642</v>
      </c>
      <c r="F305" s="7" t="s">
        <v>48</v>
      </c>
      <c r="G305" s="14">
        <v>812</v>
      </c>
      <c r="H305" s="15">
        <v>0.8</v>
      </c>
      <c r="I305" s="15">
        <v>0.05</v>
      </c>
      <c r="J305" s="15">
        <v>8.8669950738916259E-2</v>
      </c>
      <c r="K305" s="15">
        <v>5.5418719211822662E-3</v>
      </c>
      <c r="L305" s="15">
        <v>48.4</v>
      </c>
      <c r="M305" s="15">
        <v>1.2736842105263158</v>
      </c>
      <c r="N305" s="16">
        <v>6.9616903472702857E-2</v>
      </c>
      <c r="O305" s="16">
        <v>4.3510564670439286E-3</v>
      </c>
      <c r="P305" s="17">
        <f>IFERROR(G305/(G305+Priors!$H$3),0)</f>
        <v>0.44812362030905079</v>
      </c>
      <c r="Q305" s="18">
        <f>IF(E305="Premier League",Priors!$H$4,IF(E305="Championship",Priors!$H$5,Priors!$H$8))</f>
        <v>1</v>
      </c>
      <c r="R305" s="19" t="b">
        <v>1</v>
      </c>
      <c r="S305" s="18">
        <f>IF(R305=TRUE,Priors!$H$6,1)</f>
        <v>0.85</v>
      </c>
      <c r="T305" s="19" t="b">
        <v>1</v>
      </c>
      <c r="U305" s="18">
        <f>IF(T305=TRUE,Priors!$H$7,1)</f>
        <v>0.9</v>
      </c>
      <c r="V305" s="18">
        <f t="shared" si="24"/>
        <v>0.34281456953642386</v>
      </c>
      <c r="W305" s="20">
        <f>VLOOKUP(D305,Priors!$A$3:$C$6,2,FALSE)</f>
        <v>4.1142361271531161E-2</v>
      </c>
      <c r="X305" s="20">
        <f>VLOOKUP(D305,Priors!$A$3:$C$6,3,FALSE)</f>
        <v>4.0513079897554365E-2</v>
      </c>
      <c r="Y305" s="20">
        <f t="shared" si="25"/>
        <v>5.0903849198972576E-2</v>
      </c>
      <c r="Z305" s="20">
        <f t="shared" si="26"/>
        <v>2.8116211401657855E-2</v>
      </c>
      <c r="AA305" s="21">
        <v>1</v>
      </c>
      <c r="AB305" s="21">
        <v>1</v>
      </c>
      <c r="AC305" s="22">
        <f t="shared" si="27"/>
        <v>5.0903849198972576E-2</v>
      </c>
      <c r="AD305" s="22">
        <f t="shared" si="28"/>
        <v>2.8116211401657855E-2</v>
      </c>
      <c r="AE305" s="22">
        <f t="shared" si="29"/>
        <v>0.65718543046357614</v>
      </c>
      <c r="AF305" s="7" t="s">
        <v>1643</v>
      </c>
      <c r="AG305" s="7"/>
      <c r="AH305" s="7"/>
      <c r="AI305" s="7"/>
      <c r="AJ305" s="8" t="b">
        <v>1</v>
      </c>
      <c r="AK305" s="28" t="s">
        <v>1644</v>
      </c>
      <c r="AL305" s="28" t="s">
        <v>1645</v>
      </c>
      <c r="AM305" s="28"/>
      <c r="AN305" s="7"/>
      <c r="AO305" s="7"/>
      <c r="AP305" s="7"/>
      <c r="AQ305" s="28" t="s">
        <v>1650</v>
      </c>
    </row>
    <row r="306" spans="1:43" ht="15">
      <c r="A306" s="7">
        <v>300</v>
      </c>
      <c r="B306" s="7" t="s">
        <v>947</v>
      </c>
      <c r="C306" s="7" t="s">
        <v>50</v>
      </c>
      <c r="D306" s="7" t="s">
        <v>85</v>
      </c>
      <c r="E306" s="7" t="s">
        <v>1647</v>
      </c>
      <c r="F306" s="7"/>
      <c r="G306" s="14"/>
      <c r="H306" s="15"/>
      <c r="I306" s="15"/>
      <c r="J306" s="15"/>
      <c r="K306" s="15"/>
      <c r="L306" s="15"/>
      <c r="M306" s="15"/>
      <c r="N306" s="16"/>
      <c r="O306" s="16"/>
      <c r="P306" s="17">
        <f>IFERROR(G306/(G306+Priors!$H$3),0)</f>
        <v>0</v>
      </c>
      <c r="Q306" s="18">
        <f>IF(E306="Premier League",Priors!$H$4,IF(E306="Championship",Priors!$H$5,Priors!$H$8))</f>
        <v>0</v>
      </c>
      <c r="R306" s="19" t="b">
        <v>0</v>
      </c>
      <c r="S306" s="18">
        <f>IF(R306=TRUE,Priors!$H$6,1)</f>
        <v>1</v>
      </c>
      <c r="T306" s="19" t="b">
        <v>1</v>
      </c>
      <c r="U306" s="18">
        <f>IF(T306=TRUE,Priors!$H$7,1)</f>
        <v>0.9</v>
      </c>
      <c r="V306" s="18">
        <f t="shared" si="24"/>
        <v>0</v>
      </c>
      <c r="W306" s="20">
        <f>VLOOKUP(D306,Priors!$A$3:$C$6,2,FALSE)</f>
        <v>1.6719534964712218E-4</v>
      </c>
      <c r="X306" s="20">
        <f>VLOOKUP(D306,Priors!$A$3:$C$6,3,FALSE)</f>
        <v>1.379361634588758E-3</v>
      </c>
      <c r="Y306" s="20">
        <f t="shared" si="25"/>
        <v>1.6719534964712218E-4</v>
      </c>
      <c r="Z306" s="20">
        <f t="shared" si="26"/>
        <v>1.379361634588758E-3</v>
      </c>
      <c r="AA306" s="21">
        <v>1</v>
      </c>
      <c r="AB306" s="21">
        <v>1</v>
      </c>
      <c r="AC306" s="22">
        <f t="shared" si="27"/>
        <v>1.6719534964712218E-4</v>
      </c>
      <c r="AD306" s="22">
        <f t="shared" si="28"/>
        <v>1.379361634588758E-3</v>
      </c>
      <c r="AE306" s="22">
        <f t="shared" si="29"/>
        <v>1</v>
      </c>
      <c r="AF306" s="7" t="s">
        <v>1647</v>
      </c>
      <c r="AG306" s="7"/>
      <c r="AH306" s="7"/>
      <c r="AI306" s="7"/>
      <c r="AJ306" s="8" t="b">
        <v>1</v>
      </c>
      <c r="AK306" s="28" t="s">
        <v>1648</v>
      </c>
      <c r="AL306" s="28"/>
      <c r="AM306" s="28"/>
      <c r="AN306" s="7"/>
      <c r="AO306" s="7"/>
      <c r="AP306" s="7"/>
      <c r="AQ306" s="28" t="s">
        <v>1650</v>
      </c>
    </row>
    <row r="307" spans="1:43" ht="15">
      <c r="A307" s="7">
        <v>301</v>
      </c>
      <c r="B307" s="7" t="s">
        <v>553</v>
      </c>
      <c r="C307" s="7" t="s">
        <v>50</v>
      </c>
      <c r="D307" s="7" t="s">
        <v>85</v>
      </c>
      <c r="E307" s="7" t="s">
        <v>1647</v>
      </c>
      <c r="F307" s="7"/>
      <c r="G307" s="14"/>
      <c r="H307" s="15"/>
      <c r="I307" s="15"/>
      <c r="J307" s="15"/>
      <c r="K307" s="15"/>
      <c r="L307" s="15"/>
      <c r="M307" s="15"/>
      <c r="N307" s="16"/>
      <c r="O307" s="16"/>
      <c r="P307" s="17">
        <f>IFERROR(G307/(G307+Priors!$H$3),0)</f>
        <v>0</v>
      </c>
      <c r="Q307" s="18">
        <f>IF(E307="Premier League",Priors!$H$4,IF(E307="Championship",Priors!$H$5,Priors!$H$8))</f>
        <v>0</v>
      </c>
      <c r="R307" s="19" t="b">
        <v>0</v>
      </c>
      <c r="S307" s="18">
        <f>IF(R307=TRUE,Priors!$H$6,1)</f>
        <v>1</v>
      </c>
      <c r="T307" s="19" t="b">
        <v>1</v>
      </c>
      <c r="U307" s="18">
        <f>IF(T307=TRUE,Priors!$H$7,1)</f>
        <v>0.9</v>
      </c>
      <c r="V307" s="18">
        <f t="shared" si="24"/>
        <v>0</v>
      </c>
      <c r="W307" s="20">
        <f>VLOOKUP(D307,Priors!$A$3:$C$6,2,FALSE)</f>
        <v>1.6719534964712218E-4</v>
      </c>
      <c r="X307" s="20">
        <f>VLOOKUP(D307,Priors!$A$3:$C$6,3,FALSE)</f>
        <v>1.379361634588758E-3</v>
      </c>
      <c r="Y307" s="20">
        <f t="shared" si="25"/>
        <v>1.6719534964712218E-4</v>
      </c>
      <c r="Z307" s="20">
        <f t="shared" si="26"/>
        <v>1.379361634588758E-3</v>
      </c>
      <c r="AA307" s="21">
        <v>1</v>
      </c>
      <c r="AB307" s="21">
        <v>1</v>
      </c>
      <c r="AC307" s="22">
        <f t="shared" si="27"/>
        <v>1.6719534964712218E-4</v>
      </c>
      <c r="AD307" s="22">
        <f t="shared" si="28"/>
        <v>1.379361634588758E-3</v>
      </c>
      <c r="AE307" s="22">
        <f t="shared" si="29"/>
        <v>1</v>
      </c>
      <c r="AF307" s="7" t="s">
        <v>1647</v>
      </c>
      <c r="AG307" s="7"/>
      <c r="AH307" s="7"/>
      <c r="AI307" s="7"/>
      <c r="AJ307" s="8" t="b">
        <v>1</v>
      </c>
      <c r="AK307" s="28" t="s">
        <v>1648</v>
      </c>
      <c r="AL307" s="28"/>
      <c r="AM307" s="28"/>
      <c r="AN307" s="7"/>
      <c r="AO307" s="7"/>
      <c r="AP307" s="7"/>
      <c r="AQ307" s="28" t="s">
        <v>1650</v>
      </c>
    </row>
    <row r="308" spans="1:43" ht="15">
      <c r="A308" s="7">
        <v>302</v>
      </c>
      <c r="B308" s="7" t="s">
        <v>951</v>
      </c>
      <c r="C308" s="7" t="s">
        <v>50</v>
      </c>
      <c r="D308" s="7" t="s">
        <v>85</v>
      </c>
      <c r="E308" s="7" t="s">
        <v>1647</v>
      </c>
      <c r="F308" s="7"/>
      <c r="G308" s="14"/>
      <c r="H308" s="15"/>
      <c r="I308" s="15"/>
      <c r="J308" s="15"/>
      <c r="K308" s="15"/>
      <c r="L308" s="15"/>
      <c r="M308" s="15"/>
      <c r="N308" s="16"/>
      <c r="O308" s="16"/>
      <c r="P308" s="17">
        <f>IFERROR(G308/(G308+Priors!$H$3),0)</f>
        <v>0</v>
      </c>
      <c r="Q308" s="18">
        <f>IF(E308="Premier League",Priors!$H$4,IF(E308="Championship",Priors!$H$5,Priors!$H$8))</f>
        <v>0</v>
      </c>
      <c r="R308" s="19" t="b">
        <v>0</v>
      </c>
      <c r="S308" s="18">
        <f>IF(R308=TRUE,Priors!$H$6,1)</f>
        <v>1</v>
      </c>
      <c r="T308" s="19" t="b">
        <v>1</v>
      </c>
      <c r="U308" s="18">
        <f>IF(T308=TRUE,Priors!$H$7,1)</f>
        <v>0.9</v>
      </c>
      <c r="V308" s="18">
        <f t="shared" si="24"/>
        <v>0</v>
      </c>
      <c r="W308" s="20">
        <f>VLOOKUP(D308,Priors!$A$3:$C$6,2,FALSE)</f>
        <v>1.6719534964712218E-4</v>
      </c>
      <c r="X308" s="20">
        <f>VLOOKUP(D308,Priors!$A$3:$C$6,3,FALSE)</f>
        <v>1.379361634588758E-3</v>
      </c>
      <c r="Y308" s="20">
        <f t="shared" si="25"/>
        <v>1.6719534964712218E-4</v>
      </c>
      <c r="Z308" s="20">
        <f t="shared" si="26"/>
        <v>1.379361634588758E-3</v>
      </c>
      <c r="AA308" s="21">
        <v>1</v>
      </c>
      <c r="AB308" s="21">
        <v>1</v>
      </c>
      <c r="AC308" s="22">
        <f t="shared" si="27"/>
        <v>1.6719534964712218E-4</v>
      </c>
      <c r="AD308" s="22">
        <f t="shared" si="28"/>
        <v>1.379361634588758E-3</v>
      </c>
      <c r="AE308" s="22">
        <f t="shared" si="29"/>
        <v>1</v>
      </c>
      <c r="AF308" s="7" t="s">
        <v>1647</v>
      </c>
      <c r="AG308" s="7"/>
      <c r="AH308" s="7"/>
      <c r="AI308" s="7"/>
      <c r="AJ308" s="8" t="b">
        <v>1</v>
      </c>
      <c r="AK308" s="28" t="s">
        <v>1648</v>
      </c>
      <c r="AL308" s="28"/>
      <c r="AM308" s="28"/>
      <c r="AN308" s="7"/>
      <c r="AO308" s="7"/>
      <c r="AP308" s="7"/>
      <c r="AQ308" s="28" t="s">
        <v>1650</v>
      </c>
    </row>
    <row r="309" spans="1:43" ht="45">
      <c r="A309" s="7">
        <v>303</v>
      </c>
      <c r="B309" s="7" t="s">
        <v>954</v>
      </c>
      <c r="C309" s="7" t="s">
        <v>50</v>
      </c>
      <c r="D309" s="7" t="s">
        <v>99</v>
      </c>
      <c r="E309" s="7" t="s">
        <v>1654</v>
      </c>
      <c r="F309" s="7" t="s">
        <v>50</v>
      </c>
      <c r="G309" s="14">
        <v>2700</v>
      </c>
      <c r="H309" s="15">
        <v>1.2</v>
      </c>
      <c r="I309" s="15">
        <v>1.8</v>
      </c>
      <c r="J309" s="15">
        <v>0.04</v>
      </c>
      <c r="K309" s="15">
        <v>0.06</v>
      </c>
      <c r="L309" s="15">
        <v>79.2</v>
      </c>
      <c r="M309" s="15">
        <v>1.7217391304347827</v>
      </c>
      <c r="N309" s="16">
        <v>2.3232323232323233E-2</v>
      </c>
      <c r="O309" s="16">
        <v>3.4848484848484844E-2</v>
      </c>
      <c r="P309" s="17">
        <f>IFERROR(G309/(G309+Priors!$H$3),0)</f>
        <v>0.72972972972972971</v>
      </c>
      <c r="Q309" s="18">
        <f>IF(E309="Premier League",Priors!$H$4,IF(E309="Championship",Priors!$H$5,Priors!$H$8))</f>
        <v>0.8</v>
      </c>
      <c r="R309" s="19" t="b">
        <v>0</v>
      </c>
      <c r="S309" s="18">
        <f>IF(R309=TRUE,Priors!$H$6,1)</f>
        <v>1</v>
      </c>
      <c r="T309" s="19" t="b">
        <v>1</v>
      </c>
      <c r="U309" s="18">
        <f>IF(T309=TRUE,Priors!$H$7,1)</f>
        <v>0.9</v>
      </c>
      <c r="V309" s="18">
        <f t="shared" si="24"/>
        <v>0.52540540540540548</v>
      </c>
      <c r="W309" s="20">
        <f>VLOOKUP(D309,Priors!$A$3:$C$6,2,FALSE)</f>
        <v>4.1142361271531161E-2</v>
      </c>
      <c r="X309" s="20">
        <f>VLOOKUP(D309,Priors!$A$3:$C$6,3,FALSE)</f>
        <v>4.0513079897554365E-2</v>
      </c>
      <c r="Y309" s="20">
        <f t="shared" si="25"/>
        <v>3.1732330474714888E-2</v>
      </c>
      <c r="Z309" s="20">
        <f t="shared" si="26"/>
        <v>3.7536871039340544E-2</v>
      </c>
      <c r="AA309" s="21">
        <v>1</v>
      </c>
      <c r="AB309" s="21">
        <v>1</v>
      </c>
      <c r="AC309" s="22">
        <f t="shared" si="27"/>
        <v>3.1732330474714888E-2</v>
      </c>
      <c r="AD309" s="22">
        <f t="shared" si="28"/>
        <v>3.7536871039340544E-2</v>
      </c>
      <c r="AE309" s="22">
        <f t="shared" si="29"/>
        <v>0.47459459459459452</v>
      </c>
      <c r="AF309" s="7" t="s">
        <v>1655</v>
      </c>
      <c r="AG309" s="7"/>
      <c r="AH309" s="7"/>
      <c r="AI309" s="7"/>
      <c r="AJ309" s="8" t="b">
        <v>1</v>
      </c>
      <c r="AK309" s="28" t="s">
        <v>1656</v>
      </c>
      <c r="AL309" s="28" t="s">
        <v>1657</v>
      </c>
      <c r="AM309" s="28"/>
      <c r="AN309" s="7"/>
      <c r="AO309" s="7"/>
      <c r="AP309" s="7"/>
      <c r="AQ309" s="28" t="s">
        <v>1650</v>
      </c>
    </row>
    <row r="310" spans="1:43" ht="45">
      <c r="A310" s="7">
        <v>304</v>
      </c>
      <c r="B310" s="7" t="s">
        <v>956</v>
      </c>
      <c r="C310" s="7" t="s">
        <v>50</v>
      </c>
      <c r="D310" s="7" t="s">
        <v>99</v>
      </c>
      <c r="E310" s="7" t="s">
        <v>1654</v>
      </c>
      <c r="F310" s="7" t="s">
        <v>50</v>
      </c>
      <c r="G310" s="14">
        <v>4243</v>
      </c>
      <c r="H310" s="15">
        <v>3.3</v>
      </c>
      <c r="I310" s="15">
        <v>1.8857142857142855</v>
      </c>
      <c r="J310" s="15">
        <v>7.0000000000000007E-2</v>
      </c>
      <c r="K310" s="15">
        <v>0.04</v>
      </c>
      <c r="L310" s="15">
        <v>79.2</v>
      </c>
      <c r="M310" s="15">
        <v>1.7217391304347827</v>
      </c>
      <c r="N310" s="16">
        <v>4.0656565656565662E-2</v>
      </c>
      <c r="O310" s="16">
        <v>2.3232323232323233E-2</v>
      </c>
      <c r="P310" s="17">
        <f>IFERROR(G310/(G310+Priors!$H$3),0)</f>
        <v>0.80926950219340077</v>
      </c>
      <c r="Q310" s="18">
        <f>IF(E310="Premier League",Priors!$H$4,IF(E310="Championship",Priors!$H$5,Priors!$H$8))</f>
        <v>0.8</v>
      </c>
      <c r="R310" s="19" t="b">
        <v>0</v>
      </c>
      <c r="S310" s="18">
        <f>IF(R310=TRUE,Priors!$H$6,1)</f>
        <v>1</v>
      </c>
      <c r="T310" s="19" t="b">
        <v>1</v>
      </c>
      <c r="U310" s="18">
        <f>IF(T310=TRUE,Priors!$H$7,1)</f>
        <v>0.9</v>
      </c>
      <c r="V310" s="18">
        <f t="shared" si="24"/>
        <v>0.58267404157924862</v>
      </c>
      <c r="W310" s="20">
        <f>VLOOKUP(D310,Priors!$A$3:$C$6,2,FALSE)</f>
        <v>4.1142361271531161E-2</v>
      </c>
      <c r="X310" s="20">
        <f>VLOOKUP(D310,Priors!$A$3:$C$6,3,FALSE)</f>
        <v>4.0513079897554365E-2</v>
      </c>
      <c r="Y310" s="20">
        <f t="shared" si="25"/>
        <v>4.085930077717774E-2</v>
      </c>
      <c r="Z310" s="20">
        <f t="shared" si="26"/>
        <v>3.0444031569876601E-2</v>
      </c>
      <c r="AA310" s="21">
        <v>1</v>
      </c>
      <c r="AB310" s="21">
        <v>1</v>
      </c>
      <c r="AC310" s="22">
        <f t="shared" si="27"/>
        <v>4.085930077717774E-2</v>
      </c>
      <c r="AD310" s="22">
        <f t="shared" si="28"/>
        <v>3.0444031569876601E-2</v>
      </c>
      <c r="AE310" s="22">
        <f t="shared" si="29"/>
        <v>0.41732595842075138</v>
      </c>
      <c r="AF310" s="7" t="s">
        <v>1655</v>
      </c>
      <c r="AG310" s="7"/>
      <c r="AH310" s="7"/>
      <c r="AI310" s="7"/>
      <c r="AJ310" s="8" t="b">
        <v>1</v>
      </c>
      <c r="AK310" s="28" t="s">
        <v>1656</v>
      </c>
      <c r="AL310" s="28" t="s">
        <v>1657</v>
      </c>
      <c r="AM310" s="28"/>
      <c r="AN310" s="7"/>
      <c r="AO310" s="7"/>
      <c r="AP310" s="7"/>
      <c r="AQ310" s="28" t="s">
        <v>1650</v>
      </c>
    </row>
    <row r="311" spans="1:43" ht="45">
      <c r="A311" s="7">
        <v>305</v>
      </c>
      <c r="B311" s="7" t="s">
        <v>959</v>
      </c>
      <c r="C311" s="7" t="s">
        <v>50</v>
      </c>
      <c r="D311" s="7" t="s">
        <v>99</v>
      </c>
      <c r="E311" s="7" t="s">
        <v>1654</v>
      </c>
      <c r="F311" s="7" t="s">
        <v>50</v>
      </c>
      <c r="G311" s="14">
        <v>3300</v>
      </c>
      <c r="H311" s="15">
        <v>1.1000000000000001</v>
      </c>
      <c r="I311" s="15">
        <v>8.9</v>
      </c>
      <c r="J311" s="15">
        <v>0.03</v>
      </c>
      <c r="K311" s="15">
        <v>0.25</v>
      </c>
      <c r="L311" s="15">
        <v>79.2</v>
      </c>
      <c r="M311" s="15">
        <v>1.7217391304347827</v>
      </c>
      <c r="N311" s="16">
        <v>1.7424242424242422E-2</v>
      </c>
      <c r="O311" s="16">
        <v>0.14520202020202019</v>
      </c>
      <c r="P311" s="17">
        <f>IFERROR(G311/(G311+Priors!$H$3),0)</f>
        <v>0.76744186046511631</v>
      </c>
      <c r="Q311" s="18">
        <f>IF(E311="Premier League",Priors!$H$4,IF(E311="Championship",Priors!$H$5,Priors!$H$8))</f>
        <v>0.8</v>
      </c>
      <c r="R311" s="19" t="b">
        <v>0</v>
      </c>
      <c r="S311" s="18">
        <f>IF(R311=TRUE,Priors!$H$6,1)</f>
        <v>1</v>
      </c>
      <c r="T311" s="19" t="b">
        <v>1</v>
      </c>
      <c r="U311" s="18">
        <f>IF(T311=TRUE,Priors!$H$7,1)</f>
        <v>0.9</v>
      </c>
      <c r="V311" s="18">
        <f t="shared" si="24"/>
        <v>0.55255813953488375</v>
      </c>
      <c r="W311" s="20">
        <f>VLOOKUP(D311,Priors!$A$3:$C$6,2,FALSE)</f>
        <v>4.1142361271531161E-2</v>
      </c>
      <c r="X311" s="20">
        <f>VLOOKUP(D311,Priors!$A$3:$C$6,3,FALSE)</f>
        <v>4.0513079897554365E-2</v>
      </c>
      <c r="Y311" s="20">
        <f t="shared" si="25"/>
        <v>2.8036721648006031E-2</v>
      </c>
      <c r="Z311" s="20">
        <f t="shared" si="26"/>
        <v>9.8359805982068504E-2</v>
      </c>
      <c r="AA311" s="21">
        <v>1</v>
      </c>
      <c r="AB311" s="21">
        <v>1</v>
      </c>
      <c r="AC311" s="22">
        <f t="shared" si="27"/>
        <v>2.8036721648006031E-2</v>
      </c>
      <c r="AD311" s="22">
        <f t="shared" si="28"/>
        <v>9.8359805982068504E-2</v>
      </c>
      <c r="AE311" s="22">
        <f t="shared" si="29"/>
        <v>0.44744186046511625</v>
      </c>
      <c r="AF311" s="7" t="s">
        <v>1655</v>
      </c>
      <c r="AG311" s="7"/>
      <c r="AH311" s="7">
        <v>2</v>
      </c>
      <c r="AI311" s="7">
        <v>6</v>
      </c>
      <c r="AJ311" s="8" t="b">
        <v>1</v>
      </c>
      <c r="AK311" s="28" t="s">
        <v>1656</v>
      </c>
      <c r="AL311" s="28" t="s">
        <v>1657</v>
      </c>
      <c r="AM311" s="28"/>
      <c r="AN311" s="7"/>
      <c r="AO311" s="7"/>
      <c r="AP311" s="7"/>
      <c r="AQ311" s="28" t="s">
        <v>1650</v>
      </c>
    </row>
    <row r="312" spans="1:43" ht="45">
      <c r="A312" s="7">
        <v>306</v>
      </c>
      <c r="B312" s="7" t="s">
        <v>962</v>
      </c>
      <c r="C312" s="7" t="s">
        <v>50</v>
      </c>
      <c r="D312" s="7" t="s">
        <v>99</v>
      </c>
      <c r="E312" s="7" t="s">
        <v>1654</v>
      </c>
      <c r="F312" s="7" t="s">
        <v>50</v>
      </c>
      <c r="G312" s="14">
        <v>2186</v>
      </c>
      <c r="H312" s="15">
        <v>1.7</v>
      </c>
      <c r="I312" s="15">
        <v>2.1857142857142851</v>
      </c>
      <c r="J312" s="15">
        <v>7.0000000000000007E-2</v>
      </c>
      <c r="K312" s="15">
        <v>0.09</v>
      </c>
      <c r="L312" s="15">
        <v>79.2</v>
      </c>
      <c r="M312" s="15">
        <v>1.7217391304347827</v>
      </c>
      <c r="N312" s="16">
        <v>4.0656565656565662E-2</v>
      </c>
      <c r="O312" s="16">
        <v>5.2272727272727269E-2</v>
      </c>
      <c r="P312" s="17">
        <f>IFERROR(G312/(G312+Priors!$H$3),0)</f>
        <v>0.68612680477087262</v>
      </c>
      <c r="Q312" s="18">
        <f>IF(E312="Premier League",Priors!$H$4,IF(E312="Championship",Priors!$H$5,Priors!$H$8))</f>
        <v>0.8</v>
      </c>
      <c r="R312" s="19" t="b">
        <v>0</v>
      </c>
      <c r="S312" s="18">
        <f>IF(R312=TRUE,Priors!$H$6,1)</f>
        <v>1</v>
      </c>
      <c r="T312" s="19" t="b">
        <v>1</v>
      </c>
      <c r="U312" s="18">
        <f>IF(T312=TRUE,Priors!$H$7,1)</f>
        <v>0.9</v>
      </c>
      <c r="V312" s="18">
        <f t="shared" si="24"/>
        <v>0.49401129943502836</v>
      </c>
      <c r="W312" s="20">
        <f>VLOOKUP(D312,Priors!$A$3:$C$6,2,FALSE)</f>
        <v>4.1142361271531161E-2</v>
      </c>
      <c r="X312" s="20">
        <f>VLOOKUP(D312,Priors!$A$3:$C$6,3,FALSE)</f>
        <v>4.0513079897554365E-2</v>
      </c>
      <c r="Y312" s="20">
        <f t="shared" si="25"/>
        <v>4.0902372748522223E-2</v>
      </c>
      <c r="Z312" s="20">
        <f t="shared" si="26"/>
        <v>4.6322478578261259E-2</v>
      </c>
      <c r="AA312" s="21">
        <v>1</v>
      </c>
      <c r="AB312" s="21">
        <v>1</v>
      </c>
      <c r="AC312" s="22">
        <f t="shared" si="27"/>
        <v>4.0902372748522223E-2</v>
      </c>
      <c r="AD312" s="22">
        <f t="shared" si="28"/>
        <v>4.6322478578261259E-2</v>
      </c>
      <c r="AE312" s="22">
        <f t="shared" si="29"/>
        <v>0.50598870056497169</v>
      </c>
      <c r="AF312" s="7" t="s">
        <v>1655</v>
      </c>
      <c r="AG312" s="7"/>
      <c r="AH312" s="7"/>
      <c r="AI312" s="7"/>
      <c r="AJ312" s="8" t="b">
        <v>1</v>
      </c>
      <c r="AK312" s="28" t="s">
        <v>1656</v>
      </c>
      <c r="AL312" s="28" t="s">
        <v>1657</v>
      </c>
      <c r="AM312" s="28"/>
      <c r="AN312" s="7"/>
      <c r="AO312" s="7"/>
      <c r="AP312" s="7"/>
      <c r="AQ312" s="28" t="s">
        <v>1650</v>
      </c>
    </row>
    <row r="313" spans="1:43" ht="15">
      <c r="A313" s="7">
        <v>307</v>
      </c>
      <c r="B313" s="7" t="s">
        <v>700</v>
      </c>
      <c r="C313" s="7" t="s">
        <v>50</v>
      </c>
      <c r="D313" s="7" t="s">
        <v>99</v>
      </c>
      <c r="E313" s="7" t="s">
        <v>1647</v>
      </c>
      <c r="F313" s="7"/>
      <c r="G313" s="14"/>
      <c r="H313" s="15"/>
      <c r="I313" s="15"/>
      <c r="J313" s="15"/>
      <c r="K313" s="15"/>
      <c r="L313" s="15"/>
      <c r="M313" s="15"/>
      <c r="N313" s="16"/>
      <c r="O313" s="16"/>
      <c r="P313" s="17">
        <f>IFERROR(G313/(G313+Priors!$H$3),0)</f>
        <v>0</v>
      </c>
      <c r="Q313" s="18">
        <f>IF(E313="Premier League",Priors!$H$4,IF(E313="Championship",Priors!$H$5,Priors!$H$8))</f>
        <v>0</v>
      </c>
      <c r="R313" s="19" t="b">
        <v>0</v>
      </c>
      <c r="S313" s="18">
        <f>IF(R313=TRUE,Priors!$H$6,1)</f>
        <v>1</v>
      </c>
      <c r="T313" s="19" t="b">
        <v>1</v>
      </c>
      <c r="U313" s="18">
        <f>IF(T313=TRUE,Priors!$H$7,1)</f>
        <v>0.9</v>
      </c>
      <c r="V313" s="18">
        <f t="shared" si="24"/>
        <v>0</v>
      </c>
      <c r="W313" s="20">
        <f>VLOOKUP(D313,Priors!$A$3:$C$6,2,FALSE)</f>
        <v>4.1142361271531161E-2</v>
      </c>
      <c r="X313" s="20">
        <f>VLOOKUP(D313,Priors!$A$3:$C$6,3,FALSE)</f>
        <v>4.0513079897554365E-2</v>
      </c>
      <c r="Y313" s="20">
        <f t="shared" si="25"/>
        <v>4.1142361271531161E-2</v>
      </c>
      <c r="Z313" s="20">
        <f t="shared" si="26"/>
        <v>4.0513079897554365E-2</v>
      </c>
      <c r="AA313" s="21">
        <v>1</v>
      </c>
      <c r="AB313" s="21">
        <v>1</v>
      </c>
      <c r="AC313" s="22">
        <f t="shared" si="27"/>
        <v>4.1142361271531161E-2</v>
      </c>
      <c r="AD313" s="22">
        <f t="shared" si="28"/>
        <v>4.0513079897554365E-2</v>
      </c>
      <c r="AE313" s="22">
        <f t="shared" si="29"/>
        <v>1</v>
      </c>
      <c r="AF313" s="7" t="s">
        <v>1647</v>
      </c>
      <c r="AG313" s="7"/>
      <c r="AH313" s="7"/>
      <c r="AI313" s="7"/>
      <c r="AJ313" s="8" t="b">
        <v>1</v>
      </c>
      <c r="AK313" s="28" t="s">
        <v>1648</v>
      </c>
      <c r="AL313" s="28"/>
      <c r="AM313" s="28"/>
      <c r="AN313" s="7"/>
      <c r="AO313" s="7"/>
      <c r="AP313" s="7"/>
      <c r="AQ313" s="28" t="s">
        <v>1650</v>
      </c>
    </row>
    <row r="314" spans="1:43" ht="45">
      <c r="A314" s="7">
        <v>308</v>
      </c>
      <c r="B314" s="7" t="s">
        <v>966</v>
      </c>
      <c r="C314" s="7" t="s">
        <v>50</v>
      </c>
      <c r="D314" s="7" t="s">
        <v>99</v>
      </c>
      <c r="E314" s="7" t="s">
        <v>1654</v>
      </c>
      <c r="F314" s="7" t="s">
        <v>50</v>
      </c>
      <c r="G314" s="14">
        <v>3960</v>
      </c>
      <c r="H314" s="15">
        <v>2.2000000000000002</v>
      </c>
      <c r="I314" s="15">
        <v>3.5</v>
      </c>
      <c r="J314" s="15">
        <v>0.05</v>
      </c>
      <c r="K314" s="15">
        <v>0.08</v>
      </c>
      <c r="L314" s="15">
        <v>79.2</v>
      </c>
      <c r="M314" s="15">
        <v>1.7217391304347827</v>
      </c>
      <c r="N314" s="16">
        <v>2.904040404040404E-2</v>
      </c>
      <c r="O314" s="16">
        <v>4.6464646464646465E-2</v>
      </c>
      <c r="P314" s="17">
        <f>IFERROR(G314/(G314+Priors!$H$3),0)</f>
        <v>0.79838709677419351</v>
      </c>
      <c r="Q314" s="18">
        <f>IF(E314="Premier League",Priors!$H$4,IF(E314="Championship",Priors!$H$5,Priors!$H$8))</f>
        <v>0.8</v>
      </c>
      <c r="R314" s="19" t="b">
        <v>0</v>
      </c>
      <c r="S314" s="18">
        <f>IF(R314=TRUE,Priors!$H$6,1)</f>
        <v>1</v>
      </c>
      <c r="T314" s="19" t="b">
        <v>1</v>
      </c>
      <c r="U314" s="18">
        <f>IF(T314=TRUE,Priors!$H$7,1)</f>
        <v>0.9</v>
      </c>
      <c r="V314" s="18">
        <f t="shared" si="24"/>
        <v>0.57483870967741935</v>
      </c>
      <c r="W314" s="20">
        <f>VLOOKUP(D314,Priors!$A$3:$C$6,2,FALSE)</f>
        <v>4.1142361271531161E-2</v>
      </c>
      <c r="X314" s="20">
        <f>VLOOKUP(D314,Priors!$A$3:$C$6,3,FALSE)</f>
        <v>4.0513079897554365E-2</v>
      </c>
      <c r="Y314" s="20">
        <f t="shared" si="25"/>
        <v>3.4185687792218727E-2</v>
      </c>
      <c r="Z314" s="20">
        <f t="shared" si="26"/>
        <v>4.3934270743540858E-2</v>
      </c>
      <c r="AA314" s="21">
        <v>1</v>
      </c>
      <c r="AB314" s="21">
        <v>1</v>
      </c>
      <c r="AC314" s="22">
        <f t="shared" si="27"/>
        <v>3.4185687792218727E-2</v>
      </c>
      <c r="AD314" s="22">
        <f t="shared" si="28"/>
        <v>4.3934270743540858E-2</v>
      </c>
      <c r="AE314" s="22">
        <f t="shared" si="29"/>
        <v>0.42516129032258065</v>
      </c>
      <c r="AF314" s="7" t="s">
        <v>1655</v>
      </c>
      <c r="AG314" s="7"/>
      <c r="AH314" s="7"/>
      <c r="AI314" s="7"/>
      <c r="AJ314" s="8" t="b">
        <v>1</v>
      </c>
      <c r="AK314" s="28" t="s">
        <v>1656</v>
      </c>
      <c r="AL314" s="28" t="s">
        <v>1657</v>
      </c>
      <c r="AM314" s="28"/>
      <c r="AN314" s="7"/>
      <c r="AO314" s="7"/>
      <c r="AP314" s="7"/>
      <c r="AQ314" s="28" t="s">
        <v>1650</v>
      </c>
    </row>
    <row r="315" spans="1:43" ht="45">
      <c r="A315" s="7">
        <v>309</v>
      </c>
      <c r="B315" s="7" t="s">
        <v>969</v>
      </c>
      <c r="C315" s="7" t="s">
        <v>50</v>
      </c>
      <c r="D315" s="7" t="s">
        <v>112</v>
      </c>
      <c r="E315" s="7" t="s">
        <v>1654</v>
      </c>
      <c r="F315" s="7" t="s">
        <v>50</v>
      </c>
      <c r="G315" s="14">
        <v>2168</v>
      </c>
      <c r="H315" s="15">
        <v>5.3</v>
      </c>
      <c r="I315" s="15">
        <v>5.2</v>
      </c>
      <c r="J315" s="15">
        <v>0.22</v>
      </c>
      <c r="K315" s="15">
        <v>0.21</v>
      </c>
      <c r="L315" s="15">
        <v>79.2</v>
      </c>
      <c r="M315" s="15">
        <v>1.7217391304347827</v>
      </c>
      <c r="N315" s="16">
        <v>0.12777777777777777</v>
      </c>
      <c r="O315" s="16">
        <v>0.12196969696969696</v>
      </c>
      <c r="P315" s="17">
        <f>IFERROR(G315/(G315+Priors!$H$3),0)</f>
        <v>0.68434343434343436</v>
      </c>
      <c r="Q315" s="18">
        <f>IF(E315="Premier League",Priors!$H$4,IF(E315="Championship",Priors!$H$5,Priors!$H$8))</f>
        <v>0.8</v>
      </c>
      <c r="R315" s="19" t="b">
        <v>0</v>
      </c>
      <c r="S315" s="18">
        <f>IF(R315=TRUE,Priors!$H$6,1)</f>
        <v>1</v>
      </c>
      <c r="T315" s="19" t="b">
        <v>1</v>
      </c>
      <c r="U315" s="18">
        <f>IF(T315=TRUE,Priors!$H$7,1)</f>
        <v>0.9</v>
      </c>
      <c r="V315" s="18">
        <f t="shared" si="24"/>
        <v>0.49272727272727279</v>
      </c>
      <c r="W315" s="20">
        <f>VLOOKUP(D315,Priors!$A$3:$C$6,2,FALSE)</f>
        <v>0.10751786102217777</v>
      </c>
      <c r="X315" s="20">
        <f>VLOOKUP(D315,Priors!$A$3:$C$6,3,FALSE)</f>
        <v>9.0240671969462088E-2</v>
      </c>
      <c r="Y315" s="20">
        <f t="shared" si="25"/>
        <v>0.11750047455084614</v>
      </c>
      <c r="Z315" s="20">
        <f t="shared" si="26"/>
        <v>0.10587442792412327</v>
      </c>
      <c r="AA315" s="21">
        <v>1</v>
      </c>
      <c r="AB315" s="21">
        <v>1</v>
      </c>
      <c r="AC315" s="22">
        <f t="shared" si="27"/>
        <v>0.11750047455084614</v>
      </c>
      <c r="AD315" s="22">
        <f t="shared" si="28"/>
        <v>0.10587442792412327</v>
      </c>
      <c r="AE315" s="22">
        <f t="shared" si="29"/>
        <v>0.50727272727272721</v>
      </c>
      <c r="AF315" s="7" t="s">
        <v>1655</v>
      </c>
      <c r="AG315" s="7"/>
      <c r="AH315" s="7">
        <v>1</v>
      </c>
      <c r="AI315" s="7">
        <v>7</v>
      </c>
      <c r="AJ315" s="8" t="b">
        <v>1</v>
      </c>
      <c r="AK315" s="28" t="s">
        <v>1656</v>
      </c>
      <c r="AL315" s="28" t="s">
        <v>1657</v>
      </c>
      <c r="AM315" s="28"/>
      <c r="AN315" s="7"/>
      <c r="AO315" s="7"/>
      <c r="AP315" s="7"/>
      <c r="AQ315" s="28" t="s">
        <v>1650</v>
      </c>
    </row>
    <row r="316" spans="1:43" ht="45">
      <c r="A316" s="7">
        <v>310</v>
      </c>
      <c r="B316" s="7" t="s">
        <v>971</v>
      </c>
      <c r="C316" s="7" t="s">
        <v>50</v>
      </c>
      <c r="D316" s="7" t="s">
        <v>112</v>
      </c>
      <c r="E316" s="7" t="s">
        <v>1654</v>
      </c>
      <c r="F316" s="7" t="s">
        <v>50</v>
      </c>
      <c r="G316" s="14">
        <v>2700</v>
      </c>
      <c r="H316" s="15">
        <v>0.3</v>
      </c>
      <c r="I316" s="15">
        <v>2.4</v>
      </c>
      <c r="J316" s="15">
        <v>0.01</v>
      </c>
      <c r="K316" s="15">
        <v>0.06</v>
      </c>
      <c r="L316" s="15">
        <v>79.2</v>
      </c>
      <c r="M316" s="15">
        <v>1.7217391304347827</v>
      </c>
      <c r="N316" s="16">
        <v>5.8080808080808082E-3</v>
      </c>
      <c r="O316" s="16">
        <v>3.4848484848484844E-2</v>
      </c>
      <c r="P316" s="17">
        <f>IFERROR(G316/(G316+Priors!$H$3),0)</f>
        <v>0.72972972972972971</v>
      </c>
      <c r="Q316" s="18">
        <f>IF(E316="Premier League",Priors!$H$4,IF(E316="Championship",Priors!$H$5,Priors!$H$8))</f>
        <v>0.8</v>
      </c>
      <c r="R316" s="19" t="b">
        <v>0</v>
      </c>
      <c r="S316" s="18">
        <f>IF(R316=TRUE,Priors!$H$6,1)</f>
        <v>1</v>
      </c>
      <c r="T316" s="19" t="b">
        <v>1</v>
      </c>
      <c r="U316" s="18">
        <f>IF(T316=TRUE,Priors!$H$7,1)</f>
        <v>0.9</v>
      </c>
      <c r="V316" s="18">
        <f t="shared" si="24"/>
        <v>0.52540540540540548</v>
      </c>
      <c r="W316" s="20">
        <f>VLOOKUP(D316,Priors!$A$3:$C$6,2,FALSE)</f>
        <v>0.10751786102217777</v>
      </c>
      <c r="X316" s="20">
        <f>VLOOKUP(D316,Priors!$A$3:$C$6,3,FALSE)</f>
        <v>9.0240671969462088E-2</v>
      </c>
      <c r="Y316" s="20">
        <f t="shared" si="25"/>
        <v>5.4078992715095461E-2</v>
      </c>
      <c r="Z316" s="20">
        <f t="shared" si="26"/>
        <v>6.1137317438872955E-2</v>
      </c>
      <c r="AA316" s="21">
        <v>1</v>
      </c>
      <c r="AB316" s="21">
        <v>1</v>
      </c>
      <c r="AC316" s="22">
        <f t="shared" si="27"/>
        <v>5.4078992715095461E-2</v>
      </c>
      <c r="AD316" s="22">
        <f t="shared" si="28"/>
        <v>6.1137317438872955E-2</v>
      </c>
      <c r="AE316" s="22">
        <f t="shared" si="29"/>
        <v>0.47459459459459452</v>
      </c>
      <c r="AF316" s="7" t="s">
        <v>1655</v>
      </c>
      <c r="AG316" s="7"/>
      <c r="AH316" s="7"/>
      <c r="AI316" s="7"/>
      <c r="AJ316" s="8" t="b">
        <v>1</v>
      </c>
      <c r="AK316" s="28" t="s">
        <v>1656</v>
      </c>
      <c r="AL316" s="28" t="s">
        <v>1657</v>
      </c>
      <c r="AM316" s="28"/>
      <c r="AN316" s="7"/>
      <c r="AO316" s="7"/>
      <c r="AP316" s="7"/>
      <c r="AQ316" s="28" t="s">
        <v>1650</v>
      </c>
    </row>
    <row r="317" spans="1:43" ht="15">
      <c r="A317" s="7">
        <v>311</v>
      </c>
      <c r="B317" s="7" t="s">
        <v>975</v>
      </c>
      <c r="C317" s="7" t="s">
        <v>50</v>
      </c>
      <c r="D317" s="7" t="s">
        <v>112</v>
      </c>
      <c r="E317" s="7" t="s">
        <v>1647</v>
      </c>
      <c r="F317" s="7"/>
      <c r="G317" s="14"/>
      <c r="H317" s="15"/>
      <c r="I317" s="15"/>
      <c r="J317" s="15"/>
      <c r="K317" s="15"/>
      <c r="L317" s="15"/>
      <c r="M317" s="15"/>
      <c r="N317" s="16"/>
      <c r="O317" s="16"/>
      <c r="P317" s="17">
        <f>IFERROR(G317/(G317+Priors!$H$3),0)</f>
        <v>0</v>
      </c>
      <c r="Q317" s="18">
        <f>IF(E317="Premier League",Priors!$H$4,IF(E317="Championship",Priors!$H$5,Priors!$H$8))</f>
        <v>0</v>
      </c>
      <c r="R317" s="19" t="b">
        <v>0</v>
      </c>
      <c r="S317" s="18">
        <f>IF(R317=TRUE,Priors!$H$6,1)</f>
        <v>1</v>
      </c>
      <c r="T317" s="19" t="b">
        <v>1</v>
      </c>
      <c r="U317" s="18">
        <f>IF(T317=TRUE,Priors!$H$7,1)</f>
        <v>0.9</v>
      </c>
      <c r="V317" s="18">
        <f t="shared" si="24"/>
        <v>0</v>
      </c>
      <c r="W317" s="20">
        <f>VLOOKUP(D317,Priors!$A$3:$C$6,2,FALSE)</f>
        <v>0.10751786102217777</v>
      </c>
      <c r="X317" s="20">
        <f>VLOOKUP(D317,Priors!$A$3:$C$6,3,FALSE)</f>
        <v>9.0240671969462088E-2</v>
      </c>
      <c r="Y317" s="20">
        <f t="shared" si="25"/>
        <v>0.10751786102217777</v>
      </c>
      <c r="Z317" s="20">
        <f t="shared" si="26"/>
        <v>9.0240671969462088E-2</v>
      </c>
      <c r="AA317" s="21">
        <v>1</v>
      </c>
      <c r="AB317" s="21">
        <v>1</v>
      </c>
      <c r="AC317" s="22">
        <f t="shared" si="27"/>
        <v>0.10751786102217777</v>
      </c>
      <c r="AD317" s="22">
        <f t="shared" si="28"/>
        <v>9.0240671969462088E-2</v>
      </c>
      <c r="AE317" s="22">
        <f t="shared" si="29"/>
        <v>1</v>
      </c>
      <c r="AF317" s="7" t="s">
        <v>1647</v>
      </c>
      <c r="AG317" s="7"/>
      <c r="AH317" s="7"/>
      <c r="AI317" s="7"/>
      <c r="AJ317" s="8" t="b">
        <v>1</v>
      </c>
      <c r="AK317" s="28" t="s">
        <v>1648</v>
      </c>
      <c r="AL317" s="28"/>
      <c r="AM317" s="28"/>
      <c r="AN317" s="7"/>
      <c r="AO317" s="7"/>
      <c r="AP317" s="7"/>
      <c r="AQ317" s="28" t="s">
        <v>1650</v>
      </c>
    </row>
    <row r="318" spans="1:43" ht="45">
      <c r="A318" s="7">
        <v>312</v>
      </c>
      <c r="B318" s="7" t="s">
        <v>978</v>
      </c>
      <c r="C318" s="7" t="s">
        <v>50</v>
      </c>
      <c r="D318" s="7" t="s">
        <v>112</v>
      </c>
      <c r="E318" s="7" t="s">
        <v>1654</v>
      </c>
      <c r="F318" s="7" t="s">
        <v>50</v>
      </c>
      <c r="G318" s="14">
        <v>2025</v>
      </c>
      <c r="H318" s="15">
        <v>1.8</v>
      </c>
      <c r="I318" s="15">
        <v>2.4750000000000001</v>
      </c>
      <c r="J318" s="15">
        <v>0.08</v>
      </c>
      <c r="K318" s="15">
        <v>0.11</v>
      </c>
      <c r="L318" s="15">
        <v>79.2</v>
      </c>
      <c r="M318" s="15">
        <v>1.7217391304347827</v>
      </c>
      <c r="N318" s="16">
        <v>4.6464646464646465E-2</v>
      </c>
      <c r="O318" s="16">
        <v>6.3888888888888884E-2</v>
      </c>
      <c r="P318" s="17">
        <f>IFERROR(G318/(G318+Priors!$H$3),0)</f>
        <v>0.66942148760330578</v>
      </c>
      <c r="Q318" s="18">
        <f>IF(E318="Premier League",Priors!$H$4,IF(E318="Championship",Priors!$H$5,Priors!$H$8))</f>
        <v>0.8</v>
      </c>
      <c r="R318" s="19" t="b">
        <v>0</v>
      </c>
      <c r="S318" s="18">
        <f>IF(R318=TRUE,Priors!$H$6,1)</f>
        <v>1</v>
      </c>
      <c r="T318" s="19" t="b">
        <v>1</v>
      </c>
      <c r="U318" s="18">
        <f>IF(T318=TRUE,Priors!$H$7,1)</f>
        <v>0.9</v>
      </c>
      <c r="V318" s="18">
        <f t="shared" si="24"/>
        <v>0.48198347107438022</v>
      </c>
      <c r="W318" s="20">
        <f>VLOOKUP(D318,Priors!$A$3:$C$6,2,FALSE)</f>
        <v>0.10751786102217777</v>
      </c>
      <c r="X318" s="20">
        <f>VLOOKUP(D318,Priors!$A$3:$C$6,3,FALSE)</f>
        <v>9.0240671969462088E-2</v>
      </c>
      <c r="Y318" s="20">
        <f t="shared" si="25"/>
        <v>7.8091220749489959E-2</v>
      </c>
      <c r="Z318" s="20">
        <f t="shared" si="26"/>
        <v>7.7539548091288296E-2</v>
      </c>
      <c r="AA318" s="21">
        <v>1</v>
      </c>
      <c r="AB318" s="21">
        <v>1</v>
      </c>
      <c r="AC318" s="22">
        <f t="shared" si="27"/>
        <v>7.8091220749489959E-2</v>
      </c>
      <c r="AD318" s="22">
        <f t="shared" si="28"/>
        <v>7.7539548091288296E-2</v>
      </c>
      <c r="AE318" s="22">
        <f t="shared" si="29"/>
        <v>0.51801652892561978</v>
      </c>
      <c r="AF318" s="7" t="s">
        <v>1655</v>
      </c>
      <c r="AG318" s="7"/>
      <c r="AH318" s="7"/>
      <c r="AI318" s="7"/>
      <c r="AJ318" s="8" t="b">
        <v>1</v>
      </c>
      <c r="AK318" s="28" t="s">
        <v>1656</v>
      </c>
      <c r="AL318" s="28" t="s">
        <v>1657</v>
      </c>
      <c r="AM318" s="28"/>
      <c r="AN318" s="7"/>
      <c r="AO318" s="7"/>
      <c r="AP318" s="7"/>
      <c r="AQ318" s="28" t="s">
        <v>1650</v>
      </c>
    </row>
    <row r="319" spans="1:43" ht="45">
      <c r="A319" s="7">
        <v>313</v>
      </c>
      <c r="B319" s="7" t="s">
        <v>981</v>
      </c>
      <c r="C319" s="7" t="s">
        <v>50</v>
      </c>
      <c r="D319" s="7" t="s">
        <v>112</v>
      </c>
      <c r="E319" s="7" t="s">
        <v>1654</v>
      </c>
      <c r="F319" s="7" t="s">
        <v>50</v>
      </c>
      <c r="G319" s="14">
        <v>2400</v>
      </c>
      <c r="H319" s="15">
        <v>10.4</v>
      </c>
      <c r="I319" s="15">
        <v>6.4</v>
      </c>
      <c r="J319" s="15">
        <v>0.39</v>
      </c>
      <c r="K319" s="15">
        <v>0.24</v>
      </c>
      <c r="L319" s="15">
        <v>79.2</v>
      </c>
      <c r="M319" s="15">
        <v>1.7217391304347827</v>
      </c>
      <c r="N319" s="16">
        <v>0.2265151515151515</v>
      </c>
      <c r="O319" s="16">
        <v>0.13939393939393938</v>
      </c>
      <c r="P319" s="17">
        <f>IFERROR(G319/(G319+Priors!$H$3),0)</f>
        <v>0.70588235294117652</v>
      </c>
      <c r="Q319" s="18">
        <f>IF(E319="Premier League",Priors!$H$4,IF(E319="Championship",Priors!$H$5,Priors!$H$8))</f>
        <v>0.8</v>
      </c>
      <c r="R319" s="19" t="b">
        <v>0</v>
      </c>
      <c r="S319" s="18">
        <f>IF(R319=TRUE,Priors!$H$6,1)</f>
        <v>1</v>
      </c>
      <c r="T319" s="19" t="b">
        <v>1</v>
      </c>
      <c r="U319" s="18">
        <f>IF(T319=TRUE,Priors!$H$7,1)</f>
        <v>0.9</v>
      </c>
      <c r="V319" s="18">
        <f t="shared" si="24"/>
        <v>0.50823529411764712</v>
      </c>
      <c r="W319" s="20">
        <f>VLOOKUP(D319,Priors!$A$3:$C$6,2,FALSE)</f>
        <v>0.10751786102217777</v>
      </c>
      <c r="X319" s="20">
        <f>VLOOKUP(D319,Priors!$A$3:$C$6,3,FALSE)</f>
        <v>9.0240671969462088E-2</v>
      </c>
      <c r="Y319" s="20">
        <f t="shared" si="25"/>
        <v>0.16799648395507738</v>
      </c>
      <c r="Z319" s="20">
        <f t="shared" si="26"/>
        <v>0.11522209729578467</v>
      </c>
      <c r="AA319" s="21">
        <v>1</v>
      </c>
      <c r="AB319" s="21">
        <v>1</v>
      </c>
      <c r="AC319" s="22">
        <f t="shared" si="27"/>
        <v>0.16799648395507738</v>
      </c>
      <c r="AD319" s="22">
        <f t="shared" si="28"/>
        <v>0.11522209729578467</v>
      </c>
      <c r="AE319" s="22">
        <f t="shared" si="29"/>
        <v>0.49176470588235288</v>
      </c>
      <c r="AF319" s="7" t="s">
        <v>1655</v>
      </c>
      <c r="AG319" s="7">
        <v>2</v>
      </c>
      <c r="AH319" s="7">
        <v>3</v>
      </c>
      <c r="AI319" s="7">
        <v>8</v>
      </c>
      <c r="AJ319" s="8" t="b">
        <v>1</v>
      </c>
      <c r="AK319" s="28" t="s">
        <v>1656</v>
      </c>
      <c r="AL319" s="28" t="s">
        <v>1657</v>
      </c>
      <c r="AM319" s="28"/>
      <c r="AN319" s="7"/>
      <c r="AO319" s="7"/>
      <c r="AP319" s="7"/>
      <c r="AQ319" s="28" t="s">
        <v>1650</v>
      </c>
    </row>
    <row r="320" spans="1:43" ht="15">
      <c r="A320" s="7">
        <v>314</v>
      </c>
      <c r="B320" s="7" t="s">
        <v>984</v>
      </c>
      <c r="C320" s="7" t="s">
        <v>50</v>
      </c>
      <c r="D320" s="7" t="s">
        <v>112</v>
      </c>
      <c r="E320" s="7" t="s">
        <v>1647</v>
      </c>
      <c r="F320" s="7"/>
      <c r="G320" s="14"/>
      <c r="H320" s="15"/>
      <c r="I320" s="15"/>
      <c r="J320" s="15"/>
      <c r="K320" s="15"/>
      <c r="L320" s="15"/>
      <c r="M320" s="15"/>
      <c r="N320" s="16"/>
      <c r="O320" s="16"/>
      <c r="P320" s="17">
        <f>IFERROR(G320/(G320+Priors!$H$3),0)</f>
        <v>0</v>
      </c>
      <c r="Q320" s="18">
        <f>IF(E320="Premier League",Priors!$H$4,IF(E320="Championship",Priors!$H$5,Priors!$H$8))</f>
        <v>0</v>
      </c>
      <c r="R320" s="19" t="b">
        <v>0</v>
      </c>
      <c r="S320" s="18">
        <f>IF(R320=TRUE,Priors!$H$6,1)</f>
        <v>1</v>
      </c>
      <c r="T320" s="19" t="b">
        <v>1</v>
      </c>
      <c r="U320" s="18">
        <f>IF(T320=TRUE,Priors!$H$7,1)</f>
        <v>0.9</v>
      </c>
      <c r="V320" s="18">
        <f t="shared" si="24"/>
        <v>0</v>
      </c>
      <c r="W320" s="20">
        <f>VLOOKUP(D320,Priors!$A$3:$C$6,2,FALSE)</f>
        <v>0.10751786102217777</v>
      </c>
      <c r="X320" s="20">
        <f>VLOOKUP(D320,Priors!$A$3:$C$6,3,FALSE)</f>
        <v>9.0240671969462088E-2</v>
      </c>
      <c r="Y320" s="20">
        <f t="shared" si="25"/>
        <v>0.10751786102217777</v>
      </c>
      <c r="Z320" s="20">
        <f t="shared" si="26"/>
        <v>9.0240671969462088E-2</v>
      </c>
      <c r="AA320" s="21">
        <v>1</v>
      </c>
      <c r="AB320" s="21">
        <v>1</v>
      </c>
      <c r="AC320" s="22">
        <f t="shared" si="27"/>
        <v>0.10751786102217777</v>
      </c>
      <c r="AD320" s="22">
        <f t="shared" si="28"/>
        <v>9.0240671969462088E-2</v>
      </c>
      <c r="AE320" s="22">
        <f t="shared" si="29"/>
        <v>1</v>
      </c>
      <c r="AF320" s="7" t="s">
        <v>1647</v>
      </c>
      <c r="AG320" s="7"/>
      <c r="AH320" s="7"/>
      <c r="AI320" s="7"/>
      <c r="AJ320" s="8" t="b">
        <v>1</v>
      </c>
      <c r="AK320" s="28" t="s">
        <v>1648</v>
      </c>
      <c r="AL320" s="28"/>
      <c r="AM320" s="28"/>
      <c r="AN320" s="7"/>
      <c r="AO320" s="7"/>
      <c r="AP320" s="7"/>
      <c r="AQ320" s="28" t="s">
        <v>1650</v>
      </c>
    </row>
    <row r="321" spans="1:43" ht="15">
      <c r="A321" s="7">
        <v>315</v>
      </c>
      <c r="B321" s="7" t="s">
        <v>987</v>
      </c>
      <c r="C321" s="7" t="s">
        <v>50</v>
      </c>
      <c r="D321" s="7" t="s">
        <v>112</v>
      </c>
      <c r="E321" s="7" t="s">
        <v>1647</v>
      </c>
      <c r="F321" s="7"/>
      <c r="G321" s="14"/>
      <c r="H321" s="15"/>
      <c r="I321" s="15"/>
      <c r="J321" s="15"/>
      <c r="K321" s="15"/>
      <c r="L321" s="15"/>
      <c r="M321" s="15"/>
      <c r="N321" s="16"/>
      <c r="O321" s="16"/>
      <c r="P321" s="17">
        <f>IFERROR(G321/(G321+Priors!$H$3),0)</f>
        <v>0</v>
      </c>
      <c r="Q321" s="18">
        <f>IF(E321="Premier League",Priors!$H$4,IF(E321="Championship",Priors!$H$5,Priors!$H$8))</f>
        <v>0</v>
      </c>
      <c r="R321" s="19" t="b">
        <v>0</v>
      </c>
      <c r="S321" s="18">
        <f>IF(R321=TRUE,Priors!$H$6,1)</f>
        <v>1</v>
      </c>
      <c r="T321" s="19" t="b">
        <v>1</v>
      </c>
      <c r="U321" s="18">
        <f>IF(T321=TRUE,Priors!$H$7,1)</f>
        <v>0.9</v>
      </c>
      <c r="V321" s="18">
        <f t="shared" si="24"/>
        <v>0</v>
      </c>
      <c r="W321" s="20">
        <f>VLOOKUP(D321,Priors!$A$3:$C$6,2,FALSE)</f>
        <v>0.10751786102217777</v>
      </c>
      <c r="X321" s="20">
        <f>VLOOKUP(D321,Priors!$A$3:$C$6,3,FALSE)</f>
        <v>9.0240671969462088E-2</v>
      </c>
      <c r="Y321" s="20">
        <f t="shared" si="25"/>
        <v>0.10751786102217777</v>
      </c>
      <c r="Z321" s="20">
        <f t="shared" si="26"/>
        <v>9.0240671969462088E-2</v>
      </c>
      <c r="AA321" s="21">
        <v>1</v>
      </c>
      <c r="AB321" s="21">
        <v>1</v>
      </c>
      <c r="AC321" s="22">
        <f t="shared" si="27"/>
        <v>0.10751786102217777</v>
      </c>
      <c r="AD321" s="22">
        <f t="shared" si="28"/>
        <v>9.0240671969462088E-2</v>
      </c>
      <c r="AE321" s="22">
        <f t="shared" si="29"/>
        <v>1</v>
      </c>
      <c r="AF321" s="7" t="s">
        <v>1647</v>
      </c>
      <c r="AG321" s="7"/>
      <c r="AH321" s="7"/>
      <c r="AI321" s="7"/>
      <c r="AJ321" s="8" t="b">
        <v>1</v>
      </c>
      <c r="AK321" s="28" t="s">
        <v>1648</v>
      </c>
      <c r="AL321" s="28"/>
      <c r="AM321" s="28"/>
      <c r="AN321" s="7"/>
      <c r="AO321" s="7"/>
      <c r="AP321" s="7"/>
      <c r="AQ321" s="28" t="s">
        <v>1650</v>
      </c>
    </row>
    <row r="322" spans="1:43" ht="15">
      <c r="A322" s="7">
        <v>316</v>
      </c>
      <c r="B322" s="7" t="s">
        <v>989</v>
      </c>
      <c r="C322" s="7" t="s">
        <v>50</v>
      </c>
      <c r="D322" s="7" t="s">
        <v>167</v>
      </c>
      <c r="E322" s="7" t="s">
        <v>1647</v>
      </c>
      <c r="F322" s="7"/>
      <c r="G322" s="14"/>
      <c r="H322" s="15"/>
      <c r="I322" s="15"/>
      <c r="J322" s="15"/>
      <c r="K322" s="15"/>
      <c r="L322" s="15"/>
      <c r="M322" s="15"/>
      <c r="N322" s="16"/>
      <c r="O322" s="16"/>
      <c r="P322" s="17">
        <f>IFERROR(G322/(G322+Priors!$H$3),0)</f>
        <v>0</v>
      </c>
      <c r="Q322" s="18">
        <f>IF(E322="Premier League",Priors!$H$4,IF(E322="Championship",Priors!$H$5,Priors!$H$8))</f>
        <v>0</v>
      </c>
      <c r="R322" s="19" t="b">
        <v>0</v>
      </c>
      <c r="S322" s="18">
        <f>IF(R322=TRUE,Priors!$H$6,1)</f>
        <v>1</v>
      </c>
      <c r="T322" s="19" t="b">
        <v>1</v>
      </c>
      <c r="U322" s="18">
        <f>IF(T322=TRUE,Priors!$H$7,1)</f>
        <v>0.9</v>
      </c>
      <c r="V322" s="18">
        <f t="shared" ref="V322:V385" si="30">P322*Q322*S322*U322</f>
        <v>0</v>
      </c>
      <c r="W322" s="20">
        <f>VLOOKUP(D322,Priors!$A$3:$C$6,2,FALSE)</f>
        <v>0.30461525508032317</v>
      </c>
      <c r="X322" s="20">
        <f>VLOOKUP(D322,Priors!$A$3:$C$6,3,FALSE)</f>
        <v>3.9258061548584466E-2</v>
      </c>
      <c r="Y322" s="20">
        <f t="shared" ref="Y322:Y385" si="31">IF(N322="",W322,V322*N322+(1-V322)*W322)</f>
        <v>0.30461525508032317</v>
      </c>
      <c r="Z322" s="20">
        <f t="shared" ref="Z322:Z385" si="32">IF(O322="",X322,V322*O322+(1-V322)*X322)</f>
        <v>3.9258061548584466E-2</v>
      </c>
      <c r="AA322" s="21">
        <v>1</v>
      </c>
      <c r="AB322" s="21">
        <v>1</v>
      </c>
      <c r="AC322" s="22">
        <f t="shared" ref="AC322:AC385" si="33">Y322*AA322</f>
        <v>0.30461525508032317</v>
      </c>
      <c r="AD322" s="22">
        <f t="shared" ref="AD322:AD385" si="34">Z322*AB322</f>
        <v>3.9258061548584466E-2</v>
      </c>
      <c r="AE322" s="22">
        <f t="shared" ref="AE322:AE385" si="35">1-V322</f>
        <v>1</v>
      </c>
      <c r="AF322" s="7" t="s">
        <v>1647</v>
      </c>
      <c r="AG322" s="7"/>
      <c r="AH322" s="7"/>
      <c r="AI322" s="7"/>
      <c r="AJ322" s="8" t="b">
        <v>1</v>
      </c>
      <c r="AK322" s="28" t="s">
        <v>1648</v>
      </c>
      <c r="AL322" s="28"/>
      <c r="AM322" s="28"/>
      <c r="AN322" s="7"/>
      <c r="AO322" s="7"/>
      <c r="AP322" s="7"/>
      <c r="AQ322" s="28" t="s">
        <v>1650</v>
      </c>
    </row>
    <row r="323" spans="1:43" ht="45">
      <c r="A323" s="7">
        <v>317</v>
      </c>
      <c r="B323" s="7" t="s">
        <v>992</v>
      </c>
      <c r="C323" s="7" t="s">
        <v>50</v>
      </c>
      <c r="D323" s="7" t="s">
        <v>167</v>
      </c>
      <c r="E323" s="7" t="s">
        <v>1654</v>
      </c>
      <c r="F323" s="7" t="s">
        <v>50</v>
      </c>
      <c r="G323" s="14">
        <v>2105</v>
      </c>
      <c r="H323" s="15">
        <v>13.8</v>
      </c>
      <c r="I323" s="15">
        <v>1.8</v>
      </c>
      <c r="J323" s="15">
        <v>0.59</v>
      </c>
      <c r="K323" s="15">
        <v>0.08</v>
      </c>
      <c r="L323" s="15">
        <v>79.2</v>
      </c>
      <c r="M323" s="15">
        <v>1.7217391304347827</v>
      </c>
      <c r="N323" s="16">
        <v>0.34267676767676764</v>
      </c>
      <c r="O323" s="16">
        <v>4.6464646464646465E-2</v>
      </c>
      <c r="P323" s="17">
        <f>IFERROR(G323/(G323+Priors!$H$3),0)</f>
        <v>0.677938808373591</v>
      </c>
      <c r="Q323" s="18">
        <f>IF(E323="Premier League",Priors!$H$4,IF(E323="Championship",Priors!$H$5,Priors!$H$8))</f>
        <v>0.8</v>
      </c>
      <c r="R323" s="19" t="b">
        <v>0</v>
      </c>
      <c r="S323" s="18">
        <f>IF(R323=TRUE,Priors!$H$6,1)</f>
        <v>1</v>
      </c>
      <c r="T323" s="19" t="b">
        <v>1</v>
      </c>
      <c r="U323" s="18">
        <f>IF(T323=TRUE,Priors!$H$7,1)</f>
        <v>0.9</v>
      </c>
      <c r="V323" s="18">
        <f t="shared" si="30"/>
        <v>0.48811594202898551</v>
      </c>
      <c r="W323" s="20">
        <f>VLOOKUP(D323,Priors!$A$3:$C$6,2,FALSE)</f>
        <v>0.30461525508032317</v>
      </c>
      <c r="X323" s="20">
        <f>VLOOKUP(D323,Priors!$A$3:$C$6,3,FALSE)</f>
        <v>3.9258061548584466E-2</v>
      </c>
      <c r="Y323" s="20">
        <f t="shared" si="31"/>
        <v>0.32319368615638477</v>
      </c>
      <c r="Z323" s="20">
        <f t="shared" si="32"/>
        <v>4.277571053369994E-2</v>
      </c>
      <c r="AA323" s="21">
        <v>1</v>
      </c>
      <c r="AB323" s="21">
        <v>1</v>
      </c>
      <c r="AC323" s="22">
        <f t="shared" si="33"/>
        <v>0.32319368615638477</v>
      </c>
      <c r="AD323" s="22">
        <f t="shared" si="34"/>
        <v>4.277571053369994E-2</v>
      </c>
      <c r="AE323" s="22">
        <f t="shared" si="35"/>
        <v>0.51188405797101444</v>
      </c>
      <c r="AF323" s="7" t="s">
        <v>1655</v>
      </c>
      <c r="AG323" s="7">
        <v>1</v>
      </c>
      <c r="AH323" s="7"/>
      <c r="AI323" s="7"/>
      <c r="AJ323" s="8" t="b">
        <v>1</v>
      </c>
      <c r="AK323" s="28" t="s">
        <v>1656</v>
      </c>
      <c r="AL323" s="28" t="s">
        <v>1657</v>
      </c>
      <c r="AM323" s="28"/>
      <c r="AN323" s="7"/>
      <c r="AO323" s="7"/>
      <c r="AP323" s="7"/>
      <c r="AQ323" s="28" t="s">
        <v>1650</v>
      </c>
    </row>
    <row r="324" spans="1:43" ht="45">
      <c r="A324" s="7">
        <v>318</v>
      </c>
      <c r="B324" s="7" t="s">
        <v>995</v>
      </c>
      <c r="C324" s="7" t="s">
        <v>50</v>
      </c>
      <c r="D324" s="7" t="s">
        <v>112</v>
      </c>
      <c r="E324" s="7" t="s">
        <v>1654</v>
      </c>
      <c r="F324" s="7" t="s">
        <v>50</v>
      </c>
      <c r="G324" s="14">
        <v>1955</v>
      </c>
      <c r="H324" s="15">
        <v>6.3</v>
      </c>
      <c r="I324" s="15">
        <v>2.7</v>
      </c>
      <c r="J324" s="15">
        <v>0.28999999999999998</v>
      </c>
      <c r="K324" s="15">
        <v>0.12</v>
      </c>
      <c r="L324" s="15">
        <v>79.2</v>
      </c>
      <c r="M324" s="15">
        <v>1.7217391304347827</v>
      </c>
      <c r="N324" s="16">
        <v>0.16843434343434341</v>
      </c>
      <c r="O324" s="16">
        <v>6.9696969696969688E-2</v>
      </c>
      <c r="P324" s="17">
        <f>IFERROR(G324/(G324+Priors!$H$3),0)</f>
        <v>0.66159052453468692</v>
      </c>
      <c r="Q324" s="18">
        <f>IF(E324="Premier League",Priors!$H$4,IF(E324="Championship",Priors!$H$5,Priors!$H$8))</f>
        <v>0.8</v>
      </c>
      <c r="R324" s="19" t="b">
        <v>0</v>
      </c>
      <c r="S324" s="18">
        <f>IF(R324=TRUE,Priors!$H$6,1)</f>
        <v>1</v>
      </c>
      <c r="T324" s="19" t="b">
        <v>1</v>
      </c>
      <c r="U324" s="18">
        <f>IF(T324=TRUE,Priors!$H$7,1)</f>
        <v>0.9</v>
      </c>
      <c r="V324" s="18">
        <f t="shared" si="30"/>
        <v>0.47634517766497458</v>
      </c>
      <c r="W324" s="20">
        <f>VLOOKUP(D324,Priors!$A$3:$C$6,2,FALSE)</f>
        <v>0.10751786102217777</v>
      </c>
      <c r="X324" s="20">
        <f>VLOOKUP(D324,Priors!$A$3:$C$6,3,FALSE)</f>
        <v>9.0240671969462088E-2</v>
      </c>
      <c r="Y324" s="20">
        <f t="shared" si="31"/>
        <v>0.13653513365952613</v>
      </c>
      <c r="Z324" s="20">
        <f t="shared" si="32"/>
        <v>8.045477846057536E-2</v>
      </c>
      <c r="AA324" s="21">
        <v>1</v>
      </c>
      <c r="AB324" s="21">
        <v>1</v>
      </c>
      <c r="AC324" s="22">
        <f t="shared" si="33"/>
        <v>0.13653513365952613</v>
      </c>
      <c r="AD324" s="22">
        <f t="shared" si="34"/>
        <v>8.045477846057536E-2</v>
      </c>
      <c r="AE324" s="22">
        <f t="shared" si="35"/>
        <v>0.52365482233502547</v>
      </c>
      <c r="AF324" s="7" t="s">
        <v>1655</v>
      </c>
      <c r="AG324" s="7">
        <v>3</v>
      </c>
      <c r="AH324" s="7"/>
      <c r="AI324" s="7">
        <v>5</v>
      </c>
      <c r="AJ324" s="8" t="b">
        <v>1</v>
      </c>
      <c r="AK324" s="28" t="s">
        <v>1656</v>
      </c>
      <c r="AL324" s="28" t="s">
        <v>1657</v>
      </c>
      <c r="AM324" s="28"/>
      <c r="AN324" s="7"/>
      <c r="AO324" s="7"/>
      <c r="AP324" s="7"/>
      <c r="AQ324" s="28" t="s">
        <v>1650</v>
      </c>
    </row>
    <row r="325" spans="1:43" ht="15">
      <c r="A325" s="7">
        <v>319</v>
      </c>
      <c r="B325" s="7" t="s">
        <v>998</v>
      </c>
      <c r="C325" s="7" t="s">
        <v>50</v>
      </c>
      <c r="D325" s="7" t="s">
        <v>112</v>
      </c>
      <c r="E325" s="7" t="s">
        <v>1647</v>
      </c>
      <c r="F325" s="7"/>
      <c r="G325" s="14"/>
      <c r="H325" s="15"/>
      <c r="I325" s="15"/>
      <c r="J325" s="15"/>
      <c r="K325" s="15"/>
      <c r="L325" s="15"/>
      <c r="M325" s="15"/>
      <c r="N325" s="16"/>
      <c r="O325" s="16"/>
      <c r="P325" s="17">
        <f>IFERROR(G325/(G325+Priors!$H$3),0)</f>
        <v>0</v>
      </c>
      <c r="Q325" s="18">
        <f>IF(E325="Premier League",Priors!$H$4,IF(E325="Championship",Priors!$H$5,Priors!$H$8))</f>
        <v>0</v>
      </c>
      <c r="R325" s="19" t="b">
        <v>0</v>
      </c>
      <c r="S325" s="18">
        <f>IF(R325=TRUE,Priors!$H$6,1)</f>
        <v>1</v>
      </c>
      <c r="T325" s="19" t="b">
        <v>1</v>
      </c>
      <c r="U325" s="18">
        <f>IF(T325=TRUE,Priors!$H$7,1)</f>
        <v>0.9</v>
      </c>
      <c r="V325" s="18">
        <f t="shared" si="30"/>
        <v>0</v>
      </c>
      <c r="W325" s="20">
        <f>VLOOKUP(D325,Priors!$A$3:$C$6,2,FALSE)</f>
        <v>0.10751786102217777</v>
      </c>
      <c r="X325" s="20">
        <f>VLOOKUP(D325,Priors!$A$3:$C$6,3,FALSE)</f>
        <v>9.0240671969462088E-2</v>
      </c>
      <c r="Y325" s="20">
        <f t="shared" si="31"/>
        <v>0.10751786102217777</v>
      </c>
      <c r="Z325" s="20">
        <f t="shared" si="32"/>
        <v>9.0240671969462088E-2</v>
      </c>
      <c r="AA325" s="21">
        <v>1</v>
      </c>
      <c r="AB325" s="21">
        <v>1</v>
      </c>
      <c r="AC325" s="22">
        <f t="shared" si="33"/>
        <v>0.10751786102217777</v>
      </c>
      <c r="AD325" s="22">
        <f t="shared" si="34"/>
        <v>9.0240671969462088E-2</v>
      </c>
      <c r="AE325" s="22">
        <f t="shared" si="35"/>
        <v>1</v>
      </c>
      <c r="AF325" s="7" t="s">
        <v>1647</v>
      </c>
      <c r="AG325" s="7"/>
      <c r="AH325" s="7"/>
      <c r="AI325" s="7"/>
      <c r="AJ325" s="8" t="b">
        <v>1</v>
      </c>
      <c r="AK325" s="28" t="s">
        <v>1648</v>
      </c>
      <c r="AL325" s="28"/>
      <c r="AM325" s="28"/>
      <c r="AN325" s="7"/>
      <c r="AO325" s="7"/>
      <c r="AP325" s="7"/>
      <c r="AQ325" s="28" t="s">
        <v>1650</v>
      </c>
    </row>
    <row r="326" spans="1:43" ht="45">
      <c r="A326" s="7">
        <v>320</v>
      </c>
      <c r="B326" s="7" t="s">
        <v>1000</v>
      </c>
      <c r="C326" s="7" t="s">
        <v>50</v>
      </c>
      <c r="D326" s="7" t="s">
        <v>167</v>
      </c>
      <c r="E326" s="7" t="s">
        <v>1654</v>
      </c>
      <c r="F326" s="7" t="s">
        <v>50</v>
      </c>
      <c r="G326" s="14">
        <v>881</v>
      </c>
      <c r="H326" s="15">
        <v>4.5999999999999996</v>
      </c>
      <c r="I326" s="15">
        <v>0.58723404255319145</v>
      </c>
      <c r="J326" s="15">
        <v>0.47</v>
      </c>
      <c r="K326" s="15">
        <v>0.06</v>
      </c>
      <c r="L326" s="15">
        <v>79.2</v>
      </c>
      <c r="M326" s="15">
        <v>1.7217391304347827</v>
      </c>
      <c r="N326" s="16">
        <v>0.27297979797979793</v>
      </c>
      <c r="O326" s="16">
        <v>3.4848484848484844E-2</v>
      </c>
      <c r="P326" s="17">
        <f>IFERROR(G326/(G326+Priors!$H$3),0)</f>
        <v>0.46836788942052099</v>
      </c>
      <c r="Q326" s="18">
        <f>IF(E326="Premier League",Priors!$H$4,IF(E326="Championship",Priors!$H$5,Priors!$H$8))</f>
        <v>0.8</v>
      </c>
      <c r="R326" s="19" t="b">
        <v>0</v>
      </c>
      <c r="S326" s="18">
        <f>IF(R326=TRUE,Priors!$H$6,1)</f>
        <v>1</v>
      </c>
      <c r="T326" s="19" t="b">
        <v>1</v>
      </c>
      <c r="U326" s="18">
        <f>IF(T326=TRUE,Priors!$H$7,1)</f>
        <v>0.9</v>
      </c>
      <c r="V326" s="18">
        <f t="shared" si="30"/>
        <v>0.33722488038277515</v>
      </c>
      <c r="W326" s="20">
        <f>VLOOKUP(D326,Priors!$A$3:$C$6,2,FALSE)</f>
        <v>0.30461525508032317</v>
      </c>
      <c r="X326" s="20">
        <f>VLOOKUP(D326,Priors!$A$3:$C$6,3,FALSE)</f>
        <v>3.9258061548584466E-2</v>
      </c>
      <c r="Y326" s="20">
        <f t="shared" si="31"/>
        <v>0.29394699184374418</v>
      </c>
      <c r="Z326" s="20">
        <f t="shared" si="32"/>
        <v>3.7771042573354702E-2</v>
      </c>
      <c r="AA326" s="21">
        <v>1</v>
      </c>
      <c r="AB326" s="21">
        <v>1</v>
      </c>
      <c r="AC326" s="22">
        <f t="shared" si="33"/>
        <v>0.29394699184374418</v>
      </c>
      <c r="AD326" s="22">
        <f t="shared" si="34"/>
        <v>3.7771042573354702E-2</v>
      </c>
      <c r="AE326" s="22">
        <f t="shared" si="35"/>
        <v>0.66277511961722491</v>
      </c>
      <c r="AF326" s="7" t="s">
        <v>1655</v>
      </c>
      <c r="AG326" s="7"/>
      <c r="AH326" s="7"/>
      <c r="AI326" s="7"/>
      <c r="AJ326" s="8" t="b">
        <v>1</v>
      </c>
      <c r="AK326" s="28" t="s">
        <v>1656</v>
      </c>
      <c r="AL326" s="28" t="s">
        <v>1657</v>
      </c>
      <c r="AM326" s="28"/>
      <c r="AN326" s="7"/>
      <c r="AO326" s="7">
        <v>0</v>
      </c>
      <c r="AP326" s="8" t="b">
        <v>0</v>
      </c>
      <c r="AQ326" s="28" t="s">
        <v>1646</v>
      </c>
    </row>
    <row r="327" spans="1:43" ht="45">
      <c r="A327" s="7">
        <v>321</v>
      </c>
      <c r="B327" s="7" t="s">
        <v>1002</v>
      </c>
      <c r="C327" s="7" t="s">
        <v>50</v>
      </c>
      <c r="D327" s="7" t="s">
        <v>167</v>
      </c>
      <c r="E327" s="7" t="s">
        <v>1654</v>
      </c>
      <c r="F327" s="7" t="s">
        <v>50</v>
      </c>
      <c r="G327" s="14">
        <v>1516</v>
      </c>
      <c r="H327" s="15">
        <v>3.2</v>
      </c>
      <c r="I327" s="15">
        <v>2.1894736842105265</v>
      </c>
      <c r="J327" s="15">
        <v>0.19</v>
      </c>
      <c r="K327" s="15">
        <v>0.13</v>
      </c>
      <c r="L327" s="15">
        <v>79.2</v>
      </c>
      <c r="M327" s="15">
        <v>1.7217391304347827</v>
      </c>
      <c r="N327" s="16">
        <v>0.11035353535353536</v>
      </c>
      <c r="O327" s="16">
        <v>7.5505050505050506E-2</v>
      </c>
      <c r="P327" s="17">
        <f>IFERROR(G327/(G327+Priors!$H$3),0)</f>
        <v>0.60254372019077906</v>
      </c>
      <c r="Q327" s="18">
        <f>IF(E327="Premier League",Priors!$H$4,IF(E327="Championship",Priors!$H$5,Priors!$H$8))</f>
        <v>0.8</v>
      </c>
      <c r="R327" s="19" t="b">
        <v>0</v>
      </c>
      <c r="S327" s="18">
        <f>IF(R327=TRUE,Priors!$H$6,1)</f>
        <v>1</v>
      </c>
      <c r="T327" s="19" t="b">
        <v>1</v>
      </c>
      <c r="U327" s="18">
        <f>IF(T327=TRUE,Priors!$H$7,1)</f>
        <v>0.9</v>
      </c>
      <c r="V327" s="18">
        <f t="shared" si="30"/>
        <v>0.43383147853736093</v>
      </c>
      <c r="W327" s="20">
        <f>VLOOKUP(D327,Priors!$A$3:$C$6,2,FALSE)</f>
        <v>0.30461525508032317</v>
      </c>
      <c r="X327" s="20">
        <f>VLOOKUP(D327,Priors!$A$3:$C$6,3,FALSE)</f>
        <v>3.9258061548584466E-2</v>
      </c>
      <c r="Y327" s="20">
        <f t="shared" si="31"/>
        <v>0.22033840598804039</v>
      </c>
      <c r="Z327" s="20">
        <f t="shared" si="32"/>
        <v>5.4983146360095519E-2</v>
      </c>
      <c r="AA327" s="21">
        <v>1</v>
      </c>
      <c r="AB327" s="21">
        <v>1</v>
      </c>
      <c r="AC327" s="22">
        <f t="shared" si="33"/>
        <v>0.22033840598804039</v>
      </c>
      <c r="AD327" s="22">
        <f t="shared" si="34"/>
        <v>5.4983146360095519E-2</v>
      </c>
      <c r="AE327" s="22">
        <f t="shared" si="35"/>
        <v>0.56616852146263907</v>
      </c>
      <c r="AF327" s="7" t="s">
        <v>1655</v>
      </c>
      <c r="AG327" s="7"/>
      <c r="AH327" s="7"/>
      <c r="AI327" s="7"/>
      <c r="AJ327" s="8" t="b">
        <v>1</v>
      </c>
      <c r="AK327" s="28" t="s">
        <v>1656</v>
      </c>
      <c r="AL327" s="28" t="s">
        <v>1657</v>
      </c>
      <c r="AM327" s="28"/>
      <c r="AN327" s="7"/>
      <c r="AO327" s="7">
        <v>0</v>
      </c>
      <c r="AP327" s="8" t="b">
        <v>0</v>
      </c>
      <c r="AQ327" s="28" t="s">
        <v>1646</v>
      </c>
    </row>
    <row r="328" spans="1:43" ht="15">
      <c r="A328" s="7">
        <v>322</v>
      </c>
      <c r="B328" s="7" t="s">
        <v>1004</v>
      </c>
      <c r="C328" s="7" t="s">
        <v>50</v>
      </c>
      <c r="D328" s="7" t="s">
        <v>167</v>
      </c>
      <c r="E328" s="7" t="s">
        <v>1647</v>
      </c>
      <c r="F328" s="7"/>
      <c r="G328" s="14"/>
      <c r="H328" s="15"/>
      <c r="I328" s="15"/>
      <c r="J328" s="15"/>
      <c r="K328" s="15"/>
      <c r="L328" s="15"/>
      <c r="M328" s="15"/>
      <c r="N328" s="16"/>
      <c r="O328" s="16"/>
      <c r="P328" s="17">
        <f>IFERROR(G328/(G328+Priors!$H$3),0)</f>
        <v>0</v>
      </c>
      <c r="Q328" s="18">
        <f>IF(E328="Premier League",Priors!$H$4,IF(E328="Championship",Priors!$H$5,Priors!$H$8))</f>
        <v>0</v>
      </c>
      <c r="R328" s="19" t="b">
        <v>0</v>
      </c>
      <c r="S328" s="18">
        <f>IF(R328=TRUE,Priors!$H$6,1)</f>
        <v>1</v>
      </c>
      <c r="T328" s="19" t="b">
        <v>1</v>
      </c>
      <c r="U328" s="18">
        <f>IF(T328=TRUE,Priors!$H$7,1)</f>
        <v>0.9</v>
      </c>
      <c r="V328" s="18">
        <f t="shared" si="30"/>
        <v>0</v>
      </c>
      <c r="W328" s="20">
        <f>VLOOKUP(D328,Priors!$A$3:$C$6,2,FALSE)</f>
        <v>0.30461525508032317</v>
      </c>
      <c r="X328" s="20">
        <f>VLOOKUP(D328,Priors!$A$3:$C$6,3,FALSE)</f>
        <v>3.9258061548584466E-2</v>
      </c>
      <c r="Y328" s="20">
        <f t="shared" si="31"/>
        <v>0.30461525508032317</v>
      </c>
      <c r="Z328" s="20">
        <f t="shared" si="32"/>
        <v>3.9258061548584466E-2</v>
      </c>
      <c r="AA328" s="21">
        <v>1</v>
      </c>
      <c r="AB328" s="21">
        <v>1</v>
      </c>
      <c r="AC328" s="22">
        <f t="shared" si="33"/>
        <v>0.30461525508032317</v>
      </c>
      <c r="AD328" s="22">
        <f t="shared" si="34"/>
        <v>3.9258061548584466E-2</v>
      </c>
      <c r="AE328" s="22">
        <f t="shared" si="35"/>
        <v>1</v>
      </c>
      <c r="AF328" s="7" t="s">
        <v>1647</v>
      </c>
      <c r="AG328" s="7"/>
      <c r="AH328" s="7"/>
      <c r="AI328" s="7"/>
      <c r="AJ328" s="8" t="b">
        <v>1</v>
      </c>
      <c r="AK328" s="28" t="s">
        <v>1648</v>
      </c>
      <c r="AL328" s="28"/>
      <c r="AM328" s="28"/>
      <c r="AN328" s="7"/>
      <c r="AO328" s="7">
        <v>0</v>
      </c>
      <c r="AP328" s="8" t="b">
        <v>0</v>
      </c>
      <c r="AQ328" s="28" t="s">
        <v>1646</v>
      </c>
    </row>
    <row r="329" spans="1:43" ht="45">
      <c r="A329" s="7">
        <v>323</v>
      </c>
      <c r="B329" s="7" t="s">
        <v>1007</v>
      </c>
      <c r="C329" s="7" t="s">
        <v>50</v>
      </c>
      <c r="D329" s="7" t="s">
        <v>112</v>
      </c>
      <c r="E329" s="7" t="s">
        <v>1654</v>
      </c>
      <c r="F329" s="7" t="s">
        <v>50</v>
      </c>
      <c r="G329" s="14">
        <v>1254</v>
      </c>
      <c r="H329" s="15">
        <v>3.9</v>
      </c>
      <c r="I329" s="15">
        <v>2.9249999999999994</v>
      </c>
      <c r="J329" s="15">
        <v>0.28000000000000003</v>
      </c>
      <c r="K329" s="15">
        <v>0.21</v>
      </c>
      <c r="L329" s="15">
        <v>79.2</v>
      </c>
      <c r="M329" s="15">
        <v>1.7217391304347827</v>
      </c>
      <c r="N329" s="16">
        <v>0.16262626262626265</v>
      </c>
      <c r="O329" s="16">
        <v>0.12196969696969696</v>
      </c>
      <c r="P329" s="17">
        <f>IFERROR(G329/(G329+Priors!$H$3),0)</f>
        <v>0.55634427684117127</v>
      </c>
      <c r="Q329" s="18">
        <f>IF(E329="Premier League",Priors!$H$4,IF(E329="Championship",Priors!$H$5,Priors!$H$8))</f>
        <v>0.8</v>
      </c>
      <c r="R329" s="19" t="b">
        <v>0</v>
      </c>
      <c r="S329" s="18">
        <f>IF(R329=TRUE,Priors!$H$6,1)</f>
        <v>1</v>
      </c>
      <c r="T329" s="19" t="b">
        <v>1</v>
      </c>
      <c r="U329" s="18">
        <f>IF(T329=TRUE,Priors!$H$7,1)</f>
        <v>0.9</v>
      </c>
      <c r="V329" s="18">
        <f t="shared" si="30"/>
        <v>0.40056787932564336</v>
      </c>
      <c r="W329" s="20">
        <f>VLOOKUP(D329,Priors!$A$3:$C$6,2,FALSE)</f>
        <v>0.10751786102217777</v>
      </c>
      <c r="X329" s="20">
        <f>VLOOKUP(D329,Priors!$A$3:$C$6,3,FALSE)</f>
        <v>9.0240671969462088E-2</v>
      </c>
      <c r="Y329" s="20">
        <f t="shared" si="31"/>
        <v>0.12959251658575194</v>
      </c>
      <c r="Z329" s="20">
        <f t="shared" si="32"/>
        <v>0.1029503002268765</v>
      </c>
      <c r="AA329" s="21">
        <v>1</v>
      </c>
      <c r="AB329" s="21">
        <v>1</v>
      </c>
      <c r="AC329" s="22">
        <f t="shared" si="33"/>
        <v>0.12959251658575194</v>
      </c>
      <c r="AD329" s="22">
        <f t="shared" si="34"/>
        <v>0.1029503002268765</v>
      </c>
      <c r="AE329" s="22">
        <f t="shared" si="35"/>
        <v>0.59943212067435669</v>
      </c>
      <c r="AF329" s="7" t="s">
        <v>1655</v>
      </c>
      <c r="AG329" s="7"/>
      <c r="AH329" s="7"/>
      <c r="AI329" s="7"/>
      <c r="AJ329" s="8" t="b">
        <v>1</v>
      </c>
      <c r="AK329" s="28" t="s">
        <v>1656</v>
      </c>
      <c r="AL329" s="28" t="s">
        <v>1657</v>
      </c>
      <c r="AM329" s="28"/>
      <c r="AN329" s="7"/>
      <c r="AO329" s="7">
        <v>0</v>
      </c>
      <c r="AP329" s="8" t="b">
        <v>0</v>
      </c>
      <c r="AQ329" s="28" t="s">
        <v>1646</v>
      </c>
    </row>
    <row r="330" spans="1:43" ht="45">
      <c r="A330" s="7">
        <v>324</v>
      </c>
      <c r="B330" s="7" t="s">
        <v>1010</v>
      </c>
      <c r="C330" s="7" t="s">
        <v>50</v>
      </c>
      <c r="D330" s="7" t="s">
        <v>112</v>
      </c>
      <c r="E330" s="7" t="s">
        <v>1654</v>
      </c>
      <c r="F330" s="7" t="s">
        <v>50</v>
      </c>
      <c r="G330" s="14">
        <v>3343</v>
      </c>
      <c r="H330" s="15">
        <v>10.4</v>
      </c>
      <c r="I330" s="15">
        <v>7.6</v>
      </c>
      <c r="J330" s="15">
        <v>0.28000000000000003</v>
      </c>
      <c r="K330" s="15">
        <v>0.2</v>
      </c>
      <c r="L330" s="15">
        <v>79.2</v>
      </c>
      <c r="M330" s="15">
        <v>1.7217391304347827</v>
      </c>
      <c r="N330" s="16">
        <v>0.16262626262626265</v>
      </c>
      <c r="O330" s="16">
        <v>0.11616161616161616</v>
      </c>
      <c r="P330" s="17">
        <f>IFERROR(G330/(G330+Priors!$H$3),0)</f>
        <v>0.76974441630209534</v>
      </c>
      <c r="Q330" s="18">
        <f>IF(E330="Premier League",Priors!$H$4,IF(E330="Championship",Priors!$H$5,Priors!$H$8))</f>
        <v>0.8</v>
      </c>
      <c r="R330" s="19" t="b">
        <v>0</v>
      </c>
      <c r="S330" s="18">
        <f>IF(R330=TRUE,Priors!$H$6,1)</f>
        <v>1</v>
      </c>
      <c r="T330" s="19" t="b">
        <v>1</v>
      </c>
      <c r="U330" s="18">
        <f>IF(T330=TRUE,Priors!$H$7,1)</f>
        <v>0.9</v>
      </c>
      <c r="V330" s="18">
        <f t="shared" si="30"/>
        <v>0.55421597973750869</v>
      </c>
      <c r="W330" s="20">
        <f>VLOOKUP(D330,Priors!$A$3:$C$6,2,FALSE)</f>
        <v>0.10751786102217777</v>
      </c>
      <c r="X330" s="20">
        <f>VLOOKUP(D330,Priors!$A$3:$C$6,3,FALSE)</f>
        <v>9.0240671969462088E-2</v>
      </c>
      <c r="Y330" s="20">
        <f t="shared" si="31"/>
        <v>0.13805981780895377</v>
      </c>
      <c r="Z330" s="20">
        <f t="shared" si="32"/>
        <v>0.10460647345063803</v>
      </c>
      <c r="AA330" s="21">
        <v>1</v>
      </c>
      <c r="AB330" s="21">
        <v>1</v>
      </c>
      <c r="AC330" s="22">
        <f t="shared" si="33"/>
        <v>0.13805981780895377</v>
      </c>
      <c r="AD330" s="22">
        <f t="shared" si="34"/>
        <v>0.10460647345063803</v>
      </c>
      <c r="AE330" s="22">
        <f t="shared" si="35"/>
        <v>0.44578402026249131</v>
      </c>
      <c r="AF330" s="7" t="s">
        <v>1655</v>
      </c>
      <c r="AG330" s="7"/>
      <c r="AH330" s="7"/>
      <c r="AI330" s="7"/>
      <c r="AJ330" s="8" t="b">
        <v>1</v>
      </c>
      <c r="AK330" s="28" t="s">
        <v>1656</v>
      </c>
      <c r="AL330" s="28" t="s">
        <v>1657</v>
      </c>
      <c r="AM330" s="28"/>
      <c r="AN330" s="7"/>
      <c r="AO330" s="7">
        <v>0</v>
      </c>
      <c r="AP330" s="8" t="b">
        <v>0</v>
      </c>
      <c r="AQ330" s="28" t="s">
        <v>1646</v>
      </c>
    </row>
    <row r="331" spans="1:43" ht="15">
      <c r="A331" s="7">
        <v>554</v>
      </c>
      <c r="B331" s="7" t="s">
        <v>1012</v>
      </c>
      <c r="C331" s="7" t="s">
        <v>50</v>
      </c>
      <c r="D331" s="7" t="s">
        <v>85</v>
      </c>
      <c r="E331" s="7" t="s">
        <v>1647</v>
      </c>
      <c r="F331" s="7"/>
      <c r="G331" s="14"/>
      <c r="H331" s="15"/>
      <c r="I331" s="15"/>
      <c r="J331" s="15"/>
      <c r="K331" s="15"/>
      <c r="L331" s="15"/>
      <c r="M331" s="15"/>
      <c r="N331" s="16"/>
      <c r="O331" s="16"/>
      <c r="P331" s="17">
        <f>IFERROR(G331/(G331+Priors!$H$3),0)</f>
        <v>0</v>
      </c>
      <c r="Q331" s="18">
        <f>IF(E331="Premier League",Priors!$H$4,IF(E331="Championship",Priors!$H$5,Priors!$H$8))</f>
        <v>0</v>
      </c>
      <c r="R331" s="19" t="b">
        <v>0</v>
      </c>
      <c r="S331" s="18">
        <f>IF(R331=TRUE,Priors!$H$6,1)</f>
        <v>1</v>
      </c>
      <c r="T331" s="19" t="b">
        <v>1</v>
      </c>
      <c r="U331" s="18">
        <f>IF(T331=TRUE,Priors!$H$7,1)</f>
        <v>0.9</v>
      </c>
      <c r="V331" s="18">
        <f t="shared" si="30"/>
        <v>0</v>
      </c>
      <c r="W331" s="20">
        <f>VLOOKUP(D331,Priors!$A$3:$C$6,2,FALSE)</f>
        <v>1.6719534964712218E-4</v>
      </c>
      <c r="X331" s="20">
        <f>VLOOKUP(D331,Priors!$A$3:$C$6,3,FALSE)</f>
        <v>1.379361634588758E-3</v>
      </c>
      <c r="Y331" s="20">
        <f t="shared" si="31"/>
        <v>1.6719534964712218E-4</v>
      </c>
      <c r="Z331" s="20">
        <f t="shared" si="32"/>
        <v>1.379361634588758E-3</v>
      </c>
      <c r="AA331" s="21">
        <v>1</v>
      </c>
      <c r="AB331" s="21">
        <v>1</v>
      </c>
      <c r="AC331" s="22">
        <f t="shared" si="33"/>
        <v>1.6719534964712218E-4</v>
      </c>
      <c r="AD331" s="22">
        <f t="shared" si="34"/>
        <v>1.379361634588758E-3</v>
      </c>
      <c r="AE331" s="22">
        <f t="shared" si="35"/>
        <v>1</v>
      </c>
      <c r="AF331" s="7" t="s">
        <v>1647</v>
      </c>
      <c r="AG331" s="7"/>
      <c r="AH331" s="7"/>
      <c r="AI331" s="7"/>
      <c r="AJ331" s="8" t="b">
        <v>1</v>
      </c>
      <c r="AK331" s="28" t="s">
        <v>1648</v>
      </c>
      <c r="AL331" s="28"/>
      <c r="AM331" s="28"/>
      <c r="AN331" s="7"/>
      <c r="AO331" s="7">
        <v>0</v>
      </c>
      <c r="AP331" s="8" t="b">
        <v>0</v>
      </c>
      <c r="AQ331" s="28" t="s">
        <v>1646</v>
      </c>
    </row>
    <row r="332" spans="1:43" ht="15">
      <c r="A332" s="7">
        <v>562</v>
      </c>
      <c r="B332" s="7" t="s">
        <v>1014</v>
      </c>
      <c r="C332" s="7" t="s">
        <v>50</v>
      </c>
      <c r="D332" s="7" t="s">
        <v>112</v>
      </c>
      <c r="E332" s="7" t="s">
        <v>1647</v>
      </c>
      <c r="F332" s="7"/>
      <c r="G332" s="14"/>
      <c r="H332" s="15"/>
      <c r="I332" s="15"/>
      <c r="J332" s="15"/>
      <c r="K332" s="15"/>
      <c r="L332" s="15"/>
      <c r="M332" s="15"/>
      <c r="N332" s="16"/>
      <c r="O332" s="16"/>
      <c r="P332" s="17">
        <f>IFERROR(G332/(G332+Priors!$H$3),0)</f>
        <v>0</v>
      </c>
      <c r="Q332" s="18">
        <f>IF(E332="Premier League",Priors!$H$4,IF(E332="Championship",Priors!$H$5,Priors!$H$8))</f>
        <v>0</v>
      </c>
      <c r="R332" s="19" t="b">
        <v>0</v>
      </c>
      <c r="S332" s="18">
        <f>IF(R332=TRUE,Priors!$H$6,1)</f>
        <v>1</v>
      </c>
      <c r="T332" s="19" t="b">
        <v>1</v>
      </c>
      <c r="U332" s="18">
        <f>IF(T332=TRUE,Priors!$H$7,1)</f>
        <v>0.9</v>
      </c>
      <c r="V332" s="18">
        <f t="shared" si="30"/>
        <v>0</v>
      </c>
      <c r="W332" s="20">
        <f>VLOOKUP(D332,Priors!$A$3:$C$6,2,FALSE)</f>
        <v>0.10751786102217777</v>
      </c>
      <c r="X332" s="20">
        <f>VLOOKUP(D332,Priors!$A$3:$C$6,3,FALSE)</f>
        <v>9.0240671969462088E-2</v>
      </c>
      <c r="Y332" s="20">
        <f t="shared" si="31"/>
        <v>0.10751786102217777</v>
      </c>
      <c r="Z332" s="20">
        <f t="shared" si="32"/>
        <v>9.0240671969462088E-2</v>
      </c>
      <c r="AA332" s="21">
        <v>1</v>
      </c>
      <c r="AB332" s="21">
        <v>1</v>
      </c>
      <c r="AC332" s="22">
        <f t="shared" si="33"/>
        <v>0.10751786102217777</v>
      </c>
      <c r="AD332" s="22">
        <f t="shared" si="34"/>
        <v>9.0240671969462088E-2</v>
      </c>
      <c r="AE332" s="22">
        <f t="shared" si="35"/>
        <v>1</v>
      </c>
      <c r="AF332" s="7" t="s">
        <v>1647</v>
      </c>
      <c r="AG332" s="7"/>
      <c r="AH332" s="7"/>
      <c r="AI332" s="7"/>
      <c r="AJ332" s="8" t="b">
        <v>1</v>
      </c>
      <c r="AK332" s="28" t="s">
        <v>1648</v>
      </c>
      <c r="AL332" s="28"/>
      <c r="AM332" s="28"/>
      <c r="AN332" s="7"/>
      <c r="AO332" s="7">
        <v>0</v>
      </c>
      <c r="AP332" s="8" t="b">
        <v>0</v>
      </c>
      <c r="AQ332" s="28" t="s">
        <v>1646</v>
      </c>
    </row>
    <row r="333" spans="1:43" ht="15">
      <c r="A333" s="7">
        <v>564</v>
      </c>
      <c r="B333" s="7" t="s">
        <v>1017</v>
      </c>
      <c r="C333" s="7" t="s">
        <v>50</v>
      </c>
      <c r="D333" s="7" t="s">
        <v>85</v>
      </c>
      <c r="E333" s="7" t="s">
        <v>1647</v>
      </c>
      <c r="F333" s="7"/>
      <c r="G333" s="14"/>
      <c r="H333" s="15"/>
      <c r="I333" s="15"/>
      <c r="J333" s="15"/>
      <c r="K333" s="15"/>
      <c r="L333" s="15"/>
      <c r="M333" s="15"/>
      <c r="N333" s="16"/>
      <c r="O333" s="16"/>
      <c r="P333" s="17">
        <f>IFERROR(G333/(G333+Priors!$H$3),0)</f>
        <v>0</v>
      </c>
      <c r="Q333" s="18">
        <f>IF(E333="Premier League",Priors!$H$4,IF(E333="Championship",Priors!$H$5,Priors!$H$8))</f>
        <v>0</v>
      </c>
      <c r="R333" s="19" t="b">
        <v>0</v>
      </c>
      <c r="S333" s="18">
        <f>IF(R333=TRUE,Priors!$H$6,1)</f>
        <v>1</v>
      </c>
      <c r="T333" s="19" t="b">
        <v>1</v>
      </c>
      <c r="U333" s="18">
        <f>IF(T333=TRUE,Priors!$H$7,1)</f>
        <v>0.9</v>
      </c>
      <c r="V333" s="18">
        <f t="shared" si="30"/>
        <v>0</v>
      </c>
      <c r="W333" s="20">
        <f>VLOOKUP(D333,Priors!$A$3:$C$6,2,FALSE)</f>
        <v>1.6719534964712218E-4</v>
      </c>
      <c r="X333" s="20">
        <f>VLOOKUP(D333,Priors!$A$3:$C$6,3,FALSE)</f>
        <v>1.379361634588758E-3</v>
      </c>
      <c r="Y333" s="20">
        <f t="shared" si="31"/>
        <v>1.6719534964712218E-4</v>
      </c>
      <c r="Z333" s="20">
        <f t="shared" si="32"/>
        <v>1.379361634588758E-3</v>
      </c>
      <c r="AA333" s="21">
        <v>1</v>
      </c>
      <c r="AB333" s="21">
        <v>1</v>
      </c>
      <c r="AC333" s="22">
        <f t="shared" si="33"/>
        <v>1.6719534964712218E-4</v>
      </c>
      <c r="AD333" s="22">
        <f t="shared" si="34"/>
        <v>1.379361634588758E-3</v>
      </c>
      <c r="AE333" s="22">
        <f t="shared" si="35"/>
        <v>1</v>
      </c>
      <c r="AF333" s="7" t="s">
        <v>1647</v>
      </c>
      <c r="AG333" s="7"/>
      <c r="AH333" s="7"/>
      <c r="AI333" s="7"/>
      <c r="AJ333" s="8" t="b">
        <v>1</v>
      </c>
      <c r="AK333" s="28" t="s">
        <v>1648</v>
      </c>
      <c r="AL333" s="28"/>
      <c r="AM333" s="28"/>
      <c r="AN333" s="7"/>
      <c r="AO333" s="7">
        <v>0</v>
      </c>
      <c r="AP333" s="8" t="b">
        <v>0</v>
      </c>
      <c r="AQ333" s="28" t="s">
        <v>1646</v>
      </c>
    </row>
    <row r="334" spans="1:43" ht="30">
      <c r="A334" s="7">
        <v>260</v>
      </c>
      <c r="B334" s="7" t="s">
        <v>416</v>
      </c>
      <c r="C334" s="7" t="s">
        <v>51</v>
      </c>
      <c r="D334" s="7" t="s">
        <v>112</v>
      </c>
      <c r="E334" s="7" t="s">
        <v>1642</v>
      </c>
      <c r="F334" s="7" t="s">
        <v>48</v>
      </c>
      <c r="G334" s="14">
        <v>2674</v>
      </c>
      <c r="H334" s="15">
        <v>5.88</v>
      </c>
      <c r="I334" s="15">
        <v>4.7699999999999996</v>
      </c>
      <c r="J334" s="15">
        <v>0.19790575916230368</v>
      </c>
      <c r="K334" s="15">
        <v>0.16054599850411366</v>
      </c>
      <c r="L334" s="15">
        <v>48.4</v>
      </c>
      <c r="M334" s="15">
        <v>1.2736842105263158</v>
      </c>
      <c r="N334" s="16">
        <v>0.15538055471420537</v>
      </c>
      <c r="O334" s="16">
        <v>0.12604851122223801</v>
      </c>
      <c r="P334" s="17">
        <f>IFERROR(G334/(G334+Priors!$H$3),0)</f>
        <v>0.72781709308655418</v>
      </c>
      <c r="Q334" s="18">
        <f>IF(E334="Premier League",Priors!$H$4,IF(E334="Championship",Priors!$H$5,Priors!$H$8))</f>
        <v>1</v>
      </c>
      <c r="R334" s="19" t="b">
        <v>1</v>
      </c>
      <c r="S334" s="18">
        <f>IF(R334=TRUE,Priors!$H$6,1)</f>
        <v>0.85</v>
      </c>
      <c r="T334" s="19" t="b">
        <v>0</v>
      </c>
      <c r="U334" s="18">
        <f>IF(T334=TRUE,Priors!$H$7,1)</f>
        <v>1</v>
      </c>
      <c r="V334" s="18">
        <f t="shared" si="30"/>
        <v>0.61864452912357104</v>
      </c>
      <c r="W334" s="20">
        <f>VLOOKUP(D334,Priors!$A$3:$C$6,2,FALSE)</f>
        <v>0.10751786102217777</v>
      </c>
      <c r="X334" s="20">
        <f>VLOOKUP(D334,Priors!$A$3:$C$6,3,FALSE)</f>
        <v>9.0240671969462088E-2</v>
      </c>
      <c r="Y334" s="20">
        <f t="shared" si="31"/>
        <v>0.1371278546238679</v>
      </c>
      <c r="Z334" s="20">
        <f t="shared" si="32"/>
        <v>0.11239299582292818</v>
      </c>
      <c r="AA334" s="21">
        <v>1</v>
      </c>
      <c r="AB334" s="21">
        <v>1</v>
      </c>
      <c r="AC334" s="22">
        <f t="shared" si="33"/>
        <v>0.1371278546238679</v>
      </c>
      <c r="AD334" s="22">
        <f t="shared" si="34"/>
        <v>0.11239299582292818</v>
      </c>
      <c r="AE334" s="22">
        <f t="shared" si="35"/>
        <v>0.38135547087642896</v>
      </c>
      <c r="AF334" s="7" t="s">
        <v>1643</v>
      </c>
      <c r="AG334" s="7"/>
      <c r="AH334" s="7"/>
      <c r="AI334" s="7"/>
      <c r="AJ334" s="8" t="b">
        <v>1</v>
      </c>
      <c r="AK334" s="28" t="s">
        <v>1644</v>
      </c>
      <c r="AL334" s="28" t="s">
        <v>1645</v>
      </c>
      <c r="AM334" s="28"/>
      <c r="AN334" s="7"/>
      <c r="AO334" s="7">
        <v>0</v>
      </c>
      <c r="AP334" s="8" t="b">
        <v>0</v>
      </c>
      <c r="AQ334" s="28" t="s">
        <v>1646</v>
      </c>
    </row>
    <row r="335" spans="1:43" ht="30">
      <c r="A335" s="7">
        <v>326</v>
      </c>
      <c r="B335" s="7" t="s">
        <v>1022</v>
      </c>
      <c r="C335" s="7" t="s">
        <v>51</v>
      </c>
      <c r="D335" s="7" t="s">
        <v>85</v>
      </c>
      <c r="E335" s="7" t="s">
        <v>1642</v>
      </c>
      <c r="F335" s="7" t="s">
        <v>51</v>
      </c>
      <c r="G335" s="14">
        <v>1440</v>
      </c>
      <c r="H335" s="15">
        <v>0</v>
      </c>
      <c r="I335" s="15">
        <v>0</v>
      </c>
      <c r="J335" s="15">
        <v>0</v>
      </c>
      <c r="K335" s="15">
        <v>0</v>
      </c>
      <c r="L335" s="15">
        <v>54.2</v>
      </c>
      <c r="M335" s="15">
        <v>1.4263157894736842</v>
      </c>
      <c r="N335" s="16">
        <v>0</v>
      </c>
      <c r="O335" s="16">
        <v>0</v>
      </c>
      <c r="P335" s="17">
        <f>IFERROR(G335/(G335+Priors!$H$3),0)</f>
        <v>0.5901639344262295</v>
      </c>
      <c r="Q335" s="18">
        <f>IF(E335="Premier League",Priors!$H$4,IF(E335="Championship",Priors!$H$5,Priors!$H$8))</f>
        <v>1</v>
      </c>
      <c r="R335" s="19" t="b">
        <v>0</v>
      </c>
      <c r="S335" s="18">
        <f>IF(R335=TRUE,Priors!$H$6,1)</f>
        <v>1</v>
      </c>
      <c r="T335" s="19" t="b">
        <v>0</v>
      </c>
      <c r="U335" s="18">
        <f>IF(T335=TRUE,Priors!$H$7,1)</f>
        <v>1</v>
      </c>
      <c r="V335" s="18">
        <f t="shared" si="30"/>
        <v>0.5901639344262295</v>
      </c>
      <c r="W335" s="20">
        <f>VLOOKUP(D335,Priors!$A$3:$C$6,2,FALSE)</f>
        <v>1.6719534964712218E-4</v>
      </c>
      <c r="X335" s="20">
        <f>VLOOKUP(D335,Priors!$A$3:$C$6,3,FALSE)</f>
        <v>1.379361634588758E-3</v>
      </c>
      <c r="Y335" s="20">
        <f t="shared" si="31"/>
        <v>6.8522684281607457E-5</v>
      </c>
      <c r="Z335" s="20">
        <f t="shared" si="32"/>
        <v>5.6531214532326145E-4</v>
      </c>
      <c r="AA335" s="21">
        <v>1</v>
      </c>
      <c r="AB335" s="21">
        <v>1</v>
      </c>
      <c r="AC335" s="22">
        <f t="shared" si="33"/>
        <v>6.8522684281607457E-5</v>
      </c>
      <c r="AD335" s="22">
        <f t="shared" si="34"/>
        <v>5.6531214532326145E-4</v>
      </c>
      <c r="AE335" s="22">
        <f t="shared" si="35"/>
        <v>0.4098360655737705</v>
      </c>
      <c r="AF335" s="7" t="s">
        <v>1643</v>
      </c>
      <c r="AG335" s="7"/>
      <c r="AH335" s="7"/>
      <c r="AI335" s="7"/>
      <c r="AJ335" s="8" t="b">
        <v>0</v>
      </c>
      <c r="AK335" s="28" t="s">
        <v>1644</v>
      </c>
      <c r="AL335" s="28" t="s">
        <v>1645</v>
      </c>
      <c r="AM335" s="28"/>
      <c r="AN335" s="7"/>
      <c r="AO335" s="7"/>
      <c r="AP335" s="7"/>
      <c r="AQ335" s="28" t="s">
        <v>1650</v>
      </c>
    </row>
    <row r="336" spans="1:43" ht="30">
      <c r="A336" s="7">
        <v>327</v>
      </c>
      <c r="B336" s="7" t="s">
        <v>1024</v>
      </c>
      <c r="C336" s="7" t="s">
        <v>51</v>
      </c>
      <c r="D336" s="7" t="s">
        <v>99</v>
      </c>
      <c r="E336" s="7" t="s">
        <v>1642</v>
      </c>
      <c r="F336" s="7" t="s">
        <v>51</v>
      </c>
      <c r="G336" s="14">
        <v>1888</v>
      </c>
      <c r="H336" s="15">
        <v>0.9</v>
      </c>
      <c r="I336" s="15">
        <v>0.75</v>
      </c>
      <c r="J336" s="15">
        <v>4.2902542372881353E-2</v>
      </c>
      <c r="K336" s="15">
        <v>3.5752118644067798E-2</v>
      </c>
      <c r="L336" s="15">
        <v>54.2</v>
      </c>
      <c r="M336" s="15">
        <v>1.4263157894736842</v>
      </c>
      <c r="N336" s="16">
        <v>3.0079273250359619E-2</v>
      </c>
      <c r="O336" s="16">
        <v>2.5066061041966355E-2</v>
      </c>
      <c r="P336" s="17">
        <f>IFERROR(G336/(G336+Priors!$H$3),0)</f>
        <v>0.65373961218836563</v>
      </c>
      <c r="Q336" s="18">
        <f>IF(E336="Premier League",Priors!$H$4,IF(E336="Championship",Priors!$H$5,Priors!$H$8))</f>
        <v>1</v>
      </c>
      <c r="R336" s="19" t="b">
        <v>0</v>
      </c>
      <c r="S336" s="18">
        <f>IF(R336=TRUE,Priors!$H$6,1)</f>
        <v>1</v>
      </c>
      <c r="T336" s="19" t="b">
        <v>0</v>
      </c>
      <c r="U336" s="18">
        <f>IF(T336=TRUE,Priors!$H$7,1)</f>
        <v>1</v>
      </c>
      <c r="V336" s="18">
        <f t="shared" si="30"/>
        <v>0.65373961218836563</v>
      </c>
      <c r="W336" s="20">
        <f>VLOOKUP(D336,Priors!$A$3:$C$6,2,FALSE)</f>
        <v>4.1142361271531161E-2</v>
      </c>
      <c r="X336" s="20">
        <f>VLOOKUP(D336,Priors!$A$3:$C$6,3,FALSE)</f>
        <v>4.0513079897554365E-2</v>
      </c>
      <c r="Y336" s="20">
        <f t="shared" si="31"/>
        <v>3.3909982398964728E-2</v>
      </c>
      <c r="Z336" s="20">
        <f t="shared" si="32"/>
        <v>3.0414751781435885E-2</v>
      </c>
      <c r="AA336" s="21">
        <v>1</v>
      </c>
      <c r="AB336" s="21">
        <v>1</v>
      </c>
      <c r="AC336" s="22">
        <f t="shared" si="33"/>
        <v>3.3909982398964728E-2</v>
      </c>
      <c r="AD336" s="22">
        <f t="shared" si="34"/>
        <v>3.0414751781435885E-2</v>
      </c>
      <c r="AE336" s="22">
        <f t="shared" si="35"/>
        <v>0.34626038781163437</v>
      </c>
      <c r="AF336" s="7" t="s">
        <v>1643</v>
      </c>
      <c r="AG336" s="7"/>
      <c r="AH336" s="7"/>
      <c r="AI336" s="7"/>
      <c r="AJ336" s="8" t="b">
        <v>0</v>
      </c>
      <c r="AK336" s="28" t="s">
        <v>1644</v>
      </c>
      <c r="AL336" s="28" t="s">
        <v>1645</v>
      </c>
      <c r="AM336" s="28"/>
      <c r="AN336" s="7"/>
      <c r="AO336" s="7">
        <v>0</v>
      </c>
      <c r="AP336" s="8" t="b">
        <v>0</v>
      </c>
      <c r="AQ336" s="28" t="s">
        <v>1646</v>
      </c>
    </row>
    <row r="337" spans="1:43" ht="30">
      <c r="A337" s="7">
        <v>329</v>
      </c>
      <c r="B337" s="7" t="s">
        <v>1027</v>
      </c>
      <c r="C337" s="7" t="s">
        <v>51</v>
      </c>
      <c r="D337" s="7" t="s">
        <v>99</v>
      </c>
      <c r="E337" s="7" t="s">
        <v>1642</v>
      </c>
      <c r="F337" s="7" t="s">
        <v>51</v>
      </c>
      <c r="G337" s="14">
        <v>2952</v>
      </c>
      <c r="H337" s="15">
        <v>1.4</v>
      </c>
      <c r="I337" s="15">
        <v>0.56000000000000005</v>
      </c>
      <c r="J337" s="15">
        <v>4.2682926829268289E-2</v>
      </c>
      <c r="K337" s="15">
        <v>1.7073170731707318E-2</v>
      </c>
      <c r="L337" s="15">
        <v>54.2</v>
      </c>
      <c r="M337" s="15">
        <v>1.4263157894736842</v>
      </c>
      <c r="N337" s="16">
        <v>2.9925299252992529E-2</v>
      </c>
      <c r="O337" s="16">
        <v>1.1970119701197013E-2</v>
      </c>
      <c r="P337" s="17">
        <f>IFERROR(G337/(G337+Priors!$H$3),0)</f>
        <v>0.74696356275303644</v>
      </c>
      <c r="Q337" s="18">
        <f>IF(E337="Premier League",Priors!$H$4,IF(E337="Championship",Priors!$H$5,Priors!$H$8))</f>
        <v>1</v>
      </c>
      <c r="R337" s="19" t="b">
        <v>0</v>
      </c>
      <c r="S337" s="18">
        <f>IF(R337=TRUE,Priors!$H$6,1)</f>
        <v>1</v>
      </c>
      <c r="T337" s="19" t="b">
        <v>0</v>
      </c>
      <c r="U337" s="18">
        <f>IF(T337=TRUE,Priors!$H$7,1)</f>
        <v>1</v>
      </c>
      <c r="V337" s="18">
        <f t="shared" si="30"/>
        <v>0.74696356275303644</v>
      </c>
      <c r="W337" s="20">
        <f>VLOOKUP(D337,Priors!$A$3:$C$6,2,FALSE)</f>
        <v>4.1142361271531161E-2</v>
      </c>
      <c r="X337" s="20">
        <f>VLOOKUP(D337,Priors!$A$3:$C$6,3,FALSE)</f>
        <v>4.0513079897554365E-2</v>
      </c>
      <c r="Y337" s="20">
        <f t="shared" si="31"/>
        <v>3.2763624662541777E-2</v>
      </c>
      <c r="Z337" s="20">
        <f t="shared" si="32"/>
        <v>1.9192528657765169E-2</v>
      </c>
      <c r="AA337" s="21">
        <v>1</v>
      </c>
      <c r="AB337" s="21">
        <v>1</v>
      </c>
      <c r="AC337" s="22">
        <f t="shared" si="33"/>
        <v>3.2763624662541777E-2</v>
      </c>
      <c r="AD337" s="22">
        <f t="shared" si="34"/>
        <v>1.9192528657765169E-2</v>
      </c>
      <c r="AE337" s="22">
        <f t="shared" si="35"/>
        <v>0.25303643724696356</v>
      </c>
      <c r="AF337" s="7" t="s">
        <v>1643</v>
      </c>
      <c r="AG337" s="7"/>
      <c r="AH337" s="7"/>
      <c r="AI337" s="7"/>
      <c r="AJ337" s="8" t="b">
        <v>0</v>
      </c>
      <c r="AK337" s="28" t="s">
        <v>1644</v>
      </c>
      <c r="AL337" s="28" t="s">
        <v>1645</v>
      </c>
      <c r="AM337" s="28"/>
      <c r="AN337" s="7"/>
      <c r="AO337" s="7">
        <v>0</v>
      </c>
      <c r="AP337" s="8" t="b">
        <v>0</v>
      </c>
      <c r="AQ337" s="28" t="s">
        <v>1646</v>
      </c>
    </row>
    <row r="338" spans="1:43" ht="30">
      <c r="A338" s="7">
        <v>330</v>
      </c>
      <c r="B338" s="7" t="s">
        <v>1030</v>
      </c>
      <c r="C338" s="7" t="s">
        <v>51</v>
      </c>
      <c r="D338" s="7" t="s">
        <v>99</v>
      </c>
      <c r="E338" s="7" t="s">
        <v>1642</v>
      </c>
      <c r="F338" s="7" t="s">
        <v>51</v>
      </c>
      <c r="G338" s="14">
        <v>2795</v>
      </c>
      <c r="H338" s="15">
        <v>2.08</v>
      </c>
      <c r="I338" s="15">
        <v>3.11</v>
      </c>
      <c r="J338" s="15">
        <v>6.6976744186046516E-2</v>
      </c>
      <c r="K338" s="15">
        <v>0.10014311270125223</v>
      </c>
      <c r="L338" s="15">
        <v>54.2</v>
      </c>
      <c r="M338" s="15">
        <v>1.4263157894736842</v>
      </c>
      <c r="N338" s="16">
        <v>4.6957864927486485E-2</v>
      </c>
      <c r="O338" s="16">
        <v>7.0211038425232186E-2</v>
      </c>
      <c r="P338" s="17">
        <f>IFERROR(G338/(G338+Priors!$H$3),0)</f>
        <v>0.73649538866930175</v>
      </c>
      <c r="Q338" s="18">
        <f>IF(E338="Premier League",Priors!$H$4,IF(E338="Championship",Priors!$H$5,Priors!$H$8))</f>
        <v>1</v>
      </c>
      <c r="R338" s="19" t="b">
        <v>0</v>
      </c>
      <c r="S338" s="18">
        <f>IF(R338=TRUE,Priors!$H$6,1)</f>
        <v>1</v>
      </c>
      <c r="T338" s="19" t="b">
        <v>0</v>
      </c>
      <c r="U338" s="18">
        <f>IF(T338=TRUE,Priors!$H$7,1)</f>
        <v>1</v>
      </c>
      <c r="V338" s="18">
        <f t="shared" si="30"/>
        <v>0.73649538866930175</v>
      </c>
      <c r="W338" s="20">
        <f>VLOOKUP(D338,Priors!$A$3:$C$6,2,FALSE)</f>
        <v>4.1142361271531161E-2</v>
      </c>
      <c r="X338" s="20">
        <f>VLOOKUP(D338,Priors!$A$3:$C$6,3,FALSE)</f>
        <v>4.0513079897554365E-2</v>
      </c>
      <c r="Y338" s="20">
        <f t="shared" si="31"/>
        <v>4.5425452896931721E-2</v>
      </c>
      <c r="Z338" s="20">
        <f t="shared" si="32"/>
        <v>6.2385489406081247E-2</v>
      </c>
      <c r="AA338" s="21">
        <v>1</v>
      </c>
      <c r="AB338" s="21">
        <v>1</v>
      </c>
      <c r="AC338" s="22">
        <f t="shared" si="33"/>
        <v>4.5425452896931721E-2</v>
      </c>
      <c r="AD338" s="22">
        <f t="shared" si="34"/>
        <v>6.2385489406081247E-2</v>
      </c>
      <c r="AE338" s="22">
        <f t="shared" si="35"/>
        <v>0.26350461133069825</v>
      </c>
      <c r="AF338" s="7" t="s">
        <v>1643</v>
      </c>
      <c r="AG338" s="7"/>
      <c r="AH338" s="7"/>
      <c r="AI338" s="7"/>
      <c r="AJ338" s="8" t="b">
        <v>0</v>
      </c>
      <c r="AK338" s="28" t="s">
        <v>1644</v>
      </c>
      <c r="AL338" s="28" t="s">
        <v>1645</v>
      </c>
      <c r="AM338" s="28"/>
      <c r="AN338" s="7"/>
      <c r="AO338" s="7">
        <v>0</v>
      </c>
      <c r="AP338" s="8" t="b">
        <v>0</v>
      </c>
      <c r="AQ338" s="28" t="s">
        <v>1646</v>
      </c>
    </row>
    <row r="339" spans="1:43" ht="30">
      <c r="A339" s="7">
        <v>331</v>
      </c>
      <c r="B339" s="7" t="s">
        <v>1033</v>
      </c>
      <c r="C339" s="7" t="s">
        <v>51</v>
      </c>
      <c r="D339" s="7" t="s">
        <v>99</v>
      </c>
      <c r="E339" s="7" t="s">
        <v>1642</v>
      </c>
      <c r="F339" s="7" t="s">
        <v>51</v>
      </c>
      <c r="G339" s="14">
        <v>2637</v>
      </c>
      <c r="H339" s="15">
        <v>1.1000000000000001</v>
      </c>
      <c r="I339" s="15">
        <v>2.89</v>
      </c>
      <c r="J339" s="15">
        <v>3.7542662116040959E-2</v>
      </c>
      <c r="K339" s="15">
        <v>9.8634812286689424E-2</v>
      </c>
      <c r="L339" s="15">
        <v>54.2</v>
      </c>
      <c r="M339" s="15">
        <v>1.4263157894736842</v>
      </c>
      <c r="N339" s="16">
        <v>2.6321423623792556E-2</v>
      </c>
      <c r="O339" s="16">
        <v>6.9153558429782255E-2</v>
      </c>
      <c r="P339" s="17">
        <f>IFERROR(G339/(G339+Priors!$H$3),0)</f>
        <v>0.72504811657959856</v>
      </c>
      <c r="Q339" s="18">
        <f>IF(E339="Premier League",Priors!$H$4,IF(E339="Championship",Priors!$H$5,Priors!$H$8))</f>
        <v>1</v>
      </c>
      <c r="R339" s="19" t="b">
        <v>0</v>
      </c>
      <c r="S339" s="18">
        <f>IF(R339=TRUE,Priors!$H$6,1)</f>
        <v>1</v>
      </c>
      <c r="T339" s="19" t="b">
        <v>0</v>
      </c>
      <c r="U339" s="18">
        <f>IF(T339=TRUE,Priors!$H$7,1)</f>
        <v>1</v>
      </c>
      <c r="V339" s="18">
        <f t="shared" si="30"/>
        <v>0.72504811657959856</v>
      </c>
      <c r="W339" s="20">
        <f>VLOOKUP(D339,Priors!$A$3:$C$6,2,FALSE)</f>
        <v>4.1142361271531161E-2</v>
      </c>
      <c r="X339" s="20">
        <f>VLOOKUP(D339,Priors!$A$3:$C$6,3,FALSE)</f>
        <v>4.0513079897554365E-2</v>
      </c>
      <c r="Y339" s="20">
        <f t="shared" si="31"/>
        <v>3.0396468344094617E-2</v>
      </c>
      <c r="Z339" s="20">
        <f t="shared" si="32"/>
        <v>6.1278804915284625E-2</v>
      </c>
      <c r="AA339" s="21">
        <v>1</v>
      </c>
      <c r="AB339" s="21">
        <v>1</v>
      </c>
      <c r="AC339" s="22">
        <f t="shared" si="33"/>
        <v>3.0396468344094617E-2</v>
      </c>
      <c r="AD339" s="22">
        <f t="shared" si="34"/>
        <v>6.1278804915284625E-2</v>
      </c>
      <c r="AE339" s="22">
        <f t="shared" si="35"/>
        <v>0.27495188342040144</v>
      </c>
      <c r="AF339" s="7" t="s">
        <v>1643</v>
      </c>
      <c r="AG339" s="7"/>
      <c r="AH339" s="7"/>
      <c r="AI339" s="7"/>
      <c r="AJ339" s="8" t="b">
        <v>0</v>
      </c>
      <c r="AK339" s="28" t="s">
        <v>1644</v>
      </c>
      <c r="AL339" s="28" t="s">
        <v>1645</v>
      </c>
      <c r="AM339" s="28"/>
      <c r="AN339" s="7"/>
      <c r="AO339" s="7">
        <v>0</v>
      </c>
      <c r="AP339" s="8" t="b">
        <v>0</v>
      </c>
      <c r="AQ339" s="28" t="s">
        <v>1646</v>
      </c>
    </row>
    <row r="340" spans="1:43" ht="30">
      <c r="A340" s="7">
        <v>332</v>
      </c>
      <c r="B340" s="7" t="s">
        <v>1036</v>
      </c>
      <c r="C340" s="7" t="s">
        <v>51</v>
      </c>
      <c r="D340" s="7" t="s">
        <v>99</v>
      </c>
      <c r="E340" s="7" t="s">
        <v>1642</v>
      </c>
      <c r="F340" s="7" t="s">
        <v>51</v>
      </c>
      <c r="G340" s="14">
        <v>1893</v>
      </c>
      <c r="H340" s="15">
        <v>1.83</v>
      </c>
      <c r="I340" s="15">
        <v>1.1599999999999999</v>
      </c>
      <c r="J340" s="15">
        <v>8.7004754358161657E-2</v>
      </c>
      <c r="K340" s="15">
        <v>5.5150554675118854E-2</v>
      </c>
      <c r="L340" s="15">
        <v>54.2</v>
      </c>
      <c r="M340" s="15">
        <v>1.4263157894736842</v>
      </c>
      <c r="N340" s="16">
        <v>6.0999643276939908E-2</v>
      </c>
      <c r="O340" s="16">
        <v>3.8666440547131302E-2</v>
      </c>
      <c r="P340" s="17">
        <f>IFERROR(G340/(G340+Priors!$H$3),0)</f>
        <v>0.65433805737988249</v>
      </c>
      <c r="Q340" s="18">
        <f>IF(E340="Premier League",Priors!$H$4,IF(E340="Championship",Priors!$H$5,Priors!$H$8))</f>
        <v>1</v>
      </c>
      <c r="R340" s="19" t="b">
        <v>0</v>
      </c>
      <c r="S340" s="18">
        <f>IF(R340=TRUE,Priors!$H$6,1)</f>
        <v>1</v>
      </c>
      <c r="T340" s="19" t="b">
        <v>0</v>
      </c>
      <c r="U340" s="18">
        <f>IF(T340=TRUE,Priors!$H$7,1)</f>
        <v>1</v>
      </c>
      <c r="V340" s="18">
        <f t="shared" si="30"/>
        <v>0.65433805737988249</v>
      </c>
      <c r="W340" s="20">
        <f>VLOOKUP(D340,Priors!$A$3:$C$6,2,FALSE)</f>
        <v>4.1142361271531161E-2</v>
      </c>
      <c r="X340" s="20">
        <f>VLOOKUP(D340,Priors!$A$3:$C$6,3,FALSE)</f>
        <v>4.0513079897554365E-2</v>
      </c>
      <c r="Y340" s="20">
        <f t="shared" si="31"/>
        <v>5.4135736603794817E-2</v>
      </c>
      <c r="Z340" s="20">
        <f t="shared" si="32"/>
        <v>3.9304753492317289E-2</v>
      </c>
      <c r="AA340" s="21">
        <v>1</v>
      </c>
      <c r="AB340" s="21">
        <v>1</v>
      </c>
      <c r="AC340" s="22">
        <f t="shared" si="33"/>
        <v>5.4135736603794817E-2</v>
      </c>
      <c r="AD340" s="22">
        <f t="shared" si="34"/>
        <v>3.9304753492317289E-2</v>
      </c>
      <c r="AE340" s="22">
        <f t="shared" si="35"/>
        <v>0.34566194262011751</v>
      </c>
      <c r="AF340" s="7" t="s">
        <v>1643</v>
      </c>
      <c r="AG340" s="7"/>
      <c r="AH340" s="7"/>
      <c r="AI340" s="7"/>
      <c r="AJ340" s="8" t="b">
        <v>0</v>
      </c>
      <c r="AK340" s="28" t="s">
        <v>1644</v>
      </c>
      <c r="AL340" s="28" t="s">
        <v>1645</v>
      </c>
      <c r="AM340" s="28"/>
      <c r="AN340" s="7"/>
      <c r="AO340" s="7">
        <v>0</v>
      </c>
      <c r="AP340" s="8" t="b">
        <v>0</v>
      </c>
      <c r="AQ340" s="28" t="s">
        <v>1646</v>
      </c>
    </row>
    <row r="341" spans="1:43" ht="30">
      <c r="A341" s="7">
        <v>333</v>
      </c>
      <c r="B341" s="7" t="s">
        <v>1038</v>
      </c>
      <c r="C341" s="7" t="s">
        <v>51</v>
      </c>
      <c r="D341" s="7" t="s">
        <v>99</v>
      </c>
      <c r="E341" s="7" t="s">
        <v>1642</v>
      </c>
      <c r="F341" s="7" t="s">
        <v>51</v>
      </c>
      <c r="G341" s="14">
        <v>429</v>
      </c>
      <c r="H341" s="15">
        <v>0.2</v>
      </c>
      <c r="I341" s="15">
        <v>0.01</v>
      </c>
      <c r="J341" s="15">
        <v>4.195804195804196E-2</v>
      </c>
      <c r="K341" s="15">
        <v>2.0979020979020979E-3</v>
      </c>
      <c r="L341" s="15">
        <v>54.2</v>
      </c>
      <c r="M341" s="15">
        <v>1.4263157894736842</v>
      </c>
      <c r="N341" s="16">
        <v>2.9417077387557094E-2</v>
      </c>
      <c r="O341" s="16">
        <v>1.4708538693778547E-3</v>
      </c>
      <c r="P341" s="17">
        <f>IFERROR(G341/(G341+Priors!$H$3),0)</f>
        <v>0.30020993701889431</v>
      </c>
      <c r="Q341" s="18">
        <f>IF(E341="Premier League",Priors!$H$4,IF(E341="Championship",Priors!$H$5,Priors!$H$8))</f>
        <v>1</v>
      </c>
      <c r="R341" s="19" t="b">
        <v>0</v>
      </c>
      <c r="S341" s="18">
        <f>IF(R341=TRUE,Priors!$H$6,1)</f>
        <v>1</v>
      </c>
      <c r="T341" s="19" t="b">
        <v>0</v>
      </c>
      <c r="U341" s="18">
        <f>IF(T341=TRUE,Priors!$H$7,1)</f>
        <v>1</v>
      </c>
      <c r="V341" s="18">
        <f t="shared" si="30"/>
        <v>0.30020993701889431</v>
      </c>
      <c r="W341" s="20">
        <f>VLOOKUP(D341,Priors!$A$3:$C$6,2,FALSE)</f>
        <v>4.1142361271531161E-2</v>
      </c>
      <c r="X341" s="20">
        <f>VLOOKUP(D341,Priors!$A$3:$C$6,3,FALSE)</f>
        <v>4.0513079897554365E-2</v>
      </c>
      <c r="Y341" s="20">
        <f t="shared" si="31"/>
        <v>3.7622314535194649E-2</v>
      </c>
      <c r="Z341" s="20">
        <f t="shared" si="32"/>
        <v>2.8792215680558057E-2</v>
      </c>
      <c r="AA341" s="21">
        <v>1</v>
      </c>
      <c r="AB341" s="21">
        <v>1</v>
      </c>
      <c r="AC341" s="22">
        <f t="shared" si="33"/>
        <v>3.7622314535194649E-2</v>
      </c>
      <c r="AD341" s="22">
        <f t="shared" si="34"/>
        <v>2.8792215680558057E-2</v>
      </c>
      <c r="AE341" s="22">
        <f t="shared" si="35"/>
        <v>0.69979006298110569</v>
      </c>
      <c r="AF341" s="7" t="s">
        <v>1643</v>
      </c>
      <c r="AG341" s="7"/>
      <c r="AH341" s="7"/>
      <c r="AI341" s="7"/>
      <c r="AJ341" s="8" t="b">
        <v>1</v>
      </c>
      <c r="AK341" s="28" t="s">
        <v>1644</v>
      </c>
      <c r="AL341" s="28" t="s">
        <v>1645</v>
      </c>
      <c r="AM341" s="28"/>
      <c r="AN341" s="7"/>
      <c r="AO341" s="7">
        <v>0</v>
      </c>
      <c r="AP341" s="8" t="b">
        <v>0</v>
      </c>
      <c r="AQ341" s="28" t="s">
        <v>1646</v>
      </c>
    </row>
    <row r="342" spans="1:43" ht="15">
      <c r="A342" s="7">
        <v>334</v>
      </c>
      <c r="B342" s="7" t="s">
        <v>1040</v>
      </c>
      <c r="C342" s="7" t="s">
        <v>51</v>
      </c>
      <c r="D342" s="7" t="s">
        <v>99</v>
      </c>
      <c r="E342" s="7" t="s">
        <v>1647</v>
      </c>
      <c r="F342" s="7"/>
      <c r="G342" s="14"/>
      <c r="H342" s="15"/>
      <c r="I342" s="15"/>
      <c r="J342" s="15"/>
      <c r="K342" s="15"/>
      <c r="L342" s="15"/>
      <c r="M342" s="15"/>
      <c r="N342" s="16"/>
      <c r="O342" s="16"/>
      <c r="P342" s="17">
        <f>IFERROR(G342/(G342+Priors!$H$3),0)</f>
        <v>0</v>
      </c>
      <c r="Q342" s="18">
        <f>IF(E342="Premier League",Priors!$H$4,IF(E342="Championship",Priors!$H$5,Priors!$H$8))</f>
        <v>0</v>
      </c>
      <c r="R342" s="19" t="b">
        <v>0</v>
      </c>
      <c r="S342" s="18">
        <f>IF(R342=TRUE,Priors!$H$6,1)</f>
        <v>1</v>
      </c>
      <c r="T342" s="19" t="b">
        <v>0</v>
      </c>
      <c r="U342" s="18">
        <f>IF(T342=TRUE,Priors!$H$7,1)</f>
        <v>1</v>
      </c>
      <c r="V342" s="18">
        <f t="shared" si="30"/>
        <v>0</v>
      </c>
      <c r="W342" s="20">
        <f>VLOOKUP(D342,Priors!$A$3:$C$6,2,FALSE)</f>
        <v>4.1142361271531161E-2</v>
      </c>
      <c r="X342" s="20">
        <f>VLOOKUP(D342,Priors!$A$3:$C$6,3,FALSE)</f>
        <v>4.0513079897554365E-2</v>
      </c>
      <c r="Y342" s="20">
        <f t="shared" si="31"/>
        <v>4.1142361271531161E-2</v>
      </c>
      <c r="Z342" s="20">
        <f t="shared" si="32"/>
        <v>4.0513079897554365E-2</v>
      </c>
      <c r="AA342" s="21">
        <v>1</v>
      </c>
      <c r="AB342" s="21">
        <v>1</v>
      </c>
      <c r="AC342" s="22">
        <f t="shared" si="33"/>
        <v>4.1142361271531161E-2</v>
      </c>
      <c r="AD342" s="22">
        <f t="shared" si="34"/>
        <v>4.0513079897554365E-2</v>
      </c>
      <c r="AE342" s="22">
        <f t="shared" si="35"/>
        <v>1</v>
      </c>
      <c r="AF342" s="7" t="s">
        <v>1647</v>
      </c>
      <c r="AG342" s="7"/>
      <c r="AH342" s="7"/>
      <c r="AI342" s="7"/>
      <c r="AJ342" s="8" t="b">
        <v>1</v>
      </c>
      <c r="AK342" s="28" t="s">
        <v>1648</v>
      </c>
      <c r="AL342" s="28"/>
      <c r="AM342" s="28"/>
      <c r="AN342" s="7"/>
      <c r="AO342" s="7">
        <v>0</v>
      </c>
      <c r="AP342" s="8" t="b">
        <v>0</v>
      </c>
      <c r="AQ342" s="28" t="s">
        <v>1646</v>
      </c>
    </row>
    <row r="343" spans="1:43" ht="30">
      <c r="A343" s="7">
        <v>335</v>
      </c>
      <c r="B343" s="7" t="s">
        <v>1042</v>
      </c>
      <c r="C343" s="7" t="s">
        <v>51</v>
      </c>
      <c r="D343" s="7" t="s">
        <v>112</v>
      </c>
      <c r="E343" s="7" t="s">
        <v>1642</v>
      </c>
      <c r="F343" s="7" t="s">
        <v>51</v>
      </c>
      <c r="G343" s="14">
        <v>2369</v>
      </c>
      <c r="H343" s="15">
        <v>2.88</v>
      </c>
      <c r="I343" s="15">
        <v>4.47</v>
      </c>
      <c r="J343" s="15">
        <v>0.10941325453777966</v>
      </c>
      <c r="K343" s="15">
        <v>0.16981848881384548</v>
      </c>
      <c r="L343" s="15">
        <v>54.2</v>
      </c>
      <c r="M343" s="15">
        <v>1.4263157894736842</v>
      </c>
      <c r="N343" s="16">
        <v>7.6710399860435916E-2</v>
      </c>
      <c r="O343" s="16">
        <v>0.11906093311671824</v>
      </c>
      <c r="P343" s="17">
        <f>IFERROR(G343/(G343+Priors!$H$3),0)</f>
        <v>0.70317601662214302</v>
      </c>
      <c r="Q343" s="18">
        <f>IF(E343="Premier League",Priors!$H$4,IF(E343="Championship",Priors!$H$5,Priors!$H$8))</f>
        <v>1</v>
      </c>
      <c r="R343" s="19" t="b">
        <v>0</v>
      </c>
      <c r="S343" s="18">
        <f>IF(R343=TRUE,Priors!$H$6,1)</f>
        <v>1</v>
      </c>
      <c r="T343" s="19" t="b">
        <v>0</v>
      </c>
      <c r="U343" s="18">
        <f>IF(T343=TRUE,Priors!$H$7,1)</f>
        <v>1</v>
      </c>
      <c r="V343" s="18">
        <f t="shared" si="30"/>
        <v>0.70317601662214302</v>
      </c>
      <c r="W343" s="20">
        <f>VLOOKUP(D343,Priors!$A$3:$C$6,2,FALSE)</f>
        <v>0.10751786102217777</v>
      </c>
      <c r="X343" s="20">
        <f>VLOOKUP(D343,Priors!$A$3:$C$6,3,FALSE)</f>
        <v>9.0240671969462088E-2</v>
      </c>
      <c r="Y343" s="20">
        <f t="shared" si="31"/>
        <v>8.5854793200222754E-2</v>
      </c>
      <c r="Z343" s="20">
        <f t="shared" si="32"/>
        <v>0.11050638840099958</v>
      </c>
      <c r="AA343" s="21">
        <v>1</v>
      </c>
      <c r="AB343" s="21">
        <v>1</v>
      </c>
      <c r="AC343" s="22">
        <f t="shared" si="33"/>
        <v>8.5854793200222754E-2</v>
      </c>
      <c r="AD343" s="22">
        <f t="shared" si="34"/>
        <v>0.11050638840099958</v>
      </c>
      <c r="AE343" s="22">
        <f t="shared" si="35"/>
        <v>0.29682398337785698</v>
      </c>
      <c r="AF343" s="7" t="s">
        <v>1643</v>
      </c>
      <c r="AG343" s="7"/>
      <c r="AH343" s="7">
        <v>1</v>
      </c>
      <c r="AI343" s="7">
        <v>4</v>
      </c>
      <c r="AJ343" s="8" t="b">
        <v>0</v>
      </c>
      <c r="AK343" s="28" t="s">
        <v>1644</v>
      </c>
      <c r="AL343" s="28" t="s">
        <v>1645</v>
      </c>
      <c r="AM343" s="28"/>
      <c r="AN343" s="7"/>
      <c r="AO343" s="7">
        <v>0</v>
      </c>
      <c r="AP343" s="8" t="b">
        <v>0</v>
      </c>
      <c r="AQ343" s="28" t="s">
        <v>1646</v>
      </c>
    </row>
    <row r="344" spans="1:43" ht="30">
      <c r="A344" s="7">
        <v>336</v>
      </c>
      <c r="B344" s="7" t="s">
        <v>1045</v>
      </c>
      <c r="C344" s="7" t="s">
        <v>51</v>
      </c>
      <c r="D344" s="7" t="s">
        <v>112</v>
      </c>
      <c r="E344" s="7" t="s">
        <v>1642</v>
      </c>
      <c r="F344" s="7" t="s">
        <v>51</v>
      </c>
      <c r="G344" s="14">
        <v>1553</v>
      </c>
      <c r="H344" s="15">
        <v>5.25</v>
      </c>
      <c r="I344" s="15">
        <v>1.32</v>
      </c>
      <c r="J344" s="15">
        <v>0.30424983902124919</v>
      </c>
      <c r="K344" s="15">
        <v>7.6497102382485513E-2</v>
      </c>
      <c r="L344" s="15">
        <v>54.2</v>
      </c>
      <c r="M344" s="15">
        <v>1.4263157894736842</v>
      </c>
      <c r="N344" s="16">
        <v>0.21331169525475036</v>
      </c>
      <c r="O344" s="16">
        <v>5.363265480690866E-2</v>
      </c>
      <c r="P344" s="17">
        <f>IFERROR(G344/(G344+Priors!$H$3),0)</f>
        <v>0.60830395613004307</v>
      </c>
      <c r="Q344" s="18">
        <f>IF(E344="Premier League",Priors!$H$4,IF(E344="Championship",Priors!$H$5,Priors!$H$8))</f>
        <v>1</v>
      </c>
      <c r="R344" s="19" t="b">
        <v>0</v>
      </c>
      <c r="S344" s="18">
        <f>IF(R344=TRUE,Priors!$H$6,1)</f>
        <v>1</v>
      </c>
      <c r="T344" s="19" t="b">
        <v>0</v>
      </c>
      <c r="U344" s="18">
        <f>IF(T344=TRUE,Priors!$H$7,1)</f>
        <v>1</v>
      </c>
      <c r="V344" s="18">
        <f t="shared" si="30"/>
        <v>0.60830395613004307</v>
      </c>
      <c r="W344" s="20">
        <f>VLOOKUP(D344,Priors!$A$3:$C$6,2,FALSE)</f>
        <v>0.10751786102217777</v>
      </c>
      <c r="X344" s="20">
        <f>VLOOKUP(D344,Priors!$A$3:$C$6,3,FALSE)</f>
        <v>9.0240671969462088E-2</v>
      </c>
      <c r="Y344" s="20">
        <f t="shared" si="31"/>
        <v>0.17187266892001765</v>
      </c>
      <c r="Z344" s="20">
        <f t="shared" si="32"/>
        <v>6.7971870303404319E-2</v>
      </c>
      <c r="AA344" s="21">
        <v>1</v>
      </c>
      <c r="AB344" s="21">
        <v>1</v>
      </c>
      <c r="AC344" s="22">
        <f t="shared" si="33"/>
        <v>0.17187266892001765</v>
      </c>
      <c r="AD344" s="22">
        <f t="shared" si="34"/>
        <v>6.7971870303404319E-2</v>
      </c>
      <c r="AE344" s="22">
        <f t="shared" si="35"/>
        <v>0.39169604386995693</v>
      </c>
      <c r="AF344" s="7" t="s">
        <v>1643</v>
      </c>
      <c r="AG344" s="7"/>
      <c r="AH344" s="7"/>
      <c r="AI344" s="7"/>
      <c r="AJ344" s="8" t="b">
        <v>0</v>
      </c>
      <c r="AK344" s="28" t="s">
        <v>1644</v>
      </c>
      <c r="AL344" s="28" t="s">
        <v>1645</v>
      </c>
      <c r="AM344" s="28"/>
      <c r="AN344" s="7"/>
      <c r="AO344" s="7">
        <v>0</v>
      </c>
      <c r="AP344" s="8" t="b">
        <v>0</v>
      </c>
      <c r="AQ344" s="28" t="s">
        <v>1646</v>
      </c>
    </row>
    <row r="345" spans="1:43" ht="30">
      <c r="A345" s="7">
        <v>337</v>
      </c>
      <c r="B345" s="7" t="s">
        <v>1047</v>
      </c>
      <c r="C345" s="7" t="s">
        <v>51</v>
      </c>
      <c r="D345" s="7" t="s">
        <v>112</v>
      </c>
      <c r="E345" s="7" t="s">
        <v>1642</v>
      </c>
      <c r="F345" s="7" t="s">
        <v>51</v>
      </c>
      <c r="G345" s="14">
        <v>2449</v>
      </c>
      <c r="H345" s="15">
        <v>4.53</v>
      </c>
      <c r="I345" s="15">
        <v>3.6</v>
      </c>
      <c r="J345" s="15">
        <v>0.16647611269906085</v>
      </c>
      <c r="K345" s="15">
        <v>0.13229889750918741</v>
      </c>
      <c r="L345" s="15">
        <v>54.2</v>
      </c>
      <c r="M345" s="15">
        <v>1.4263157894736842</v>
      </c>
      <c r="N345" s="16">
        <v>0.11671756978900945</v>
      </c>
      <c r="O345" s="16">
        <v>9.2755684600537305E-2</v>
      </c>
      <c r="P345" s="17">
        <f>IFERROR(G345/(G345+Priors!$H$3),0)</f>
        <v>0.7100608872136851</v>
      </c>
      <c r="Q345" s="18">
        <f>IF(E345="Premier League",Priors!$H$4,IF(E345="Championship",Priors!$H$5,Priors!$H$8))</f>
        <v>1</v>
      </c>
      <c r="R345" s="19" t="b">
        <v>0</v>
      </c>
      <c r="S345" s="18">
        <f>IF(R345=TRUE,Priors!$H$6,1)</f>
        <v>1</v>
      </c>
      <c r="T345" s="19" t="b">
        <v>0</v>
      </c>
      <c r="U345" s="18">
        <f>IF(T345=TRUE,Priors!$H$7,1)</f>
        <v>1</v>
      </c>
      <c r="V345" s="18">
        <f t="shared" si="30"/>
        <v>0.7100608872136851</v>
      </c>
      <c r="W345" s="20">
        <f>VLOOKUP(D345,Priors!$A$3:$C$6,2,FALSE)</f>
        <v>0.10751786102217777</v>
      </c>
      <c r="X345" s="20">
        <f>VLOOKUP(D345,Priors!$A$3:$C$6,3,FALSE)</f>
        <v>9.0240671969462088E-2</v>
      </c>
      <c r="Y345" s="20">
        <f t="shared" si="31"/>
        <v>0.11405021439126178</v>
      </c>
      <c r="Z345" s="20">
        <f t="shared" si="32"/>
        <v>9.2026484069636982E-2</v>
      </c>
      <c r="AA345" s="21">
        <v>1</v>
      </c>
      <c r="AB345" s="21">
        <v>1</v>
      </c>
      <c r="AC345" s="22">
        <f t="shared" si="33"/>
        <v>0.11405021439126178</v>
      </c>
      <c r="AD345" s="22">
        <f t="shared" si="34"/>
        <v>9.2026484069636982E-2</v>
      </c>
      <c r="AE345" s="22">
        <f t="shared" si="35"/>
        <v>0.2899391127863149</v>
      </c>
      <c r="AF345" s="7" t="s">
        <v>1643</v>
      </c>
      <c r="AG345" s="7"/>
      <c r="AH345" s="7">
        <v>3</v>
      </c>
      <c r="AI345" s="7"/>
      <c r="AJ345" s="8" t="b">
        <v>0</v>
      </c>
      <c r="AK345" s="28" t="s">
        <v>1644</v>
      </c>
      <c r="AL345" s="28" t="s">
        <v>1645</v>
      </c>
      <c r="AM345" s="28"/>
      <c r="AN345" s="7"/>
      <c r="AO345" s="7">
        <v>0</v>
      </c>
      <c r="AP345" s="8" t="b">
        <v>0</v>
      </c>
      <c r="AQ345" s="28" t="s">
        <v>1646</v>
      </c>
    </row>
    <row r="346" spans="1:43" ht="30">
      <c r="A346" s="7">
        <v>338</v>
      </c>
      <c r="B346" s="7" t="s">
        <v>1049</v>
      </c>
      <c r="C346" s="7" t="s">
        <v>51</v>
      </c>
      <c r="D346" s="7" t="s">
        <v>112</v>
      </c>
      <c r="E346" s="7" t="s">
        <v>1642</v>
      </c>
      <c r="F346" s="7" t="s">
        <v>51</v>
      </c>
      <c r="G346" s="14">
        <v>3119</v>
      </c>
      <c r="H346" s="15">
        <v>2.4700000000000002</v>
      </c>
      <c r="I346" s="15">
        <v>2.2000000000000002</v>
      </c>
      <c r="J346" s="15">
        <v>7.1272843860211613E-2</v>
      </c>
      <c r="K346" s="15">
        <v>6.3481885219621684E-2</v>
      </c>
      <c r="L346" s="15">
        <v>54.2</v>
      </c>
      <c r="M346" s="15">
        <v>1.4263157894736842</v>
      </c>
      <c r="N346" s="16">
        <v>4.9969890529299656E-2</v>
      </c>
      <c r="O346" s="16">
        <v>4.4507594803424796E-2</v>
      </c>
      <c r="P346" s="17">
        <f>IFERROR(G346/(G346+Priors!$H$3),0)</f>
        <v>0.75722262685117747</v>
      </c>
      <c r="Q346" s="18">
        <f>IF(E346="Premier League",Priors!$H$4,IF(E346="Championship",Priors!$H$5,Priors!$H$8))</f>
        <v>1</v>
      </c>
      <c r="R346" s="19" t="b">
        <v>0</v>
      </c>
      <c r="S346" s="18">
        <f>IF(R346=TRUE,Priors!$H$6,1)</f>
        <v>1</v>
      </c>
      <c r="T346" s="19" t="b">
        <v>0</v>
      </c>
      <c r="U346" s="18">
        <f>IF(T346=TRUE,Priors!$H$7,1)</f>
        <v>1</v>
      </c>
      <c r="V346" s="18">
        <f t="shared" si="30"/>
        <v>0.75722262685117747</v>
      </c>
      <c r="W346" s="20">
        <f>VLOOKUP(D346,Priors!$A$3:$C$6,2,FALSE)</f>
        <v>0.10751786102217777</v>
      </c>
      <c r="X346" s="20">
        <f>VLOOKUP(D346,Priors!$A$3:$C$6,3,FALSE)</f>
        <v>9.0240671969462088E-2</v>
      </c>
      <c r="Y346" s="20">
        <f t="shared" si="31"/>
        <v>6.3941235635606553E-2</v>
      </c>
      <c r="Z346" s="20">
        <f t="shared" si="32"/>
        <v>5.5610551143807724E-2</v>
      </c>
      <c r="AA346" s="21">
        <v>1</v>
      </c>
      <c r="AB346" s="21">
        <v>1</v>
      </c>
      <c r="AC346" s="22">
        <f t="shared" si="33"/>
        <v>6.3941235635606553E-2</v>
      </c>
      <c r="AD346" s="22">
        <f t="shared" si="34"/>
        <v>5.5610551143807724E-2</v>
      </c>
      <c r="AE346" s="22">
        <f t="shared" si="35"/>
        <v>0.24277737314882253</v>
      </c>
      <c r="AF346" s="7" t="s">
        <v>1643</v>
      </c>
      <c r="AG346" s="7"/>
      <c r="AH346" s="7"/>
      <c r="AI346" s="7"/>
      <c r="AJ346" s="8" t="b">
        <v>0</v>
      </c>
      <c r="AK346" s="28" t="s">
        <v>1644</v>
      </c>
      <c r="AL346" s="28" t="s">
        <v>1645</v>
      </c>
      <c r="AM346" s="28"/>
      <c r="AN346" s="7"/>
      <c r="AO346" s="7">
        <v>0</v>
      </c>
      <c r="AP346" s="8" t="b">
        <v>0</v>
      </c>
      <c r="AQ346" s="28" t="s">
        <v>1646</v>
      </c>
    </row>
    <row r="347" spans="1:43" ht="30">
      <c r="A347" s="7">
        <v>339</v>
      </c>
      <c r="B347" s="7" t="s">
        <v>1052</v>
      </c>
      <c r="C347" s="7" t="s">
        <v>51</v>
      </c>
      <c r="D347" s="7" t="s">
        <v>112</v>
      </c>
      <c r="E347" s="7" t="s">
        <v>1642</v>
      </c>
      <c r="F347" s="7" t="s">
        <v>51</v>
      </c>
      <c r="G347" s="14">
        <v>1003</v>
      </c>
      <c r="H347" s="15">
        <v>1.23</v>
      </c>
      <c r="I347" s="15">
        <v>1.87</v>
      </c>
      <c r="J347" s="15">
        <v>0.11036889332003988</v>
      </c>
      <c r="K347" s="15">
        <v>0.16779661016949154</v>
      </c>
      <c r="L347" s="15">
        <v>54.2</v>
      </c>
      <c r="M347" s="15">
        <v>1.4263157894736842</v>
      </c>
      <c r="N347" s="16">
        <v>7.7380404910729061E-2</v>
      </c>
      <c r="O347" s="16">
        <v>0.11764337982362875</v>
      </c>
      <c r="P347" s="17">
        <f>IFERROR(G347/(G347+Priors!$H$3),0)</f>
        <v>0.50074887668497259</v>
      </c>
      <c r="Q347" s="18">
        <f>IF(E347="Premier League",Priors!$H$4,IF(E347="Championship",Priors!$H$5,Priors!$H$8))</f>
        <v>1</v>
      </c>
      <c r="R347" s="19" t="b">
        <v>0</v>
      </c>
      <c r="S347" s="18">
        <f>IF(R347=TRUE,Priors!$H$6,1)</f>
        <v>1</v>
      </c>
      <c r="T347" s="19" t="b">
        <v>0</v>
      </c>
      <c r="U347" s="18">
        <f>IF(T347=TRUE,Priors!$H$7,1)</f>
        <v>1</v>
      </c>
      <c r="V347" s="18">
        <f t="shared" si="30"/>
        <v>0.50074887668497259</v>
      </c>
      <c r="W347" s="20">
        <f>VLOOKUP(D347,Priors!$A$3:$C$6,2,FALSE)</f>
        <v>0.10751786102217777</v>
      </c>
      <c r="X347" s="20">
        <f>VLOOKUP(D347,Priors!$A$3:$C$6,3,FALSE)</f>
        <v>9.0240671969462088E-2</v>
      </c>
      <c r="Y347" s="20">
        <f t="shared" si="31"/>
        <v>9.2426563728227162E-2</v>
      </c>
      <c r="Z347" s="20">
        <f t="shared" si="32"/>
        <v>0.10396254714556252</v>
      </c>
      <c r="AA347" s="21">
        <v>1</v>
      </c>
      <c r="AB347" s="21">
        <v>1</v>
      </c>
      <c r="AC347" s="22">
        <f t="shared" si="33"/>
        <v>9.2426563728227162E-2</v>
      </c>
      <c r="AD347" s="22">
        <f t="shared" si="34"/>
        <v>0.10396254714556252</v>
      </c>
      <c r="AE347" s="22">
        <f t="shared" si="35"/>
        <v>0.49925112331502741</v>
      </c>
      <c r="AF347" s="7" t="s">
        <v>1643</v>
      </c>
      <c r="AG347" s="7"/>
      <c r="AH347" s="7">
        <v>2</v>
      </c>
      <c r="AI347" s="7">
        <v>5</v>
      </c>
      <c r="AJ347" s="8" t="b">
        <v>0</v>
      </c>
      <c r="AK347" s="28" t="s">
        <v>1644</v>
      </c>
      <c r="AL347" s="28" t="s">
        <v>1645</v>
      </c>
      <c r="AM347" s="28"/>
      <c r="AN347" s="7">
        <v>1</v>
      </c>
      <c r="AO347" s="7">
        <v>1</v>
      </c>
      <c r="AP347" s="8" t="b">
        <v>1</v>
      </c>
      <c r="AQ347" s="28" t="s">
        <v>1649</v>
      </c>
    </row>
    <row r="348" spans="1:43" ht="15">
      <c r="A348" s="7">
        <v>340</v>
      </c>
      <c r="B348" s="7" t="s">
        <v>1054</v>
      </c>
      <c r="C348" s="7" t="s">
        <v>51</v>
      </c>
      <c r="D348" s="7" t="s">
        <v>112</v>
      </c>
      <c r="E348" s="7" t="s">
        <v>1647</v>
      </c>
      <c r="F348" s="7"/>
      <c r="G348" s="14"/>
      <c r="H348" s="15"/>
      <c r="I348" s="15"/>
      <c r="J348" s="15"/>
      <c r="K348" s="15"/>
      <c r="L348" s="15"/>
      <c r="M348" s="15"/>
      <c r="N348" s="16"/>
      <c r="O348" s="16"/>
      <c r="P348" s="17">
        <f>IFERROR(G348/(G348+Priors!$H$3),0)</f>
        <v>0</v>
      </c>
      <c r="Q348" s="18">
        <f>IF(E348="Premier League",Priors!$H$4,IF(E348="Championship",Priors!$H$5,Priors!$H$8))</f>
        <v>0</v>
      </c>
      <c r="R348" s="19" t="b">
        <v>0</v>
      </c>
      <c r="S348" s="18">
        <f>IF(R348=TRUE,Priors!$H$6,1)</f>
        <v>1</v>
      </c>
      <c r="T348" s="19" t="b">
        <v>0</v>
      </c>
      <c r="U348" s="18">
        <f>IF(T348=TRUE,Priors!$H$7,1)</f>
        <v>1</v>
      </c>
      <c r="V348" s="18">
        <f t="shared" si="30"/>
        <v>0</v>
      </c>
      <c r="W348" s="20">
        <f>VLOOKUP(D348,Priors!$A$3:$C$6,2,FALSE)</f>
        <v>0.10751786102217777</v>
      </c>
      <c r="X348" s="20">
        <f>VLOOKUP(D348,Priors!$A$3:$C$6,3,FALSE)</f>
        <v>9.0240671969462088E-2</v>
      </c>
      <c r="Y348" s="20">
        <f t="shared" si="31"/>
        <v>0.10751786102217777</v>
      </c>
      <c r="Z348" s="20">
        <f t="shared" si="32"/>
        <v>9.0240671969462088E-2</v>
      </c>
      <c r="AA348" s="21">
        <v>1</v>
      </c>
      <c r="AB348" s="21">
        <v>1</v>
      </c>
      <c r="AC348" s="22">
        <f t="shared" si="33"/>
        <v>0.10751786102217777</v>
      </c>
      <c r="AD348" s="22">
        <f t="shared" si="34"/>
        <v>9.0240671969462088E-2</v>
      </c>
      <c r="AE348" s="22">
        <f t="shared" si="35"/>
        <v>1</v>
      </c>
      <c r="AF348" s="7" t="s">
        <v>1647</v>
      </c>
      <c r="AG348" s="7"/>
      <c r="AH348" s="7"/>
      <c r="AI348" s="7"/>
      <c r="AJ348" s="8" t="b">
        <v>1</v>
      </c>
      <c r="AK348" s="28" t="s">
        <v>1648</v>
      </c>
      <c r="AL348" s="28"/>
      <c r="AM348" s="28"/>
      <c r="AN348" s="7">
        <v>2</v>
      </c>
      <c r="AO348" s="7">
        <v>1</v>
      </c>
      <c r="AP348" s="8" t="b">
        <v>1</v>
      </c>
      <c r="AQ348" s="28" t="s">
        <v>1649</v>
      </c>
    </row>
    <row r="349" spans="1:43" ht="30">
      <c r="A349" s="7">
        <v>341</v>
      </c>
      <c r="B349" s="7" t="s">
        <v>1057</v>
      </c>
      <c r="C349" s="7" t="s">
        <v>51</v>
      </c>
      <c r="D349" s="7" t="s">
        <v>112</v>
      </c>
      <c r="E349" s="7" t="s">
        <v>1642</v>
      </c>
      <c r="F349" s="7" t="s">
        <v>51</v>
      </c>
      <c r="G349" s="14">
        <v>521</v>
      </c>
      <c r="H349" s="15">
        <v>0.4</v>
      </c>
      <c r="I349" s="15">
        <v>0.77</v>
      </c>
      <c r="J349" s="15">
        <v>6.9097888675623803E-2</v>
      </c>
      <c r="K349" s="15">
        <v>0.13301343570057581</v>
      </c>
      <c r="L349" s="15">
        <v>54.2</v>
      </c>
      <c r="M349" s="15">
        <v>1.4263157894736842</v>
      </c>
      <c r="N349" s="16">
        <v>4.8445014200621854E-2</v>
      </c>
      <c r="O349" s="16">
        <v>9.3256652336197066E-2</v>
      </c>
      <c r="P349" s="17">
        <f>IFERROR(G349/(G349+Priors!$H$3),0)</f>
        <v>0.34253780407626561</v>
      </c>
      <c r="Q349" s="18">
        <f>IF(E349="Premier League",Priors!$H$4,IF(E349="Championship",Priors!$H$5,Priors!$H$8))</f>
        <v>1</v>
      </c>
      <c r="R349" s="19" t="b">
        <v>0</v>
      </c>
      <c r="S349" s="18">
        <f>IF(R349=TRUE,Priors!$H$6,1)</f>
        <v>1</v>
      </c>
      <c r="T349" s="19" t="b">
        <v>0</v>
      </c>
      <c r="U349" s="18">
        <f>IF(T349=TRUE,Priors!$H$7,1)</f>
        <v>1</v>
      </c>
      <c r="V349" s="18">
        <f t="shared" si="30"/>
        <v>0.34253780407626561</v>
      </c>
      <c r="W349" s="20">
        <f>VLOOKUP(D349,Priors!$A$3:$C$6,2,FALSE)</f>
        <v>0.10751786102217777</v>
      </c>
      <c r="X349" s="20">
        <f>VLOOKUP(D349,Priors!$A$3:$C$6,3,FALSE)</f>
        <v>9.0240671969462088E-2</v>
      </c>
      <c r="Y349" s="20">
        <f t="shared" si="31"/>
        <v>8.7283177791388389E-2</v>
      </c>
      <c r="Z349" s="20">
        <f t="shared" si="32"/>
        <v>9.1273759261420617E-2</v>
      </c>
      <c r="AA349" s="21">
        <v>1</v>
      </c>
      <c r="AB349" s="21">
        <v>1</v>
      </c>
      <c r="AC349" s="22">
        <f t="shared" si="33"/>
        <v>8.7283177791388389E-2</v>
      </c>
      <c r="AD349" s="22">
        <f t="shared" si="34"/>
        <v>9.1273759261420617E-2</v>
      </c>
      <c r="AE349" s="22">
        <f t="shared" si="35"/>
        <v>0.65746219592373434</v>
      </c>
      <c r="AF349" s="7" t="s">
        <v>1643</v>
      </c>
      <c r="AG349" s="7"/>
      <c r="AH349" s="7"/>
      <c r="AI349" s="7"/>
      <c r="AJ349" s="8" t="b">
        <v>1</v>
      </c>
      <c r="AK349" s="28" t="s">
        <v>1644</v>
      </c>
      <c r="AL349" s="28" t="s">
        <v>1645</v>
      </c>
      <c r="AM349" s="28"/>
      <c r="AN349" s="7">
        <v>3</v>
      </c>
      <c r="AO349" s="7">
        <v>0</v>
      </c>
      <c r="AP349" s="8" t="b">
        <v>0</v>
      </c>
      <c r="AQ349" s="28" t="s">
        <v>1646</v>
      </c>
    </row>
    <row r="350" spans="1:43" ht="30">
      <c r="A350" s="7">
        <v>342</v>
      </c>
      <c r="B350" s="7" t="s">
        <v>1059</v>
      </c>
      <c r="C350" s="7" t="s">
        <v>51</v>
      </c>
      <c r="D350" s="7" t="s">
        <v>112</v>
      </c>
      <c r="E350" s="7" t="s">
        <v>1642</v>
      </c>
      <c r="F350" s="7" t="s">
        <v>51</v>
      </c>
      <c r="G350" s="14">
        <v>262</v>
      </c>
      <c r="H350" s="15">
        <v>0.28000000000000003</v>
      </c>
      <c r="I350" s="15">
        <v>0.23</v>
      </c>
      <c r="J350" s="15">
        <v>9.6183206106870242E-2</v>
      </c>
      <c r="K350" s="15">
        <v>7.9007633587786258E-2</v>
      </c>
      <c r="L350" s="15">
        <v>54.2</v>
      </c>
      <c r="M350" s="15">
        <v>1.4263157894736842</v>
      </c>
      <c r="N350" s="16">
        <v>6.7434720148728214E-2</v>
      </c>
      <c r="O350" s="16">
        <v>5.5392805836455311E-2</v>
      </c>
      <c r="P350" s="17">
        <f>IFERROR(G350/(G350+Priors!$H$3),0)</f>
        <v>0.2076069730586371</v>
      </c>
      <c r="Q350" s="18">
        <f>IF(E350="Premier League",Priors!$H$4,IF(E350="Championship",Priors!$H$5,Priors!$H$8))</f>
        <v>1</v>
      </c>
      <c r="R350" s="19" t="b">
        <v>0</v>
      </c>
      <c r="S350" s="18">
        <f>IF(R350=TRUE,Priors!$H$6,1)</f>
        <v>1</v>
      </c>
      <c r="T350" s="19" t="b">
        <v>0</v>
      </c>
      <c r="U350" s="18">
        <f>IF(T350=TRUE,Priors!$H$7,1)</f>
        <v>1</v>
      </c>
      <c r="V350" s="18">
        <f t="shared" si="30"/>
        <v>0.2076069730586371</v>
      </c>
      <c r="W350" s="20">
        <f>VLOOKUP(D350,Priors!$A$3:$C$6,2,FALSE)</f>
        <v>0.10751786102217777</v>
      </c>
      <c r="X350" s="20">
        <f>VLOOKUP(D350,Priors!$A$3:$C$6,3,FALSE)</f>
        <v>9.0240671969462088E-2</v>
      </c>
      <c r="Y350" s="20">
        <f t="shared" si="31"/>
        <v>9.9196321474757973E-2</v>
      </c>
      <c r="Z350" s="20">
        <f t="shared" si="32"/>
        <v>8.3006011964035967E-2</v>
      </c>
      <c r="AA350" s="21">
        <v>1</v>
      </c>
      <c r="AB350" s="21">
        <v>1</v>
      </c>
      <c r="AC350" s="22">
        <f t="shared" si="33"/>
        <v>9.9196321474757973E-2</v>
      </c>
      <c r="AD350" s="22">
        <f t="shared" si="34"/>
        <v>8.3006011964035967E-2</v>
      </c>
      <c r="AE350" s="22">
        <f t="shared" si="35"/>
        <v>0.79239302694136293</v>
      </c>
      <c r="AF350" s="7" t="s">
        <v>1643</v>
      </c>
      <c r="AG350" s="7"/>
      <c r="AH350" s="7"/>
      <c r="AI350" s="7"/>
      <c r="AJ350" s="8" t="b">
        <v>1</v>
      </c>
      <c r="AK350" s="28" t="s">
        <v>1644</v>
      </c>
      <c r="AL350" s="28" t="s">
        <v>1645</v>
      </c>
      <c r="AM350" s="28"/>
      <c r="AN350" s="7"/>
      <c r="AO350" s="7">
        <v>0</v>
      </c>
      <c r="AP350" s="8" t="b">
        <v>0</v>
      </c>
      <c r="AQ350" s="28" t="s">
        <v>1646</v>
      </c>
    </row>
    <row r="351" spans="1:43" ht="30">
      <c r="A351" s="7">
        <v>343</v>
      </c>
      <c r="B351" s="7" t="s">
        <v>518</v>
      </c>
      <c r="C351" s="7" t="s">
        <v>51</v>
      </c>
      <c r="D351" s="7" t="s">
        <v>112</v>
      </c>
      <c r="E351" s="7" t="s">
        <v>1642</v>
      </c>
      <c r="F351" s="7" t="s">
        <v>51</v>
      </c>
      <c r="G351" s="14">
        <v>547</v>
      </c>
      <c r="H351" s="15">
        <v>0.91</v>
      </c>
      <c r="I351" s="15">
        <v>0.71</v>
      </c>
      <c r="J351" s="15">
        <v>0.14972577696526509</v>
      </c>
      <c r="K351" s="15">
        <v>0.11681901279707495</v>
      </c>
      <c r="L351" s="15">
        <v>54.2</v>
      </c>
      <c r="M351" s="15">
        <v>1.4263157894736842</v>
      </c>
      <c r="N351" s="16">
        <v>0.10497379196826705</v>
      </c>
      <c r="O351" s="16">
        <v>8.190262889831823E-2</v>
      </c>
      <c r="P351" s="17">
        <f>IFERROR(G351/(G351+Priors!$H$3),0)</f>
        <v>0.35358758888170655</v>
      </c>
      <c r="Q351" s="18">
        <f>IF(E351="Premier League",Priors!$H$4,IF(E351="Championship",Priors!$H$5,Priors!$H$8))</f>
        <v>1</v>
      </c>
      <c r="R351" s="19" t="b">
        <v>0</v>
      </c>
      <c r="S351" s="18">
        <f>IF(R351=TRUE,Priors!$H$6,1)</f>
        <v>1</v>
      </c>
      <c r="T351" s="19" t="b">
        <v>0</v>
      </c>
      <c r="U351" s="18">
        <f>IF(T351=TRUE,Priors!$H$7,1)</f>
        <v>1</v>
      </c>
      <c r="V351" s="18">
        <f t="shared" si="30"/>
        <v>0.35358758888170655</v>
      </c>
      <c r="W351" s="20">
        <f>VLOOKUP(D351,Priors!$A$3:$C$6,2,FALSE)</f>
        <v>0.10751786102217777</v>
      </c>
      <c r="X351" s="20">
        <f>VLOOKUP(D351,Priors!$A$3:$C$6,3,FALSE)</f>
        <v>9.0240671969462088E-2</v>
      </c>
      <c r="Y351" s="20">
        <f t="shared" si="31"/>
        <v>0.1066183097794569</v>
      </c>
      <c r="Z351" s="20">
        <f t="shared" si="32"/>
        <v>8.7292443423944502E-2</v>
      </c>
      <c r="AA351" s="21">
        <v>1</v>
      </c>
      <c r="AB351" s="21">
        <v>1</v>
      </c>
      <c r="AC351" s="22">
        <f t="shared" si="33"/>
        <v>0.1066183097794569</v>
      </c>
      <c r="AD351" s="22">
        <f t="shared" si="34"/>
        <v>8.7292443423944502E-2</v>
      </c>
      <c r="AE351" s="22">
        <f t="shared" si="35"/>
        <v>0.6464124111182934</v>
      </c>
      <c r="AF351" s="7" t="s">
        <v>1643</v>
      </c>
      <c r="AG351" s="7"/>
      <c r="AH351" s="7"/>
      <c r="AI351" s="7"/>
      <c r="AJ351" s="8" t="b">
        <v>1</v>
      </c>
      <c r="AK351" s="28" t="s">
        <v>1644</v>
      </c>
      <c r="AL351" s="28" t="s">
        <v>1645</v>
      </c>
      <c r="AM351" s="28"/>
      <c r="AN351" s="7"/>
      <c r="AO351" s="7">
        <v>0</v>
      </c>
      <c r="AP351" s="8" t="b">
        <v>0</v>
      </c>
      <c r="AQ351" s="28" t="s">
        <v>1646</v>
      </c>
    </row>
    <row r="352" spans="1:43" ht="30">
      <c r="A352" s="7">
        <v>344</v>
      </c>
      <c r="B352" s="7" t="s">
        <v>1064</v>
      </c>
      <c r="C352" s="7" t="s">
        <v>51</v>
      </c>
      <c r="D352" s="7" t="s">
        <v>112</v>
      </c>
      <c r="E352" s="7" t="s">
        <v>1642</v>
      </c>
      <c r="F352" s="7" t="s">
        <v>51</v>
      </c>
      <c r="G352" s="14">
        <v>1318</v>
      </c>
      <c r="H352" s="15">
        <v>0.49</v>
      </c>
      <c r="I352" s="15">
        <v>0.86</v>
      </c>
      <c r="J352" s="15">
        <v>3.3459787556904402E-2</v>
      </c>
      <c r="K352" s="15">
        <v>5.8725341426403649E-2</v>
      </c>
      <c r="L352" s="15">
        <v>54.2</v>
      </c>
      <c r="M352" s="15">
        <v>1.4263157894736842</v>
      </c>
      <c r="N352" s="16">
        <v>2.3458891645062128E-2</v>
      </c>
      <c r="O352" s="16">
        <v>4.1172748601537613E-2</v>
      </c>
      <c r="P352" s="17">
        <f>IFERROR(G352/(G352+Priors!$H$3),0)</f>
        <v>0.56859361518550477</v>
      </c>
      <c r="Q352" s="18">
        <f>IF(E352="Premier League",Priors!$H$4,IF(E352="Championship",Priors!$H$5,Priors!$H$8))</f>
        <v>1</v>
      </c>
      <c r="R352" s="19" t="b">
        <v>0</v>
      </c>
      <c r="S352" s="18">
        <f>IF(R352=TRUE,Priors!$H$6,1)</f>
        <v>1</v>
      </c>
      <c r="T352" s="19" t="b">
        <v>0</v>
      </c>
      <c r="U352" s="18">
        <f>IF(T352=TRUE,Priors!$H$7,1)</f>
        <v>1</v>
      </c>
      <c r="V352" s="18">
        <f t="shared" si="30"/>
        <v>0.56859361518550477</v>
      </c>
      <c r="W352" s="20">
        <f>VLOOKUP(D352,Priors!$A$3:$C$6,2,FALSE)</f>
        <v>0.10751786102217777</v>
      </c>
      <c r="X352" s="20">
        <f>VLOOKUP(D352,Priors!$A$3:$C$6,3,FALSE)</f>
        <v>9.0240671969462088E-2</v>
      </c>
      <c r="Y352" s="20">
        <f t="shared" si="31"/>
        <v>5.9722467735275953E-2</v>
      </c>
      <c r="Z352" s="20">
        <f t="shared" si="32"/>
        <v>6.2340964032048606E-2</v>
      </c>
      <c r="AA352" s="21">
        <v>1</v>
      </c>
      <c r="AB352" s="21">
        <v>1</v>
      </c>
      <c r="AC352" s="22">
        <f t="shared" si="33"/>
        <v>5.9722467735275953E-2</v>
      </c>
      <c r="AD352" s="22">
        <f t="shared" si="34"/>
        <v>6.2340964032048606E-2</v>
      </c>
      <c r="AE352" s="22">
        <f t="shared" si="35"/>
        <v>0.43140638481449523</v>
      </c>
      <c r="AF352" s="7" t="s">
        <v>1643</v>
      </c>
      <c r="AG352" s="7"/>
      <c r="AH352" s="7"/>
      <c r="AI352" s="7"/>
      <c r="AJ352" s="8" t="b">
        <v>0</v>
      </c>
      <c r="AK352" s="28" t="s">
        <v>1644</v>
      </c>
      <c r="AL352" s="28" t="s">
        <v>1645</v>
      </c>
      <c r="AM352" s="28"/>
      <c r="AN352" s="7"/>
      <c r="AO352" s="7">
        <v>0</v>
      </c>
      <c r="AP352" s="8" t="b">
        <v>0</v>
      </c>
      <c r="AQ352" s="28" t="s">
        <v>1646</v>
      </c>
    </row>
    <row r="353" spans="1:43" ht="30">
      <c r="A353" s="7">
        <v>345</v>
      </c>
      <c r="B353" s="7" t="s">
        <v>1066</v>
      </c>
      <c r="C353" s="7" t="s">
        <v>51</v>
      </c>
      <c r="D353" s="7" t="s">
        <v>112</v>
      </c>
      <c r="E353" s="7" t="s">
        <v>1642</v>
      </c>
      <c r="F353" s="7" t="s">
        <v>51</v>
      </c>
      <c r="G353" s="14">
        <v>1307</v>
      </c>
      <c r="H353" s="15">
        <v>1.44</v>
      </c>
      <c r="I353" s="15">
        <v>1.39</v>
      </c>
      <c r="J353" s="15">
        <v>9.9158377964804895E-2</v>
      </c>
      <c r="K353" s="15">
        <v>9.571537872991584E-2</v>
      </c>
      <c r="L353" s="15">
        <v>54.2</v>
      </c>
      <c r="M353" s="15">
        <v>1.4263157894736842</v>
      </c>
      <c r="N353" s="16">
        <v>6.9520633997464693E-2</v>
      </c>
      <c r="O353" s="16">
        <v>6.7106723094774945E-2</v>
      </c>
      <c r="P353" s="17">
        <f>IFERROR(G353/(G353+Priors!$H$3),0)</f>
        <v>0.56653662765496315</v>
      </c>
      <c r="Q353" s="18">
        <f>IF(E353="Premier League",Priors!$H$4,IF(E353="Championship",Priors!$H$5,Priors!$H$8))</f>
        <v>1</v>
      </c>
      <c r="R353" s="19" t="b">
        <v>0</v>
      </c>
      <c r="S353" s="18">
        <f>IF(R353=TRUE,Priors!$H$6,1)</f>
        <v>1</v>
      </c>
      <c r="T353" s="19" t="b">
        <v>0</v>
      </c>
      <c r="U353" s="18">
        <f>IF(T353=TRUE,Priors!$H$7,1)</f>
        <v>1</v>
      </c>
      <c r="V353" s="18">
        <f t="shared" si="30"/>
        <v>0.56653662765496315</v>
      </c>
      <c r="W353" s="20">
        <f>VLOOKUP(D353,Priors!$A$3:$C$6,2,FALSE)</f>
        <v>0.10751786102217777</v>
      </c>
      <c r="X353" s="20">
        <f>VLOOKUP(D353,Priors!$A$3:$C$6,3,FALSE)</f>
        <v>9.0240671969462088E-2</v>
      </c>
      <c r="Y353" s="20">
        <f t="shared" si="31"/>
        <v>8.5991040163356791E-2</v>
      </c>
      <c r="Z353" s="20">
        <f t="shared" si="32"/>
        <v>7.7134442589654503E-2</v>
      </c>
      <c r="AA353" s="21">
        <v>1</v>
      </c>
      <c r="AB353" s="21">
        <v>1</v>
      </c>
      <c r="AC353" s="22">
        <f t="shared" si="33"/>
        <v>8.5991040163356791E-2</v>
      </c>
      <c r="AD353" s="22">
        <f t="shared" si="34"/>
        <v>7.7134442589654503E-2</v>
      </c>
      <c r="AE353" s="22">
        <f t="shared" si="35"/>
        <v>0.43346337234503685</v>
      </c>
      <c r="AF353" s="7" t="s">
        <v>1643</v>
      </c>
      <c r="AG353" s="7"/>
      <c r="AH353" s="7"/>
      <c r="AI353" s="7">
        <v>6</v>
      </c>
      <c r="AJ353" s="8" t="b">
        <v>0</v>
      </c>
      <c r="AK353" s="28" t="s">
        <v>1644</v>
      </c>
      <c r="AL353" s="28" t="s">
        <v>1645</v>
      </c>
      <c r="AM353" s="28"/>
      <c r="AN353" s="7"/>
      <c r="AO353" s="7">
        <v>0</v>
      </c>
      <c r="AP353" s="8" t="b">
        <v>0</v>
      </c>
      <c r="AQ353" s="28" t="s">
        <v>1646</v>
      </c>
    </row>
    <row r="354" spans="1:43" ht="30">
      <c r="A354" s="7">
        <v>346</v>
      </c>
      <c r="B354" s="7" t="s">
        <v>1068</v>
      </c>
      <c r="C354" s="7" t="s">
        <v>51</v>
      </c>
      <c r="D354" s="7" t="s">
        <v>167</v>
      </c>
      <c r="E354" s="7" t="s">
        <v>1642</v>
      </c>
      <c r="F354" s="7" t="s">
        <v>51</v>
      </c>
      <c r="G354" s="14">
        <v>2721</v>
      </c>
      <c r="H354" s="15">
        <v>15.57</v>
      </c>
      <c r="I354" s="15">
        <v>1.06</v>
      </c>
      <c r="J354" s="15">
        <v>0.51499448732083786</v>
      </c>
      <c r="K354" s="15">
        <v>3.5060639470782799E-2</v>
      </c>
      <c r="L354" s="15">
        <v>54.2</v>
      </c>
      <c r="M354" s="15">
        <v>1.4263157894736842</v>
      </c>
      <c r="N354" s="16">
        <v>0.36106624572309665</v>
      </c>
      <c r="O354" s="16">
        <v>2.4581260145567278E-2</v>
      </c>
      <c r="P354" s="17">
        <f>IFERROR(G354/(G354+Priors!$H$3),0)</f>
        <v>0.73125503896801936</v>
      </c>
      <c r="Q354" s="18">
        <f>IF(E354="Premier League",Priors!$H$4,IF(E354="Championship",Priors!$H$5,Priors!$H$8))</f>
        <v>1</v>
      </c>
      <c r="R354" s="19" t="b">
        <v>0</v>
      </c>
      <c r="S354" s="18">
        <f>IF(R354=TRUE,Priors!$H$6,1)</f>
        <v>1</v>
      </c>
      <c r="T354" s="19" t="b">
        <v>0</v>
      </c>
      <c r="U354" s="18">
        <f>IF(T354=TRUE,Priors!$H$7,1)</f>
        <v>1</v>
      </c>
      <c r="V354" s="18">
        <f t="shared" si="30"/>
        <v>0.73125503896801936</v>
      </c>
      <c r="W354" s="20">
        <f>VLOOKUP(D354,Priors!$A$3:$C$6,2,FALSE)</f>
        <v>0.30461525508032317</v>
      </c>
      <c r="X354" s="20">
        <f>VLOOKUP(D354,Priors!$A$3:$C$6,3,FALSE)</f>
        <v>3.9258061548584466E-2</v>
      </c>
      <c r="Y354" s="20">
        <f t="shared" si="31"/>
        <v>0.34589532644258775</v>
      </c>
      <c r="Z354" s="20">
        <f t="shared" si="32"/>
        <v>2.852557656669525E-2</v>
      </c>
      <c r="AA354" s="21">
        <v>1</v>
      </c>
      <c r="AB354" s="21">
        <v>1</v>
      </c>
      <c r="AC354" s="22">
        <f t="shared" si="33"/>
        <v>0.34589532644258775</v>
      </c>
      <c r="AD354" s="22">
        <f t="shared" si="34"/>
        <v>2.852557656669525E-2</v>
      </c>
      <c r="AE354" s="22">
        <f t="shared" si="35"/>
        <v>0.26874496103198064</v>
      </c>
      <c r="AF354" s="7" t="s">
        <v>1643</v>
      </c>
      <c r="AG354" s="7">
        <v>1</v>
      </c>
      <c r="AH354" s="7"/>
      <c r="AI354" s="7"/>
      <c r="AJ354" s="8" t="b">
        <v>0</v>
      </c>
      <c r="AK354" s="28" t="s">
        <v>1644</v>
      </c>
      <c r="AL354" s="28" t="s">
        <v>1645</v>
      </c>
      <c r="AM354" s="28"/>
      <c r="AN354" s="7"/>
      <c r="AO354" s="7">
        <v>0</v>
      </c>
      <c r="AP354" s="8" t="b">
        <v>0</v>
      </c>
      <c r="AQ354" s="28" t="s">
        <v>1646</v>
      </c>
    </row>
    <row r="355" spans="1:43" ht="30">
      <c r="A355" s="7">
        <v>347</v>
      </c>
      <c r="B355" s="7" t="s">
        <v>1070</v>
      </c>
      <c r="C355" s="7" t="s">
        <v>51</v>
      </c>
      <c r="D355" s="7" t="s">
        <v>167</v>
      </c>
      <c r="E355" s="7" t="s">
        <v>1642</v>
      </c>
      <c r="F355" s="7" t="s">
        <v>51</v>
      </c>
      <c r="G355" s="14">
        <v>1065</v>
      </c>
      <c r="H355" s="15">
        <v>7.25</v>
      </c>
      <c r="I355" s="15">
        <v>1.58</v>
      </c>
      <c r="J355" s="15">
        <v>0.61267605633802813</v>
      </c>
      <c r="K355" s="15">
        <v>0.13352112676056341</v>
      </c>
      <c r="L355" s="15">
        <v>54.2</v>
      </c>
      <c r="M355" s="15">
        <v>1.4263157894736842</v>
      </c>
      <c r="N355" s="16">
        <v>0.42955147861337767</v>
      </c>
      <c r="O355" s="16">
        <v>9.3612598097811986E-2</v>
      </c>
      <c r="P355" s="17">
        <f>IFERROR(G355/(G355+Priors!$H$3),0)</f>
        <v>0.5157384987893463</v>
      </c>
      <c r="Q355" s="18">
        <f>IF(E355="Premier League",Priors!$H$4,IF(E355="Championship",Priors!$H$5,Priors!$H$8))</f>
        <v>1</v>
      </c>
      <c r="R355" s="19" t="b">
        <v>0</v>
      </c>
      <c r="S355" s="18">
        <f>IF(R355=TRUE,Priors!$H$6,1)</f>
        <v>1</v>
      </c>
      <c r="T355" s="19" t="b">
        <v>0</v>
      </c>
      <c r="U355" s="18">
        <f>IF(T355=TRUE,Priors!$H$7,1)</f>
        <v>1</v>
      </c>
      <c r="V355" s="18">
        <f t="shared" si="30"/>
        <v>0.5157384987893463</v>
      </c>
      <c r="W355" s="20">
        <f>VLOOKUP(D355,Priors!$A$3:$C$6,2,FALSE)</f>
        <v>0.30461525508032317</v>
      </c>
      <c r="X355" s="20">
        <f>VLOOKUP(D355,Priors!$A$3:$C$6,3,FALSE)</f>
        <v>3.9258061548584466E-2</v>
      </c>
      <c r="Y355" s="20">
        <f t="shared" si="31"/>
        <v>0.36904967544967093</v>
      </c>
      <c r="Z355" s="20">
        <f t="shared" si="32"/>
        <v>6.7290788630873719E-2</v>
      </c>
      <c r="AA355" s="21">
        <v>1</v>
      </c>
      <c r="AB355" s="21">
        <v>1</v>
      </c>
      <c r="AC355" s="22">
        <f t="shared" si="33"/>
        <v>0.36904967544967093</v>
      </c>
      <c r="AD355" s="22">
        <f t="shared" si="34"/>
        <v>6.7290788630873719E-2</v>
      </c>
      <c r="AE355" s="22">
        <f t="shared" si="35"/>
        <v>0.4842615012106537</v>
      </c>
      <c r="AF355" s="7" t="s">
        <v>1643</v>
      </c>
      <c r="AG355" s="7">
        <v>2</v>
      </c>
      <c r="AH355" s="7"/>
      <c r="AI355" s="7"/>
      <c r="AJ355" s="8" t="b">
        <v>0</v>
      </c>
      <c r="AK355" s="28" t="s">
        <v>1644</v>
      </c>
      <c r="AL355" s="28" t="s">
        <v>1645</v>
      </c>
      <c r="AM355" s="28"/>
      <c r="AN355" s="7"/>
      <c r="AO355" s="7"/>
      <c r="AP355" s="7"/>
      <c r="AQ355" s="28" t="s">
        <v>1650</v>
      </c>
    </row>
    <row r="356" spans="1:43" ht="30">
      <c r="A356" s="7">
        <v>348</v>
      </c>
      <c r="B356" s="7" t="s">
        <v>1072</v>
      </c>
      <c r="C356" s="7" t="s">
        <v>51</v>
      </c>
      <c r="D356" s="7" t="s">
        <v>167</v>
      </c>
      <c r="E356" s="7" t="s">
        <v>1642</v>
      </c>
      <c r="F356" s="7" t="s">
        <v>51</v>
      </c>
      <c r="G356" s="14">
        <v>244</v>
      </c>
      <c r="H356" s="15">
        <v>0.9</v>
      </c>
      <c r="I356" s="15">
        <v>0.13</v>
      </c>
      <c r="J356" s="15">
        <v>0.33196721311475408</v>
      </c>
      <c r="K356" s="15">
        <v>4.7950819672131155E-2</v>
      </c>
      <c r="L356" s="15">
        <v>54.2</v>
      </c>
      <c r="M356" s="15">
        <v>1.4263157894736842</v>
      </c>
      <c r="N356" s="16">
        <v>0.2327445405601597</v>
      </c>
      <c r="O356" s="16">
        <v>3.3618655858689742E-2</v>
      </c>
      <c r="P356" s="17">
        <f>IFERROR(G356/(G356+Priors!$H$3),0)</f>
        <v>0.19614147909967847</v>
      </c>
      <c r="Q356" s="18">
        <f>IF(E356="Premier League",Priors!$H$4,IF(E356="Championship",Priors!$H$5,Priors!$H$8))</f>
        <v>1</v>
      </c>
      <c r="R356" s="19" t="b">
        <v>0</v>
      </c>
      <c r="S356" s="18">
        <f>IF(R356=TRUE,Priors!$H$6,1)</f>
        <v>1</v>
      </c>
      <c r="T356" s="19" t="b">
        <v>0</v>
      </c>
      <c r="U356" s="18">
        <f>IF(T356=TRUE,Priors!$H$7,1)</f>
        <v>1</v>
      </c>
      <c r="V356" s="18">
        <f t="shared" si="30"/>
        <v>0.19614147909967847</v>
      </c>
      <c r="W356" s="20">
        <f>VLOOKUP(D356,Priors!$A$3:$C$6,2,FALSE)</f>
        <v>0.30461525508032317</v>
      </c>
      <c r="X356" s="20">
        <f>VLOOKUP(D356,Priors!$A$3:$C$6,3,FALSE)</f>
        <v>3.9258061548584466E-2</v>
      </c>
      <c r="Y356" s="20">
        <f t="shared" si="31"/>
        <v>0.29051842683038753</v>
      </c>
      <c r="Z356" s="20">
        <f t="shared" si="32"/>
        <v>3.8151940175325368E-2</v>
      </c>
      <c r="AA356" s="21">
        <v>1</v>
      </c>
      <c r="AB356" s="21">
        <v>1</v>
      </c>
      <c r="AC356" s="22">
        <f t="shared" si="33"/>
        <v>0.29051842683038753</v>
      </c>
      <c r="AD356" s="22">
        <f t="shared" si="34"/>
        <v>3.8151940175325368E-2</v>
      </c>
      <c r="AE356" s="22">
        <f t="shared" si="35"/>
        <v>0.8038585209003215</v>
      </c>
      <c r="AF356" s="7" t="s">
        <v>1643</v>
      </c>
      <c r="AG356" s="7">
        <v>3</v>
      </c>
      <c r="AH356" s="7"/>
      <c r="AI356" s="7"/>
      <c r="AJ356" s="8" t="b">
        <v>1</v>
      </c>
      <c r="AK356" s="28" t="s">
        <v>1644</v>
      </c>
      <c r="AL356" s="28" t="s">
        <v>1645</v>
      </c>
      <c r="AM356" s="28"/>
      <c r="AN356" s="7"/>
      <c r="AO356" s="7"/>
      <c r="AP356" s="7"/>
      <c r="AQ356" s="28" t="s">
        <v>1650</v>
      </c>
    </row>
    <row r="357" spans="1:43" ht="15">
      <c r="A357" s="7">
        <v>349</v>
      </c>
      <c r="B357" s="7" t="s">
        <v>1075</v>
      </c>
      <c r="C357" s="7" t="s">
        <v>51</v>
      </c>
      <c r="D357" s="7" t="s">
        <v>167</v>
      </c>
      <c r="E357" s="7" t="s">
        <v>1647</v>
      </c>
      <c r="F357" s="7"/>
      <c r="G357" s="14"/>
      <c r="H357" s="15"/>
      <c r="I357" s="15"/>
      <c r="J357" s="15"/>
      <c r="K357" s="15"/>
      <c r="L357" s="15"/>
      <c r="M357" s="15"/>
      <c r="N357" s="16"/>
      <c r="O357" s="16"/>
      <c r="P357" s="17">
        <f>IFERROR(G357/(G357+Priors!$H$3),0)</f>
        <v>0</v>
      </c>
      <c r="Q357" s="18">
        <f>IF(E357="Premier League",Priors!$H$4,IF(E357="Championship",Priors!$H$5,Priors!$H$8))</f>
        <v>0</v>
      </c>
      <c r="R357" s="19" t="b">
        <v>0</v>
      </c>
      <c r="S357" s="18">
        <f>IF(R357=TRUE,Priors!$H$6,1)</f>
        <v>1</v>
      </c>
      <c r="T357" s="19" t="b">
        <v>0</v>
      </c>
      <c r="U357" s="18">
        <f>IF(T357=TRUE,Priors!$H$7,1)</f>
        <v>1</v>
      </c>
      <c r="V357" s="18">
        <f t="shared" si="30"/>
        <v>0</v>
      </c>
      <c r="W357" s="20">
        <f>VLOOKUP(D357,Priors!$A$3:$C$6,2,FALSE)</f>
        <v>0.30461525508032317</v>
      </c>
      <c r="X357" s="20">
        <f>VLOOKUP(D357,Priors!$A$3:$C$6,3,FALSE)</f>
        <v>3.9258061548584466E-2</v>
      </c>
      <c r="Y357" s="20">
        <f t="shared" si="31"/>
        <v>0.30461525508032317</v>
      </c>
      <c r="Z357" s="20">
        <f t="shared" si="32"/>
        <v>3.9258061548584466E-2</v>
      </c>
      <c r="AA357" s="21">
        <v>1</v>
      </c>
      <c r="AB357" s="21">
        <v>1</v>
      </c>
      <c r="AC357" s="22">
        <f t="shared" si="33"/>
        <v>0.30461525508032317</v>
      </c>
      <c r="AD357" s="22">
        <f t="shared" si="34"/>
        <v>3.9258061548584466E-2</v>
      </c>
      <c r="AE357" s="22">
        <f t="shared" si="35"/>
        <v>1</v>
      </c>
      <c r="AF357" s="7" t="s">
        <v>1647</v>
      </c>
      <c r="AG357" s="7"/>
      <c r="AH357" s="7"/>
      <c r="AI357" s="7"/>
      <c r="AJ357" s="8" t="b">
        <v>1</v>
      </c>
      <c r="AK357" s="28" t="s">
        <v>1648</v>
      </c>
      <c r="AL357" s="28"/>
      <c r="AM357" s="28"/>
      <c r="AN357" s="7"/>
      <c r="AO357" s="7">
        <v>0</v>
      </c>
      <c r="AP357" s="8" t="b">
        <v>0</v>
      </c>
      <c r="AQ357" s="28" t="s">
        <v>1646</v>
      </c>
    </row>
    <row r="358" spans="1:43" ht="30">
      <c r="A358" s="7">
        <v>350</v>
      </c>
      <c r="B358" s="7" t="s">
        <v>1078</v>
      </c>
      <c r="C358" s="7" t="s">
        <v>52</v>
      </c>
      <c r="D358" s="7" t="s">
        <v>85</v>
      </c>
      <c r="E358" s="7" t="s">
        <v>1642</v>
      </c>
      <c r="F358" s="7" t="s">
        <v>52</v>
      </c>
      <c r="G358" s="14">
        <v>2340</v>
      </c>
      <c r="H358" s="15">
        <v>0</v>
      </c>
      <c r="I358" s="15">
        <v>0.03</v>
      </c>
      <c r="J358" s="15">
        <v>0</v>
      </c>
      <c r="K358" s="15">
        <v>1.1538461538461537E-3</v>
      </c>
      <c r="L358" s="15">
        <v>61.3</v>
      </c>
      <c r="M358" s="15">
        <v>1.6131578947368421</v>
      </c>
      <c r="N358" s="16">
        <v>0</v>
      </c>
      <c r="O358" s="16">
        <v>7.1527167775128615E-4</v>
      </c>
      <c r="P358" s="17">
        <f>IFERROR(G358/(G358+Priors!$H$3),0)</f>
        <v>0.70059880239520955</v>
      </c>
      <c r="Q358" s="18">
        <f>IF(E358="Premier League",Priors!$H$4,IF(E358="Championship",Priors!$H$5,Priors!$H$8))</f>
        <v>1</v>
      </c>
      <c r="R358" s="19" t="b">
        <v>0</v>
      </c>
      <c r="S358" s="18">
        <f>IF(R358=TRUE,Priors!$H$6,1)</f>
        <v>1</v>
      </c>
      <c r="T358" s="19" t="b">
        <v>1</v>
      </c>
      <c r="U358" s="18">
        <f>IF(T358=TRUE,Priors!$H$7,1)</f>
        <v>0.9</v>
      </c>
      <c r="V358" s="18">
        <f t="shared" si="30"/>
        <v>0.63053892215568863</v>
      </c>
      <c r="W358" s="20">
        <f>VLOOKUP(D358,Priors!$A$3:$C$6,2,FALSE)</f>
        <v>1.6719534964712218E-4</v>
      </c>
      <c r="X358" s="20">
        <f>VLOOKUP(D358,Priors!$A$3:$C$6,3,FALSE)</f>
        <v>1.379361634588758E-3</v>
      </c>
      <c r="Y358" s="20">
        <f t="shared" si="31"/>
        <v>6.177217409118227E-5</v>
      </c>
      <c r="Z358" s="20">
        <f t="shared" si="32"/>
        <v>9.6062706899004082E-4</v>
      </c>
      <c r="AA358" s="21">
        <v>1</v>
      </c>
      <c r="AB358" s="21">
        <v>1</v>
      </c>
      <c r="AC358" s="22">
        <f t="shared" si="33"/>
        <v>6.177217409118227E-5</v>
      </c>
      <c r="AD358" s="22">
        <f t="shared" si="34"/>
        <v>9.6062706899004082E-4</v>
      </c>
      <c r="AE358" s="22">
        <f t="shared" si="35"/>
        <v>0.36946107784431137</v>
      </c>
      <c r="AF358" s="7" t="s">
        <v>1643</v>
      </c>
      <c r="AG358" s="7"/>
      <c r="AH358" s="7"/>
      <c r="AI358" s="7"/>
      <c r="AJ358" s="8" t="b">
        <v>1</v>
      </c>
      <c r="AK358" s="28" t="s">
        <v>1644</v>
      </c>
      <c r="AL358" s="28" t="s">
        <v>1645</v>
      </c>
      <c r="AM358" s="28"/>
      <c r="AN358" s="7"/>
      <c r="AO358" s="7">
        <v>0</v>
      </c>
      <c r="AP358" s="8" t="b">
        <v>0</v>
      </c>
      <c r="AQ358" s="28" t="s">
        <v>1646</v>
      </c>
    </row>
    <row r="359" spans="1:43" ht="30">
      <c r="A359" s="7">
        <v>351</v>
      </c>
      <c r="B359" s="7" t="s">
        <v>1083</v>
      </c>
      <c r="C359" s="7" t="s">
        <v>52</v>
      </c>
      <c r="D359" s="7" t="s">
        <v>85</v>
      </c>
      <c r="E359" s="7" t="s">
        <v>1642</v>
      </c>
      <c r="F359" s="7" t="s">
        <v>52</v>
      </c>
      <c r="G359" s="14">
        <v>867</v>
      </c>
      <c r="H359" s="15">
        <v>0</v>
      </c>
      <c r="I359" s="15">
        <v>0</v>
      </c>
      <c r="J359" s="15">
        <v>0</v>
      </c>
      <c r="K359" s="15">
        <v>0</v>
      </c>
      <c r="L359" s="15">
        <v>61.3</v>
      </c>
      <c r="M359" s="15">
        <v>1.6131578947368421</v>
      </c>
      <c r="N359" s="16">
        <v>0</v>
      </c>
      <c r="O359" s="16">
        <v>0</v>
      </c>
      <c r="P359" s="17">
        <f>IFERROR(G359/(G359+Priors!$H$3),0)</f>
        <v>0.46438136047134443</v>
      </c>
      <c r="Q359" s="18">
        <f>IF(E359="Premier League",Priors!$H$4,IF(E359="Championship",Priors!$H$5,Priors!$H$8))</f>
        <v>1</v>
      </c>
      <c r="R359" s="19" t="b">
        <v>0</v>
      </c>
      <c r="S359" s="18">
        <f>IF(R359=TRUE,Priors!$H$6,1)</f>
        <v>1</v>
      </c>
      <c r="T359" s="19" t="b">
        <v>1</v>
      </c>
      <c r="U359" s="18">
        <f>IF(T359=TRUE,Priors!$H$7,1)</f>
        <v>0.9</v>
      </c>
      <c r="V359" s="18">
        <f t="shared" si="30"/>
        <v>0.41794322442421</v>
      </c>
      <c r="W359" s="20">
        <f>VLOOKUP(D359,Priors!$A$3:$C$6,2,FALSE)</f>
        <v>1.6719534964712218E-4</v>
      </c>
      <c r="X359" s="20">
        <f>VLOOKUP(D359,Priors!$A$3:$C$6,3,FALSE)</f>
        <v>1.379361634588758E-3</v>
      </c>
      <c r="Y359" s="20">
        <f t="shared" si="31"/>
        <v>9.7317186106870722E-5</v>
      </c>
      <c r="Z359" s="20">
        <f t="shared" si="32"/>
        <v>8.0286678538168347E-4</v>
      </c>
      <c r="AA359" s="21">
        <v>1</v>
      </c>
      <c r="AB359" s="21">
        <v>1</v>
      </c>
      <c r="AC359" s="22">
        <f t="shared" si="33"/>
        <v>9.7317186106870722E-5</v>
      </c>
      <c r="AD359" s="22">
        <f t="shared" si="34"/>
        <v>8.0286678538168347E-4</v>
      </c>
      <c r="AE359" s="22">
        <f t="shared" si="35"/>
        <v>0.58205677557578994</v>
      </c>
      <c r="AF359" s="7" t="s">
        <v>1643</v>
      </c>
      <c r="AG359" s="7"/>
      <c r="AH359" s="7"/>
      <c r="AI359" s="7"/>
      <c r="AJ359" s="8" t="b">
        <v>1</v>
      </c>
      <c r="AK359" s="28" t="s">
        <v>1644</v>
      </c>
      <c r="AL359" s="28" t="s">
        <v>1645</v>
      </c>
      <c r="AM359" s="28"/>
      <c r="AN359" s="7"/>
      <c r="AO359" s="7">
        <v>0</v>
      </c>
      <c r="AP359" s="8" t="b">
        <v>0</v>
      </c>
      <c r="AQ359" s="28" t="s">
        <v>1646</v>
      </c>
    </row>
    <row r="360" spans="1:43" ht="30">
      <c r="A360" s="7">
        <v>352</v>
      </c>
      <c r="B360" s="7" t="s">
        <v>1085</v>
      </c>
      <c r="C360" s="7" t="s">
        <v>52</v>
      </c>
      <c r="D360" s="7" t="s">
        <v>85</v>
      </c>
      <c r="E360" s="7" t="s">
        <v>1642</v>
      </c>
      <c r="F360" s="7" t="s">
        <v>52</v>
      </c>
      <c r="G360" s="14">
        <v>212</v>
      </c>
      <c r="H360" s="15">
        <v>0</v>
      </c>
      <c r="I360" s="15">
        <v>0</v>
      </c>
      <c r="J360" s="15">
        <v>0</v>
      </c>
      <c r="K360" s="15">
        <v>0</v>
      </c>
      <c r="L360" s="15">
        <v>61.3</v>
      </c>
      <c r="M360" s="15">
        <v>1.6131578947368421</v>
      </c>
      <c r="N360" s="16">
        <v>0</v>
      </c>
      <c r="O360" s="16">
        <v>0</v>
      </c>
      <c r="P360" s="17">
        <f>IFERROR(G360/(G360+Priors!$H$3),0)</f>
        <v>0.17491749174917492</v>
      </c>
      <c r="Q360" s="18">
        <f>IF(E360="Premier League",Priors!$H$4,IF(E360="Championship",Priors!$H$5,Priors!$H$8))</f>
        <v>1</v>
      </c>
      <c r="R360" s="19" t="b">
        <v>0</v>
      </c>
      <c r="S360" s="18">
        <f>IF(R360=TRUE,Priors!$H$6,1)</f>
        <v>1</v>
      </c>
      <c r="T360" s="19" t="b">
        <v>1</v>
      </c>
      <c r="U360" s="18">
        <f>IF(T360=TRUE,Priors!$H$7,1)</f>
        <v>0.9</v>
      </c>
      <c r="V360" s="18">
        <f t="shared" si="30"/>
        <v>0.15742574257425743</v>
      </c>
      <c r="W360" s="20">
        <f>VLOOKUP(D360,Priors!$A$3:$C$6,2,FALSE)</f>
        <v>1.6719534964712218E-4</v>
      </c>
      <c r="X360" s="20">
        <f>VLOOKUP(D360,Priors!$A$3:$C$6,3,FALSE)</f>
        <v>1.379361634588758E-3</v>
      </c>
      <c r="Y360" s="20">
        <f t="shared" si="31"/>
        <v>1.4087449757396137E-4</v>
      </c>
      <c r="Z360" s="20">
        <f t="shared" si="32"/>
        <v>1.1622146049851813E-3</v>
      </c>
      <c r="AA360" s="21">
        <v>1</v>
      </c>
      <c r="AB360" s="21">
        <v>1</v>
      </c>
      <c r="AC360" s="22">
        <f t="shared" si="33"/>
        <v>1.4087449757396137E-4</v>
      </c>
      <c r="AD360" s="22">
        <f t="shared" si="34"/>
        <v>1.1622146049851813E-3</v>
      </c>
      <c r="AE360" s="22">
        <f t="shared" si="35"/>
        <v>0.84257425742574255</v>
      </c>
      <c r="AF360" s="7" t="s">
        <v>1643</v>
      </c>
      <c r="AG360" s="7"/>
      <c r="AH360" s="7"/>
      <c r="AI360" s="7"/>
      <c r="AJ360" s="8" t="b">
        <v>1</v>
      </c>
      <c r="AK360" s="28" t="s">
        <v>1644</v>
      </c>
      <c r="AL360" s="28" t="s">
        <v>1645</v>
      </c>
      <c r="AM360" s="28"/>
      <c r="AN360" s="7"/>
      <c r="AO360" s="7">
        <v>0</v>
      </c>
      <c r="AP360" s="8" t="b">
        <v>0</v>
      </c>
      <c r="AQ360" s="28" t="s">
        <v>1646</v>
      </c>
    </row>
    <row r="361" spans="1:43" ht="15">
      <c r="A361" s="7">
        <v>353</v>
      </c>
      <c r="B361" s="7" t="s">
        <v>1087</v>
      </c>
      <c r="C361" s="7" t="s">
        <v>52</v>
      </c>
      <c r="D361" s="7" t="s">
        <v>85</v>
      </c>
      <c r="E361" s="7" t="s">
        <v>1647</v>
      </c>
      <c r="F361" s="7"/>
      <c r="G361" s="14"/>
      <c r="H361" s="15"/>
      <c r="I361" s="15"/>
      <c r="J361" s="15"/>
      <c r="K361" s="15"/>
      <c r="L361" s="15"/>
      <c r="M361" s="15"/>
      <c r="N361" s="16"/>
      <c r="O361" s="16"/>
      <c r="P361" s="17">
        <f>IFERROR(G361/(G361+Priors!$H$3),0)</f>
        <v>0</v>
      </c>
      <c r="Q361" s="18">
        <f>IF(E361="Premier League",Priors!$H$4,IF(E361="Championship",Priors!$H$5,Priors!$H$8))</f>
        <v>0</v>
      </c>
      <c r="R361" s="19" t="b">
        <v>0</v>
      </c>
      <c r="S361" s="18">
        <f>IF(R361=TRUE,Priors!$H$6,1)</f>
        <v>1</v>
      </c>
      <c r="T361" s="19" t="b">
        <v>1</v>
      </c>
      <c r="U361" s="18">
        <f>IF(T361=TRUE,Priors!$H$7,1)</f>
        <v>0.9</v>
      </c>
      <c r="V361" s="18">
        <f t="shared" si="30"/>
        <v>0</v>
      </c>
      <c r="W361" s="20">
        <f>VLOOKUP(D361,Priors!$A$3:$C$6,2,FALSE)</f>
        <v>1.6719534964712218E-4</v>
      </c>
      <c r="X361" s="20">
        <f>VLOOKUP(D361,Priors!$A$3:$C$6,3,FALSE)</f>
        <v>1.379361634588758E-3</v>
      </c>
      <c r="Y361" s="20">
        <f t="shared" si="31"/>
        <v>1.6719534964712218E-4</v>
      </c>
      <c r="Z361" s="20">
        <f t="shared" si="32"/>
        <v>1.379361634588758E-3</v>
      </c>
      <c r="AA361" s="21">
        <v>1</v>
      </c>
      <c r="AB361" s="21">
        <v>1</v>
      </c>
      <c r="AC361" s="22">
        <f t="shared" si="33"/>
        <v>1.6719534964712218E-4</v>
      </c>
      <c r="AD361" s="22">
        <f t="shared" si="34"/>
        <v>1.379361634588758E-3</v>
      </c>
      <c r="AE361" s="22">
        <f t="shared" si="35"/>
        <v>1</v>
      </c>
      <c r="AF361" s="7" t="s">
        <v>1647</v>
      </c>
      <c r="AG361" s="7"/>
      <c r="AH361" s="7"/>
      <c r="AI361" s="7"/>
      <c r="AJ361" s="8" t="b">
        <v>1</v>
      </c>
      <c r="AK361" s="28" t="s">
        <v>1648</v>
      </c>
      <c r="AL361" s="28"/>
      <c r="AM361" s="28"/>
      <c r="AN361" s="7"/>
      <c r="AO361" s="7">
        <v>0</v>
      </c>
      <c r="AP361" s="8" t="b">
        <v>0</v>
      </c>
      <c r="AQ361" s="28" t="s">
        <v>1646</v>
      </c>
    </row>
    <row r="362" spans="1:43" ht="15">
      <c r="A362" s="7">
        <v>354</v>
      </c>
      <c r="B362" s="7" t="s">
        <v>1089</v>
      </c>
      <c r="C362" s="7" t="s">
        <v>52</v>
      </c>
      <c r="D362" s="7" t="s">
        <v>85</v>
      </c>
      <c r="E362" s="7" t="s">
        <v>1647</v>
      </c>
      <c r="F362" s="7"/>
      <c r="G362" s="14"/>
      <c r="H362" s="15"/>
      <c r="I362" s="15"/>
      <c r="J362" s="15"/>
      <c r="K362" s="15"/>
      <c r="L362" s="15"/>
      <c r="M362" s="15"/>
      <c r="N362" s="16"/>
      <c r="O362" s="16"/>
      <c r="P362" s="17">
        <f>IFERROR(G362/(G362+Priors!$H$3),0)</f>
        <v>0</v>
      </c>
      <c r="Q362" s="18">
        <f>IF(E362="Premier League",Priors!$H$4,IF(E362="Championship",Priors!$H$5,Priors!$H$8))</f>
        <v>0</v>
      </c>
      <c r="R362" s="19" t="b">
        <v>0</v>
      </c>
      <c r="S362" s="18">
        <f>IF(R362=TRUE,Priors!$H$6,1)</f>
        <v>1</v>
      </c>
      <c r="T362" s="19" t="b">
        <v>1</v>
      </c>
      <c r="U362" s="18">
        <f>IF(T362=TRUE,Priors!$H$7,1)</f>
        <v>0.9</v>
      </c>
      <c r="V362" s="18">
        <f t="shared" si="30"/>
        <v>0</v>
      </c>
      <c r="W362" s="20">
        <f>VLOOKUP(D362,Priors!$A$3:$C$6,2,FALSE)</f>
        <v>1.6719534964712218E-4</v>
      </c>
      <c r="X362" s="20">
        <f>VLOOKUP(D362,Priors!$A$3:$C$6,3,FALSE)</f>
        <v>1.379361634588758E-3</v>
      </c>
      <c r="Y362" s="20">
        <f t="shared" si="31"/>
        <v>1.6719534964712218E-4</v>
      </c>
      <c r="Z362" s="20">
        <f t="shared" si="32"/>
        <v>1.379361634588758E-3</v>
      </c>
      <c r="AA362" s="21">
        <v>1</v>
      </c>
      <c r="AB362" s="21">
        <v>1</v>
      </c>
      <c r="AC362" s="22">
        <f t="shared" si="33"/>
        <v>1.6719534964712218E-4</v>
      </c>
      <c r="AD362" s="22">
        <f t="shared" si="34"/>
        <v>1.379361634588758E-3</v>
      </c>
      <c r="AE362" s="22">
        <f t="shared" si="35"/>
        <v>1</v>
      </c>
      <c r="AF362" s="7" t="s">
        <v>1647</v>
      </c>
      <c r="AG362" s="7"/>
      <c r="AH362" s="7"/>
      <c r="AI362" s="7"/>
      <c r="AJ362" s="8" t="b">
        <v>1</v>
      </c>
      <c r="AK362" s="28" t="s">
        <v>1648</v>
      </c>
      <c r="AL362" s="28"/>
      <c r="AM362" s="28"/>
      <c r="AN362" s="7"/>
      <c r="AO362" s="7">
        <v>0</v>
      </c>
      <c r="AP362" s="8" t="b">
        <v>0</v>
      </c>
      <c r="AQ362" s="28" t="s">
        <v>1646</v>
      </c>
    </row>
    <row r="363" spans="1:43" ht="15">
      <c r="A363" s="7">
        <v>355</v>
      </c>
      <c r="B363" s="7" t="s">
        <v>1091</v>
      </c>
      <c r="C363" s="7" t="s">
        <v>52</v>
      </c>
      <c r="D363" s="7" t="s">
        <v>85</v>
      </c>
      <c r="E363" s="7" t="s">
        <v>1647</v>
      </c>
      <c r="F363" s="7"/>
      <c r="G363" s="14"/>
      <c r="H363" s="15"/>
      <c r="I363" s="15"/>
      <c r="J363" s="15"/>
      <c r="K363" s="15"/>
      <c r="L363" s="15"/>
      <c r="M363" s="15"/>
      <c r="N363" s="16"/>
      <c r="O363" s="16"/>
      <c r="P363" s="17">
        <f>IFERROR(G363/(G363+Priors!$H$3),0)</f>
        <v>0</v>
      </c>
      <c r="Q363" s="18">
        <f>IF(E363="Premier League",Priors!$H$4,IF(E363="Championship",Priors!$H$5,Priors!$H$8))</f>
        <v>0</v>
      </c>
      <c r="R363" s="19" t="b">
        <v>0</v>
      </c>
      <c r="S363" s="18">
        <f>IF(R363=TRUE,Priors!$H$6,1)</f>
        <v>1</v>
      </c>
      <c r="T363" s="19" t="b">
        <v>1</v>
      </c>
      <c r="U363" s="18">
        <f>IF(T363=TRUE,Priors!$H$7,1)</f>
        <v>0.9</v>
      </c>
      <c r="V363" s="18">
        <f t="shared" si="30"/>
        <v>0</v>
      </c>
      <c r="W363" s="20">
        <f>VLOOKUP(D363,Priors!$A$3:$C$6,2,FALSE)</f>
        <v>1.6719534964712218E-4</v>
      </c>
      <c r="X363" s="20">
        <f>VLOOKUP(D363,Priors!$A$3:$C$6,3,FALSE)</f>
        <v>1.379361634588758E-3</v>
      </c>
      <c r="Y363" s="20">
        <f t="shared" si="31"/>
        <v>1.6719534964712218E-4</v>
      </c>
      <c r="Z363" s="20">
        <f t="shared" si="32"/>
        <v>1.379361634588758E-3</v>
      </c>
      <c r="AA363" s="21">
        <v>1</v>
      </c>
      <c r="AB363" s="21">
        <v>1</v>
      </c>
      <c r="AC363" s="22">
        <f t="shared" si="33"/>
        <v>1.6719534964712218E-4</v>
      </c>
      <c r="AD363" s="22">
        <f t="shared" si="34"/>
        <v>1.379361634588758E-3</v>
      </c>
      <c r="AE363" s="22">
        <f t="shared" si="35"/>
        <v>1</v>
      </c>
      <c r="AF363" s="7" t="s">
        <v>1647</v>
      </c>
      <c r="AG363" s="7"/>
      <c r="AH363" s="7"/>
      <c r="AI363" s="7"/>
      <c r="AJ363" s="8" t="b">
        <v>1</v>
      </c>
      <c r="AK363" s="28" t="s">
        <v>1648</v>
      </c>
      <c r="AL363" s="28"/>
      <c r="AM363" s="28"/>
      <c r="AN363" s="7"/>
      <c r="AO363" s="7"/>
      <c r="AP363" s="7"/>
      <c r="AQ363" s="28" t="s">
        <v>1650</v>
      </c>
    </row>
    <row r="364" spans="1:43" ht="30">
      <c r="A364" s="7">
        <v>356</v>
      </c>
      <c r="B364" s="7" t="s">
        <v>1094</v>
      </c>
      <c r="C364" s="7" t="s">
        <v>52</v>
      </c>
      <c r="D364" s="7" t="s">
        <v>99</v>
      </c>
      <c r="E364" s="7" t="s">
        <v>1642</v>
      </c>
      <c r="F364" s="7" t="s">
        <v>52</v>
      </c>
      <c r="G364" s="14">
        <v>3420</v>
      </c>
      <c r="H364" s="15">
        <v>3.77</v>
      </c>
      <c r="I364" s="15">
        <v>1.44</v>
      </c>
      <c r="J364" s="15">
        <v>9.9210526315789471E-2</v>
      </c>
      <c r="K364" s="15">
        <v>3.7894736842105259E-2</v>
      </c>
      <c r="L364" s="15">
        <v>61.3</v>
      </c>
      <c r="M364" s="15">
        <v>1.6131578947368421</v>
      </c>
      <c r="N364" s="16">
        <v>6.1500815660685153E-2</v>
      </c>
      <c r="O364" s="16">
        <v>2.3491027732463293E-2</v>
      </c>
      <c r="P364" s="17">
        <f>IFERROR(G364/(G364+Priors!$H$3),0)</f>
        <v>0.77375565610859731</v>
      </c>
      <c r="Q364" s="18">
        <f>IF(E364="Premier League",Priors!$H$4,IF(E364="Championship",Priors!$H$5,Priors!$H$8))</f>
        <v>1</v>
      </c>
      <c r="R364" s="19" t="b">
        <v>0</v>
      </c>
      <c r="S364" s="18">
        <f>IF(R364=TRUE,Priors!$H$6,1)</f>
        <v>1</v>
      </c>
      <c r="T364" s="19" t="b">
        <v>1</v>
      </c>
      <c r="U364" s="18">
        <f>IF(T364=TRUE,Priors!$H$7,1)</f>
        <v>0.9</v>
      </c>
      <c r="V364" s="18">
        <f t="shared" si="30"/>
        <v>0.69638009049773764</v>
      </c>
      <c r="W364" s="20">
        <f>VLOOKUP(D364,Priors!$A$3:$C$6,2,FALSE)</f>
        <v>4.1142361271531161E-2</v>
      </c>
      <c r="X364" s="20">
        <f>VLOOKUP(D364,Priors!$A$3:$C$6,3,FALSE)</f>
        <v>4.0513079897554365E-2</v>
      </c>
      <c r="Y364" s="20">
        <f t="shared" si="31"/>
        <v>5.531958358144428E-2</v>
      </c>
      <c r="Z364" s="20">
        <f t="shared" si="32"/>
        <v>2.8659261670371031E-2</v>
      </c>
      <c r="AA364" s="21">
        <v>1</v>
      </c>
      <c r="AB364" s="21">
        <v>1</v>
      </c>
      <c r="AC364" s="22">
        <f t="shared" si="33"/>
        <v>5.531958358144428E-2</v>
      </c>
      <c r="AD364" s="22">
        <f t="shared" si="34"/>
        <v>2.8659261670371031E-2</v>
      </c>
      <c r="AE364" s="22">
        <f t="shared" si="35"/>
        <v>0.30361990950226236</v>
      </c>
      <c r="AF364" s="7" t="s">
        <v>1643</v>
      </c>
      <c r="AG364" s="7"/>
      <c r="AH364" s="7"/>
      <c r="AI364" s="7"/>
      <c r="AJ364" s="8" t="b">
        <v>1</v>
      </c>
      <c r="AK364" s="28" t="s">
        <v>1644</v>
      </c>
      <c r="AL364" s="28" t="s">
        <v>1645</v>
      </c>
      <c r="AM364" s="28"/>
      <c r="AN364" s="7"/>
      <c r="AO364" s="7">
        <v>0</v>
      </c>
      <c r="AP364" s="8" t="b">
        <v>0</v>
      </c>
      <c r="AQ364" s="28" t="s">
        <v>1646</v>
      </c>
    </row>
    <row r="365" spans="1:43" ht="30">
      <c r="A365" s="7">
        <v>357</v>
      </c>
      <c r="B365" s="7" t="s">
        <v>1097</v>
      </c>
      <c r="C365" s="7" t="s">
        <v>52</v>
      </c>
      <c r="D365" s="7" t="s">
        <v>99</v>
      </c>
      <c r="E365" s="7" t="s">
        <v>1642</v>
      </c>
      <c r="F365" s="7" t="s">
        <v>52</v>
      </c>
      <c r="G365" s="14">
        <v>1032</v>
      </c>
      <c r="H365" s="15">
        <v>0.5</v>
      </c>
      <c r="I365" s="15">
        <v>1.55</v>
      </c>
      <c r="J365" s="15">
        <v>4.3604651162790699E-2</v>
      </c>
      <c r="K365" s="15">
        <v>0.13517441860465115</v>
      </c>
      <c r="L365" s="15">
        <v>61.3</v>
      </c>
      <c r="M365" s="15">
        <v>1.6131578947368421</v>
      </c>
      <c r="N365" s="16">
        <v>2.7030615728973025E-2</v>
      </c>
      <c r="O365" s="16">
        <v>8.3794908759816378E-2</v>
      </c>
      <c r="P365" s="17">
        <f>IFERROR(G365/(G365+Priors!$H$3),0)</f>
        <v>0.50787401574803148</v>
      </c>
      <c r="Q365" s="18">
        <f>IF(E365="Premier League",Priors!$H$4,IF(E365="Championship",Priors!$H$5,Priors!$H$8))</f>
        <v>1</v>
      </c>
      <c r="R365" s="19" t="b">
        <v>0</v>
      </c>
      <c r="S365" s="18">
        <f>IF(R365=TRUE,Priors!$H$6,1)</f>
        <v>1</v>
      </c>
      <c r="T365" s="19" t="b">
        <v>1</v>
      </c>
      <c r="U365" s="18">
        <f>IF(T365=TRUE,Priors!$H$7,1)</f>
        <v>0.9</v>
      </c>
      <c r="V365" s="18">
        <f t="shared" si="30"/>
        <v>0.45708661417322832</v>
      </c>
      <c r="W365" s="20">
        <f>VLOOKUP(D365,Priors!$A$3:$C$6,2,FALSE)</f>
        <v>4.1142361271531161E-2</v>
      </c>
      <c r="X365" s="20">
        <f>VLOOKUP(D365,Priors!$A$3:$C$6,3,FALSE)</f>
        <v>4.0513079897554365E-2</v>
      </c>
      <c r="Y365" s="20">
        <f t="shared" si="31"/>
        <v>3.4692071281409116E-2</v>
      </c>
      <c r="Z365" s="20">
        <f t="shared" si="32"/>
        <v>6.029662450743082E-2</v>
      </c>
      <c r="AA365" s="21">
        <v>1</v>
      </c>
      <c r="AB365" s="21">
        <v>1</v>
      </c>
      <c r="AC365" s="22">
        <f t="shared" si="33"/>
        <v>3.4692071281409116E-2</v>
      </c>
      <c r="AD365" s="22">
        <f t="shared" si="34"/>
        <v>6.029662450743082E-2</v>
      </c>
      <c r="AE365" s="22">
        <f t="shared" si="35"/>
        <v>0.54291338582677162</v>
      </c>
      <c r="AF365" s="7" t="s">
        <v>1643</v>
      </c>
      <c r="AG365" s="7"/>
      <c r="AH365" s="7"/>
      <c r="AI365" s="7"/>
      <c r="AJ365" s="8" t="b">
        <v>1</v>
      </c>
      <c r="AK365" s="28" t="s">
        <v>1644</v>
      </c>
      <c r="AL365" s="28" t="s">
        <v>1645</v>
      </c>
      <c r="AM365" s="28"/>
      <c r="AN365" s="7"/>
      <c r="AO365" s="7">
        <v>0</v>
      </c>
      <c r="AP365" s="8" t="b">
        <v>0</v>
      </c>
      <c r="AQ365" s="28" t="s">
        <v>1646</v>
      </c>
    </row>
    <row r="366" spans="1:43" ht="30">
      <c r="A366" s="7">
        <v>358</v>
      </c>
      <c r="B366" s="7" t="s">
        <v>1099</v>
      </c>
      <c r="C366" s="7" t="s">
        <v>52</v>
      </c>
      <c r="D366" s="7" t="s">
        <v>99</v>
      </c>
      <c r="E366" s="7" t="s">
        <v>1642</v>
      </c>
      <c r="F366" s="7" t="s">
        <v>52</v>
      </c>
      <c r="G366" s="14">
        <v>2251</v>
      </c>
      <c r="H366" s="15">
        <v>1.5</v>
      </c>
      <c r="I366" s="15">
        <v>0.69</v>
      </c>
      <c r="J366" s="15">
        <v>5.9973345179920035E-2</v>
      </c>
      <c r="K366" s="15">
        <v>2.7587738782763212E-2</v>
      </c>
      <c r="L366" s="15">
        <v>61.3</v>
      </c>
      <c r="M366" s="15">
        <v>1.6131578947368421</v>
      </c>
      <c r="N366" s="16">
        <v>3.7177603863571961E-2</v>
      </c>
      <c r="O366" s="16">
        <v>1.7101697777243099E-2</v>
      </c>
      <c r="P366" s="17">
        <f>IFERROR(G366/(G366+Priors!$H$3),0)</f>
        <v>0.69240233774223314</v>
      </c>
      <c r="Q366" s="18">
        <f>IF(E366="Premier League",Priors!$H$4,IF(E366="Championship",Priors!$H$5,Priors!$H$8))</f>
        <v>1</v>
      </c>
      <c r="R366" s="19" t="b">
        <v>0</v>
      </c>
      <c r="S366" s="18">
        <f>IF(R366=TRUE,Priors!$H$6,1)</f>
        <v>1</v>
      </c>
      <c r="T366" s="19" t="b">
        <v>1</v>
      </c>
      <c r="U366" s="18">
        <f>IF(T366=TRUE,Priors!$H$7,1)</f>
        <v>0.9</v>
      </c>
      <c r="V366" s="18">
        <f t="shared" si="30"/>
        <v>0.62316210396800986</v>
      </c>
      <c r="W366" s="20">
        <f>VLOOKUP(D366,Priors!$A$3:$C$6,2,FALSE)</f>
        <v>4.1142361271531161E-2</v>
      </c>
      <c r="X366" s="20">
        <f>VLOOKUP(D366,Priors!$A$3:$C$6,3,FALSE)</f>
        <v>4.0513079897554365E-2</v>
      </c>
      <c r="Y366" s="20">
        <f t="shared" si="31"/>
        <v>3.8671674703464554E-2</v>
      </c>
      <c r="Z366" s="20">
        <f t="shared" si="32"/>
        <v>2.5923993758662146E-2</v>
      </c>
      <c r="AA366" s="21">
        <v>1</v>
      </c>
      <c r="AB366" s="21">
        <v>1</v>
      </c>
      <c r="AC366" s="22">
        <f t="shared" si="33"/>
        <v>3.8671674703464554E-2</v>
      </c>
      <c r="AD366" s="22">
        <f t="shared" si="34"/>
        <v>2.5923993758662146E-2</v>
      </c>
      <c r="AE366" s="22">
        <f t="shared" si="35"/>
        <v>0.37683789603199014</v>
      </c>
      <c r="AF366" s="7" t="s">
        <v>1643</v>
      </c>
      <c r="AG366" s="7"/>
      <c r="AH366" s="7"/>
      <c r="AI366" s="7"/>
      <c r="AJ366" s="8" t="b">
        <v>1</v>
      </c>
      <c r="AK366" s="28" t="s">
        <v>1644</v>
      </c>
      <c r="AL366" s="28" t="s">
        <v>1645</v>
      </c>
      <c r="AM366" s="28"/>
      <c r="AN366" s="7"/>
      <c r="AO366" s="7">
        <v>0</v>
      </c>
      <c r="AP366" s="8" t="b">
        <v>0</v>
      </c>
      <c r="AQ366" s="28" t="s">
        <v>1646</v>
      </c>
    </row>
    <row r="367" spans="1:43" ht="30">
      <c r="A367" s="7">
        <v>359</v>
      </c>
      <c r="B367" s="7" t="s">
        <v>467</v>
      </c>
      <c r="C367" s="7" t="s">
        <v>52</v>
      </c>
      <c r="D367" s="7" t="s">
        <v>99</v>
      </c>
      <c r="E367" s="7" t="s">
        <v>1642</v>
      </c>
      <c r="F367" s="7" t="s">
        <v>52</v>
      </c>
      <c r="G367" s="14">
        <v>594</v>
      </c>
      <c r="H367" s="15">
        <v>0.28000000000000003</v>
      </c>
      <c r="I367" s="15">
        <v>0.64</v>
      </c>
      <c r="J367" s="15">
        <v>4.2424242424242427E-2</v>
      </c>
      <c r="K367" s="15">
        <v>9.696969696969697E-2</v>
      </c>
      <c r="L367" s="15">
        <v>61.3</v>
      </c>
      <c r="M367" s="15">
        <v>1.6131578947368421</v>
      </c>
      <c r="N367" s="16">
        <v>2.6298877848633152E-2</v>
      </c>
      <c r="O367" s="16">
        <v>6.0111720796875774E-2</v>
      </c>
      <c r="P367" s="17">
        <f>IFERROR(G367/(G367+Priors!$H$3),0)</f>
        <v>0.37264742785445421</v>
      </c>
      <c r="Q367" s="18">
        <f>IF(E367="Premier League",Priors!$H$4,IF(E367="Championship",Priors!$H$5,Priors!$H$8))</f>
        <v>1</v>
      </c>
      <c r="R367" s="19" t="b">
        <v>0</v>
      </c>
      <c r="S367" s="18">
        <f>IF(R367=TRUE,Priors!$H$6,1)</f>
        <v>1</v>
      </c>
      <c r="T367" s="19" t="b">
        <v>1</v>
      </c>
      <c r="U367" s="18">
        <f>IF(T367=TRUE,Priors!$H$7,1)</f>
        <v>0.9</v>
      </c>
      <c r="V367" s="18">
        <f t="shared" si="30"/>
        <v>0.33538268506900881</v>
      </c>
      <c r="W367" s="20">
        <f>VLOOKUP(D367,Priors!$A$3:$C$6,2,FALSE)</f>
        <v>4.1142361271531161E-2</v>
      </c>
      <c r="X367" s="20">
        <f>VLOOKUP(D367,Priors!$A$3:$C$6,3,FALSE)</f>
        <v>4.0513079897554365E-2</v>
      </c>
      <c r="Y367" s="20">
        <f t="shared" si="31"/>
        <v>3.6164113945382305E-2</v>
      </c>
      <c r="Z367" s="20">
        <f t="shared" si="32"/>
        <v>4.7086124706072069E-2</v>
      </c>
      <c r="AA367" s="21">
        <v>1</v>
      </c>
      <c r="AB367" s="21">
        <v>1</v>
      </c>
      <c r="AC367" s="22">
        <f t="shared" si="33"/>
        <v>3.6164113945382305E-2</v>
      </c>
      <c r="AD367" s="22">
        <f t="shared" si="34"/>
        <v>4.7086124706072069E-2</v>
      </c>
      <c r="AE367" s="22">
        <f t="shared" si="35"/>
        <v>0.66461731493099119</v>
      </c>
      <c r="AF367" s="7" t="s">
        <v>1643</v>
      </c>
      <c r="AG367" s="7"/>
      <c r="AH367" s="7"/>
      <c r="AI367" s="7"/>
      <c r="AJ367" s="8" t="b">
        <v>1</v>
      </c>
      <c r="AK367" s="28" t="s">
        <v>1644</v>
      </c>
      <c r="AL367" s="28" t="s">
        <v>1645</v>
      </c>
      <c r="AM367" s="28"/>
      <c r="AN367" s="7"/>
      <c r="AO367" s="7">
        <v>0</v>
      </c>
      <c r="AP367" s="8" t="b">
        <v>0</v>
      </c>
      <c r="AQ367" s="28" t="s">
        <v>1646</v>
      </c>
    </row>
    <row r="368" spans="1:43" ht="30">
      <c r="A368" s="7">
        <v>360</v>
      </c>
      <c r="B368" s="7" t="s">
        <v>1104</v>
      </c>
      <c r="C368" s="7" t="s">
        <v>52</v>
      </c>
      <c r="D368" s="7" t="s">
        <v>99</v>
      </c>
      <c r="E368" s="7" t="s">
        <v>1642</v>
      </c>
      <c r="F368" s="7" t="s">
        <v>52</v>
      </c>
      <c r="G368" s="14">
        <v>928</v>
      </c>
      <c r="H368" s="15">
        <v>0.18</v>
      </c>
      <c r="I368" s="15">
        <v>0.84</v>
      </c>
      <c r="J368" s="15">
        <v>1.7456896551724138E-2</v>
      </c>
      <c r="K368" s="15">
        <v>8.1465517241379307E-2</v>
      </c>
      <c r="L368" s="15">
        <v>61.3</v>
      </c>
      <c r="M368" s="15">
        <v>1.6131578947368421</v>
      </c>
      <c r="N368" s="16">
        <v>1.0821567193564719E-2</v>
      </c>
      <c r="O368" s="16">
        <v>5.050064690330202E-2</v>
      </c>
      <c r="P368" s="17">
        <f>IFERROR(G368/(G368+Priors!$H$3),0)</f>
        <v>0.48132780082987553</v>
      </c>
      <c r="Q368" s="18">
        <f>IF(E368="Premier League",Priors!$H$4,IF(E368="Championship",Priors!$H$5,Priors!$H$8))</f>
        <v>1</v>
      </c>
      <c r="R368" s="19" t="b">
        <v>0</v>
      </c>
      <c r="S368" s="18">
        <f>IF(R368=TRUE,Priors!$H$6,1)</f>
        <v>1</v>
      </c>
      <c r="T368" s="19" t="b">
        <v>1</v>
      </c>
      <c r="U368" s="18">
        <f>IF(T368=TRUE,Priors!$H$7,1)</f>
        <v>0.9</v>
      </c>
      <c r="V368" s="18">
        <f t="shared" si="30"/>
        <v>0.43319502074688798</v>
      </c>
      <c r="W368" s="20">
        <f>VLOOKUP(D368,Priors!$A$3:$C$6,2,FALSE)</f>
        <v>4.1142361271531161E-2</v>
      </c>
      <c r="X368" s="20">
        <f>VLOOKUP(D368,Priors!$A$3:$C$6,3,FALSE)</f>
        <v>4.0513079897554365E-2</v>
      </c>
      <c r="Y368" s="20">
        <f t="shared" si="31"/>
        <v>2.8007544251864368E-2</v>
      </c>
      <c r="Z368" s="20">
        <f t="shared" si="32"/>
        <v>4.4839644193820152E-2</v>
      </c>
      <c r="AA368" s="21">
        <v>1</v>
      </c>
      <c r="AB368" s="21">
        <v>1</v>
      </c>
      <c r="AC368" s="22">
        <f t="shared" si="33"/>
        <v>2.8007544251864368E-2</v>
      </c>
      <c r="AD368" s="22">
        <f t="shared" si="34"/>
        <v>4.4839644193820152E-2</v>
      </c>
      <c r="AE368" s="22">
        <f t="shared" si="35"/>
        <v>0.56680497925311202</v>
      </c>
      <c r="AF368" s="7" t="s">
        <v>1643</v>
      </c>
      <c r="AG368" s="7"/>
      <c r="AH368" s="7"/>
      <c r="AI368" s="7"/>
      <c r="AJ368" s="8" t="b">
        <v>1</v>
      </c>
      <c r="AK368" s="28" t="s">
        <v>1644</v>
      </c>
      <c r="AL368" s="28" t="s">
        <v>1645</v>
      </c>
      <c r="AM368" s="28"/>
      <c r="AN368" s="7">
        <v>3</v>
      </c>
      <c r="AO368" s="7">
        <v>0</v>
      </c>
      <c r="AP368" s="8" t="b">
        <v>0</v>
      </c>
      <c r="AQ368" s="28" t="s">
        <v>1646</v>
      </c>
    </row>
    <row r="369" spans="1:43" ht="15">
      <c r="A369" s="7">
        <v>361</v>
      </c>
      <c r="B369" s="7" t="s">
        <v>1107</v>
      </c>
      <c r="C369" s="7" t="s">
        <v>52</v>
      </c>
      <c r="D369" s="7" t="s">
        <v>99</v>
      </c>
      <c r="E369" s="7" t="s">
        <v>1647</v>
      </c>
      <c r="F369" s="7"/>
      <c r="G369" s="14"/>
      <c r="H369" s="15"/>
      <c r="I369" s="15"/>
      <c r="J369" s="15"/>
      <c r="K369" s="15"/>
      <c r="L369" s="15"/>
      <c r="M369" s="15"/>
      <c r="N369" s="16"/>
      <c r="O369" s="16"/>
      <c r="P369" s="17">
        <f>IFERROR(G369/(G369+Priors!$H$3),0)</f>
        <v>0</v>
      </c>
      <c r="Q369" s="18">
        <f>IF(E369="Premier League",Priors!$H$4,IF(E369="Championship",Priors!$H$5,Priors!$H$8))</f>
        <v>0</v>
      </c>
      <c r="R369" s="19" t="b">
        <v>0</v>
      </c>
      <c r="S369" s="18">
        <f>IF(R369=TRUE,Priors!$H$6,1)</f>
        <v>1</v>
      </c>
      <c r="T369" s="19" t="b">
        <v>1</v>
      </c>
      <c r="U369" s="18">
        <f>IF(T369=TRUE,Priors!$H$7,1)</f>
        <v>0.9</v>
      </c>
      <c r="V369" s="18">
        <f t="shared" si="30"/>
        <v>0</v>
      </c>
      <c r="W369" s="20">
        <f>VLOOKUP(D369,Priors!$A$3:$C$6,2,FALSE)</f>
        <v>4.1142361271531161E-2</v>
      </c>
      <c r="X369" s="20">
        <f>VLOOKUP(D369,Priors!$A$3:$C$6,3,FALSE)</f>
        <v>4.0513079897554365E-2</v>
      </c>
      <c r="Y369" s="20">
        <f t="shared" si="31"/>
        <v>4.1142361271531161E-2</v>
      </c>
      <c r="Z369" s="20">
        <f t="shared" si="32"/>
        <v>4.0513079897554365E-2</v>
      </c>
      <c r="AA369" s="21">
        <v>1</v>
      </c>
      <c r="AB369" s="21">
        <v>1</v>
      </c>
      <c r="AC369" s="22">
        <f t="shared" si="33"/>
        <v>4.1142361271531161E-2</v>
      </c>
      <c r="AD369" s="22">
        <f t="shared" si="34"/>
        <v>4.0513079897554365E-2</v>
      </c>
      <c r="AE369" s="22">
        <f t="shared" si="35"/>
        <v>1</v>
      </c>
      <c r="AF369" s="7" t="s">
        <v>1647</v>
      </c>
      <c r="AG369" s="7"/>
      <c r="AH369" s="7"/>
      <c r="AI369" s="7"/>
      <c r="AJ369" s="8" t="b">
        <v>1</v>
      </c>
      <c r="AK369" s="28" t="s">
        <v>1648</v>
      </c>
      <c r="AL369" s="28"/>
      <c r="AM369" s="28"/>
      <c r="AN369" s="7">
        <v>2</v>
      </c>
      <c r="AO369" s="7">
        <v>1</v>
      </c>
      <c r="AP369" s="8" t="b">
        <v>1</v>
      </c>
      <c r="AQ369" s="28" t="s">
        <v>1649</v>
      </c>
    </row>
    <row r="370" spans="1:43" ht="15">
      <c r="A370" s="7">
        <v>362</v>
      </c>
      <c r="B370" s="7" t="s">
        <v>1109</v>
      </c>
      <c r="C370" s="7" t="s">
        <v>52</v>
      </c>
      <c r="D370" s="7" t="s">
        <v>99</v>
      </c>
      <c r="E370" s="7" t="s">
        <v>1647</v>
      </c>
      <c r="F370" s="7"/>
      <c r="G370" s="14"/>
      <c r="H370" s="15"/>
      <c r="I370" s="15"/>
      <c r="J370" s="15"/>
      <c r="K370" s="15"/>
      <c r="L370" s="15"/>
      <c r="M370" s="15"/>
      <c r="N370" s="16"/>
      <c r="O370" s="16"/>
      <c r="P370" s="17">
        <f>IFERROR(G370/(G370+Priors!$H$3),0)</f>
        <v>0</v>
      </c>
      <c r="Q370" s="18">
        <f>IF(E370="Premier League",Priors!$H$4,IF(E370="Championship",Priors!$H$5,Priors!$H$8))</f>
        <v>0</v>
      </c>
      <c r="R370" s="19" t="b">
        <v>0</v>
      </c>
      <c r="S370" s="18">
        <f>IF(R370=TRUE,Priors!$H$6,1)</f>
        <v>1</v>
      </c>
      <c r="T370" s="19" t="b">
        <v>1</v>
      </c>
      <c r="U370" s="18">
        <f>IF(T370=TRUE,Priors!$H$7,1)</f>
        <v>0.9</v>
      </c>
      <c r="V370" s="18">
        <f t="shared" si="30"/>
        <v>0</v>
      </c>
      <c r="W370" s="20">
        <f>VLOOKUP(D370,Priors!$A$3:$C$6,2,FALSE)</f>
        <v>4.1142361271531161E-2</v>
      </c>
      <c r="X370" s="20">
        <f>VLOOKUP(D370,Priors!$A$3:$C$6,3,FALSE)</f>
        <v>4.0513079897554365E-2</v>
      </c>
      <c r="Y370" s="20">
        <f t="shared" si="31"/>
        <v>4.1142361271531161E-2</v>
      </c>
      <c r="Z370" s="20">
        <f t="shared" si="32"/>
        <v>4.0513079897554365E-2</v>
      </c>
      <c r="AA370" s="21">
        <v>1</v>
      </c>
      <c r="AB370" s="21">
        <v>1</v>
      </c>
      <c r="AC370" s="22">
        <f t="shared" si="33"/>
        <v>4.1142361271531161E-2</v>
      </c>
      <c r="AD370" s="22">
        <f t="shared" si="34"/>
        <v>4.0513079897554365E-2</v>
      </c>
      <c r="AE370" s="22">
        <f t="shared" si="35"/>
        <v>1</v>
      </c>
      <c r="AF370" s="7" t="s">
        <v>1647</v>
      </c>
      <c r="AG370" s="7"/>
      <c r="AH370" s="7"/>
      <c r="AI370" s="7"/>
      <c r="AJ370" s="8" t="b">
        <v>1</v>
      </c>
      <c r="AK370" s="28" t="s">
        <v>1648</v>
      </c>
      <c r="AL370" s="28"/>
      <c r="AM370" s="28"/>
      <c r="AN370" s="7"/>
      <c r="AO370" s="7">
        <v>0</v>
      </c>
      <c r="AP370" s="8" t="b">
        <v>0</v>
      </c>
      <c r="AQ370" s="28" t="s">
        <v>1646</v>
      </c>
    </row>
    <row r="371" spans="1:43" ht="15">
      <c r="A371" s="7">
        <v>363</v>
      </c>
      <c r="B371" s="7" t="s">
        <v>1111</v>
      </c>
      <c r="C371" s="7" t="s">
        <v>52</v>
      </c>
      <c r="D371" s="7" t="s">
        <v>99</v>
      </c>
      <c r="E371" s="7" t="s">
        <v>1647</v>
      </c>
      <c r="F371" s="7"/>
      <c r="G371" s="14"/>
      <c r="H371" s="15"/>
      <c r="I371" s="15"/>
      <c r="J371" s="15"/>
      <c r="K371" s="15"/>
      <c r="L371" s="15"/>
      <c r="M371" s="15"/>
      <c r="N371" s="16"/>
      <c r="O371" s="16"/>
      <c r="P371" s="17">
        <f>IFERROR(G371/(G371+Priors!$H$3),0)</f>
        <v>0</v>
      </c>
      <c r="Q371" s="18">
        <f>IF(E371="Premier League",Priors!$H$4,IF(E371="Championship",Priors!$H$5,Priors!$H$8))</f>
        <v>0</v>
      </c>
      <c r="R371" s="19" t="b">
        <v>0</v>
      </c>
      <c r="S371" s="18">
        <f>IF(R371=TRUE,Priors!$H$6,1)</f>
        <v>1</v>
      </c>
      <c r="T371" s="19" t="b">
        <v>1</v>
      </c>
      <c r="U371" s="18">
        <f>IF(T371=TRUE,Priors!$H$7,1)</f>
        <v>0.9</v>
      </c>
      <c r="V371" s="18">
        <f t="shared" si="30"/>
        <v>0</v>
      </c>
      <c r="W371" s="20">
        <f>VLOOKUP(D371,Priors!$A$3:$C$6,2,FALSE)</f>
        <v>4.1142361271531161E-2</v>
      </c>
      <c r="X371" s="20">
        <f>VLOOKUP(D371,Priors!$A$3:$C$6,3,FALSE)</f>
        <v>4.0513079897554365E-2</v>
      </c>
      <c r="Y371" s="20">
        <f t="shared" si="31"/>
        <v>4.1142361271531161E-2</v>
      </c>
      <c r="Z371" s="20">
        <f t="shared" si="32"/>
        <v>4.0513079897554365E-2</v>
      </c>
      <c r="AA371" s="21">
        <v>1</v>
      </c>
      <c r="AB371" s="21">
        <v>1</v>
      </c>
      <c r="AC371" s="22">
        <f t="shared" si="33"/>
        <v>4.1142361271531161E-2</v>
      </c>
      <c r="AD371" s="22">
        <f t="shared" si="34"/>
        <v>4.0513079897554365E-2</v>
      </c>
      <c r="AE371" s="22">
        <f t="shared" si="35"/>
        <v>1</v>
      </c>
      <c r="AF371" s="7" t="s">
        <v>1647</v>
      </c>
      <c r="AG371" s="7"/>
      <c r="AH371" s="7"/>
      <c r="AI371" s="7"/>
      <c r="AJ371" s="8" t="b">
        <v>1</v>
      </c>
      <c r="AK371" s="28" t="s">
        <v>1648</v>
      </c>
      <c r="AL371" s="28"/>
      <c r="AM371" s="28"/>
      <c r="AN371" s="7"/>
      <c r="AO371" s="7">
        <v>0</v>
      </c>
      <c r="AP371" s="8" t="b">
        <v>0</v>
      </c>
      <c r="AQ371" s="28" t="s">
        <v>1646</v>
      </c>
    </row>
    <row r="372" spans="1:43" ht="15">
      <c r="A372" s="7">
        <v>364</v>
      </c>
      <c r="B372" s="7" t="s">
        <v>1113</v>
      </c>
      <c r="C372" s="7" t="s">
        <v>52</v>
      </c>
      <c r="D372" s="7" t="s">
        <v>99</v>
      </c>
      <c r="E372" s="7" t="s">
        <v>1647</v>
      </c>
      <c r="F372" s="7"/>
      <c r="G372" s="14"/>
      <c r="H372" s="15"/>
      <c r="I372" s="15"/>
      <c r="J372" s="15"/>
      <c r="K372" s="15"/>
      <c r="L372" s="15"/>
      <c r="M372" s="15"/>
      <c r="N372" s="16"/>
      <c r="O372" s="16"/>
      <c r="P372" s="17">
        <f>IFERROR(G372/(G372+Priors!$H$3),0)</f>
        <v>0</v>
      </c>
      <c r="Q372" s="18">
        <f>IF(E372="Premier League",Priors!$H$4,IF(E372="Championship",Priors!$H$5,Priors!$H$8))</f>
        <v>0</v>
      </c>
      <c r="R372" s="19" t="b">
        <v>0</v>
      </c>
      <c r="S372" s="18">
        <f>IF(R372=TRUE,Priors!$H$6,1)</f>
        <v>1</v>
      </c>
      <c r="T372" s="19" t="b">
        <v>1</v>
      </c>
      <c r="U372" s="18">
        <f>IF(T372=TRUE,Priors!$H$7,1)</f>
        <v>0.9</v>
      </c>
      <c r="V372" s="18">
        <f t="shared" si="30"/>
        <v>0</v>
      </c>
      <c r="W372" s="20">
        <f>VLOOKUP(D372,Priors!$A$3:$C$6,2,FALSE)</f>
        <v>4.1142361271531161E-2</v>
      </c>
      <c r="X372" s="20">
        <f>VLOOKUP(D372,Priors!$A$3:$C$6,3,FALSE)</f>
        <v>4.0513079897554365E-2</v>
      </c>
      <c r="Y372" s="20">
        <f t="shared" si="31"/>
        <v>4.1142361271531161E-2</v>
      </c>
      <c r="Z372" s="20">
        <f t="shared" si="32"/>
        <v>4.0513079897554365E-2</v>
      </c>
      <c r="AA372" s="21">
        <v>1</v>
      </c>
      <c r="AB372" s="21">
        <v>1</v>
      </c>
      <c r="AC372" s="22">
        <f t="shared" si="33"/>
        <v>4.1142361271531161E-2</v>
      </c>
      <c r="AD372" s="22">
        <f t="shared" si="34"/>
        <v>4.0513079897554365E-2</v>
      </c>
      <c r="AE372" s="22">
        <f t="shared" si="35"/>
        <v>1</v>
      </c>
      <c r="AF372" s="7" t="s">
        <v>1647</v>
      </c>
      <c r="AG372" s="7"/>
      <c r="AH372" s="7"/>
      <c r="AI372" s="7"/>
      <c r="AJ372" s="8" t="b">
        <v>1</v>
      </c>
      <c r="AK372" s="28" t="s">
        <v>1648</v>
      </c>
      <c r="AL372" s="28"/>
      <c r="AM372" s="28"/>
      <c r="AN372" s="7"/>
      <c r="AO372" s="7">
        <v>0</v>
      </c>
      <c r="AP372" s="8" t="b">
        <v>0</v>
      </c>
      <c r="AQ372" s="28" t="s">
        <v>1646</v>
      </c>
    </row>
    <row r="373" spans="1:43" ht="15">
      <c r="A373" s="7">
        <v>365</v>
      </c>
      <c r="B373" s="7" t="s">
        <v>1116</v>
      </c>
      <c r="C373" s="7" t="s">
        <v>52</v>
      </c>
      <c r="D373" s="7" t="s">
        <v>99</v>
      </c>
      <c r="E373" s="7" t="s">
        <v>1647</v>
      </c>
      <c r="F373" s="7"/>
      <c r="G373" s="14"/>
      <c r="H373" s="15"/>
      <c r="I373" s="15"/>
      <c r="J373" s="15"/>
      <c r="K373" s="15"/>
      <c r="L373" s="15"/>
      <c r="M373" s="15"/>
      <c r="N373" s="16"/>
      <c r="O373" s="16"/>
      <c r="P373" s="17">
        <f>IFERROR(G373/(G373+Priors!$H$3),0)</f>
        <v>0</v>
      </c>
      <c r="Q373" s="18">
        <f>IF(E373="Premier League",Priors!$H$4,IF(E373="Championship",Priors!$H$5,Priors!$H$8))</f>
        <v>0</v>
      </c>
      <c r="R373" s="19" t="b">
        <v>0</v>
      </c>
      <c r="S373" s="18">
        <f>IF(R373=TRUE,Priors!$H$6,1)</f>
        <v>1</v>
      </c>
      <c r="T373" s="19" t="b">
        <v>1</v>
      </c>
      <c r="U373" s="18">
        <f>IF(T373=TRUE,Priors!$H$7,1)</f>
        <v>0.9</v>
      </c>
      <c r="V373" s="18">
        <f t="shared" si="30"/>
        <v>0</v>
      </c>
      <c r="W373" s="20">
        <f>VLOOKUP(D373,Priors!$A$3:$C$6,2,FALSE)</f>
        <v>4.1142361271531161E-2</v>
      </c>
      <c r="X373" s="20">
        <f>VLOOKUP(D373,Priors!$A$3:$C$6,3,FALSE)</f>
        <v>4.0513079897554365E-2</v>
      </c>
      <c r="Y373" s="20">
        <f t="shared" si="31"/>
        <v>4.1142361271531161E-2</v>
      </c>
      <c r="Z373" s="20">
        <f t="shared" si="32"/>
        <v>4.0513079897554365E-2</v>
      </c>
      <c r="AA373" s="21">
        <v>1</v>
      </c>
      <c r="AB373" s="21">
        <v>1</v>
      </c>
      <c r="AC373" s="22">
        <f t="shared" si="33"/>
        <v>4.1142361271531161E-2</v>
      </c>
      <c r="AD373" s="22">
        <f t="shared" si="34"/>
        <v>4.0513079897554365E-2</v>
      </c>
      <c r="AE373" s="22">
        <f t="shared" si="35"/>
        <v>1</v>
      </c>
      <c r="AF373" s="7" t="s">
        <v>1647</v>
      </c>
      <c r="AG373" s="7"/>
      <c r="AH373" s="7"/>
      <c r="AI373" s="7"/>
      <c r="AJ373" s="8" t="b">
        <v>1</v>
      </c>
      <c r="AK373" s="28" t="s">
        <v>1648</v>
      </c>
      <c r="AL373" s="28"/>
      <c r="AM373" s="28"/>
      <c r="AN373" s="7">
        <v>4</v>
      </c>
      <c r="AO373" s="7">
        <v>0</v>
      </c>
      <c r="AP373" s="8" t="b">
        <v>0</v>
      </c>
      <c r="AQ373" s="28" t="s">
        <v>1646</v>
      </c>
    </row>
    <row r="374" spans="1:43" ht="30">
      <c r="A374" s="7">
        <v>366</v>
      </c>
      <c r="B374" s="7" t="s">
        <v>1119</v>
      </c>
      <c r="C374" s="7" t="s">
        <v>52</v>
      </c>
      <c r="D374" s="7" t="s">
        <v>112</v>
      </c>
      <c r="E374" s="7" t="s">
        <v>1642</v>
      </c>
      <c r="F374" s="7" t="s">
        <v>52</v>
      </c>
      <c r="G374" s="14">
        <v>2374</v>
      </c>
      <c r="H374" s="15">
        <v>6.83</v>
      </c>
      <c r="I374" s="15">
        <v>5.14</v>
      </c>
      <c r="J374" s="15">
        <v>0.25893007582139849</v>
      </c>
      <c r="K374" s="15">
        <v>0.1948609941027801</v>
      </c>
      <c r="L374" s="15">
        <v>61.3</v>
      </c>
      <c r="M374" s="15">
        <v>1.6131578947368421</v>
      </c>
      <c r="N374" s="16">
        <v>0.16051130311930084</v>
      </c>
      <c r="O374" s="16">
        <v>0.12079474348948847</v>
      </c>
      <c r="P374" s="17">
        <f>IFERROR(G374/(G374+Priors!$H$3),0)</f>
        <v>0.70361588618850035</v>
      </c>
      <c r="Q374" s="18">
        <f>IF(E374="Premier League",Priors!$H$4,IF(E374="Championship",Priors!$H$5,Priors!$H$8))</f>
        <v>1</v>
      </c>
      <c r="R374" s="19" t="b">
        <v>0</v>
      </c>
      <c r="S374" s="18">
        <f>IF(R374=TRUE,Priors!$H$6,1)</f>
        <v>1</v>
      </c>
      <c r="T374" s="19" t="b">
        <v>1</v>
      </c>
      <c r="U374" s="18">
        <f>IF(T374=TRUE,Priors!$H$7,1)</f>
        <v>0.9</v>
      </c>
      <c r="V374" s="18">
        <f t="shared" si="30"/>
        <v>0.63325429756965035</v>
      </c>
      <c r="W374" s="20">
        <f>VLOOKUP(D374,Priors!$A$3:$C$6,2,FALSE)</f>
        <v>0.10751786102217777</v>
      </c>
      <c r="X374" s="20">
        <f>VLOOKUP(D374,Priors!$A$3:$C$6,3,FALSE)</f>
        <v>9.0240671969462088E-2</v>
      </c>
      <c r="Y374" s="20">
        <f t="shared" si="31"/>
        <v>0.14107618597318938</v>
      </c>
      <c r="Z374" s="20">
        <f t="shared" si="32"/>
        <v>0.10958916906776925</v>
      </c>
      <c r="AA374" s="21">
        <v>1</v>
      </c>
      <c r="AB374" s="21">
        <v>1</v>
      </c>
      <c r="AC374" s="22">
        <f t="shared" si="33"/>
        <v>0.14107618597318938</v>
      </c>
      <c r="AD374" s="22">
        <f t="shared" si="34"/>
        <v>0.10958916906776925</v>
      </c>
      <c r="AE374" s="22">
        <f t="shared" si="35"/>
        <v>0.36674570243034965</v>
      </c>
      <c r="AF374" s="7" t="s">
        <v>1643</v>
      </c>
      <c r="AG374" s="7">
        <v>4</v>
      </c>
      <c r="AH374" s="7">
        <v>2</v>
      </c>
      <c r="AI374" s="7">
        <v>6</v>
      </c>
      <c r="AJ374" s="8" t="b">
        <v>1</v>
      </c>
      <c r="AK374" s="28" t="s">
        <v>1644</v>
      </c>
      <c r="AL374" s="28" t="s">
        <v>1645</v>
      </c>
      <c r="AM374" s="28"/>
      <c r="AN374" s="7"/>
      <c r="AO374" s="7">
        <v>0</v>
      </c>
      <c r="AP374" s="8" t="b">
        <v>0</v>
      </c>
      <c r="AQ374" s="28" t="s">
        <v>1646</v>
      </c>
    </row>
    <row r="375" spans="1:43" ht="30">
      <c r="A375" s="7">
        <v>367</v>
      </c>
      <c r="B375" s="7" t="s">
        <v>1122</v>
      </c>
      <c r="C375" s="7" t="s">
        <v>52</v>
      </c>
      <c r="D375" s="7" t="s">
        <v>112</v>
      </c>
      <c r="E375" s="7" t="s">
        <v>1642</v>
      </c>
      <c r="F375" s="7" t="s">
        <v>52</v>
      </c>
      <c r="G375" s="14">
        <v>2736</v>
      </c>
      <c r="H375" s="15">
        <v>8.35</v>
      </c>
      <c r="I375" s="15">
        <v>4.67</v>
      </c>
      <c r="J375" s="15">
        <v>0.27467105263157893</v>
      </c>
      <c r="K375" s="15">
        <v>0.15361842105263157</v>
      </c>
      <c r="L375" s="15">
        <v>61.3</v>
      </c>
      <c r="M375" s="15">
        <v>1.6131578947368421</v>
      </c>
      <c r="N375" s="16">
        <v>0.17026916802610112</v>
      </c>
      <c r="O375" s="16">
        <v>9.5228384991843384E-2</v>
      </c>
      <c r="P375" s="17">
        <f>IFERROR(G375/(G375+Priors!$H$3),0)</f>
        <v>0.73233404710920769</v>
      </c>
      <c r="Q375" s="18">
        <f>IF(E375="Premier League",Priors!$H$4,IF(E375="Championship",Priors!$H$5,Priors!$H$8))</f>
        <v>1</v>
      </c>
      <c r="R375" s="19" t="b">
        <v>0</v>
      </c>
      <c r="S375" s="18">
        <f>IF(R375=TRUE,Priors!$H$6,1)</f>
        <v>1</v>
      </c>
      <c r="T375" s="19" t="b">
        <v>1</v>
      </c>
      <c r="U375" s="18">
        <f>IF(T375=TRUE,Priors!$H$7,1)</f>
        <v>0.9</v>
      </c>
      <c r="V375" s="18">
        <f t="shared" si="30"/>
        <v>0.65910064239828692</v>
      </c>
      <c r="W375" s="20">
        <f>VLOOKUP(D375,Priors!$A$3:$C$6,2,FALSE)</f>
        <v>0.10751786102217777</v>
      </c>
      <c r="X375" s="20">
        <f>VLOOKUP(D375,Priors!$A$3:$C$6,3,FALSE)</f>
        <v>9.0240671969462088E-2</v>
      </c>
      <c r="Y375" s="20">
        <f t="shared" si="31"/>
        <v>0.14887728777979575</v>
      </c>
      <c r="Z375" s="20">
        <f t="shared" si="32"/>
        <v>9.3528076826611906E-2</v>
      </c>
      <c r="AA375" s="21">
        <v>1</v>
      </c>
      <c r="AB375" s="21">
        <v>1</v>
      </c>
      <c r="AC375" s="22">
        <f t="shared" si="33"/>
        <v>0.14887728777979575</v>
      </c>
      <c r="AD375" s="22">
        <f t="shared" si="34"/>
        <v>9.3528076826611906E-2</v>
      </c>
      <c r="AE375" s="22">
        <f t="shared" si="35"/>
        <v>0.34089935760171308</v>
      </c>
      <c r="AF375" s="7" t="s">
        <v>1643</v>
      </c>
      <c r="AG375" s="7">
        <v>3</v>
      </c>
      <c r="AH375" s="7"/>
      <c r="AI375" s="7">
        <v>5</v>
      </c>
      <c r="AJ375" s="8" t="b">
        <v>1</v>
      </c>
      <c r="AK375" s="28" t="s">
        <v>1644</v>
      </c>
      <c r="AL375" s="28" t="s">
        <v>1645</v>
      </c>
      <c r="AM375" s="28"/>
      <c r="AN375" s="7"/>
      <c r="AO375" s="7">
        <v>0</v>
      </c>
      <c r="AP375" s="8" t="b">
        <v>0</v>
      </c>
      <c r="AQ375" s="28" t="s">
        <v>1646</v>
      </c>
    </row>
    <row r="376" spans="1:43" ht="30">
      <c r="A376" s="7">
        <v>368</v>
      </c>
      <c r="B376" s="7" t="s">
        <v>1124</v>
      </c>
      <c r="C376" s="7" t="s">
        <v>52</v>
      </c>
      <c r="D376" s="7" t="s">
        <v>112</v>
      </c>
      <c r="E376" s="7" t="s">
        <v>1642</v>
      </c>
      <c r="F376" s="7" t="s">
        <v>52</v>
      </c>
      <c r="G376" s="14">
        <v>3232</v>
      </c>
      <c r="H376" s="15">
        <v>4.76</v>
      </c>
      <c r="I376" s="15">
        <v>6.83</v>
      </c>
      <c r="J376" s="15">
        <v>0.13254950495049506</v>
      </c>
      <c r="K376" s="15">
        <v>0.19019183168316833</v>
      </c>
      <c r="L376" s="15">
        <v>61.3</v>
      </c>
      <c r="M376" s="15">
        <v>1.6131578947368421</v>
      </c>
      <c r="N376" s="16">
        <v>8.2167719218903951E-2</v>
      </c>
      <c r="O376" s="16">
        <v>0.11790031980359537</v>
      </c>
      <c r="P376" s="17">
        <f>IFERROR(G376/(G376+Priors!$H$3),0)</f>
        <v>0.76370510396975422</v>
      </c>
      <c r="Q376" s="18">
        <f>IF(E376="Premier League",Priors!$H$4,IF(E376="Championship",Priors!$H$5,Priors!$H$8))</f>
        <v>1</v>
      </c>
      <c r="R376" s="19" t="b">
        <v>0</v>
      </c>
      <c r="S376" s="18">
        <f>IF(R376=TRUE,Priors!$H$6,1)</f>
        <v>1</v>
      </c>
      <c r="T376" s="19" t="b">
        <v>1</v>
      </c>
      <c r="U376" s="18">
        <f>IF(T376=TRUE,Priors!$H$7,1)</f>
        <v>0.9</v>
      </c>
      <c r="V376" s="18">
        <f t="shared" si="30"/>
        <v>0.68733459357277882</v>
      </c>
      <c r="W376" s="20">
        <f>VLOOKUP(D376,Priors!$A$3:$C$6,2,FALSE)</f>
        <v>0.10751786102217777</v>
      </c>
      <c r="X376" s="20">
        <f>VLOOKUP(D376,Priors!$A$3:$C$6,3,FALSE)</f>
        <v>9.0240671969462088E-2</v>
      </c>
      <c r="Y376" s="20">
        <f t="shared" si="31"/>
        <v>9.009383160881225E-2</v>
      </c>
      <c r="Z376" s="20">
        <f t="shared" si="32"/>
        <v>0.10925210477190228</v>
      </c>
      <c r="AA376" s="21">
        <v>1</v>
      </c>
      <c r="AB376" s="21">
        <v>1</v>
      </c>
      <c r="AC376" s="22">
        <f t="shared" si="33"/>
        <v>9.009383160881225E-2</v>
      </c>
      <c r="AD376" s="22">
        <f t="shared" si="34"/>
        <v>0.10925210477190228</v>
      </c>
      <c r="AE376" s="22">
        <f t="shared" si="35"/>
        <v>0.31266540642722118</v>
      </c>
      <c r="AF376" s="7" t="s">
        <v>1643</v>
      </c>
      <c r="AG376" s="7">
        <v>2</v>
      </c>
      <c r="AH376" s="7">
        <v>1</v>
      </c>
      <c r="AI376" s="7">
        <v>4</v>
      </c>
      <c r="AJ376" s="8" t="b">
        <v>1</v>
      </c>
      <c r="AK376" s="28" t="s">
        <v>1644</v>
      </c>
      <c r="AL376" s="28" t="s">
        <v>1645</v>
      </c>
      <c r="AM376" s="28"/>
      <c r="AN376" s="7"/>
      <c r="AO376" s="7">
        <v>0</v>
      </c>
      <c r="AP376" s="8" t="b">
        <v>0</v>
      </c>
      <c r="AQ376" s="28" t="s">
        <v>1646</v>
      </c>
    </row>
    <row r="377" spans="1:43" ht="30">
      <c r="A377" s="7">
        <v>369</v>
      </c>
      <c r="B377" s="7" t="s">
        <v>1127</v>
      </c>
      <c r="C377" s="7" t="s">
        <v>52</v>
      </c>
      <c r="D377" s="7" t="s">
        <v>112</v>
      </c>
      <c r="E377" s="7" t="s">
        <v>1642</v>
      </c>
      <c r="F377" s="7" t="s">
        <v>52</v>
      </c>
      <c r="G377" s="14">
        <v>547</v>
      </c>
      <c r="H377" s="15">
        <v>1.34</v>
      </c>
      <c r="I377" s="15">
        <v>2.0099999999999998</v>
      </c>
      <c r="J377" s="15">
        <v>0.22047531992687389</v>
      </c>
      <c r="K377" s="15">
        <v>0.33071297989031073</v>
      </c>
      <c r="L377" s="15">
        <v>61.3</v>
      </c>
      <c r="M377" s="15">
        <v>1.6131578947368421</v>
      </c>
      <c r="N377" s="16">
        <v>0.13667311838860044</v>
      </c>
      <c r="O377" s="16">
        <v>0.20500967758290062</v>
      </c>
      <c r="P377" s="17">
        <f>IFERROR(G377/(G377+Priors!$H$3),0)</f>
        <v>0.35358758888170655</v>
      </c>
      <c r="Q377" s="18">
        <f>IF(E377="Premier League",Priors!$H$4,IF(E377="Championship",Priors!$H$5,Priors!$H$8))</f>
        <v>1</v>
      </c>
      <c r="R377" s="19" t="b">
        <v>0</v>
      </c>
      <c r="S377" s="18">
        <f>IF(R377=TRUE,Priors!$H$6,1)</f>
        <v>1</v>
      </c>
      <c r="T377" s="19" t="b">
        <v>1</v>
      </c>
      <c r="U377" s="18">
        <f>IF(T377=TRUE,Priors!$H$7,1)</f>
        <v>0.9</v>
      </c>
      <c r="V377" s="18">
        <f t="shared" si="30"/>
        <v>0.31822882999353591</v>
      </c>
      <c r="W377" s="20">
        <f>VLOOKUP(D377,Priors!$A$3:$C$6,2,FALSE)</f>
        <v>0.10751786102217777</v>
      </c>
      <c r="X377" s="20">
        <f>VLOOKUP(D377,Priors!$A$3:$C$6,3,FALSE)</f>
        <v>9.0240671969462088E-2</v>
      </c>
      <c r="Y377" s="20">
        <f t="shared" si="31"/>
        <v>0.11679590446205487</v>
      </c>
      <c r="Z377" s="20">
        <f t="shared" si="32"/>
        <v>0.12676347834534818</v>
      </c>
      <c r="AA377" s="21">
        <v>1</v>
      </c>
      <c r="AB377" s="21">
        <v>1</v>
      </c>
      <c r="AC377" s="22">
        <f t="shared" si="33"/>
        <v>0.11679590446205487</v>
      </c>
      <c r="AD377" s="22">
        <f t="shared" si="34"/>
        <v>0.12676347834534818</v>
      </c>
      <c r="AE377" s="22">
        <f t="shared" si="35"/>
        <v>0.68177117000646414</v>
      </c>
      <c r="AF377" s="7" t="s">
        <v>1643</v>
      </c>
      <c r="AG377" s="7"/>
      <c r="AH377" s="7"/>
      <c r="AI377" s="7"/>
      <c r="AJ377" s="8" t="b">
        <v>1</v>
      </c>
      <c r="AK377" s="28" t="s">
        <v>1644</v>
      </c>
      <c r="AL377" s="28" t="s">
        <v>1645</v>
      </c>
      <c r="AM377" s="28"/>
      <c r="AN377" s="7"/>
      <c r="AO377" s="7">
        <v>0</v>
      </c>
      <c r="AP377" s="8" t="b">
        <v>0</v>
      </c>
      <c r="AQ377" s="28" t="s">
        <v>1646</v>
      </c>
    </row>
    <row r="378" spans="1:43" ht="30">
      <c r="A378" s="7">
        <v>370</v>
      </c>
      <c r="B378" s="7" t="s">
        <v>1130</v>
      </c>
      <c r="C378" s="7" t="s">
        <v>52</v>
      </c>
      <c r="D378" s="7" t="s">
        <v>112</v>
      </c>
      <c r="E378" s="7" t="s">
        <v>1642</v>
      </c>
      <c r="F378" s="7" t="s">
        <v>52</v>
      </c>
      <c r="G378" s="14">
        <v>317</v>
      </c>
      <c r="H378" s="15">
        <v>1.45</v>
      </c>
      <c r="I378" s="15">
        <v>0.61</v>
      </c>
      <c r="J378" s="15">
        <v>0.41167192429022081</v>
      </c>
      <c r="K378" s="15">
        <v>0.17318611987381702</v>
      </c>
      <c r="L378" s="15">
        <v>61.3</v>
      </c>
      <c r="M378" s="15">
        <v>1.6131578947368421</v>
      </c>
      <c r="N378" s="16">
        <v>0.2551962989074778</v>
      </c>
      <c r="O378" s="16">
        <v>0.10735844298866308</v>
      </c>
      <c r="P378" s="17">
        <f>IFERROR(G378/(G378+Priors!$H$3),0)</f>
        <v>0.24069855732725892</v>
      </c>
      <c r="Q378" s="18">
        <f>IF(E378="Premier League",Priors!$H$4,IF(E378="Championship",Priors!$H$5,Priors!$H$8))</f>
        <v>1</v>
      </c>
      <c r="R378" s="19" t="b">
        <v>0</v>
      </c>
      <c r="S378" s="18">
        <f>IF(R378=TRUE,Priors!$H$6,1)</f>
        <v>1</v>
      </c>
      <c r="T378" s="19" t="b">
        <v>1</v>
      </c>
      <c r="U378" s="18">
        <f>IF(T378=TRUE,Priors!$H$7,1)</f>
        <v>0.9</v>
      </c>
      <c r="V378" s="18">
        <f t="shared" si="30"/>
        <v>0.21662870159453304</v>
      </c>
      <c r="W378" s="20">
        <f>VLOOKUP(D378,Priors!$A$3:$C$6,2,FALSE)</f>
        <v>0.10751786102217777</v>
      </c>
      <c r="X378" s="20">
        <f>VLOOKUP(D378,Priors!$A$3:$C$6,3,FALSE)</f>
        <v>9.0240671969462088E-2</v>
      </c>
      <c r="Y378" s="20">
        <f t="shared" si="31"/>
        <v>0.1395092492747792</v>
      </c>
      <c r="Z378" s="20">
        <f t="shared" si="32"/>
        <v>9.3948872479544129E-2</v>
      </c>
      <c r="AA378" s="21">
        <v>1</v>
      </c>
      <c r="AB378" s="21">
        <v>1</v>
      </c>
      <c r="AC378" s="22">
        <f t="shared" si="33"/>
        <v>0.1395092492747792</v>
      </c>
      <c r="AD378" s="22">
        <f t="shared" si="34"/>
        <v>9.3948872479544129E-2</v>
      </c>
      <c r="AE378" s="22">
        <f t="shared" si="35"/>
        <v>0.78337129840546693</v>
      </c>
      <c r="AF378" s="7" t="s">
        <v>1643</v>
      </c>
      <c r="AG378" s="7"/>
      <c r="AH378" s="7"/>
      <c r="AI378" s="7"/>
      <c r="AJ378" s="8" t="b">
        <v>1</v>
      </c>
      <c r="AK378" s="28" t="s">
        <v>1644</v>
      </c>
      <c r="AL378" s="28" t="s">
        <v>1645</v>
      </c>
      <c r="AM378" s="28"/>
      <c r="AN378" s="7"/>
      <c r="AO378" s="7"/>
      <c r="AP378" s="7"/>
      <c r="AQ378" s="28" t="s">
        <v>1650</v>
      </c>
    </row>
    <row r="379" spans="1:43" ht="30">
      <c r="A379" s="7">
        <v>371</v>
      </c>
      <c r="B379" s="7" t="s">
        <v>1133</v>
      </c>
      <c r="C379" s="7" t="s">
        <v>52</v>
      </c>
      <c r="D379" s="7" t="s">
        <v>112</v>
      </c>
      <c r="E379" s="7" t="s">
        <v>1642</v>
      </c>
      <c r="F379" s="7" t="s">
        <v>52</v>
      </c>
      <c r="G379" s="14">
        <v>2991</v>
      </c>
      <c r="H379" s="15">
        <v>1.89</v>
      </c>
      <c r="I379" s="15">
        <v>2.2599999999999998</v>
      </c>
      <c r="J379" s="15">
        <v>5.687061183550652E-2</v>
      </c>
      <c r="K379" s="15">
        <v>6.8004012036108313E-2</v>
      </c>
      <c r="L379" s="15">
        <v>61.3</v>
      </c>
      <c r="M379" s="15">
        <v>1.6131578947368421</v>
      </c>
      <c r="N379" s="16">
        <v>3.5254212883348249E-2</v>
      </c>
      <c r="O379" s="16">
        <v>4.2155831278501074E-2</v>
      </c>
      <c r="P379" s="17">
        <f>IFERROR(G379/(G379+Priors!$H$3),0)</f>
        <v>0.74943623152092209</v>
      </c>
      <c r="Q379" s="18">
        <f>IF(E379="Premier League",Priors!$H$4,IF(E379="Championship",Priors!$H$5,Priors!$H$8))</f>
        <v>1</v>
      </c>
      <c r="R379" s="19" t="b">
        <v>0</v>
      </c>
      <c r="S379" s="18">
        <f>IF(R379=TRUE,Priors!$H$6,1)</f>
        <v>1</v>
      </c>
      <c r="T379" s="19" t="b">
        <v>1</v>
      </c>
      <c r="U379" s="18">
        <f>IF(T379=TRUE,Priors!$H$7,1)</f>
        <v>0.9</v>
      </c>
      <c r="V379" s="18">
        <f t="shared" si="30"/>
        <v>0.67449260836882985</v>
      </c>
      <c r="W379" s="20">
        <f>VLOOKUP(D379,Priors!$A$3:$C$6,2,FALSE)</f>
        <v>0.10751786102217777</v>
      </c>
      <c r="X379" s="20">
        <f>VLOOKUP(D379,Priors!$A$3:$C$6,3,FALSE)</f>
        <v>9.0240671969462088E-2</v>
      </c>
      <c r="Y379" s="20">
        <f t="shared" si="31"/>
        <v>5.8776564498771312E-2</v>
      </c>
      <c r="Z379" s="20">
        <f t="shared" si="32"/>
        <v>5.7807802348816148E-2</v>
      </c>
      <c r="AA379" s="21">
        <v>1</v>
      </c>
      <c r="AB379" s="21">
        <v>1</v>
      </c>
      <c r="AC379" s="22">
        <f t="shared" si="33"/>
        <v>5.8776564498771312E-2</v>
      </c>
      <c r="AD379" s="22">
        <f t="shared" si="34"/>
        <v>5.7807802348816148E-2</v>
      </c>
      <c r="AE379" s="22">
        <f t="shared" si="35"/>
        <v>0.32550739163117015</v>
      </c>
      <c r="AF379" s="7" t="s">
        <v>1643</v>
      </c>
      <c r="AG379" s="7"/>
      <c r="AH379" s="7"/>
      <c r="AI379" s="7"/>
      <c r="AJ379" s="8" t="b">
        <v>1</v>
      </c>
      <c r="AK379" s="28" t="s">
        <v>1644</v>
      </c>
      <c r="AL379" s="28" t="s">
        <v>1645</v>
      </c>
      <c r="AM379" s="28"/>
      <c r="AN379" s="7"/>
      <c r="AO379" s="7">
        <v>0</v>
      </c>
      <c r="AP379" s="8" t="b">
        <v>0</v>
      </c>
      <c r="AQ379" s="28" t="s">
        <v>1646</v>
      </c>
    </row>
    <row r="380" spans="1:43" ht="30">
      <c r="A380" s="7">
        <v>372</v>
      </c>
      <c r="B380" s="7" t="s">
        <v>1135</v>
      </c>
      <c r="C380" s="7" t="s">
        <v>52</v>
      </c>
      <c r="D380" s="7" t="s">
        <v>112</v>
      </c>
      <c r="E380" s="7" t="s">
        <v>1642</v>
      </c>
      <c r="F380" s="7" t="s">
        <v>52</v>
      </c>
      <c r="G380" s="14">
        <v>2654</v>
      </c>
      <c r="H380" s="15">
        <v>3.89</v>
      </c>
      <c r="I380" s="15">
        <v>1.69</v>
      </c>
      <c r="J380" s="15">
        <v>0.13191409193669934</v>
      </c>
      <c r="K380" s="15">
        <v>5.7309721175584021E-2</v>
      </c>
      <c r="L380" s="15">
        <v>61.3</v>
      </c>
      <c r="M380" s="15">
        <v>1.6131578947368421</v>
      </c>
      <c r="N380" s="16">
        <v>8.177382534412031E-2</v>
      </c>
      <c r="O380" s="16">
        <v>3.5526417694489276E-2</v>
      </c>
      <c r="P380" s="17">
        <f>IFERROR(G380/(G380+Priors!$H$3),0)</f>
        <v>0.72632731253420912</v>
      </c>
      <c r="Q380" s="18">
        <f>IF(E380="Premier League",Priors!$H$4,IF(E380="Championship",Priors!$H$5,Priors!$H$8))</f>
        <v>1</v>
      </c>
      <c r="R380" s="19" t="b">
        <v>0</v>
      </c>
      <c r="S380" s="18">
        <f>IF(R380=TRUE,Priors!$H$6,1)</f>
        <v>1</v>
      </c>
      <c r="T380" s="19" t="b">
        <v>1</v>
      </c>
      <c r="U380" s="18">
        <f>IF(T380=TRUE,Priors!$H$7,1)</f>
        <v>0.9</v>
      </c>
      <c r="V380" s="18">
        <f t="shared" si="30"/>
        <v>0.65369458128078828</v>
      </c>
      <c r="W380" s="20">
        <f>VLOOKUP(D380,Priors!$A$3:$C$6,2,FALSE)</f>
        <v>0.10751786102217777</v>
      </c>
      <c r="X380" s="20">
        <f>VLOOKUP(D380,Priors!$A$3:$C$6,3,FALSE)</f>
        <v>9.0240671969462088E-2</v>
      </c>
      <c r="Y380" s="20">
        <f t="shared" si="31"/>
        <v>9.068912439913232E-2</v>
      </c>
      <c r="Z380" s="20">
        <f t="shared" si="32"/>
        <v>5.4474260431093158E-2</v>
      </c>
      <c r="AA380" s="21">
        <v>1</v>
      </c>
      <c r="AB380" s="21">
        <v>1</v>
      </c>
      <c r="AC380" s="22">
        <f t="shared" si="33"/>
        <v>9.068912439913232E-2</v>
      </c>
      <c r="AD380" s="22">
        <f t="shared" si="34"/>
        <v>5.4474260431093158E-2</v>
      </c>
      <c r="AE380" s="22">
        <f t="shared" si="35"/>
        <v>0.34630541871921172</v>
      </c>
      <c r="AF380" s="7" t="s">
        <v>1643</v>
      </c>
      <c r="AG380" s="7">
        <v>5</v>
      </c>
      <c r="AH380" s="7"/>
      <c r="AI380" s="7"/>
      <c r="AJ380" s="8" t="b">
        <v>1</v>
      </c>
      <c r="AK380" s="28" t="s">
        <v>1644</v>
      </c>
      <c r="AL380" s="28" t="s">
        <v>1645</v>
      </c>
      <c r="AM380" s="28"/>
      <c r="AN380" s="7"/>
      <c r="AO380" s="7">
        <v>0</v>
      </c>
      <c r="AP380" s="8" t="b">
        <v>0</v>
      </c>
      <c r="AQ380" s="28" t="s">
        <v>1646</v>
      </c>
    </row>
    <row r="381" spans="1:43" ht="30">
      <c r="A381" s="7">
        <v>373</v>
      </c>
      <c r="B381" s="7" t="s">
        <v>1138</v>
      </c>
      <c r="C381" s="7" t="s">
        <v>52</v>
      </c>
      <c r="D381" s="7" t="s">
        <v>112</v>
      </c>
      <c r="E381" s="7" t="s">
        <v>1642</v>
      </c>
      <c r="F381" s="7" t="s">
        <v>52</v>
      </c>
      <c r="G381" s="14">
        <v>1923</v>
      </c>
      <c r="H381" s="15">
        <v>2.21</v>
      </c>
      <c r="I381" s="15">
        <v>2.77</v>
      </c>
      <c r="J381" s="15">
        <v>0.10343213728549143</v>
      </c>
      <c r="K381" s="15">
        <v>0.12964118564742591</v>
      </c>
      <c r="L381" s="15">
        <v>61.3</v>
      </c>
      <c r="M381" s="15">
        <v>1.6131578947368421</v>
      </c>
      <c r="N381" s="16">
        <v>6.411780125364884E-2</v>
      </c>
      <c r="O381" s="16">
        <v>8.0364845915206928E-2</v>
      </c>
      <c r="P381" s="17">
        <f>IFERROR(G381/(G381+Priors!$H$3),0)</f>
        <v>0.65788573383510096</v>
      </c>
      <c r="Q381" s="18">
        <f>IF(E381="Premier League",Priors!$H$4,IF(E381="Championship",Priors!$H$5,Priors!$H$8))</f>
        <v>1</v>
      </c>
      <c r="R381" s="19" t="b">
        <v>0</v>
      </c>
      <c r="S381" s="18">
        <f>IF(R381=TRUE,Priors!$H$6,1)</f>
        <v>1</v>
      </c>
      <c r="T381" s="19" t="b">
        <v>1</v>
      </c>
      <c r="U381" s="18">
        <f>IF(T381=TRUE,Priors!$H$7,1)</f>
        <v>0.9</v>
      </c>
      <c r="V381" s="18">
        <f t="shared" si="30"/>
        <v>0.59209716045159089</v>
      </c>
      <c r="W381" s="20">
        <f>VLOOKUP(D381,Priors!$A$3:$C$6,2,FALSE)</f>
        <v>0.10751786102217777</v>
      </c>
      <c r="X381" s="20">
        <f>VLOOKUP(D381,Priors!$A$3:$C$6,3,FALSE)</f>
        <v>9.0240671969462088E-2</v>
      </c>
      <c r="Y381" s="20">
        <f t="shared" si="31"/>
        <v>8.1820808869802461E-2</v>
      </c>
      <c r="Z381" s="20">
        <f t="shared" si="32"/>
        <v>8.4393223405623774E-2</v>
      </c>
      <c r="AA381" s="21">
        <v>1</v>
      </c>
      <c r="AB381" s="21">
        <v>1</v>
      </c>
      <c r="AC381" s="22">
        <f t="shared" si="33"/>
        <v>8.1820808869802461E-2</v>
      </c>
      <c r="AD381" s="22">
        <f t="shared" si="34"/>
        <v>8.4393223405623774E-2</v>
      </c>
      <c r="AE381" s="22">
        <f t="shared" si="35"/>
        <v>0.40790283954840911</v>
      </c>
      <c r="AF381" s="7" t="s">
        <v>1643</v>
      </c>
      <c r="AG381" s="7"/>
      <c r="AH381" s="7"/>
      <c r="AI381" s="7"/>
      <c r="AJ381" s="8" t="b">
        <v>1</v>
      </c>
      <c r="AK381" s="28" t="s">
        <v>1644</v>
      </c>
      <c r="AL381" s="28" t="s">
        <v>1645</v>
      </c>
      <c r="AM381" s="28"/>
      <c r="AN381" s="7"/>
      <c r="AO381" s="7">
        <v>0</v>
      </c>
      <c r="AP381" s="8" t="b">
        <v>0</v>
      </c>
      <c r="AQ381" s="28" t="s">
        <v>1646</v>
      </c>
    </row>
    <row r="382" spans="1:43" ht="30">
      <c r="A382" s="7">
        <v>374</v>
      </c>
      <c r="B382" s="7" t="s">
        <v>1141</v>
      </c>
      <c r="C382" s="7" t="s">
        <v>52</v>
      </c>
      <c r="D382" s="7" t="s">
        <v>112</v>
      </c>
      <c r="E382" s="7" t="s">
        <v>1642</v>
      </c>
      <c r="F382" s="7" t="s">
        <v>52</v>
      </c>
      <c r="G382" s="14">
        <v>170</v>
      </c>
      <c r="H382" s="15">
        <v>0.04</v>
      </c>
      <c r="I382" s="15">
        <v>0.05</v>
      </c>
      <c r="J382" s="15">
        <v>2.1176470588235293E-2</v>
      </c>
      <c r="K382" s="15">
        <v>2.6470588235294117E-2</v>
      </c>
      <c r="L382" s="15">
        <v>61.3</v>
      </c>
      <c r="M382" s="15">
        <v>1.6131578947368421</v>
      </c>
      <c r="N382" s="16">
        <v>1.3127339026964781E-2</v>
      </c>
      <c r="O382" s="16">
        <v>1.6409173783705978E-2</v>
      </c>
      <c r="P382" s="17">
        <f>IFERROR(G382/(G382+Priors!$H$3),0)</f>
        <v>0.14529914529914531</v>
      </c>
      <c r="Q382" s="18">
        <f>IF(E382="Premier League",Priors!$H$4,IF(E382="Championship",Priors!$H$5,Priors!$H$8))</f>
        <v>1</v>
      </c>
      <c r="R382" s="19" t="b">
        <v>0</v>
      </c>
      <c r="S382" s="18">
        <f>IF(R382=TRUE,Priors!$H$6,1)</f>
        <v>1</v>
      </c>
      <c r="T382" s="19" t="b">
        <v>1</v>
      </c>
      <c r="U382" s="18">
        <f>IF(T382=TRUE,Priors!$H$7,1)</f>
        <v>0.9</v>
      </c>
      <c r="V382" s="18">
        <f t="shared" si="30"/>
        <v>0.13076923076923078</v>
      </c>
      <c r="W382" s="20">
        <f>VLOOKUP(D382,Priors!$A$3:$C$6,2,FALSE)</f>
        <v>0.10751786102217777</v>
      </c>
      <c r="X382" s="20">
        <f>VLOOKUP(D382,Priors!$A$3:$C$6,3,FALSE)</f>
        <v>9.0240671969462088E-2</v>
      </c>
      <c r="Y382" s="20">
        <f t="shared" si="31"/>
        <v>9.5174485068957621E-2</v>
      </c>
      <c r="Z382" s="20">
        <f t="shared" si="32"/>
        <v>8.0585783745170905E-2</v>
      </c>
      <c r="AA382" s="21">
        <v>1</v>
      </c>
      <c r="AB382" s="21">
        <v>1</v>
      </c>
      <c r="AC382" s="22">
        <f t="shared" si="33"/>
        <v>9.5174485068957621E-2</v>
      </c>
      <c r="AD382" s="22">
        <f t="shared" si="34"/>
        <v>8.0585783745170905E-2</v>
      </c>
      <c r="AE382" s="22">
        <f t="shared" si="35"/>
        <v>0.86923076923076925</v>
      </c>
      <c r="AF382" s="7" t="s">
        <v>1643</v>
      </c>
      <c r="AG382" s="7"/>
      <c r="AH382" s="7"/>
      <c r="AI382" s="7"/>
      <c r="AJ382" s="8" t="b">
        <v>1</v>
      </c>
      <c r="AK382" s="28" t="s">
        <v>1644</v>
      </c>
      <c r="AL382" s="28" t="s">
        <v>1645</v>
      </c>
      <c r="AM382" s="28"/>
      <c r="AN382" s="7"/>
      <c r="AO382" s="7"/>
      <c r="AP382" s="7"/>
      <c r="AQ382" s="28" t="s">
        <v>1650</v>
      </c>
    </row>
    <row r="383" spans="1:43" ht="30">
      <c r="A383" s="7">
        <v>375</v>
      </c>
      <c r="B383" s="7" t="s">
        <v>1143</v>
      </c>
      <c r="C383" s="7" t="s">
        <v>52</v>
      </c>
      <c r="D383" s="7" t="s">
        <v>112</v>
      </c>
      <c r="E383" s="7" t="s">
        <v>1642</v>
      </c>
      <c r="F383" s="7" t="s">
        <v>52</v>
      </c>
      <c r="G383" s="14">
        <v>21</v>
      </c>
      <c r="H383" s="15">
        <v>0.37</v>
      </c>
      <c r="I383" s="15">
        <v>0.02</v>
      </c>
      <c r="J383" s="15">
        <v>1.5857142857142856</v>
      </c>
      <c r="K383" s="15">
        <v>8.5714285714285715E-2</v>
      </c>
      <c r="L383" s="15">
        <v>61.3</v>
      </c>
      <c r="M383" s="15">
        <v>1.6131578947368421</v>
      </c>
      <c r="N383" s="16">
        <v>0.98298764856676757</v>
      </c>
      <c r="O383" s="16">
        <v>5.3134467490095552E-2</v>
      </c>
      <c r="P383" s="17">
        <f>IFERROR(G383/(G383+Priors!$H$3),0)</f>
        <v>2.0568070519098921E-2</v>
      </c>
      <c r="Q383" s="18">
        <f>IF(E383="Premier League",Priors!$H$4,IF(E383="Championship",Priors!$H$5,Priors!$H$8))</f>
        <v>1</v>
      </c>
      <c r="R383" s="19" t="b">
        <v>0</v>
      </c>
      <c r="S383" s="18">
        <f>IF(R383=TRUE,Priors!$H$6,1)</f>
        <v>1</v>
      </c>
      <c r="T383" s="19" t="b">
        <v>1</v>
      </c>
      <c r="U383" s="18">
        <f>IF(T383=TRUE,Priors!$H$7,1)</f>
        <v>0.9</v>
      </c>
      <c r="V383" s="18">
        <f t="shared" si="30"/>
        <v>1.8511263467189031E-2</v>
      </c>
      <c r="W383" s="20">
        <f>VLOOKUP(D383,Priors!$A$3:$C$6,2,FALSE)</f>
        <v>0.10751786102217777</v>
      </c>
      <c r="X383" s="20">
        <f>VLOOKUP(D383,Priors!$A$3:$C$6,3,FALSE)</f>
        <v>9.0240671969462088E-2</v>
      </c>
      <c r="Y383" s="20">
        <f t="shared" si="31"/>
        <v>0.12372391291697968</v>
      </c>
      <c r="Z383" s="20">
        <f t="shared" si="32"/>
        <v>8.9553789242077145E-2</v>
      </c>
      <c r="AA383" s="21">
        <v>1</v>
      </c>
      <c r="AB383" s="21">
        <v>1</v>
      </c>
      <c r="AC383" s="22">
        <f t="shared" si="33"/>
        <v>0.12372391291697968</v>
      </c>
      <c r="AD383" s="22">
        <f t="shared" si="34"/>
        <v>8.9553789242077145E-2</v>
      </c>
      <c r="AE383" s="22">
        <f t="shared" si="35"/>
        <v>0.98148873653281099</v>
      </c>
      <c r="AF383" s="7" t="s">
        <v>1643</v>
      </c>
      <c r="AG383" s="7"/>
      <c r="AH383" s="7"/>
      <c r="AI383" s="7"/>
      <c r="AJ383" s="8" t="b">
        <v>1</v>
      </c>
      <c r="AK383" s="28" t="s">
        <v>1644</v>
      </c>
      <c r="AL383" s="28" t="s">
        <v>1645</v>
      </c>
      <c r="AM383" s="28"/>
      <c r="AN383" s="7"/>
      <c r="AO383" s="7">
        <v>0</v>
      </c>
      <c r="AP383" s="8" t="b">
        <v>0</v>
      </c>
      <c r="AQ383" s="28" t="s">
        <v>1646</v>
      </c>
    </row>
    <row r="384" spans="1:43" ht="15">
      <c r="A384" s="7">
        <v>376</v>
      </c>
      <c r="B384" s="7" t="s">
        <v>1146</v>
      </c>
      <c r="C384" s="7" t="s">
        <v>52</v>
      </c>
      <c r="D384" s="7" t="s">
        <v>112</v>
      </c>
      <c r="E384" s="7" t="s">
        <v>1647</v>
      </c>
      <c r="F384" s="7"/>
      <c r="G384" s="14"/>
      <c r="H384" s="15"/>
      <c r="I384" s="15"/>
      <c r="J384" s="15"/>
      <c r="K384" s="15"/>
      <c r="L384" s="15"/>
      <c r="M384" s="15"/>
      <c r="N384" s="16"/>
      <c r="O384" s="16"/>
      <c r="P384" s="17">
        <f>IFERROR(G384/(G384+Priors!$H$3),0)</f>
        <v>0</v>
      </c>
      <c r="Q384" s="18">
        <f>IF(E384="Premier League",Priors!$H$4,IF(E384="Championship",Priors!$H$5,Priors!$H$8))</f>
        <v>0</v>
      </c>
      <c r="R384" s="19" t="b">
        <v>0</v>
      </c>
      <c r="S384" s="18">
        <f>IF(R384=TRUE,Priors!$H$6,1)</f>
        <v>1</v>
      </c>
      <c r="T384" s="19" t="b">
        <v>1</v>
      </c>
      <c r="U384" s="18">
        <f>IF(T384=TRUE,Priors!$H$7,1)</f>
        <v>0.9</v>
      </c>
      <c r="V384" s="18">
        <f t="shared" si="30"/>
        <v>0</v>
      </c>
      <c r="W384" s="20">
        <f>VLOOKUP(D384,Priors!$A$3:$C$6,2,FALSE)</f>
        <v>0.10751786102217777</v>
      </c>
      <c r="X384" s="20">
        <f>VLOOKUP(D384,Priors!$A$3:$C$6,3,FALSE)</f>
        <v>9.0240671969462088E-2</v>
      </c>
      <c r="Y384" s="20">
        <f t="shared" si="31"/>
        <v>0.10751786102217777</v>
      </c>
      <c r="Z384" s="20">
        <f t="shared" si="32"/>
        <v>9.0240671969462088E-2</v>
      </c>
      <c r="AA384" s="21">
        <v>1</v>
      </c>
      <c r="AB384" s="21">
        <v>1</v>
      </c>
      <c r="AC384" s="22">
        <f t="shared" si="33"/>
        <v>0.10751786102217777</v>
      </c>
      <c r="AD384" s="22">
        <f t="shared" si="34"/>
        <v>9.0240671969462088E-2</v>
      </c>
      <c r="AE384" s="22">
        <f t="shared" si="35"/>
        <v>1</v>
      </c>
      <c r="AF384" s="7" t="s">
        <v>1647</v>
      </c>
      <c r="AG384" s="7"/>
      <c r="AH384" s="7"/>
      <c r="AI384" s="7"/>
      <c r="AJ384" s="8" t="b">
        <v>1</v>
      </c>
      <c r="AK384" s="28" t="s">
        <v>1648</v>
      </c>
      <c r="AL384" s="28"/>
      <c r="AM384" s="28"/>
      <c r="AN384" s="7"/>
      <c r="AO384" s="7">
        <v>0</v>
      </c>
      <c r="AP384" s="8" t="b">
        <v>0</v>
      </c>
      <c r="AQ384" s="28" t="s">
        <v>1646</v>
      </c>
    </row>
    <row r="385" spans="1:43" ht="15">
      <c r="A385" s="7">
        <v>377</v>
      </c>
      <c r="B385" s="7" t="s">
        <v>1149</v>
      </c>
      <c r="C385" s="7" t="s">
        <v>52</v>
      </c>
      <c r="D385" s="7" t="s">
        <v>112</v>
      </c>
      <c r="E385" s="7" t="s">
        <v>1647</v>
      </c>
      <c r="F385" s="7"/>
      <c r="G385" s="14"/>
      <c r="H385" s="15"/>
      <c r="I385" s="15"/>
      <c r="J385" s="15"/>
      <c r="K385" s="15"/>
      <c r="L385" s="15"/>
      <c r="M385" s="15"/>
      <c r="N385" s="16"/>
      <c r="O385" s="16"/>
      <c r="P385" s="17">
        <f>IFERROR(G385/(G385+Priors!$H$3),0)</f>
        <v>0</v>
      </c>
      <c r="Q385" s="18">
        <f>IF(E385="Premier League",Priors!$H$4,IF(E385="Championship",Priors!$H$5,Priors!$H$8))</f>
        <v>0</v>
      </c>
      <c r="R385" s="19" t="b">
        <v>0</v>
      </c>
      <c r="S385" s="18">
        <f>IF(R385=TRUE,Priors!$H$6,1)</f>
        <v>1</v>
      </c>
      <c r="T385" s="19" t="b">
        <v>1</v>
      </c>
      <c r="U385" s="18">
        <f>IF(T385=TRUE,Priors!$H$7,1)</f>
        <v>0.9</v>
      </c>
      <c r="V385" s="18">
        <f t="shared" si="30"/>
        <v>0</v>
      </c>
      <c r="W385" s="20">
        <f>VLOOKUP(D385,Priors!$A$3:$C$6,2,FALSE)</f>
        <v>0.10751786102217777</v>
      </c>
      <c r="X385" s="20">
        <f>VLOOKUP(D385,Priors!$A$3:$C$6,3,FALSE)</f>
        <v>9.0240671969462088E-2</v>
      </c>
      <c r="Y385" s="20">
        <f t="shared" si="31"/>
        <v>0.10751786102217777</v>
      </c>
      <c r="Z385" s="20">
        <f t="shared" si="32"/>
        <v>9.0240671969462088E-2</v>
      </c>
      <c r="AA385" s="21">
        <v>1</v>
      </c>
      <c r="AB385" s="21">
        <v>1</v>
      </c>
      <c r="AC385" s="22">
        <f t="shared" si="33"/>
        <v>0.10751786102217777</v>
      </c>
      <c r="AD385" s="22">
        <f t="shared" si="34"/>
        <v>9.0240671969462088E-2</v>
      </c>
      <c r="AE385" s="22">
        <f t="shared" si="35"/>
        <v>1</v>
      </c>
      <c r="AF385" s="7" t="s">
        <v>1647</v>
      </c>
      <c r="AG385" s="7"/>
      <c r="AH385" s="7"/>
      <c r="AI385" s="7"/>
      <c r="AJ385" s="8" t="b">
        <v>1</v>
      </c>
      <c r="AK385" s="28" t="s">
        <v>1648</v>
      </c>
      <c r="AL385" s="28"/>
      <c r="AM385" s="28"/>
      <c r="AN385" s="7"/>
      <c r="AO385" s="7">
        <v>0</v>
      </c>
      <c r="AP385" s="8" t="b">
        <v>0</v>
      </c>
      <c r="AQ385" s="28" t="s">
        <v>1646</v>
      </c>
    </row>
    <row r="386" spans="1:43" ht="15">
      <c r="A386" s="7">
        <v>378</v>
      </c>
      <c r="B386" s="7" t="s">
        <v>1152</v>
      </c>
      <c r="C386" s="7" t="s">
        <v>52</v>
      </c>
      <c r="D386" s="7" t="s">
        <v>112</v>
      </c>
      <c r="E386" s="7" t="s">
        <v>1647</v>
      </c>
      <c r="F386" s="7"/>
      <c r="G386" s="14"/>
      <c r="H386" s="15"/>
      <c r="I386" s="15"/>
      <c r="J386" s="15"/>
      <c r="K386" s="15"/>
      <c r="L386" s="15"/>
      <c r="M386" s="15"/>
      <c r="N386" s="16"/>
      <c r="O386" s="16"/>
      <c r="P386" s="17">
        <f>IFERROR(G386/(G386+Priors!$H$3),0)</f>
        <v>0</v>
      </c>
      <c r="Q386" s="18">
        <f>IF(E386="Premier League",Priors!$H$4,IF(E386="Championship",Priors!$H$5,Priors!$H$8))</f>
        <v>0</v>
      </c>
      <c r="R386" s="19" t="b">
        <v>0</v>
      </c>
      <c r="S386" s="18">
        <f>IF(R386=TRUE,Priors!$H$6,1)</f>
        <v>1</v>
      </c>
      <c r="T386" s="19" t="b">
        <v>1</v>
      </c>
      <c r="U386" s="18">
        <f>IF(T386=TRUE,Priors!$H$7,1)</f>
        <v>0.9</v>
      </c>
      <c r="V386" s="18">
        <f t="shared" ref="V386:V449" si="36">P386*Q386*S386*U386</f>
        <v>0</v>
      </c>
      <c r="W386" s="20">
        <f>VLOOKUP(D386,Priors!$A$3:$C$6,2,FALSE)</f>
        <v>0.10751786102217777</v>
      </c>
      <c r="X386" s="20">
        <f>VLOOKUP(D386,Priors!$A$3:$C$6,3,FALSE)</f>
        <v>9.0240671969462088E-2</v>
      </c>
      <c r="Y386" s="20">
        <f t="shared" ref="Y386:Y449" si="37">IF(N386="",W386,V386*N386+(1-V386)*W386)</f>
        <v>0.10751786102217777</v>
      </c>
      <c r="Z386" s="20">
        <f t="shared" ref="Z386:Z449" si="38">IF(O386="",X386,V386*O386+(1-V386)*X386)</f>
        <v>9.0240671969462088E-2</v>
      </c>
      <c r="AA386" s="21">
        <v>1</v>
      </c>
      <c r="AB386" s="21">
        <v>1</v>
      </c>
      <c r="AC386" s="22">
        <f t="shared" ref="AC386:AC449" si="39">Y386*AA386</f>
        <v>0.10751786102217777</v>
      </c>
      <c r="AD386" s="22">
        <f t="shared" ref="AD386:AD449" si="40">Z386*AB386</f>
        <v>9.0240671969462088E-2</v>
      </c>
      <c r="AE386" s="22">
        <f t="shared" ref="AE386:AE449" si="41">1-V386</f>
        <v>1</v>
      </c>
      <c r="AF386" s="7" t="s">
        <v>1647</v>
      </c>
      <c r="AG386" s="7"/>
      <c r="AH386" s="7"/>
      <c r="AI386" s="7"/>
      <c r="AJ386" s="8" t="b">
        <v>1</v>
      </c>
      <c r="AK386" s="28" t="s">
        <v>1648</v>
      </c>
      <c r="AL386" s="28"/>
      <c r="AM386" s="28"/>
      <c r="AN386" s="7"/>
      <c r="AO386" s="7">
        <v>0</v>
      </c>
      <c r="AP386" s="8" t="b">
        <v>0</v>
      </c>
      <c r="AQ386" s="28" t="s">
        <v>1646</v>
      </c>
    </row>
    <row r="387" spans="1:43" ht="30">
      <c r="A387" s="7">
        <v>379</v>
      </c>
      <c r="B387" s="7" t="s">
        <v>1154</v>
      </c>
      <c r="C387" s="7" t="s">
        <v>52</v>
      </c>
      <c r="D387" s="7" t="s">
        <v>167</v>
      </c>
      <c r="E387" s="7" t="s">
        <v>1642</v>
      </c>
      <c r="F387" s="7" t="s">
        <v>52</v>
      </c>
      <c r="G387" s="14">
        <v>694</v>
      </c>
      <c r="H387" s="15">
        <v>2.59</v>
      </c>
      <c r="I387" s="15">
        <v>0.08</v>
      </c>
      <c r="J387" s="15">
        <v>0.33587896253602306</v>
      </c>
      <c r="K387" s="15">
        <v>1.0374639769452449E-2</v>
      </c>
      <c r="L387" s="15">
        <v>61.3</v>
      </c>
      <c r="M387" s="15">
        <v>1.6131578947368421</v>
      </c>
      <c r="N387" s="16">
        <v>0.20821208118056894</v>
      </c>
      <c r="O387" s="16">
        <v>6.431261194766608E-3</v>
      </c>
      <c r="P387" s="17">
        <f>IFERROR(G387/(G387+Priors!$H$3),0)</f>
        <v>0.40968122786304606</v>
      </c>
      <c r="Q387" s="18">
        <f>IF(E387="Premier League",Priors!$H$4,IF(E387="Championship",Priors!$H$5,Priors!$H$8))</f>
        <v>1</v>
      </c>
      <c r="R387" s="19" t="b">
        <v>0</v>
      </c>
      <c r="S387" s="18">
        <f>IF(R387=TRUE,Priors!$H$6,1)</f>
        <v>1</v>
      </c>
      <c r="T387" s="19" t="b">
        <v>1</v>
      </c>
      <c r="U387" s="18">
        <f>IF(T387=TRUE,Priors!$H$7,1)</f>
        <v>0.9</v>
      </c>
      <c r="V387" s="18">
        <f t="shared" si="36"/>
        <v>0.36871310507674149</v>
      </c>
      <c r="W387" s="20">
        <f>VLOOKUP(D387,Priors!$A$3:$C$6,2,FALSE)</f>
        <v>0.30461525508032317</v>
      </c>
      <c r="X387" s="20">
        <f>VLOOKUP(D387,Priors!$A$3:$C$6,3,FALSE)</f>
        <v>3.9258061548584466E-2</v>
      </c>
      <c r="Y387" s="20">
        <f t="shared" si="37"/>
        <v>0.2690701414924917</v>
      </c>
      <c r="Z387" s="20">
        <f t="shared" si="38"/>
        <v>2.7154390060394006E-2</v>
      </c>
      <c r="AA387" s="21">
        <v>1</v>
      </c>
      <c r="AB387" s="21">
        <v>1</v>
      </c>
      <c r="AC387" s="22">
        <f t="shared" si="39"/>
        <v>0.2690701414924917</v>
      </c>
      <c r="AD387" s="22">
        <f t="shared" si="40"/>
        <v>2.7154390060394006E-2</v>
      </c>
      <c r="AE387" s="22">
        <f t="shared" si="41"/>
        <v>0.63128689492325851</v>
      </c>
      <c r="AF387" s="7" t="s">
        <v>1643</v>
      </c>
      <c r="AG387" s="7">
        <v>1</v>
      </c>
      <c r="AH387" s="7"/>
      <c r="AI387" s="7"/>
      <c r="AJ387" s="8" t="b">
        <v>1</v>
      </c>
      <c r="AK387" s="28" t="s">
        <v>1644</v>
      </c>
      <c r="AL387" s="28" t="s">
        <v>1645</v>
      </c>
      <c r="AM387" s="28"/>
      <c r="AN387" s="7"/>
      <c r="AO387" s="7">
        <v>0</v>
      </c>
      <c r="AP387" s="8" t="b">
        <v>0</v>
      </c>
      <c r="AQ387" s="28" t="s">
        <v>1646</v>
      </c>
    </row>
    <row r="388" spans="1:43" ht="30">
      <c r="A388" s="7">
        <v>380</v>
      </c>
      <c r="B388" s="7" t="s">
        <v>1156</v>
      </c>
      <c r="C388" s="7" t="s">
        <v>52</v>
      </c>
      <c r="D388" s="7" t="s">
        <v>167</v>
      </c>
      <c r="E388" s="7" t="s">
        <v>1642</v>
      </c>
      <c r="F388" s="7" t="s">
        <v>52</v>
      </c>
      <c r="G388" s="14">
        <v>1797</v>
      </c>
      <c r="H388" s="15">
        <v>10.1</v>
      </c>
      <c r="I388" s="15">
        <v>2.4500000000000002</v>
      </c>
      <c r="J388" s="15">
        <v>0.50584307178631049</v>
      </c>
      <c r="K388" s="15">
        <v>0.12270450751252088</v>
      </c>
      <c r="L388" s="15">
        <v>61.3</v>
      </c>
      <c r="M388" s="15">
        <v>1.6131578947368421</v>
      </c>
      <c r="N388" s="16">
        <v>0.31357319295073083</v>
      </c>
      <c r="O388" s="16">
        <v>7.6064784428642632E-2</v>
      </c>
      <c r="P388" s="17">
        <f>IFERROR(G388/(G388+Priors!$H$3),0)</f>
        <v>0.6424740793707544</v>
      </c>
      <c r="Q388" s="18">
        <f>IF(E388="Premier League",Priors!$H$4,IF(E388="Championship",Priors!$H$5,Priors!$H$8))</f>
        <v>1</v>
      </c>
      <c r="R388" s="19" t="b">
        <v>0</v>
      </c>
      <c r="S388" s="18">
        <f>IF(R388=TRUE,Priors!$H$6,1)</f>
        <v>1</v>
      </c>
      <c r="T388" s="19" t="b">
        <v>1</v>
      </c>
      <c r="U388" s="18">
        <f>IF(T388=TRUE,Priors!$H$7,1)</f>
        <v>0.9</v>
      </c>
      <c r="V388" s="18">
        <f t="shared" si="36"/>
        <v>0.57822667143367901</v>
      </c>
      <c r="W388" s="20">
        <f>VLOOKUP(D388,Priors!$A$3:$C$6,2,FALSE)</f>
        <v>0.30461525508032317</v>
      </c>
      <c r="X388" s="20">
        <f>VLOOKUP(D388,Priors!$A$3:$C$6,3,FALSE)</f>
        <v>3.9258061548584466E-2</v>
      </c>
      <c r="Y388" s="20">
        <f t="shared" si="37"/>
        <v>0.30979497367803865</v>
      </c>
      <c r="Z388" s="20">
        <f t="shared" si="38"/>
        <v>6.0540690405902334E-2</v>
      </c>
      <c r="AA388" s="21">
        <v>1</v>
      </c>
      <c r="AB388" s="21">
        <v>1</v>
      </c>
      <c r="AC388" s="22">
        <f t="shared" si="39"/>
        <v>0.30979497367803865</v>
      </c>
      <c r="AD388" s="22">
        <f t="shared" si="40"/>
        <v>6.0540690405902334E-2</v>
      </c>
      <c r="AE388" s="22">
        <f t="shared" si="41"/>
        <v>0.42177332856632099</v>
      </c>
      <c r="AF388" s="7" t="s">
        <v>1643</v>
      </c>
      <c r="AG388" s="7"/>
      <c r="AH388" s="7"/>
      <c r="AI388" s="7"/>
      <c r="AJ388" s="8" t="b">
        <v>1</v>
      </c>
      <c r="AK388" s="28" t="s">
        <v>1644</v>
      </c>
      <c r="AL388" s="28" t="s">
        <v>1645</v>
      </c>
      <c r="AM388" s="28"/>
      <c r="AN388" s="7"/>
      <c r="AO388" s="7">
        <v>0</v>
      </c>
      <c r="AP388" s="8" t="b">
        <v>0</v>
      </c>
      <c r="AQ388" s="28" t="s">
        <v>1646</v>
      </c>
    </row>
    <row r="389" spans="1:43" ht="15">
      <c r="A389" s="7">
        <v>381</v>
      </c>
      <c r="B389" s="7" t="s">
        <v>1160</v>
      </c>
      <c r="C389" s="7" t="s">
        <v>52</v>
      </c>
      <c r="D389" s="7" t="s">
        <v>112</v>
      </c>
      <c r="E389" s="7" t="s">
        <v>1647</v>
      </c>
      <c r="F389" s="7"/>
      <c r="G389" s="14"/>
      <c r="H389" s="15"/>
      <c r="I389" s="15"/>
      <c r="J389" s="15"/>
      <c r="K389" s="15"/>
      <c r="L389" s="15"/>
      <c r="M389" s="15"/>
      <c r="N389" s="16"/>
      <c r="O389" s="16"/>
      <c r="P389" s="17">
        <f>IFERROR(G389/(G389+Priors!$H$3),0)</f>
        <v>0</v>
      </c>
      <c r="Q389" s="18">
        <f>IF(E389="Premier League",Priors!$H$4,IF(E389="Championship",Priors!$H$5,Priors!$H$8))</f>
        <v>0</v>
      </c>
      <c r="R389" s="19" t="b">
        <v>0</v>
      </c>
      <c r="S389" s="18">
        <f>IF(R389=TRUE,Priors!$H$6,1)</f>
        <v>1</v>
      </c>
      <c r="T389" s="19" t="b">
        <v>1</v>
      </c>
      <c r="U389" s="18">
        <f>IF(T389=TRUE,Priors!$H$7,1)</f>
        <v>0.9</v>
      </c>
      <c r="V389" s="18">
        <f t="shared" si="36"/>
        <v>0</v>
      </c>
      <c r="W389" s="20">
        <f>VLOOKUP(D389,Priors!$A$3:$C$6,2,FALSE)</f>
        <v>0.10751786102217777</v>
      </c>
      <c r="X389" s="20">
        <f>VLOOKUP(D389,Priors!$A$3:$C$6,3,FALSE)</f>
        <v>9.0240671969462088E-2</v>
      </c>
      <c r="Y389" s="20">
        <f t="shared" si="37"/>
        <v>0.10751786102217777</v>
      </c>
      <c r="Z389" s="20">
        <f t="shared" si="38"/>
        <v>9.0240671969462088E-2</v>
      </c>
      <c r="AA389" s="21">
        <v>1</v>
      </c>
      <c r="AB389" s="21">
        <v>1</v>
      </c>
      <c r="AC389" s="22">
        <f t="shared" si="39"/>
        <v>0.10751786102217777</v>
      </c>
      <c r="AD389" s="22">
        <f t="shared" si="40"/>
        <v>9.0240671969462088E-2</v>
      </c>
      <c r="AE389" s="22">
        <f t="shared" si="41"/>
        <v>1</v>
      </c>
      <c r="AF389" s="7" t="s">
        <v>1647</v>
      </c>
      <c r="AG389" s="7"/>
      <c r="AH389" s="7"/>
      <c r="AI389" s="7"/>
      <c r="AJ389" s="8" t="b">
        <v>1</v>
      </c>
      <c r="AK389" s="28" t="s">
        <v>1648</v>
      </c>
      <c r="AL389" s="28"/>
      <c r="AM389" s="28"/>
      <c r="AN389" s="7"/>
      <c r="AO389" s="7">
        <v>0</v>
      </c>
      <c r="AP389" s="8" t="b">
        <v>0</v>
      </c>
      <c r="AQ389" s="28" t="s">
        <v>1646</v>
      </c>
    </row>
    <row r="390" spans="1:43" ht="15">
      <c r="A390" s="7">
        <v>382</v>
      </c>
      <c r="B390" s="7" t="s">
        <v>1162</v>
      </c>
      <c r="C390" s="7" t="s">
        <v>52</v>
      </c>
      <c r="D390" s="7" t="s">
        <v>167</v>
      </c>
      <c r="E390" s="7" t="s">
        <v>1647</v>
      </c>
      <c r="F390" s="7"/>
      <c r="G390" s="14"/>
      <c r="H390" s="15"/>
      <c r="I390" s="15"/>
      <c r="J390" s="15"/>
      <c r="K390" s="15"/>
      <c r="L390" s="15"/>
      <c r="M390" s="15"/>
      <c r="N390" s="16"/>
      <c r="O390" s="16"/>
      <c r="P390" s="17">
        <f>IFERROR(G390/(G390+Priors!$H$3),0)</f>
        <v>0</v>
      </c>
      <c r="Q390" s="18">
        <f>IF(E390="Premier League",Priors!$H$4,IF(E390="Championship",Priors!$H$5,Priors!$H$8))</f>
        <v>0</v>
      </c>
      <c r="R390" s="19" t="b">
        <v>0</v>
      </c>
      <c r="S390" s="18">
        <f>IF(R390=TRUE,Priors!$H$6,1)</f>
        <v>1</v>
      </c>
      <c r="T390" s="19" t="b">
        <v>1</v>
      </c>
      <c r="U390" s="18">
        <f>IF(T390=TRUE,Priors!$H$7,1)</f>
        <v>0.9</v>
      </c>
      <c r="V390" s="18">
        <f t="shared" si="36"/>
        <v>0</v>
      </c>
      <c r="W390" s="20">
        <f>VLOOKUP(D390,Priors!$A$3:$C$6,2,FALSE)</f>
        <v>0.30461525508032317</v>
      </c>
      <c r="X390" s="20">
        <f>VLOOKUP(D390,Priors!$A$3:$C$6,3,FALSE)</f>
        <v>3.9258061548584466E-2</v>
      </c>
      <c r="Y390" s="20">
        <f t="shared" si="37"/>
        <v>0.30461525508032317</v>
      </c>
      <c r="Z390" s="20">
        <f t="shared" si="38"/>
        <v>3.9258061548584466E-2</v>
      </c>
      <c r="AA390" s="21">
        <v>1</v>
      </c>
      <c r="AB390" s="21">
        <v>1</v>
      </c>
      <c r="AC390" s="22">
        <f t="shared" si="39"/>
        <v>0.30461525508032317</v>
      </c>
      <c r="AD390" s="22">
        <f t="shared" si="40"/>
        <v>3.9258061548584466E-2</v>
      </c>
      <c r="AE390" s="22">
        <f t="shared" si="41"/>
        <v>1</v>
      </c>
      <c r="AF390" s="7" t="s">
        <v>1647</v>
      </c>
      <c r="AG390" s="7"/>
      <c r="AH390" s="7"/>
      <c r="AI390" s="7"/>
      <c r="AJ390" s="8" t="b">
        <v>1</v>
      </c>
      <c r="AK390" s="28" t="s">
        <v>1648</v>
      </c>
      <c r="AL390" s="28"/>
      <c r="AM390" s="28"/>
      <c r="AN390" s="7">
        <v>4</v>
      </c>
      <c r="AO390" s="7">
        <v>0</v>
      </c>
      <c r="AP390" s="8" t="b">
        <v>0</v>
      </c>
      <c r="AQ390" s="28" t="s">
        <v>1646</v>
      </c>
    </row>
    <row r="391" spans="1:43" ht="30">
      <c r="A391" s="7">
        <v>383</v>
      </c>
      <c r="B391" s="7" t="s">
        <v>1165</v>
      </c>
      <c r="C391" s="7" t="s">
        <v>52</v>
      </c>
      <c r="D391" s="7" t="s">
        <v>112</v>
      </c>
      <c r="E391" s="7" t="s">
        <v>1642</v>
      </c>
      <c r="F391" s="7" t="s">
        <v>40</v>
      </c>
      <c r="G391" s="14">
        <v>110</v>
      </c>
      <c r="H391" s="15">
        <v>0.28999999999999998</v>
      </c>
      <c r="I391" s="15">
        <v>0.08</v>
      </c>
      <c r="J391" s="15">
        <v>0.23727272727272725</v>
      </c>
      <c r="K391" s="15">
        <v>6.545454545454546E-2</v>
      </c>
      <c r="L391" s="15">
        <v>48.2</v>
      </c>
      <c r="M391" s="15">
        <v>1.2684210526315791</v>
      </c>
      <c r="N391" s="16">
        <v>0.18706148623161067</v>
      </c>
      <c r="O391" s="16">
        <v>5.1603168615616743E-2</v>
      </c>
      <c r="P391" s="17">
        <f>IFERROR(G391/(G391+Priors!$H$3),0)</f>
        <v>9.90990990990991E-2</v>
      </c>
      <c r="Q391" s="18">
        <f>IF(E391="Premier League",Priors!$H$4,IF(E391="Championship",Priors!$H$5,Priors!$H$8))</f>
        <v>1</v>
      </c>
      <c r="R391" s="19" t="b">
        <v>1</v>
      </c>
      <c r="S391" s="18">
        <f>IF(R391=TRUE,Priors!$H$6,1)</f>
        <v>0.85</v>
      </c>
      <c r="T391" s="19" t="b">
        <v>1</v>
      </c>
      <c r="U391" s="18">
        <f>IF(T391=TRUE,Priors!$H$7,1)</f>
        <v>0.9</v>
      </c>
      <c r="V391" s="18">
        <f t="shared" si="36"/>
        <v>7.5810810810810814E-2</v>
      </c>
      <c r="W391" s="20">
        <f>VLOOKUP(D391,Priors!$A$3:$C$6,2,FALSE)</f>
        <v>0.10751786102217777</v>
      </c>
      <c r="X391" s="20">
        <f>VLOOKUP(D391,Priors!$A$3:$C$6,3,FALSE)</f>
        <v>9.0240671969462088E-2</v>
      </c>
      <c r="Y391" s="20">
        <f t="shared" si="37"/>
        <v>0.11354812774413613</v>
      </c>
      <c r="Z391" s="20">
        <f t="shared" si="38"/>
        <v>8.731153151250165E-2</v>
      </c>
      <c r="AA391" s="21">
        <v>1</v>
      </c>
      <c r="AB391" s="21">
        <v>1</v>
      </c>
      <c r="AC391" s="22">
        <f t="shared" si="39"/>
        <v>0.11354812774413613</v>
      </c>
      <c r="AD391" s="22">
        <f t="shared" si="40"/>
        <v>8.731153151250165E-2</v>
      </c>
      <c r="AE391" s="22">
        <f t="shared" si="41"/>
        <v>0.92418918918918913</v>
      </c>
      <c r="AF391" s="7" t="s">
        <v>1643</v>
      </c>
      <c r="AG391" s="7"/>
      <c r="AH391" s="7"/>
      <c r="AI391" s="7"/>
      <c r="AJ391" s="8" t="b">
        <v>1</v>
      </c>
      <c r="AK391" s="28" t="s">
        <v>1644</v>
      </c>
      <c r="AL391" s="28" t="s">
        <v>1645</v>
      </c>
      <c r="AM391" s="28"/>
      <c r="AN391" s="7"/>
      <c r="AO391" s="7">
        <v>0</v>
      </c>
      <c r="AP391" s="8" t="b">
        <v>0</v>
      </c>
      <c r="AQ391" s="28" t="s">
        <v>1646</v>
      </c>
    </row>
    <row r="392" spans="1:43" ht="30">
      <c r="A392" s="7">
        <v>238</v>
      </c>
      <c r="B392" s="7" t="s">
        <v>1168</v>
      </c>
      <c r="C392" s="7" t="s">
        <v>53</v>
      </c>
      <c r="D392" s="7" t="s">
        <v>112</v>
      </c>
      <c r="E392" s="7" t="s">
        <v>1642</v>
      </c>
      <c r="F392" s="7" t="s">
        <v>47</v>
      </c>
      <c r="G392" s="14">
        <v>1627</v>
      </c>
      <c r="H392" s="15">
        <v>2.0499999999999998</v>
      </c>
      <c r="I392" s="15">
        <v>3.37</v>
      </c>
      <c r="J392" s="15">
        <v>0.11339889366933004</v>
      </c>
      <c r="K392" s="15">
        <v>0.18641671788567918</v>
      </c>
      <c r="L392" s="15">
        <v>46.7</v>
      </c>
      <c r="M392" s="15">
        <v>1.2289473684210528</v>
      </c>
      <c r="N392" s="16">
        <v>9.2273189709519074E-2</v>
      </c>
      <c r="O392" s="16">
        <v>0.15168812162003872</v>
      </c>
      <c r="P392" s="17">
        <f>IFERROR(G392/(G392+Priors!$H$3),0)</f>
        <v>0.61933764750666154</v>
      </c>
      <c r="Q392" s="18">
        <f>IF(E392="Premier League",Priors!$H$4,IF(E392="Championship",Priors!$H$5,Priors!$H$8))</f>
        <v>1</v>
      </c>
      <c r="R392" s="19" t="b">
        <v>1</v>
      </c>
      <c r="S392" s="18">
        <f>IF(R392=TRUE,Priors!$H$6,1)</f>
        <v>0.85</v>
      </c>
      <c r="T392" s="19" t="b">
        <v>1</v>
      </c>
      <c r="U392" s="18">
        <f>IF(T392=TRUE,Priors!$H$7,1)</f>
        <v>0.9</v>
      </c>
      <c r="V392" s="18">
        <f t="shared" si="36"/>
        <v>0.47379330034259609</v>
      </c>
      <c r="W392" s="20">
        <f>VLOOKUP(D392,Priors!$A$3:$C$6,2,FALSE)</f>
        <v>0.10751786102217777</v>
      </c>
      <c r="X392" s="20">
        <f>VLOOKUP(D392,Priors!$A$3:$C$6,3,FALSE)</f>
        <v>9.0240671969462088E-2</v>
      </c>
      <c r="Y392" s="20">
        <f t="shared" si="37"/>
        <v>0.10029503788831512</v>
      </c>
      <c r="Z392" s="20">
        <f t="shared" si="38"/>
        <v>0.11935406193704431</v>
      </c>
      <c r="AA392" s="21">
        <v>1</v>
      </c>
      <c r="AB392" s="21">
        <v>1</v>
      </c>
      <c r="AC392" s="22">
        <f t="shared" si="39"/>
        <v>0.10029503788831512</v>
      </c>
      <c r="AD392" s="22">
        <f t="shared" si="40"/>
        <v>0.11935406193704431</v>
      </c>
      <c r="AE392" s="22">
        <f t="shared" si="41"/>
        <v>0.52620669965740396</v>
      </c>
      <c r="AF392" s="7" t="s">
        <v>1643</v>
      </c>
      <c r="AG392" s="7"/>
      <c r="AH392" s="7"/>
      <c r="AI392" s="7"/>
      <c r="AJ392" s="8" t="b">
        <v>1</v>
      </c>
      <c r="AK392" s="28" t="s">
        <v>1644</v>
      </c>
      <c r="AL392" s="28" t="s">
        <v>1645</v>
      </c>
      <c r="AM392" s="28"/>
      <c r="AN392" s="7"/>
      <c r="AO392" s="7">
        <v>0</v>
      </c>
      <c r="AP392" s="8" t="b">
        <v>0</v>
      </c>
      <c r="AQ392" s="28" t="s">
        <v>1646</v>
      </c>
    </row>
    <row r="393" spans="1:43" ht="30">
      <c r="A393" s="7">
        <v>384</v>
      </c>
      <c r="B393" s="7" t="s">
        <v>1174</v>
      </c>
      <c r="C393" s="7" t="s">
        <v>53</v>
      </c>
      <c r="D393" s="7" t="s">
        <v>85</v>
      </c>
      <c r="E393" s="7" t="s">
        <v>1642</v>
      </c>
      <c r="F393" s="7" t="s">
        <v>53</v>
      </c>
      <c r="G393" s="14">
        <v>3060</v>
      </c>
      <c r="H393" s="15">
        <v>0</v>
      </c>
      <c r="I393" s="15">
        <v>0.13</v>
      </c>
      <c r="J393" s="15">
        <v>0</v>
      </c>
      <c r="K393" s="15">
        <v>3.8235294117647061E-3</v>
      </c>
      <c r="L393" s="15">
        <v>71.599999999999994</v>
      </c>
      <c r="M393" s="15">
        <v>1.8842105263157893</v>
      </c>
      <c r="N393" s="16">
        <v>0</v>
      </c>
      <c r="O393" s="16">
        <v>2.0292474531712129E-3</v>
      </c>
      <c r="P393" s="17">
        <f>IFERROR(G393/(G393+Priors!$H$3),0)</f>
        <v>0.75369458128078815</v>
      </c>
      <c r="Q393" s="18">
        <f>IF(E393="Premier League",Priors!$H$4,IF(E393="Championship",Priors!$H$5,Priors!$H$8))</f>
        <v>1</v>
      </c>
      <c r="R393" s="19" t="b">
        <v>0</v>
      </c>
      <c r="S393" s="18">
        <f>IF(R393=TRUE,Priors!$H$6,1)</f>
        <v>1</v>
      </c>
      <c r="T393" s="19" t="b">
        <v>1</v>
      </c>
      <c r="U393" s="18">
        <f>IF(T393=TRUE,Priors!$H$7,1)</f>
        <v>0.9</v>
      </c>
      <c r="V393" s="18">
        <f t="shared" si="36"/>
        <v>0.67832512315270932</v>
      </c>
      <c r="W393" s="20">
        <f>VLOOKUP(D393,Priors!$A$3:$C$6,2,FALSE)</f>
        <v>1.6719534964712218E-4</v>
      </c>
      <c r="X393" s="20">
        <f>VLOOKUP(D393,Priors!$A$3:$C$6,3,FALSE)</f>
        <v>1.379361634588758E-3</v>
      </c>
      <c r="Y393" s="20">
        <f t="shared" si="37"/>
        <v>5.3782543507177735E-5</v>
      </c>
      <c r="Z393" s="20">
        <f t="shared" si="38"/>
        <v>1.8201955125139008E-3</v>
      </c>
      <c r="AA393" s="21">
        <v>1</v>
      </c>
      <c r="AB393" s="21">
        <v>1</v>
      </c>
      <c r="AC393" s="22">
        <f t="shared" si="39"/>
        <v>5.3782543507177735E-5</v>
      </c>
      <c r="AD393" s="22">
        <f t="shared" si="40"/>
        <v>1.8201955125139008E-3</v>
      </c>
      <c r="AE393" s="22">
        <f t="shared" si="41"/>
        <v>0.32167487684729068</v>
      </c>
      <c r="AF393" s="7" t="s">
        <v>1643</v>
      </c>
      <c r="AG393" s="7"/>
      <c r="AH393" s="7"/>
      <c r="AI393" s="7"/>
      <c r="AJ393" s="8" t="b">
        <v>1</v>
      </c>
      <c r="AK393" s="28" t="s">
        <v>1644</v>
      </c>
      <c r="AL393" s="28" t="s">
        <v>1645</v>
      </c>
      <c r="AM393" s="28"/>
      <c r="AN393" s="7"/>
      <c r="AO393" s="7">
        <v>0</v>
      </c>
      <c r="AP393" s="8" t="b">
        <v>0</v>
      </c>
      <c r="AQ393" s="28" t="s">
        <v>1646</v>
      </c>
    </row>
    <row r="394" spans="1:43" ht="30">
      <c r="A394" s="7">
        <v>385</v>
      </c>
      <c r="B394" s="7" t="s">
        <v>1176</v>
      </c>
      <c r="C394" s="7" t="s">
        <v>53</v>
      </c>
      <c r="D394" s="7" t="s">
        <v>85</v>
      </c>
      <c r="E394" s="7" t="s">
        <v>1642</v>
      </c>
      <c r="F394" s="7" t="s">
        <v>53</v>
      </c>
      <c r="G394" s="14">
        <v>360</v>
      </c>
      <c r="H394" s="15">
        <v>0</v>
      </c>
      <c r="I394" s="15">
        <v>0</v>
      </c>
      <c r="J394" s="15">
        <v>0</v>
      </c>
      <c r="K394" s="15">
        <v>0</v>
      </c>
      <c r="L394" s="15">
        <v>71.599999999999994</v>
      </c>
      <c r="M394" s="15">
        <v>1.8842105263157893</v>
      </c>
      <c r="N394" s="16">
        <v>0</v>
      </c>
      <c r="O394" s="16">
        <v>0</v>
      </c>
      <c r="P394" s="17">
        <f>IFERROR(G394/(G394+Priors!$H$3),0)</f>
        <v>0.26470588235294118</v>
      </c>
      <c r="Q394" s="18">
        <f>IF(E394="Premier League",Priors!$H$4,IF(E394="Championship",Priors!$H$5,Priors!$H$8))</f>
        <v>1</v>
      </c>
      <c r="R394" s="19" t="b">
        <v>0</v>
      </c>
      <c r="S394" s="18">
        <f>IF(R394=TRUE,Priors!$H$6,1)</f>
        <v>1</v>
      </c>
      <c r="T394" s="19" t="b">
        <v>1</v>
      </c>
      <c r="U394" s="18">
        <f>IF(T394=TRUE,Priors!$H$7,1)</f>
        <v>0.9</v>
      </c>
      <c r="V394" s="18">
        <f t="shared" si="36"/>
        <v>0.23823529411764707</v>
      </c>
      <c r="W394" s="20">
        <f>VLOOKUP(D394,Priors!$A$3:$C$6,2,FALSE)</f>
        <v>1.6719534964712218E-4</v>
      </c>
      <c r="X394" s="20">
        <f>VLOOKUP(D394,Priors!$A$3:$C$6,3,FALSE)</f>
        <v>1.379361634588758E-3</v>
      </c>
      <c r="Y394" s="20">
        <f t="shared" si="37"/>
        <v>1.2736351634883719E-4</v>
      </c>
      <c r="Z394" s="20">
        <f t="shared" si="38"/>
        <v>1.0507490098779068E-3</v>
      </c>
      <c r="AA394" s="21">
        <v>1</v>
      </c>
      <c r="AB394" s="21">
        <v>1</v>
      </c>
      <c r="AC394" s="22">
        <f t="shared" si="39"/>
        <v>1.2736351634883719E-4</v>
      </c>
      <c r="AD394" s="22">
        <f t="shared" si="40"/>
        <v>1.0507490098779068E-3</v>
      </c>
      <c r="AE394" s="22">
        <f t="shared" si="41"/>
        <v>0.7617647058823529</v>
      </c>
      <c r="AF394" s="7" t="s">
        <v>1643</v>
      </c>
      <c r="AG394" s="7"/>
      <c r="AH394" s="7"/>
      <c r="AI394" s="7"/>
      <c r="AJ394" s="8" t="b">
        <v>1</v>
      </c>
      <c r="AK394" s="28" t="s">
        <v>1644</v>
      </c>
      <c r="AL394" s="28" t="s">
        <v>1645</v>
      </c>
      <c r="AM394" s="28"/>
      <c r="AN394" s="7"/>
      <c r="AO394" s="7">
        <v>0</v>
      </c>
      <c r="AP394" s="8" t="b">
        <v>0</v>
      </c>
      <c r="AQ394" s="28" t="s">
        <v>1646</v>
      </c>
    </row>
    <row r="395" spans="1:43" ht="15">
      <c r="A395" s="7">
        <v>386</v>
      </c>
      <c r="B395" s="7" t="s">
        <v>1178</v>
      </c>
      <c r="C395" s="7" t="s">
        <v>53</v>
      </c>
      <c r="D395" s="7" t="s">
        <v>85</v>
      </c>
      <c r="E395" s="7" t="s">
        <v>1647</v>
      </c>
      <c r="F395" s="7"/>
      <c r="G395" s="14"/>
      <c r="H395" s="15"/>
      <c r="I395" s="15"/>
      <c r="J395" s="15"/>
      <c r="K395" s="15"/>
      <c r="L395" s="15"/>
      <c r="M395" s="15"/>
      <c r="N395" s="16"/>
      <c r="O395" s="16"/>
      <c r="P395" s="17">
        <f>IFERROR(G395/(G395+Priors!$H$3),0)</f>
        <v>0</v>
      </c>
      <c r="Q395" s="18">
        <f>IF(E395="Premier League",Priors!$H$4,IF(E395="Championship",Priors!$H$5,Priors!$H$8))</f>
        <v>0</v>
      </c>
      <c r="R395" s="19" t="b">
        <v>0</v>
      </c>
      <c r="S395" s="18">
        <f>IF(R395=TRUE,Priors!$H$6,1)</f>
        <v>1</v>
      </c>
      <c r="T395" s="19" t="b">
        <v>1</v>
      </c>
      <c r="U395" s="18">
        <f>IF(T395=TRUE,Priors!$H$7,1)</f>
        <v>0.9</v>
      </c>
      <c r="V395" s="18">
        <f t="shared" si="36"/>
        <v>0</v>
      </c>
      <c r="W395" s="20">
        <f>VLOOKUP(D395,Priors!$A$3:$C$6,2,FALSE)</f>
        <v>1.6719534964712218E-4</v>
      </c>
      <c r="X395" s="20">
        <f>VLOOKUP(D395,Priors!$A$3:$C$6,3,FALSE)</f>
        <v>1.379361634588758E-3</v>
      </c>
      <c r="Y395" s="20">
        <f t="shared" si="37"/>
        <v>1.6719534964712218E-4</v>
      </c>
      <c r="Z395" s="20">
        <f t="shared" si="38"/>
        <v>1.379361634588758E-3</v>
      </c>
      <c r="AA395" s="21">
        <v>1</v>
      </c>
      <c r="AB395" s="21">
        <v>1</v>
      </c>
      <c r="AC395" s="22">
        <f t="shared" si="39"/>
        <v>1.6719534964712218E-4</v>
      </c>
      <c r="AD395" s="22">
        <f t="shared" si="40"/>
        <v>1.379361634588758E-3</v>
      </c>
      <c r="AE395" s="22">
        <f t="shared" si="41"/>
        <v>1</v>
      </c>
      <c r="AF395" s="7" t="s">
        <v>1647</v>
      </c>
      <c r="AG395" s="7"/>
      <c r="AH395" s="7"/>
      <c r="AI395" s="7"/>
      <c r="AJ395" s="8" t="b">
        <v>1</v>
      </c>
      <c r="AK395" s="28" t="s">
        <v>1648</v>
      </c>
      <c r="AL395" s="28"/>
      <c r="AM395" s="28"/>
      <c r="AN395" s="7"/>
      <c r="AO395" s="7">
        <v>0</v>
      </c>
      <c r="AP395" s="8" t="b">
        <v>0</v>
      </c>
      <c r="AQ395" s="28" t="s">
        <v>1646</v>
      </c>
    </row>
    <row r="396" spans="1:43" ht="30">
      <c r="A396" s="7">
        <v>387</v>
      </c>
      <c r="B396" s="7" t="s">
        <v>1181</v>
      </c>
      <c r="C396" s="7" t="s">
        <v>53</v>
      </c>
      <c r="D396" s="7" t="s">
        <v>99</v>
      </c>
      <c r="E396" s="7" t="s">
        <v>1642</v>
      </c>
      <c r="F396" s="7" t="s">
        <v>53</v>
      </c>
      <c r="G396" s="14">
        <v>2643</v>
      </c>
      <c r="H396" s="15">
        <v>6.12</v>
      </c>
      <c r="I396" s="15">
        <v>2.67</v>
      </c>
      <c r="J396" s="15">
        <v>0.20839954597048807</v>
      </c>
      <c r="K396" s="15">
        <v>9.0919409761634498E-2</v>
      </c>
      <c r="L396" s="15">
        <v>71.599999999999994</v>
      </c>
      <c r="M396" s="15">
        <v>1.8842105263157893</v>
      </c>
      <c r="N396" s="16">
        <v>0.11060311098992384</v>
      </c>
      <c r="O396" s="16">
        <v>4.8253318029917752E-2</v>
      </c>
      <c r="P396" s="17">
        <f>IFERROR(G396/(G396+Priors!$H$3),0)</f>
        <v>0.72550096074663739</v>
      </c>
      <c r="Q396" s="18">
        <f>IF(E396="Premier League",Priors!$H$4,IF(E396="Championship",Priors!$H$5,Priors!$H$8))</f>
        <v>1</v>
      </c>
      <c r="R396" s="19" t="b">
        <v>0</v>
      </c>
      <c r="S396" s="18">
        <f>IF(R396=TRUE,Priors!$H$6,1)</f>
        <v>1</v>
      </c>
      <c r="T396" s="19" t="b">
        <v>1</v>
      </c>
      <c r="U396" s="18">
        <f>IF(T396=TRUE,Priors!$H$7,1)</f>
        <v>0.9</v>
      </c>
      <c r="V396" s="18">
        <f t="shared" si="36"/>
        <v>0.65295086467197372</v>
      </c>
      <c r="W396" s="20">
        <f>VLOOKUP(D396,Priors!$A$3:$C$6,2,FALSE)</f>
        <v>4.1142361271531161E-2</v>
      </c>
      <c r="X396" s="20">
        <f>VLOOKUP(D396,Priors!$A$3:$C$6,3,FALSE)</f>
        <v>4.0513079897554365E-2</v>
      </c>
      <c r="Y396" s="20">
        <f t="shared" si="37"/>
        <v>8.6496817860919228E-2</v>
      </c>
      <c r="Z396" s="20">
        <f t="shared" si="38"/>
        <v>4.5567075078848024E-2</v>
      </c>
      <c r="AA396" s="21">
        <v>1</v>
      </c>
      <c r="AB396" s="21">
        <v>1</v>
      </c>
      <c r="AC396" s="22">
        <f t="shared" si="39"/>
        <v>8.6496817860919228E-2</v>
      </c>
      <c r="AD396" s="22">
        <f t="shared" si="40"/>
        <v>4.5567075078848024E-2</v>
      </c>
      <c r="AE396" s="22">
        <f t="shared" si="41"/>
        <v>0.34704913532802628</v>
      </c>
      <c r="AF396" s="7" t="s">
        <v>1643</v>
      </c>
      <c r="AG396" s="7"/>
      <c r="AH396" s="7"/>
      <c r="AI396" s="7"/>
      <c r="AJ396" s="8" t="b">
        <v>1</v>
      </c>
      <c r="AK396" s="28" t="s">
        <v>1644</v>
      </c>
      <c r="AL396" s="28" t="s">
        <v>1645</v>
      </c>
      <c r="AM396" s="28"/>
      <c r="AN396" s="7"/>
      <c r="AO396" s="7">
        <v>0</v>
      </c>
      <c r="AP396" s="8" t="b">
        <v>0</v>
      </c>
      <c r="AQ396" s="28" t="s">
        <v>1646</v>
      </c>
    </row>
    <row r="397" spans="1:43" ht="30">
      <c r="A397" s="7">
        <v>388</v>
      </c>
      <c r="B397" s="7" t="s">
        <v>1184</v>
      </c>
      <c r="C397" s="7" t="s">
        <v>53</v>
      </c>
      <c r="D397" s="7" t="s">
        <v>99</v>
      </c>
      <c r="E397" s="7" t="s">
        <v>1642</v>
      </c>
      <c r="F397" s="7" t="s">
        <v>53</v>
      </c>
      <c r="G397" s="14">
        <v>3150</v>
      </c>
      <c r="H397" s="15">
        <v>4.05</v>
      </c>
      <c r="I397" s="15">
        <v>2.37</v>
      </c>
      <c r="J397" s="15">
        <v>0.11571428571428571</v>
      </c>
      <c r="K397" s="15">
        <v>6.7714285714285713E-2</v>
      </c>
      <c r="L397" s="15">
        <v>71.599999999999994</v>
      </c>
      <c r="M397" s="15">
        <v>1.8842105263157893</v>
      </c>
      <c r="N397" s="16">
        <v>6.1412609736632089E-2</v>
      </c>
      <c r="O397" s="16">
        <v>3.5937749401436556E-2</v>
      </c>
      <c r="P397" s="17">
        <f>IFERROR(G397/(G397+Priors!$H$3),0)</f>
        <v>0.75903614457831325</v>
      </c>
      <c r="Q397" s="18">
        <f>IF(E397="Premier League",Priors!$H$4,IF(E397="Championship",Priors!$H$5,Priors!$H$8))</f>
        <v>1</v>
      </c>
      <c r="R397" s="19" t="b">
        <v>0</v>
      </c>
      <c r="S397" s="18">
        <f>IF(R397=TRUE,Priors!$H$6,1)</f>
        <v>1</v>
      </c>
      <c r="T397" s="19" t="b">
        <v>1</v>
      </c>
      <c r="U397" s="18">
        <f>IF(T397=TRUE,Priors!$H$7,1)</f>
        <v>0.9</v>
      </c>
      <c r="V397" s="18">
        <f t="shared" si="36"/>
        <v>0.68313253012048192</v>
      </c>
      <c r="W397" s="20">
        <f>VLOOKUP(D397,Priors!$A$3:$C$6,2,FALSE)</f>
        <v>4.1142361271531161E-2</v>
      </c>
      <c r="X397" s="20">
        <f>VLOOKUP(D397,Priors!$A$3:$C$6,3,FALSE)</f>
        <v>4.0513079897554365E-2</v>
      </c>
      <c r="Y397" s="20">
        <f t="shared" si="37"/>
        <v>5.4989627391666372E-2</v>
      </c>
      <c r="Z397" s="20">
        <f t="shared" si="38"/>
        <v>3.7387522799604007E-2</v>
      </c>
      <c r="AA397" s="21">
        <v>1</v>
      </c>
      <c r="AB397" s="21">
        <v>1</v>
      </c>
      <c r="AC397" s="22">
        <f t="shared" si="39"/>
        <v>5.4989627391666372E-2</v>
      </c>
      <c r="AD397" s="22">
        <f t="shared" si="40"/>
        <v>3.7387522799604007E-2</v>
      </c>
      <c r="AE397" s="22">
        <f t="shared" si="41"/>
        <v>0.31686746987951808</v>
      </c>
      <c r="AF397" s="7" t="s">
        <v>1643</v>
      </c>
      <c r="AG397" s="7"/>
      <c r="AH397" s="7"/>
      <c r="AI397" s="7"/>
      <c r="AJ397" s="8" t="b">
        <v>1</v>
      </c>
      <c r="AK397" s="28" t="s">
        <v>1644</v>
      </c>
      <c r="AL397" s="28" t="s">
        <v>1645</v>
      </c>
      <c r="AM397" s="28"/>
      <c r="AN397" s="7"/>
      <c r="AO397" s="7">
        <v>0</v>
      </c>
      <c r="AP397" s="8" t="b">
        <v>0</v>
      </c>
      <c r="AQ397" s="28" t="s">
        <v>1646</v>
      </c>
    </row>
    <row r="398" spans="1:43" ht="30">
      <c r="A398" s="7">
        <v>389</v>
      </c>
      <c r="B398" s="7" t="s">
        <v>1187</v>
      </c>
      <c r="C398" s="7" t="s">
        <v>53</v>
      </c>
      <c r="D398" s="7" t="s">
        <v>99</v>
      </c>
      <c r="E398" s="7" t="s">
        <v>1642</v>
      </c>
      <c r="F398" s="7" t="s">
        <v>53</v>
      </c>
      <c r="G398" s="14">
        <v>2861</v>
      </c>
      <c r="H398" s="15">
        <v>0.34</v>
      </c>
      <c r="I398" s="15">
        <v>2.23</v>
      </c>
      <c r="J398" s="15">
        <v>1.0695560992659909E-2</v>
      </c>
      <c r="K398" s="15">
        <v>7.0150297098916459E-2</v>
      </c>
      <c r="L398" s="15">
        <v>71.599999999999994</v>
      </c>
      <c r="M398" s="15">
        <v>1.8842105263157893</v>
      </c>
      <c r="N398" s="16">
        <v>5.6764150519703427E-3</v>
      </c>
      <c r="O398" s="16">
        <v>3.7230604605570192E-2</v>
      </c>
      <c r="P398" s="17">
        <f>IFERROR(G398/(G398+Priors!$H$3),0)</f>
        <v>0.74099974099974097</v>
      </c>
      <c r="Q398" s="18">
        <f>IF(E398="Premier League",Priors!$H$4,IF(E398="Championship",Priors!$H$5,Priors!$H$8))</f>
        <v>1</v>
      </c>
      <c r="R398" s="19" t="b">
        <v>0</v>
      </c>
      <c r="S398" s="18">
        <f>IF(R398=TRUE,Priors!$H$6,1)</f>
        <v>1</v>
      </c>
      <c r="T398" s="19" t="b">
        <v>1</v>
      </c>
      <c r="U398" s="18">
        <f>IF(T398=TRUE,Priors!$H$7,1)</f>
        <v>0.9</v>
      </c>
      <c r="V398" s="18">
        <f t="shared" si="36"/>
        <v>0.66689976689976693</v>
      </c>
      <c r="W398" s="20">
        <f>VLOOKUP(D398,Priors!$A$3:$C$6,2,FALSE)</f>
        <v>4.1142361271531161E-2</v>
      </c>
      <c r="X398" s="20">
        <f>VLOOKUP(D398,Priors!$A$3:$C$6,3,FALSE)</f>
        <v>4.0513079897554365E-2</v>
      </c>
      <c r="Y398" s="20">
        <f t="shared" si="37"/>
        <v>1.7490130004826382E-2</v>
      </c>
      <c r="Z398" s="20">
        <f t="shared" si="38"/>
        <v>3.8323997890475872E-2</v>
      </c>
      <c r="AA398" s="21">
        <v>1</v>
      </c>
      <c r="AB398" s="21">
        <v>1</v>
      </c>
      <c r="AC398" s="22">
        <f t="shared" si="39"/>
        <v>1.7490130004826382E-2</v>
      </c>
      <c r="AD398" s="22">
        <f t="shared" si="40"/>
        <v>3.8323997890475872E-2</v>
      </c>
      <c r="AE398" s="22">
        <f t="shared" si="41"/>
        <v>0.33310023310023307</v>
      </c>
      <c r="AF398" s="7" t="s">
        <v>1643</v>
      </c>
      <c r="AG398" s="7">
        <v>5</v>
      </c>
      <c r="AH398" s="7"/>
      <c r="AI398" s="7"/>
      <c r="AJ398" s="8" t="b">
        <v>1</v>
      </c>
      <c r="AK398" s="28" t="s">
        <v>1644</v>
      </c>
      <c r="AL398" s="28" t="s">
        <v>1645</v>
      </c>
      <c r="AM398" s="28"/>
      <c r="AN398" s="7"/>
      <c r="AO398" s="7">
        <v>1</v>
      </c>
      <c r="AP398" s="8" t="b">
        <v>1</v>
      </c>
      <c r="AQ398" s="28" t="s">
        <v>1649</v>
      </c>
    </row>
    <row r="399" spans="1:43" ht="30">
      <c r="A399" s="7">
        <v>390</v>
      </c>
      <c r="B399" s="7" t="s">
        <v>1189</v>
      </c>
      <c r="C399" s="7" t="s">
        <v>53</v>
      </c>
      <c r="D399" s="7" t="s">
        <v>99</v>
      </c>
      <c r="E399" s="7" t="s">
        <v>1642</v>
      </c>
      <c r="F399" s="7" t="s">
        <v>53</v>
      </c>
      <c r="G399" s="14">
        <v>2139</v>
      </c>
      <c r="H399" s="15">
        <v>0.56999999999999995</v>
      </c>
      <c r="I399" s="15">
        <v>0.65</v>
      </c>
      <c r="J399" s="15">
        <v>2.3983169705469844E-2</v>
      </c>
      <c r="K399" s="15">
        <v>2.7349228611500701E-2</v>
      </c>
      <c r="L399" s="15">
        <v>71.599999999999994</v>
      </c>
      <c r="M399" s="15">
        <v>1.8842105263157893</v>
      </c>
      <c r="N399" s="16">
        <v>1.2728497888377851E-2</v>
      </c>
      <c r="O399" s="16">
        <v>1.4514953732360707E-2</v>
      </c>
      <c r="P399" s="17">
        <f>IFERROR(G399/(G399+Priors!$H$3),0)</f>
        <v>0.68142720611659768</v>
      </c>
      <c r="Q399" s="18">
        <f>IF(E399="Premier League",Priors!$H$4,IF(E399="Championship",Priors!$H$5,Priors!$H$8))</f>
        <v>1</v>
      </c>
      <c r="R399" s="19" t="b">
        <v>0</v>
      </c>
      <c r="S399" s="18">
        <f>IF(R399=TRUE,Priors!$H$6,1)</f>
        <v>1</v>
      </c>
      <c r="T399" s="19" t="b">
        <v>1</v>
      </c>
      <c r="U399" s="18">
        <f>IF(T399=TRUE,Priors!$H$7,1)</f>
        <v>0.9</v>
      </c>
      <c r="V399" s="18">
        <f t="shared" si="36"/>
        <v>0.61328448550493797</v>
      </c>
      <c r="W399" s="20">
        <f>VLOOKUP(D399,Priors!$A$3:$C$6,2,FALSE)</f>
        <v>4.1142361271531161E-2</v>
      </c>
      <c r="X399" s="20">
        <f>VLOOKUP(D399,Priors!$A$3:$C$6,3,FALSE)</f>
        <v>4.0513079897554365E-2</v>
      </c>
      <c r="Y399" s="20">
        <f t="shared" si="37"/>
        <v>2.3716579685386388E-2</v>
      </c>
      <c r="Z399" s="20">
        <f t="shared" si="38"/>
        <v>2.4568832468241104E-2</v>
      </c>
      <c r="AA399" s="21">
        <v>1</v>
      </c>
      <c r="AB399" s="21">
        <v>1</v>
      </c>
      <c r="AC399" s="22">
        <f t="shared" si="39"/>
        <v>2.3716579685386388E-2</v>
      </c>
      <c r="AD399" s="22">
        <f t="shared" si="40"/>
        <v>2.4568832468241104E-2</v>
      </c>
      <c r="AE399" s="22">
        <f t="shared" si="41"/>
        <v>0.38671551449506203</v>
      </c>
      <c r="AF399" s="7" t="s">
        <v>1643</v>
      </c>
      <c r="AG399" s="7"/>
      <c r="AH399" s="7"/>
      <c r="AI399" s="7"/>
      <c r="AJ399" s="8" t="b">
        <v>1</v>
      </c>
      <c r="AK399" s="28" t="s">
        <v>1644</v>
      </c>
      <c r="AL399" s="28" t="s">
        <v>1645</v>
      </c>
      <c r="AM399" s="28"/>
      <c r="AN399" s="7"/>
      <c r="AO399" s="7">
        <v>0</v>
      </c>
      <c r="AP399" s="8" t="b">
        <v>0</v>
      </c>
      <c r="AQ399" s="28" t="s">
        <v>1646</v>
      </c>
    </row>
    <row r="400" spans="1:43" ht="30">
      <c r="A400" s="7">
        <v>391</v>
      </c>
      <c r="B400" s="7" t="s">
        <v>1192</v>
      </c>
      <c r="C400" s="7" t="s">
        <v>53</v>
      </c>
      <c r="D400" s="7" t="s">
        <v>99</v>
      </c>
      <c r="E400" s="7" t="s">
        <v>1642</v>
      </c>
      <c r="F400" s="7" t="s">
        <v>53</v>
      </c>
      <c r="G400" s="14">
        <v>1370</v>
      </c>
      <c r="H400" s="15">
        <v>2.25</v>
      </c>
      <c r="I400" s="15">
        <v>0.7</v>
      </c>
      <c r="J400" s="15">
        <v>0.1478102189781022</v>
      </c>
      <c r="K400" s="15">
        <v>4.5985401459854011E-2</v>
      </c>
      <c r="L400" s="15">
        <v>71.599999999999994</v>
      </c>
      <c r="M400" s="15">
        <v>1.8842105263157893</v>
      </c>
      <c r="N400" s="16">
        <v>7.8446764262121285E-2</v>
      </c>
      <c r="O400" s="16">
        <v>2.440565999265995E-2</v>
      </c>
      <c r="P400" s="17">
        <f>IFERROR(G400/(G400+Priors!$H$3),0)</f>
        <v>0.57805907172995785</v>
      </c>
      <c r="Q400" s="18">
        <f>IF(E400="Premier League",Priors!$H$4,IF(E400="Championship",Priors!$H$5,Priors!$H$8))</f>
        <v>1</v>
      </c>
      <c r="R400" s="19" t="b">
        <v>0</v>
      </c>
      <c r="S400" s="18">
        <f>IF(R400=TRUE,Priors!$H$6,1)</f>
        <v>1</v>
      </c>
      <c r="T400" s="19" t="b">
        <v>1</v>
      </c>
      <c r="U400" s="18">
        <f>IF(T400=TRUE,Priors!$H$7,1)</f>
        <v>0.9</v>
      </c>
      <c r="V400" s="18">
        <f t="shared" si="36"/>
        <v>0.52025316455696213</v>
      </c>
      <c r="W400" s="20">
        <f>VLOOKUP(D400,Priors!$A$3:$C$6,2,FALSE)</f>
        <v>4.1142361271531161E-2</v>
      </c>
      <c r="X400" s="20">
        <f>VLOOKUP(D400,Priors!$A$3:$C$6,3,FALSE)</f>
        <v>4.0513079897554365E-2</v>
      </c>
      <c r="Y400" s="20">
        <f t="shared" si="37"/>
        <v>6.0550094979293881E-2</v>
      </c>
      <c r="Z400" s="20">
        <f t="shared" si="38"/>
        <v>3.2133143719185242E-2</v>
      </c>
      <c r="AA400" s="21">
        <v>1</v>
      </c>
      <c r="AB400" s="21">
        <v>1</v>
      </c>
      <c r="AC400" s="22">
        <f t="shared" si="39"/>
        <v>6.0550094979293881E-2</v>
      </c>
      <c r="AD400" s="22">
        <f t="shared" si="40"/>
        <v>3.2133143719185242E-2</v>
      </c>
      <c r="AE400" s="22">
        <f t="shared" si="41"/>
        <v>0.47974683544303787</v>
      </c>
      <c r="AF400" s="7" t="s">
        <v>1643</v>
      </c>
      <c r="AG400" s="7"/>
      <c r="AH400" s="7"/>
      <c r="AI400" s="7"/>
      <c r="AJ400" s="8" t="b">
        <v>1</v>
      </c>
      <c r="AK400" s="28" t="s">
        <v>1644</v>
      </c>
      <c r="AL400" s="28" t="s">
        <v>1645</v>
      </c>
      <c r="AM400" s="28"/>
      <c r="AN400" s="7"/>
      <c r="AO400" s="7">
        <v>0</v>
      </c>
      <c r="AP400" s="8" t="b">
        <v>0</v>
      </c>
      <c r="AQ400" s="28" t="s">
        <v>1646</v>
      </c>
    </row>
    <row r="401" spans="1:43" ht="30">
      <c r="A401" s="7">
        <v>392</v>
      </c>
      <c r="B401" s="7" t="s">
        <v>1194</v>
      </c>
      <c r="C401" s="7" t="s">
        <v>53</v>
      </c>
      <c r="D401" s="7" t="s">
        <v>99</v>
      </c>
      <c r="E401" s="7" t="s">
        <v>1642</v>
      </c>
      <c r="F401" s="7" t="s">
        <v>53</v>
      </c>
      <c r="G401" s="14">
        <v>971</v>
      </c>
      <c r="H401" s="15">
        <v>0.53</v>
      </c>
      <c r="I401" s="15">
        <v>2.0099999999999998</v>
      </c>
      <c r="J401" s="15">
        <v>4.9124613800205975E-2</v>
      </c>
      <c r="K401" s="15">
        <v>0.18630278063851696</v>
      </c>
      <c r="L401" s="15">
        <v>71.599999999999994</v>
      </c>
      <c r="M401" s="15">
        <v>1.8842105263157893</v>
      </c>
      <c r="N401" s="16">
        <v>2.6071722407930549E-2</v>
      </c>
      <c r="O401" s="16">
        <v>9.8875777433849787E-2</v>
      </c>
      <c r="P401" s="17">
        <f>IFERROR(G401/(G401+Priors!$H$3),0)</f>
        <v>0.49264332825976659</v>
      </c>
      <c r="Q401" s="18">
        <f>IF(E401="Premier League",Priors!$H$4,IF(E401="Championship",Priors!$H$5,Priors!$H$8))</f>
        <v>1</v>
      </c>
      <c r="R401" s="19" t="b">
        <v>0</v>
      </c>
      <c r="S401" s="18">
        <f>IF(R401=TRUE,Priors!$H$6,1)</f>
        <v>1</v>
      </c>
      <c r="T401" s="19" t="b">
        <v>1</v>
      </c>
      <c r="U401" s="18">
        <f>IF(T401=TRUE,Priors!$H$7,1)</f>
        <v>0.9</v>
      </c>
      <c r="V401" s="18">
        <f t="shared" si="36"/>
        <v>0.44337899543378995</v>
      </c>
      <c r="W401" s="20">
        <f>VLOOKUP(D401,Priors!$A$3:$C$6,2,FALSE)</f>
        <v>4.1142361271531161E-2</v>
      </c>
      <c r="X401" s="20">
        <f>VLOOKUP(D401,Priors!$A$3:$C$6,3,FALSE)</f>
        <v>4.0513079897554365E-2</v>
      </c>
      <c r="Y401" s="20">
        <f t="shared" si="37"/>
        <v>3.4460356551642493E-2</v>
      </c>
      <c r="Z401" s="20">
        <f t="shared" si="38"/>
        <v>6.6389874102003157E-2</v>
      </c>
      <c r="AA401" s="21">
        <v>1</v>
      </c>
      <c r="AB401" s="21">
        <v>1</v>
      </c>
      <c r="AC401" s="22">
        <f t="shared" si="39"/>
        <v>3.4460356551642493E-2</v>
      </c>
      <c r="AD401" s="22">
        <f t="shared" si="40"/>
        <v>6.6389874102003157E-2</v>
      </c>
      <c r="AE401" s="22">
        <f t="shared" si="41"/>
        <v>0.55662100456621011</v>
      </c>
      <c r="AF401" s="7" t="s">
        <v>1643</v>
      </c>
      <c r="AG401" s="7"/>
      <c r="AH401" s="7"/>
      <c r="AI401" s="7"/>
      <c r="AJ401" s="8" t="b">
        <v>1</v>
      </c>
      <c r="AK401" s="28" t="s">
        <v>1644</v>
      </c>
      <c r="AL401" s="28" t="s">
        <v>1645</v>
      </c>
      <c r="AM401" s="28"/>
      <c r="AN401" s="7">
        <v>3</v>
      </c>
      <c r="AO401" s="7">
        <v>0</v>
      </c>
      <c r="AP401" s="8" t="b">
        <v>0</v>
      </c>
      <c r="AQ401" s="28" t="s">
        <v>1646</v>
      </c>
    </row>
    <row r="402" spans="1:43" ht="30">
      <c r="A402" s="7">
        <v>393</v>
      </c>
      <c r="B402" s="7" t="s">
        <v>1196</v>
      </c>
      <c r="C402" s="7" t="s">
        <v>53</v>
      </c>
      <c r="D402" s="7" t="s">
        <v>99</v>
      </c>
      <c r="E402" s="7" t="s">
        <v>1642</v>
      </c>
      <c r="F402" s="7" t="s">
        <v>53</v>
      </c>
      <c r="G402" s="14">
        <v>1427</v>
      </c>
      <c r="H402" s="15">
        <v>0.65</v>
      </c>
      <c r="I402" s="15">
        <v>1.21</v>
      </c>
      <c r="J402" s="15">
        <v>4.0995094604064468E-2</v>
      </c>
      <c r="K402" s="15">
        <v>7.6313945339873859E-2</v>
      </c>
      <c r="L402" s="15">
        <v>71.599999999999994</v>
      </c>
      <c r="M402" s="15">
        <v>1.8842105263157893</v>
      </c>
      <c r="N402" s="16">
        <v>2.1757173113888965E-2</v>
      </c>
      <c r="O402" s="16">
        <v>4.0501814565854846E-2</v>
      </c>
      <c r="P402" s="17">
        <f>IFERROR(G402/(G402+Priors!$H$3),0)</f>
        <v>0.58796868562010718</v>
      </c>
      <c r="Q402" s="18">
        <f>IF(E402="Premier League",Priors!$H$4,IF(E402="Championship",Priors!$H$5,Priors!$H$8))</f>
        <v>1</v>
      </c>
      <c r="R402" s="19" t="b">
        <v>0</v>
      </c>
      <c r="S402" s="18">
        <f>IF(R402=TRUE,Priors!$H$6,1)</f>
        <v>1</v>
      </c>
      <c r="T402" s="19" t="b">
        <v>1</v>
      </c>
      <c r="U402" s="18">
        <f>IF(T402=TRUE,Priors!$H$7,1)</f>
        <v>0.9</v>
      </c>
      <c r="V402" s="18">
        <f t="shared" si="36"/>
        <v>0.52917181705809646</v>
      </c>
      <c r="W402" s="20">
        <f>VLOOKUP(D402,Priors!$A$3:$C$6,2,FALSE)</f>
        <v>4.1142361271531161E-2</v>
      </c>
      <c r="X402" s="20">
        <f>VLOOKUP(D402,Priors!$A$3:$C$6,3,FALSE)</f>
        <v>4.0513079897554365E-2</v>
      </c>
      <c r="Y402" s="20">
        <f t="shared" si="37"/>
        <v>3.0884266030138548E-2</v>
      </c>
      <c r="Z402" s="20">
        <f t="shared" si="38"/>
        <v>4.0507118601509171E-2</v>
      </c>
      <c r="AA402" s="21">
        <v>1</v>
      </c>
      <c r="AB402" s="21">
        <v>1</v>
      </c>
      <c r="AC402" s="22">
        <f t="shared" si="39"/>
        <v>3.0884266030138548E-2</v>
      </c>
      <c r="AD402" s="22">
        <f t="shared" si="40"/>
        <v>4.0507118601509171E-2</v>
      </c>
      <c r="AE402" s="22">
        <f t="shared" si="41"/>
        <v>0.47082818294190354</v>
      </c>
      <c r="AF402" s="7" t="s">
        <v>1643</v>
      </c>
      <c r="AG402" s="7"/>
      <c r="AH402" s="7"/>
      <c r="AI402" s="7"/>
      <c r="AJ402" s="8" t="b">
        <v>1</v>
      </c>
      <c r="AK402" s="28" t="s">
        <v>1644</v>
      </c>
      <c r="AL402" s="28" t="s">
        <v>1645</v>
      </c>
      <c r="AM402" s="28"/>
      <c r="AN402" s="7">
        <v>2</v>
      </c>
      <c r="AO402" s="7">
        <v>0</v>
      </c>
      <c r="AP402" s="8" t="b">
        <v>1</v>
      </c>
      <c r="AQ402" s="28" t="s">
        <v>1649</v>
      </c>
    </row>
    <row r="403" spans="1:43" ht="30">
      <c r="A403" s="7">
        <v>394</v>
      </c>
      <c r="B403" s="7" t="s">
        <v>1199</v>
      </c>
      <c r="C403" s="7" t="s">
        <v>53</v>
      </c>
      <c r="D403" s="7" t="s">
        <v>99</v>
      </c>
      <c r="E403" s="7" t="s">
        <v>1642</v>
      </c>
      <c r="F403" s="7" t="s">
        <v>53</v>
      </c>
      <c r="G403" s="14">
        <v>135</v>
      </c>
      <c r="H403" s="15">
        <v>0.26</v>
      </c>
      <c r="I403" s="15">
        <v>0.06</v>
      </c>
      <c r="J403" s="15">
        <v>0.17333333333333334</v>
      </c>
      <c r="K403" s="15">
        <v>3.9999999999999994E-2</v>
      </c>
      <c r="L403" s="15">
        <v>71.599999999999994</v>
      </c>
      <c r="M403" s="15">
        <v>1.8842105263157893</v>
      </c>
      <c r="N403" s="16">
        <v>9.1992551210428319E-2</v>
      </c>
      <c r="O403" s="16">
        <v>2.1229050279329607E-2</v>
      </c>
      <c r="P403" s="17">
        <f>IFERROR(G403/(G403+Priors!$H$3),0)</f>
        <v>0.11894273127753303</v>
      </c>
      <c r="Q403" s="18">
        <f>IF(E403="Premier League",Priors!$H$4,IF(E403="Championship",Priors!$H$5,Priors!$H$8))</f>
        <v>1</v>
      </c>
      <c r="R403" s="19" t="b">
        <v>0</v>
      </c>
      <c r="S403" s="18">
        <f>IF(R403=TRUE,Priors!$H$6,1)</f>
        <v>1</v>
      </c>
      <c r="T403" s="19" t="b">
        <v>1</v>
      </c>
      <c r="U403" s="18">
        <f>IF(T403=TRUE,Priors!$H$7,1)</f>
        <v>0.9</v>
      </c>
      <c r="V403" s="18">
        <f t="shared" si="36"/>
        <v>0.10704845814977973</v>
      </c>
      <c r="W403" s="20">
        <f>VLOOKUP(D403,Priors!$A$3:$C$6,2,FALSE)</f>
        <v>4.1142361271531161E-2</v>
      </c>
      <c r="X403" s="20">
        <f>VLOOKUP(D403,Priors!$A$3:$C$6,3,FALSE)</f>
        <v>4.0513079897554365E-2</v>
      </c>
      <c r="Y403" s="20">
        <f t="shared" si="37"/>
        <v>4.6585795701113542E-2</v>
      </c>
      <c r="Z403" s="20">
        <f t="shared" si="38"/>
        <v>3.8448754260008718E-2</v>
      </c>
      <c r="AA403" s="21">
        <v>1</v>
      </c>
      <c r="AB403" s="21">
        <v>1</v>
      </c>
      <c r="AC403" s="22">
        <f t="shared" si="39"/>
        <v>4.6585795701113542E-2</v>
      </c>
      <c r="AD403" s="22">
        <f t="shared" si="40"/>
        <v>3.8448754260008718E-2</v>
      </c>
      <c r="AE403" s="22">
        <f t="shared" si="41"/>
        <v>0.8929515418502203</v>
      </c>
      <c r="AF403" s="7" t="s">
        <v>1643</v>
      </c>
      <c r="AG403" s="7"/>
      <c r="AH403" s="7"/>
      <c r="AI403" s="7"/>
      <c r="AJ403" s="8" t="b">
        <v>1</v>
      </c>
      <c r="AK403" s="28" t="s">
        <v>1644</v>
      </c>
      <c r="AL403" s="28" t="s">
        <v>1645</v>
      </c>
      <c r="AM403" s="28"/>
      <c r="AN403" s="7"/>
      <c r="AO403" s="7">
        <v>0</v>
      </c>
      <c r="AP403" s="8" t="b">
        <v>0</v>
      </c>
      <c r="AQ403" s="28" t="s">
        <v>1646</v>
      </c>
    </row>
    <row r="404" spans="1:43" ht="30">
      <c r="A404" s="7">
        <v>395</v>
      </c>
      <c r="B404" s="7" t="s">
        <v>1201</v>
      </c>
      <c r="C404" s="7" t="s">
        <v>53</v>
      </c>
      <c r="D404" s="7" t="s">
        <v>99</v>
      </c>
      <c r="E404" s="7" t="s">
        <v>1642</v>
      </c>
      <c r="F404" s="7" t="s">
        <v>53</v>
      </c>
      <c r="G404" s="14">
        <v>401</v>
      </c>
      <c r="H404" s="15">
        <v>0.19</v>
      </c>
      <c r="I404" s="15">
        <v>1.39</v>
      </c>
      <c r="J404" s="15">
        <v>4.2643391521197012E-2</v>
      </c>
      <c r="K404" s="15">
        <v>0.31197007481296757</v>
      </c>
      <c r="L404" s="15">
        <v>71.599999999999994</v>
      </c>
      <c r="M404" s="15">
        <v>1.8842105263157893</v>
      </c>
      <c r="N404" s="16">
        <v>2.2631967567115736E-2</v>
      </c>
      <c r="O404" s="16">
        <v>0.16557071009626773</v>
      </c>
      <c r="P404" s="17">
        <f>IFERROR(G404/(G404+Priors!$H$3),0)</f>
        <v>0.2862241256245539</v>
      </c>
      <c r="Q404" s="18">
        <f>IF(E404="Premier League",Priors!$H$4,IF(E404="Championship",Priors!$H$5,Priors!$H$8))</f>
        <v>1</v>
      </c>
      <c r="R404" s="19" t="b">
        <v>0</v>
      </c>
      <c r="S404" s="18">
        <f>IF(R404=TRUE,Priors!$H$6,1)</f>
        <v>1</v>
      </c>
      <c r="T404" s="19" t="b">
        <v>1</v>
      </c>
      <c r="U404" s="18">
        <f>IF(T404=TRUE,Priors!$H$7,1)</f>
        <v>0.9</v>
      </c>
      <c r="V404" s="18">
        <f t="shared" si="36"/>
        <v>0.2576017130620985</v>
      </c>
      <c r="W404" s="20">
        <f>VLOOKUP(D404,Priors!$A$3:$C$6,2,FALSE)</f>
        <v>4.1142361271531161E-2</v>
      </c>
      <c r="X404" s="20">
        <f>VLOOKUP(D404,Priors!$A$3:$C$6,3,FALSE)</f>
        <v>4.0513079897554365E-2</v>
      </c>
      <c r="Y404" s="20">
        <f t="shared" si="37"/>
        <v>3.637405214381987E-2</v>
      </c>
      <c r="Z404" s="20">
        <f t="shared" si="38"/>
        <v>7.2728139668229358E-2</v>
      </c>
      <c r="AA404" s="21">
        <v>1</v>
      </c>
      <c r="AB404" s="21">
        <v>1</v>
      </c>
      <c r="AC404" s="22">
        <f t="shared" si="39"/>
        <v>3.637405214381987E-2</v>
      </c>
      <c r="AD404" s="22">
        <f t="shared" si="40"/>
        <v>7.2728139668229358E-2</v>
      </c>
      <c r="AE404" s="22">
        <f t="shared" si="41"/>
        <v>0.74239828693790155</v>
      </c>
      <c r="AF404" s="7" t="s">
        <v>1643</v>
      </c>
      <c r="AG404" s="7"/>
      <c r="AH404" s="7"/>
      <c r="AI404" s="7"/>
      <c r="AJ404" s="8" t="b">
        <v>1</v>
      </c>
      <c r="AK404" s="28" t="s">
        <v>1644</v>
      </c>
      <c r="AL404" s="28" t="s">
        <v>1645</v>
      </c>
      <c r="AM404" s="28"/>
      <c r="AN404" s="7"/>
      <c r="AO404" s="7">
        <v>0</v>
      </c>
      <c r="AP404" s="8" t="b">
        <v>0</v>
      </c>
      <c r="AQ404" s="28" t="s">
        <v>1646</v>
      </c>
    </row>
    <row r="405" spans="1:43" ht="15">
      <c r="A405" s="7">
        <v>396</v>
      </c>
      <c r="B405" s="7" t="s">
        <v>1204</v>
      </c>
      <c r="C405" s="7" t="s">
        <v>53</v>
      </c>
      <c r="D405" s="7" t="s">
        <v>99</v>
      </c>
      <c r="E405" s="7" t="s">
        <v>1647</v>
      </c>
      <c r="F405" s="7"/>
      <c r="G405" s="14"/>
      <c r="H405" s="15"/>
      <c r="I405" s="15"/>
      <c r="J405" s="15"/>
      <c r="K405" s="15"/>
      <c r="L405" s="15"/>
      <c r="M405" s="15"/>
      <c r="N405" s="16"/>
      <c r="O405" s="16"/>
      <c r="P405" s="17">
        <f>IFERROR(G405/(G405+Priors!$H$3),0)</f>
        <v>0</v>
      </c>
      <c r="Q405" s="18">
        <f>IF(E405="Premier League",Priors!$H$4,IF(E405="Championship",Priors!$H$5,Priors!$H$8))</f>
        <v>0</v>
      </c>
      <c r="R405" s="19" t="b">
        <v>0</v>
      </c>
      <c r="S405" s="18">
        <f>IF(R405=TRUE,Priors!$H$6,1)</f>
        <v>1</v>
      </c>
      <c r="T405" s="19" t="b">
        <v>1</v>
      </c>
      <c r="U405" s="18">
        <f>IF(T405=TRUE,Priors!$H$7,1)</f>
        <v>0.9</v>
      </c>
      <c r="V405" s="18">
        <f t="shared" si="36"/>
        <v>0</v>
      </c>
      <c r="W405" s="20">
        <f>VLOOKUP(D405,Priors!$A$3:$C$6,2,FALSE)</f>
        <v>4.1142361271531161E-2</v>
      </c>
      <c r="X405" s="20">
        <f>VLOOKUP(D405,Priors!$A$3:$C$6,3,FALSE)</f>
        <v>4.0513079897554365E-2</v>
      </c>
      <c r="Y405" s="20">
        <f t="shared" si="37"/>
        <v>4.1142361271531161E-2</v>
      </c>
      <c r="Z405" s="20">
        <f t="shared" si="38"/>
        <v>4.0513079897554365E-2</v>
      </c>
      <c r="AA405" s="21">
        <v>1</v>
      </c>
      <c r="AB405" s="21">
        <v>1</v>
      </c>
      <c r="AC405" s="22">
        <f t="shared" si="39"/>
        <v>4.1142361271531161E-2</v>
      </c>
      <c r="AD405" s="22">
        <f t="shared" si="40"/>
        <v>4.0513079897554365E-2</v>
      </c>
      <c r="AE405" s="22">
        <f t="shared" si="41"/>
        <v>1</v>
      </c>
      <c r="AF405" s="7" t="s">
        <v>1647</v>
      </c>
      <c r="AG405" s="7"/>
      <c r="AH405" s="7"/>
      <c r="AI405" s="7"/>
      <c r="AJ405" s="8" t="b">
        <v>1</v>
      </c>
      <c r="AK405" s="28" t="s">
        <v>1648</v>
      </c>
      <c r="AL405" s="28"/>
      <c r="AM405" s="28"/>
      <c r="AN405" s="7"/>
      <c r="AO405" s="7">
        <v>0</v>
      </c>
      <c r="AP405" s="8" t="b">
        <v>0</v>
      </c>
      <c r="AQ405" s="28" t="s">
        <v>1646</v>
      </c>
    </row>
    <row r="406" spans="1:43" ht="30">
      <c r="A406" s="7">
        <v>397</v>
      </c>
      <c r="B406" s="7" t="s">
        <v>1207</v>
      </c>
      <c r="C406" s="7" t="s">
        <v>53</v>
      </c>
      <c r="D406" s="7" t="s">
        <v>112</v>
      </c>
      <c r="E406" s="7" t="s">
        <v>1642</v>
      </c>
      <c r="F406" s="7" t="s">
        <v>53</v>
      </c>
      <c r="G406" s="14">
        <v>3200</v>
      </c>
      <c r="H406" s="15">
        <v>11.1</v>
      </c>
      <c r="I406" s="15">
        <v>3.12</v>
      </c>
      <c r="J406" s="15">
        <v>0.31218750000000001</v>
      </c>
      <c r="K406" s="15">
        <v>8.7750000000000009E-2</v>
      </c>
      <c r="L406" s="15">
        <v>71.599999999999994</v>
      </c>
      <c r="M406" s="15">
        <v>1.8842105263157893</v>
      </c>
      <c r="N406" s="16">
        <v>0.16568610335195533</v>
      </c>
      <c r="O406" s="16">
        <v>4.6571229050279335E-2</v>
      </c>
      <c r="P406" s="17">
        <f>IFERROR(G406/(G406+Priors!$H$3),0)</f>
        <v>0.76190476190476186</v>
      </c>
      <c r="Q406" s="18">
        <f>IF(E406="Premier League",Priors!$H$4,IF(E406="Championship",Priors!$H$5,Priors!$H$8))</f>
        <v>1</v>
      </c>
      <c r="R406" s="19" t="b">
        <v>0</v>
      </c>
      <c r="S406" s="18">
        <f>IF(R406=TRUE,Priors!$H$6,1)</f>
        <v>1</v>
      </c>
      <c r="T406" s="19" t="b">
        <v>1</v>
      </c>
      <c r="U406" s="18">
        <f>IF(T406=TRUE,Priors!$H$7,1)</f>
        <v>0.9</v>
      </c>
      <c r="V406" s="18">
        <f t="shared" si="36"/>
        <v>0.68571428571428572</v>
      </c>
      <c r="W406" s="20">
        <f>VLOOKUP(D406,Priors!$A$3:$C$6,2,FALSE)</f>
        <v>0.10751786102217777</v>
      </c>
      <c r="X406" s="20">
        <f>VLOOKUP(D406,Priors!$A$3:$C$6,3,FALSE)</f>
        <v>9.0240671969462088E-2</v>
      </c>
      <c r="Y406" s="20">
        <f t="shared" si="37"/>
        <v>0.14740465576259668</v>
      </c>
      <c r="Z406" s="20">
        <f t="shared" si="38"/>
        <v>6.0295911110593917E-2</v>
      </c>
      <c r="AA406" s="21">
        <v>1</v>
      </c>
      <c r="AB406" s="21">
        <v>1</v>
      </c>
      <c r="AC406" s="22">
        <f t="shared" si="39"/>
        <v>0.14740465576259668</v>
      </c>
      <c r="AD406" s="22">
        <f t="shared" si="40"/>
        <v>6.0295911110593917E-2</v>
      </c>
      <c r="AE406" s="22">
        <f t="shared" si="41"/>
        <v>0.31428571428571428</v>
      </c>
      <c r="AF406" s="7" t="s">
        <v>1643</v>
      </c>
      <c r="AG406" s="7">
        <v>3</v>
      </c>
      <c r="AH406" s="7"/>
      <c r="AI406" s="7"/>
      <c r="AJ406" s="8" t="b">
        <v>1</v>
      </c>
      <c r="AK406" s="28" t="s">
        <v>1644</v>
      </c>
      <c r="AL406" s="28" t="s">
        <v>1645</v>
      </c>
      <c r="AM406" s="28"/>
      <c r="AN406" s="7"/>
      <c r="AO406" s="7">
        <v>0</v>
      </c>
      <c r="AP406" s="8" t="b">
        <v>0</v>
      </c>
      <c r="AQ406" s="28" t="s">
        <v>1646</v>
      </c>
    </row>
    <row r="407" spans="1:43" ht="30">
      <c r="A407" s="7">
        <v>398</v>
      </c>
      <c r="B407" s="7" t="s">
        <v>1210</v>
      </c>
      <c r="C407" s="7" t="s">
        <v>53</v>
      </c>
      <c r="D407" s="7" t="s">
        <v>112</v>
      </c>
      <c r="E407" s="7" t="s">
        <v>1642</v>
      </c>
      <c r="F407" s="7" t="s">
        <v>53</v>
      </c>
      <c r="G407" s="14">
        <v>2078</v>
      </c>
      <c r="H407" s="15">
        <v>6.03</v>
      </c>
      <c r="I407" s="15">
        <v>4.76</v>
      </c>
      <c r="J407" s="15">
        <v>0.2611645813282002</v>
      </c>
      <c r="K407" s="15">
        <v>0.20615976900866217</v>
      </c>
      <c r="L407" s="15">
        <v>71.599999999999994</v>
      </c>
      <c r="M407" s="15">
        <v>1.8842105263157893</v>
      </c>
      <c r="N407" s="16">
        <v>0.13860690070491072</v>
      </c>
      <c r="O407" s="16">
        <v>0.10941440254649669</v>
      </c>
      <c r="P407" s="17">
        <f>IFERROR(G407/(G407+Priors!$H$3),0)</f>
        <v>0.67511371020142952</v>
      </c>
      <c r="Q407" s="18">
        <f>IF(E407="Premier League",Priors!$H$4,IF(E407="Championship",Priors!$H$5,Priors!$H$8))</f>
        <v>1</v>
      </c>
      <c r="R407" s="19" t="b">
        <v>0</v>
      </c>
      <c r="S407" s="18">
        <f>IF(R407=TRUE,Priors!$H$6,1)</f>
        <v>1</v>
      </c>
      <c r="T407" s="19" t="b">
        <v>1</v>
      </c>
      <c r="U407" s="18">
        <f>IF(T407=TRUE,Priors!$H$7,1)</f>
        <v>0.9</v>
      </c>
      <c r="V407" s="18">
        <f t="shared" si="36"/>
        <v>0.60760233918128659</v>
      </c>
      <c r="W407" s="20">
        <f>VLOOKUP(D407,Priors!$A$3:$C$6,2,FALSE)</f>
        <v>0.10751786102217777</v>
      </c>
      <c r="X407" s="20">
        <f>VLOOKUP(D407,Priors!$A$3:$C$6,3,FALSE)</f>
        <v>9.0240671969462088E-2</v>
      </c>
      <c r="Y407" s="20">
        <f t="shared" si="37"/>
        <v>0.12640763425630613</v>
      </c>
      <c r="Z407" s="20">
        <f t="shared" si="38"/>
        <v>0.10189067551890008</v>
      </c>
      <c r="AA407" s="21">
        <v>1</v>
      </c>
      <c r="AB407" s="21">
        <v>1</v>
      </c>
      <c r="AC407" s="22">
        <f t="shared" si="39"/>
        <v>0.12640763425630613</v>
      </c>
      <c r="AD407" s="22">
        <f t="shared" si="40"/>
        <v>0.10189067551890008</v>
      </c>
      <c r="AE407" s="22">
        <f t="shared" si="41"/>
        <v>0.39239766081871341</v>
      </c>
      <c r="AF407" s="7" t="s">
        <v>1643</v>
      </c>
      <c r="AG407" s="7"/>
      <c r="AH407" s="7">
        <v>3</v>
      </c>
      <c r="AI407" s="7">
        <v>4</v>
      </c>
      <c r="AJ407" s="8" t="b">
        <v>1</v>
      </c>
      <c r="AK407" s="28" t="s">
        <v>1644</v>
      </c>
      <c r="AL407" s="28" t="s">
        <v>1645</v>
      </c>
      <c r="AM407" s="28"/>
      <c r="AN407" s="7"/>
      <c r="AO407" s="7">
        <v>0</v>
      </c>
      <c r="AP407" s="8" t="b">
        <v>0</v>
      </c>
      <c r="AQ407" s="28" t="s">
        <v>1646</v>
      </c>
    </row>
    <row r="408" spans="1:43" ht="30">
      <c r="A408" s="7">
        <v>399</v>
      </c>
      <c r="B408" s="7" t="s">
        <v>1213</v>
      </c>
      <c r="C408" s="7" t="s">
        <v>53</v>
      </c>
      <c r="D408" s="7" t="s">
        <v>112</v>
      </c>
      <c r="E408" s="7" t="s">
        <v>1642</v>
      </c>
      <c r="F408" s="7" t="s">
        <v>53</v>
      </c>
      <c r="G408" s="14">
        <v>1772</v>
      </c>
      <c r="H408" s="15">
        <v>4.28</v>
      </c>
      <c r="I408" s="15">
        <v>8.8699999999999992</v>
      </c>
      <c r="J408" s="15">
        <v>0.21738148984198649</v>
      </c>
      <c r="K408" s="15">
        <v>0.45050790067720087</v>
      </c>
      <c r="L408" s="15">
        <v>71.599999999999994</v>
      </c>
      <c r="M408" s="15">
        <v>1.8842105263157893</v>
      </c>
      <c r="N408" s="16">
        <v>0.11537006444127776</v>
      </c>
      <c r="O408" s="16">
        <v>0.23909637186778818</v>
      </c>
      <c r="P408" s="17">
        <f>IFERROR(G408/(G408+Priors!$H$3),0)</f>
        <v>0.63924963924963929</v>
      </c>
      <c r="Q408" s="18">
        <f>IF(E408="Premier League",Priors!$H$4,IF(E408="Championship",Priors!$H$5,Priors!$H$8))</f>
        <v>1</v>
      </c>
      <c r="R408" s="19" t="b">
        <v>0</v>
      </c>
      <c r="S408" s="18">
        <f>IF(R408=TRUE,Priors!$H$6,1)</f>
        <v>1</v>
      </c>
      <c r="T408" s="19" t="b">
        <v>1</v>
      </c>
      <c r="U408" s="18">
        <f>IF(T408=TRUE,Priors!$H$7,1)</f>
        <v>0.9</v>
      </c>
      <c r="V408" s="18">
        <f t="shared" si="36"/>
        <v>0.57532467532467535</v>
      </c>
      <c r="W408" s="20">
        <f>VLOOKUP(D408,Priors!$A$3:$C$6,2,FALSE)</f>
        <v>0.10751786102217777</v>
      </c>
      <c r="X408" s="20">
        <f>VLOOKUP(D408,Priors!$A$3:$C$6,3,FALSE)</f>
        <v>9.0240671969462088E-2</v>
      </c>
      <c r="Y408" s="20">
        <f t="shared" si="37"/>
        <v>0.11203542740485478</v>
      </c>
      <c r="Z408" s="20">
        <f t="shared" si="38"/>
        <v>0.17588102918369386</v>
      </c>
      <c r="AA408" s="21">
        <v>1</v>
      </c>
      <c r="AB408" s="21">
        <v>1</v>
      </c>
      <c r="AC408" s="22">
        <f t="shared" si="39"/>
        <v>0.11203542740485478</v>
      </c>
      <c r="AD408" s="22">
        <f t="shared" si="40"/>
        <v>0.17588102918369386</v>
      </c>
      <c r="AE408" s="22">
        <f t="shared" si="41"/>
        <v>0.42467532467532465</v>
      </c>
      <c r="AF408" s="7" t="s">
        <v>1643</v>
      </c>
      <c r="AG408" s="7"/>
      <c r="AH408" s="7">
        <v>1</v>
      </c>
      <c r="AI408" s="7">
        <v>5</v>
      </c>
      <c r="AJ408" s="8" t="b">
        <v>1</v>
      </c>
      <c r="AK408" s="28" t="s">
        <v>1644</v>
      </c>
      <c r="AL408" s="28" t="s">
        <v>1645</v>
      </c>
      <c r="AM408" s="28"/>
      <c r="AN408" s="7"/>
      <c r="AO408" s="7">
        <v>0</v>
      </c>
      <c r="AP408" s="8" t="b">
        <v>0</v>
      </c>
      <c r="AQ408" s="28" t="s">
        <v>1646</v>
      </c>
    </row>
    <row r="409" spans="1:43" ht="30">
      <c r="A409" s="7">
        <v>400</v>
      </c>
      <c r="B409" s="7" t="s">
        <v>1215</v>
      </c>
      <c r="C409" s="7" t="s">
        <v>53</v>
      </c>
      <c r="D409" s="7" t="s">
        <v>112</v>
      </c>
      <c r="E409" s="7" t="s">
        <v>1642</v>
      </c>
      <c r="F409" s="7" t="s">
        <v>53</v>
      </c>
      <c r="G409" s="14">
        <v>1773</v>
      </c>
      <c r="H409" s="15">
        <v>2.87</v>
      </c>
      <c r="I409" s="15">
        <v>5.86</v>
      </c>
      <c r="J409" s="15">
        <v>0.14568527918781726</v>
      </c>
      <c r="K409" s="15">
        <v>0.29746192893401013</v>
      </c>
      <c r="L409" s="15">
        <v>71.599999999999994</v>
      </c>
      <c r="M409" s="15">
        <v>1.8842105263157893</v>
      </c>
      <c r="N409" s="16">
        <v>7.7319002920908611E-2</v>
      </c>
      <c r="O409" s="16">
        <v>0.15787085613816182</v>
      </c>
      <c r="P409" s="17">
        <f>IFERROR(G409/(G409+Priors!$H$3),0)</f>
        <v>0.63937973314100249</v>
      </c>
      <c r="Q409" s="18">
        <f>IF(E409="Premier League",Priors!$H$4,IF(E409="Championship",Priors!$H$5,Priors!$H$8))</f>
        <v>1</v>
      </c>
      <c r="R409" s="19" t="b">
        <v>0</v>
      </c>
      <c r="S409" s="18">
        <f>IF(R409=TRUE,Priors!$H$6,1)</f>
        <v>1</v>
      </c>
      <c r="T409" s="19" t="b">
        <v>1</v>
      </c>
      <c r="U409" s="18">
        <f>IF(T409=TRUE,Priors!$H$7,1)</f>
        <v>0.9</v>
      </c>
      <c r="V409" s="18">
        <f t="shared" si="36"/>
        <v>0.57544175982690227</v>
      </c>
      <c r="W409" s="20">
        <f>VLOOKUP(D409,Priors!$A$3:$C$6,2,FALSE)</f>
        <v>0.10751786102217777</v>
      </c>
      <c r="X409" s="20">
        <f>VLOOKUP(D409,Priors!$A$3:$C$6,3,FALSE)</f>
        <v>9.0240671969462088E-2</v>
      </c>
      <c r="Y409" s="20">
        <f t="shared" si="37"/>
        <v>9.0140176971620536E-2</v>
      </c>
      <c r="Z409" s="20">
        <f t="shared" si="38"/>
        <v>0.12915790416491618</v>
      </c>
      <c r="AA409" s="21">
        <v>1</v>
      </c>
      <c r="AB409" s="21">
        <v>1</v>
      </c>
      <c r="AC409" s="22">
        <f t="shared" si="39"/>
        <v>9.0140176971620536E-2</v>
      </c>
      <c r="AD409" s="22">
        <f t="shared" si="40"/>
        <v>0.12915790416491618</v>
      </c>
      <c r="AE409" s="22">
        <f t="shared" si="41"/>
        <v>0.42455824017309773</v>
      </c>
      <c r="AF409" s="7" t="s">
        <v>1643</v>
      </c>
      <c r="AG409" s="7">
        <v>4</v>
      </c>
      <c r="AH409" s="7"/>
      <c r="AI409" s="7"/>
      <c r="AJ409" s="8" t="b">
        <v>1</v>
      </c>
      <c r="AK409" s="28" t="s">
        <v>1644</v>
      </c>
      <c r="AL409" s="28" t="s">
        <v>1645</v>
      </c>
      <c r="AM409" s="28"/>
      <c r="AN409" s="7"/>
      <c r="AO409" s="7">
        <v>0</v>
      </c>
      <c r="AP409" s="8" t="b">
        <v>0</v>
      </c>
      <c r="AQ409" s="28" t="s">
        <v>1646</v>
      </c>
    </row>
    <row r="410" spans="1:43" ht="30">
      <c r="A410" s="7">
        <v>401</v>
      </c>
      <c r="B410" s="7" t="s">
        <v>1217</v>
      </c>
      <c r="C410" s="7" t="s">
        <v>53</v>
      </c>
      <c r="D410" s="7" t="s">
        <v>167</v>
      </c>
      <c r="E410" s="7" t="s">
        <v>1642</v>
      </c>
      <c r="F410" s="7" t="s">
        <v>53</v>
      </c>
      <c r="G410" s="14">
        <v>691</v>
      </c>
      <c r="H410" s="15">
        <v>2.78</v>
      </c>
      <c r="I410" s="15">
        <v>0.77</v>
      </c>
      <c r="J410" s="15">
        <v>0.36208393632416785</v>
      </c>
      <c r="K410" s="15">
        <v>0.10028943560057886</v>
      </c>
      <c r="L410" s="15">
        <v>71.599999999999994</v>
      </c>
      <c r="M410" s="15">
        <v>1.8842105263157893</v>
      </c>
      <c r="N410" s="16">
        <v>0.19216745223908352</v>
      </c>
      <c r="O410" s="16">
        <v>5.3226236771256943E-2</v>
      </c>
      <c r="P410" s="17">
        <f>IFERROR(G410/(G410+Priors!$H$3),0)</f>
        <v>0.40863394441159079</v>
      </c>
      <c r="Q410" s="18">
        <f>IF(E410="Premier League",Priors!$H$4,IF(E410="Championship",Priors!$H$5,Priors!$H$8))</f>
        <v>1</v>
      </c>
      <c r="R410" s="19" t="b">
        <v>0</v>
      </c>
      <c r="S410" s="18">
        <f>IF(R410=TRUE,Priors!$H$6,1)</f>
        <v>1</v>
      </c>
      <c r="T410" s="19" t="b">
        <v>1</v>
      </c>
      <c r="U410" s="18">
        <f>IF(T410=TRUE,Priors!$H$7,1)</f>
        <v>0.9</v>
      </c>
      <c r="V410" s="18">
        <f t="shared" si="36"/>
        <v>0.36777054997043174</v>
      </c>
      <c r="W410" s="20">
        <f>VLOOKUP(D410,Priors!$A$3:$C$6,2,FALSE)</f>
        <v>0.30461525508032317</v>
      </c>
      <c r="X410" s="20">
        <f>VLOOKUP(D410,Priors!$A$3:$C$6,3,FALSE)</f>
        <v>3.9258061548584466E-2</v>
      </c>
      <c r="Y410" s="20">
        <f t="shared" si="37"/>
        <v>0.26326026478643377</v>
      </c>
      <c r="Z410" s="20">
        <f t="shared" si="38"/>
        <v>4.4395145032310082E-2</v>
      </c>
      <c r="AA410" s="21">
        <v>1</v>
      </c>
      <c r="AB410" s="21">
        <v>1</v>
      </c>
      <c r="AC410" s="22">
        <f t="shared" si="39"/>
        <v>0.26326026478643377</v>
      </c>
      <c r="AD410" s="22">
        <f t="shared" si="40"/>
        <v>4.4395145032310082E-2</v>
      </c>
      <c r="AE410" s="22">
        <f t="shared" si="41"/>
        <v>0.63222945002956821</v>
      </c>
      <c r="AF410" s="7" t="s">
        <v>1643</v>
      </c>
      <c r="AG410" s="7">
        <v>2</v>
      </c>
      <c r="AH410" s="7">
        <v>2</v>
      </c>
      <c r="AI410" s="7"/>
      <c r="AJ410" s="8" t="b">
        <v>1</v>
      </c>
      <c r="AK410" s="28" t="s">
        <v>1644</v>
      </c>
      <c r="AL410" s="28" t="s">
        <v>1645</v>
      </c>
      <c r="AM410" s="28"/>
      <c r="AN410" s="7"/>
      <c r="AO410" s="7">
        <v>0</v>
      </c>
      <c r="AP410" s="8" t="b">
        <v>0</v>
      </c>
      <c r="AQ410" s="28" t="s">
        <v>1646</v>
      </c>
    </row>
    <row r="411" spans="1:43" ht="30">
      <c r="A411" s="7">
        <v>402</v>
      </c>
      <c r="B411" s="7" t="s">
        <v>1219</v>
      </c>
      <c r="C411" s="7" t="s">
        <v>53</v>
      </c>
      <c r="D411" s="7" t="s">
        <v>112</v>
      </c>
      <c r="E411" s="7" t="s">
        <v>1642</v>
      </c>
      <c r="F411" s="7" t="s">
        <v>53</v>
      </c>
      <c r="G411" s="14">
        <v>1510</v>
      </c>
      <c r="H411" s="15">
        <v>1.1499999999999999</v>
      </c>
      <c r="I411" s="15">
        <v>2.4500000000000002</v>
      </c>
      <c r="J411" s="15">
        <v>6.8543046357615878E-2</v>
      </c>
      <c r="K411" s="15">
        <v>0.14602649006622517</v>
      </c>
      <c r="L411" s="15">
        <v>71.599999999999994</v>
      </c>
      <c r="M411" s="15">
        <v>1.8842105263157893</v>
      </c>
      <c r="N411" s="16">
        <v>3.6377594435606196E-2</v>
      </c>
      <c r="O411" s="16">
        <v>7.7500092493248005E-2</v>
      </c>
      <c r="P411" s="17">
        <f>IFERROR(G411/(G411+Priors!$H$3),0)</f>
        <v>0.60159362549800799</v>
      </c>
      <c r="Q411" s="18">
        <f>IF(E411="Premier League",Priors!$H$4,IF(E411="Championship",Priors!$H$5,Priors!$H$8))</f>
        <v>1</v>
      </c>
      <c r="R411" s="19" t="b">
        <v>0</v>
      </c>
      <c r="S411" s="18">
        <f>IF(R411=TRUE,Priors!$H$6,1)</f>
        <v>1</v>
      </c>
      <c r="T411" s="19" t="b">
        <v>1</v>
      </c>
      <c r="U411" s="18">
        <f>IF(T411=TRUE,Priors!$H$7,1)</f>
        <v>0.9</v>
      </c>
      <c r="V411" s="18">
        <f t="shared" si="36"/>
        <v>0.54143426294820718</v>
      </c>
      <c r="W411" s="20">
        <f>VLOOKUP(D411,Priors!$A$3:$C$6,2,FALSE)</f>
        <v>0.10751786102217777</v>
      </c>
      <c r="X411" s="20">
        <f>VLOOKUP(D411,Priors!$A$3:$C$6,3,FALSE)</f>
        <v>9.0240671969462088E-2</v>
      </c>
      <c r="Y411" s="20">
        <f t="shared" si="37"/>
        <v>6.9000083216938415E-2</v>
      </c>
      <c r="Z411" s="20">
        <f t="shared" si="38"/>
        <v>8.3342485711225059E-2</v>
      </c>
      <c r="AA411" s="21">
        <v>1</v>
      </c>
      <c r="AB411" s="21">
        <v>1</v>
      </c>
      <c r="AC411" s="22">
        <f t="shared" si="39"/>
        <v>6.9000083216938415E-2</v>
      </c>
      <c r="AD411" s="22">
        <f t="shared" si="40"/>
        <v>8.3342485711225059E-2</v>
      </c>
      <c r="AE411" s="22">
        <f t="shared" si="41"/>
        <v>0.45856573705179282</v>
      </c>
      <c r="AF411" s="7" t="s">
        <v>1643</v>
      </c>
      <c r="AG411" s="7"/>
      <c r="AH411" s="7"/>
      <c r="AI411" s="7"/>
      <c r="AJ411" s="8" t="b">
        <v>1</v>
      </c>
      <c r="AK411" s="28" t="s">
        <v>1644</v>
      </c>
      <c r="AL411" s="28" t="s">
        <v>1645</v>
      </c>
      <c r="AM411" s="28"/>
      <c r="AN411" s="7"/>
      <c r="AO411" s="7"/>
      <c r="AP411" s="7"/>
      <c r="AQ411" s="28" t="s">
        <v>1650</v>
      </c>
    </row>
    <row r="412" spans="1:43" ht="30">
      <c r="A412" s="7">
        <v>403</v>
      </c>
      <c r="B412" s="7" t="s">
        <v>1222</v>
      </c>
      <c r="C412" s="7" t="s">
        <v>53</v>
      </c>
      <c r="D412" s="7" t="s">
        <v>112</v>
      </c>
      <c r="E412" s="7" t="s">
        <v>1642</v>
      </c>
      <c r="F412" s="7" t="s">
        <v>53</v>
      </c>
      <c r="G412" s="14">
        <v>817</v>
      </c>
      <c r="H412" s="15">
        <v>2.5</v>
      </c>
      <c r="I412" s="15">
        <v>1.59</v>
      </c>
      <c r="J412" s="15">
        <v>0.27539779681762544</v>
      </c>
      <c r="K412" s="15">
        <v>0.17515299877600979</v>
      </c>
      <c r="L412" s="15">
        <v>71.599999999999994</v>
      </c>
      <c r="M412" s="15">
        <v>1.8842105263157893</v>
      </c>
      <c r="N412" s="16">
        <v>0.14616084188644926</v>
      </c>
      <c r="O412" s="16">
        <v>9.2958295439781735E-2</v>
      </c>
      <c r="P412" s="17">
        <f>IFERROR(G412/(G412+Priors!$H$3),0)</f>
        <v>0.44964226747385799</v>
      </c>
      <c r="Q412" s="18">
        <f>IF(E412="Premier League",Priors!$H$4,IF(E412="Championship",Priors!$H$5,Priors!$H$8))</f>
        <v>1</v>
      </c>
      <c r="R412" s="19" t="b">
        <v>0</v>
      </c>
      <c r="S412" s="18">
        <f>IF(R412=TRUE,Priors!$H$6,1)</f>
        <v>1</v>
      </c>
      <c r="T412" s="19" t="b">
        <v>1</v>
      </c>
      <c r="U412" s="18">
        <f>IF(T412=TRUE,Priors!$H$7,1)</f>
        <v>0.9</v>
      </c>
      <c r="V412" s="18">
        <f t="shared" si="36"/>
        <v>0.40467804072647218</v>
      </c>
      <c r="W412" s="20">
        <f>VLOOKUP(D412,Priors!$A$3:$C$6,2,FALSE)</f>
        <v>0.10751786102217777</v>
      </c>
      <c r="X412" s="20">
        <f>VLOOKUP(D412,Priors!$A$3:$C$6,3,FALSE)</f>
        <v>9.0240671969462088E-2</v>
      </c>
      <c r="Y412" s="20">
        <f t="shared" si="37"/>
        <v>0.1231558268061617</v>
      </c>
      <c r="Z412" s="20">
        <f t="shared" si="38"/>
        <v>9.1340434510863322E-2</v>
      </c>
      <c r="AA412" s="21">
        <v>1</v>
      </c>
      <c r="AB412" s="21">
        <v>1</v>
      </c>
      <c r="AC412" s="22">
        <f t="shared" si="39"/>
        <v>0.1231558268061617</v>
      </c>
      <c r="AD412" s="22">
        <f t="shared" si="40"/>
        <v>9.1340434510863322E-2</v>
      </c>
      <c r="AE412" s="22">
        <f t="shared" si="41"/>
        <v>0.59532195927352782</v>
      </c>
      <c r="AF412" s="7" t="s">
        <v>1643</v>
      </c>
      <c r="AG412" s="7"/>
      <c r="AH412" s="7"/>
      <c r="AI412" s="7"/>
      <c r="AJ412" s="8" t="b">
        <v>1</v>
      </c>
      <c r="AK412" s="28" t="s">
        <v>1644</v>
      </c>
      <c r="AL412" s="28" t="s">
        <v>1645</v>
      </c>
      <c r="AM412" s="28"/>
      <c r="AN412" s="7">
        <v>1</v>
      </c>
      <c r="AO412" s="7">
        <v>1</v>
      </c>
      <c r="AP412" s="8" t="b">
        <v>1</v>
      </c>
      <c r="AQ412" s="28" t="s">
        <v>1649</v>
      </c>
    </row>
    <row r="413" spans="1:43" ht="30">
      <c r="A413" s="7">
        <v>404</v>
      </c>
      <c r="B413" s="7" t="s">
        <v>1225</v>
      </c>
      <c r="C413" s="7" t="s">
        <v>53</v>
      </c>
      <c r="D413" s="7" t="s">
        <v>112</v>
      </c>
      <c r="E413" s="7" t="s">
        <v>1642</v>
      </c>
      <c r="F413" s="7" t="s">
        <v>53</v>
      </c>
      <c r="G413" s="14">
        <v>1623</v>
      </c>
      <c r="H413" s="15">
        <v>4.6100000000000003</v>
      </c>
      <c r="I413" s="15">
        <v>2.35</v>
      </c>
      <c r="J413" s="15">
        <v>0.25563770794824403</v>
      </c>
      <c r="K413" s="15">
        <v>0.13031423290203328</v>
      </c>
      <c r="L413" s="15">
        <v>71.599999999999994</v>
      </c>
      <c r="M413" s="15">
        <v>1.8842105263157893</v>
      </c>
      <c r="N413" s="16">
        <v>0.13567364388314629</v>
      </c>
      <c r="O413" s="16">
        <v>6.9161185059738339E-2</v>
      </c>
      <c r="P413" s="17">
        <f>IFERROR(G413/(G413+Priors!$H$3),0)</f>
        <v>0.61875714830346928</v>
      </c>
      <c r="Q413" s="18">
        <f>IF(E413="Premier League",Priors!$H$4,IF(E413="Championship",Priors!$H$5,Priors!$H$8))</f>
        <v>1</v>
      </c>
      <c r="R413" s="19" t="b">
        <v>0</v>
      </c>
      <c r="S413" s="18">
        <f>IF(R413=TRUE,Priors!$H$6,1)</f>
        <v>1</v>
      </c>
      <c r="T413" s="19" t="b">
        <v>1</v>
      </c>
      <c r="U413" s="18">
        <f>IF(T413=TRUE,Priors!$H$7,1)</f>
        <v>0.9</v>
      </c>
      <c r="V413" s="18">
        <f t="shared" si="36"/>
        <v>0.55688143347312236</v>
      </c>
      <c r="W413" s="20">
        <f>VLOOKUP(D413,Priors!$A$3:$C$6,2,FALSE)</f>
        <v>0.10751786102217777</v>
      </c>
      <c r="X413" s="20">
        <f>VLOOKUP(D413,Priors!$A$3:$C$6,3,FALSE)</f>
        <v>9.0240671969462088E-2</v>
      </c>
      <c r="Y413" s="20">
        <f t="shared" si="37"/>
        <v>0.12319729374235189</v>
      </c>
      <c r="Z413" s="20">
        <f t="shared" si="38"/>
        <v>7.8501897082297212E-2</v>
      </c>
      <c r="AA413" s="21">
        <v>1</v>
      </c>
      <c r="AB413" s="21">
        <v>1</v>
      </c>
      <c r="AC413" s="22">
        <f t="shared" si="39"/>
        <v>0.12319729374235189</v>
      </c>
      <c r="AD413" s="22">
        <f t="shared" si="40"/>
        <v>7.8501897082297212E-2</v>
      </c>
      <c r="AE413" s="22">
        <f t="shared" si="41"/>
        <v>0.44311856652687764</v>
      </c>
      <c r="AF413" s="7" t="s">
        <v>1643</v>
      </c>
      <c r="AG413" s="7"/>
      <c r="AH413" s="7">
        <v>4</v>
      </c>
      <c r="AI413" s="7">
        <v>6</v>
      </c>
      <c r="AJ413" s="8" t="b">
        <v>1</v>
      </c>
      <c r="AK413" s="28" t="s">
        <v>1644</v>
      </c>
      <c r="AL413" s="28" t="s">
        <v>1645</v>
      </c>
      <c r="AM413" s="28"/>
      <c r="AN413" s="7"/>
      <c r="AO413" s="7">
        <v>0</v>
      </c>
      <c r="AP413" s="8" t="b">
        <v>0</v>
      </c>
      <c r="AQ413" s="28" t="s">
        <v>1646</v>
      </c>
    </row>
    <row r="414" spans="1:43" ht="30">
      <c r="A414" s="7">
        <v>405</v>
      </c>
      <c r="B414" s="7" t="s">
        <v>1227</v>
      </c>
      <c r="C414" s="7" t="s">
        <v>53</v>
      </c>
      <c r="D414" s="7" t="s">
        <v>112</v>
      </c>
      <c r="E414" s="7" t="s">
        <v>1642</v>
      </c>
      <c r="F414" s="7" t="s">
        <v>53</v>
      </c>
      <c r="G414" s="14">
        <v>1561</v>
      </c>
      <c r="H414" s="15">
        <v>0.68</v>
      </c>
      <c r="I414" s="15">
        <v>1.1200000000000001</v>
      </c>
      <c r="J414" s="15">
        <v>3.9205637411915441E-2</v>
      </c>
      <c r="K414" s="15">
        <v>6.4573991031390138E-2</v>
      </c>
      <c r="L414" s="15">
        <v>71.599999999999994</v>
      </c>
      <c r="M414" s="15">
        <v>1.8842105263157893</v>
      </c>
      <c r="N414" s="16">
        <v>2.0807461196267973E-2</v>
      </c>
      <c r="O414" s="16">
        <v>3.4271112558559011E-2</v>
      </c>
      <c r="P414" s="17">
        <f>IFERROR(G414/(G414+Priors!$H$3),0)</f>
        <v>0.60952752830925416</v>
      </c>
      <c r="Q414" s="18">
        <f>IF(E414="Premier League",Priors!$H$4,IF(E414="Championship",Priors!$H$5,Priors!$H$8))</f>
        <v>1</v>
      </c>
      <c r="R414" s="19" t="b">
        <v>0</v>
      </c>
      <c r="S414" s="18">
        <f>IF(R414=TRUE,Priors!$H$6,1)</f>
        <v>1</v>
      </c>
      <c r="T414" s="19" t="b">
        <v>1</v>
      </c>
      <c r="U414" s="18">
        <f>IF(T414=TRUE,Priors!$H$7,1)</f>
        <v>0.9</v>
      </c>
      <c r="V414" s="18">
        <f t="shared" si="36"/>
        <v>0.54857477547832878</v>
      </c>
      <c r="W414" s="20">
        <f>VLOOKUP(D414,Priors!$A$3:$C$6,2,FALSE)</f>
        <v>0.10751786102217777</v>
      </c>
      <c r="X414" s="20">
        <f>VLOOKUP(D414,Priors!$A$3:$C$6,3,FALSE)</f>
        <v>9.0240671969462088E-2</v>
      </c>
      <c r="Y414" s="20">
        <f t="shared" si="37"/>
        <v>5.9950722906043183E-2</v>
      </c>
      <c r="Z414" s="20">
        <f t="shared" si="38"/>
        <v>5.9537183482004957E-2</v>
      </c>
      <c r="AA414" s="21">
        <v>1</v>
      </c>
      <c r="AB414" s="21">
        <v>1</v>
      </c>
      <c r="AC414" s="22">
        <f t="shared" si="39"/>
        <v>5.9950722906043183E-2</v>
      </c>
      <c r="AD414" s="22">
        <f t="shared" si="40"/>
        <v>5.9537183482004957E-2</v>
      </c>
      <c r="AE414" s="22">
        <f t="shared" si="41"/>
        <v>0.45142522452167122</v>
      </c>
      <c r="AF414" s="7" t="s">
        <v>1643</v>
      </c>
      <c r="AG414" s="7"/>
      <c r="AH414" s="7"/>
      <c r="AI414" s="7"/>
      <c r="AJ414" s="8" t="b">
        <v>1</v>
      </c>
      <c r="AK414" s="28" t="s">
        <v>1644</v>
      </c>
      <c r="AL414" s="28" t="s">
        <v>1645</v>
      </c>
      <c r="AM414" s="28"/>
      <c r="AN414" s="7"/>
      <c r="AO414" s="7">
        <v>0</v>
      </c>
      <c r="AP414" s="8" t="b">
        <v>0</v>
      </c>
      <c r="AQ414" s="28" t="s">
        <v>1646</v>
      </c>
    </row>
    <row r="415" spans="1:43" ht="30">
      <c r="A415" s="7">
        <v>406</v>
      </c>
      <c r="B415" s="7" t="s">
        <v>1229</v>
      </c>
      <c r="C415" s="7" t="s">
        <v>53</v>
      </c>
      <c r="D415" s="7" t="s">
        <v>112</v>
      </c>
      <c r="E415" s="7" t="s">
        <v>1642</v>
      </c>
      <c r="F415" s="7" t="s">
        <v>53</v>
      </c>
      <c r="G415" s="14">
        <v>125</v>
      </c>
      <c r="H415" s="15">
        <v>0.13</v>
      </c>
      <c r="I415" s="15">
        <v>0.42</v>
      </c>
      <c r="J415" s="15">
        <v>9.3600000000000003E-2</v>
      </c>
      <c r="K415" s="15">
        <v>0.3024</v>
      </c>
      <c r="L415" s="15">
        <v>71.599999999999994</v>
      </c>
      <c r="M415" s="15">
        <v>1.8842105263157893</v>
      </c>
      <c r="N415" s="16">
        <v>4.9675977653631291E-2</v>
      </c>
      <c r="O415" s="16">
        <v>0.16049162011173185</v>
      </c>
      <c r="P415" s="17">
        <f>IFERROR(G415/(G415+Priors!$H$3),0)</f>
        <v>0.1111111111111111</v>
      </c>
      <c r="Q415" s="18">
        <f>IF(E415="Premier League",Priors!$H$4,IF(E415="Championship",Priors!$H$5,Priors!$H$8))</f>
        <v>1</v>
      </c>
      <c r="R415" s="19" t="b">
        <v>0</v>
      </c>
      <c r="S415" s="18">
        <f>IF(R415=TRUE,Priors!$H$6,1)</f>
        <v>1</v>
      </c>
      <c r="T415" s="19" t="b">
        <v>1</v>
      </c>
      <c r="U415" s="18">
        <f>IF(T415=TRUE,Priors!$H$7,1)</f>
        <v>0.9</v>
      </c>
      <c r="V415" s="18">
        <f t="shared" si="36"/>
        <v>9.9999999999999992E-2</v>
      </c>
      <c r="W415" s="20">
        <f>VLOOKUP(D415,Priors!$A$3:$C$6,2,FALSE)</f>
        <v>0.10751786102217777</v>
      </c>
      <c r="X415" s="20">
        <f>VLOOKUP(D415,Priors!$A$3:$C$6,3,FALSE)</f>
        <v>9.0240671969462088E-2</v>
      </c>
      <c r="Y415" s="20">
        <f t="shared" si="37"/>
        <v>0.10173367268532311</v>
      </c>
      <c r="Z415" s="20">
        <f t="shared" si="38"/>
        <v>9.7265766783689062E-2</v>
      </c>
      <c r="AA415" s="21">
        <v>1</v>
      </c>
      <c r="AB415" s="21">
        <v>1</v>
      </c>
      <c r="AC415" s="22">
        <f t="shared" si="39"/>
        <v>0.10173367268532311</v>
      </c>
      <c r="AD415" s="22">
        <f t="shared" si="40"/>
        <v>9.7265766783689062E-2</v>
      </c>
      <c r="AE415" s="22">
        <f t="shared" si="41"/>
        <v>0.9</v>
      </c>
      <c r="AF415" s="7" t="s">
        <v>1643</v>
      </c>
      <c r="AG415" s="7"/>
      <c r="AH415" s="7"/>
      <c r="AI415" s="7"/>
      <c r="AJ415" s="8" t="b">
        <v>1</v>
      </c>
      <c r="AK415" s="28" t="s">
        <v>1644</v>
      </c>
      <c r="AL415" s="28" t="s">
        <v>1645</v>
      </c>
      <c r="AM415" s="28"/>
      <c r="AN415" s="7"/>
      <c r="AO415" s="7">
        <v>0</v>
      </c>
      <c r="AP415" s="8" t="b">
        <v>0</v>
      </c>
      <c r="AQ415" s="28" t="s">
        <v>1646</v>
      </c>
    </row>
    <row r="416" spans="1:43" ht="15">
      <c r="A416" s="7">
        <v>407</v>
      </c>
      <c r="B416" s="7" t="s">
        <v>1232</v>
      </c>
      <c r="C416" s="7" t="s">
        <v>53</v>
      </c>
      <c r="D416" s="7" t="s">
        <v>112</v>
      </c>
      <c r="E416" s="7" t="s">
        <v>1647</v>
      </c>
      <c r="F416" s="7"/>
      <c r="G416" s="14"/>
      <c r="H416" s="15"/>
      <c r="I416" s="15"/>
      <c r="J416" s="15"/>
      <c r="K416" s="15"/>
      <c r="L416" s="15"/>
      <c r="M416" s="15"/>
      <c r="N416" s="16"/>
      <c r="O416" s="16"/>
      <c r="P416" s="17">
        <f>IFERROR(G416/(G416+Priors!$H$3),0)</f>
        <v>0</v>
      </c>
      <c r="Q416" s="18">
        <f>IF(E416="Premier League",Priors!$H$4,IF(E416="Championship",Priors!$H$5,Priors!$H$8))</f>
        <v>0</v>
      </c>
      <c r="R416" s="19" t="b">
        <v>0</v>
      </c>
      <c r="S416" s="18">
        <f>IF(R416=TRUE,Priors!$H$6,1)</f>
        <v>1</v>
      </c>
      <c r="T416" s="19" t="b">
        <v>1</v>
      </c>
      <c r="U416" s="18">
        <f>IF(T416=TRUE,Priors!$H$7,1)</f>
        <v>0.9</v>
      </c>
      <c r="V416" s="18">
        <f t="shared" si="36"/>
        <v>0</v>
      </c>
      <c r="W416" s="20">
        <f>VLOOKUP(D416,Priors!$A$3:$C$6,2,FALSE)</f>
        <v>0.10751786102217777</v>
      </c>
      <c r="X416" s="20">
        <f>VLOOKUP(D416,Priors!$A$3:$C$6,3,FALSE)</f>
        <v>9.0240671969462088E-2</v>
      </c>
      <c r="Y416" s="20">
        <f t="shared" si="37"/>
        <v>0.10751786102217777</v>
      </c>
      <c r="Z416" s="20">
        <f t="shared" si="38"/>
        <v>9.0240671969462088E-2</v>
      </c>
      <c r="AA416" s="21">
        <v>1</v>
      </c>
      <c r="AB416" s="21">
        <v>1</v>
      </c>
      <c r="AC416" s="22">
        <f t="shared" si="39"/>
        <v>0.10751786102217777</v>
      </c>
      <c r="AD416" s="22">
        <f t="shared" si="40"/>
        <v>9.0240671969462088E-2</v>
      </c>
      <c r="AE416" s="22">
        <f t="shared" si="41"/>
        <v>1</v>
      </c>
      <c r="AF416" s="7" t="s">
        <v>1647</v>
      </c>
      <c r="AG416" s="7"/>
      <c r="AH416" s="7"/>
      <c r="AI416" s="7"/>
      <c r="AJ416" s="8" t="b">
        <v>1</v>
      </c>
      <c r="AK416" s="28" t="s">
        <v>1648</v>
      </c>
      <c r="AL416" s="28"/>
      <c r="AM416" s="28"/>
      <c r="AN416" s="7"/>
      <c r="AO416" s="7">
        <v>0</v>
      </c>
      <c r="AP416" s="8" t="b">
        <v>0</v>
      </c>
      <c r="AQ416" s="28" t="s">
        <v>1646</v>
      </c>
    </row>
    <row r="417" spans="1:43" ht="15">
      <c r="A417" s="7">
        <v>408</v>
      </c>
      <c r="B417" s="7" t="s">
        <v>869</v>
      </c>
      <c r="C417" s="7" t="s">
        <v>53</v>
      </c>
      <c r="D417" s="7" t="s">
        <v>112</v>
      </c>
      <c r="E417" s="7" t="s">
        <v>1647</v>
      </c>
      <c r="F417" s="7"/>
      <c r="G417" s="14"/>
      <c r="H417" s="15"/>
      <c r="I417" s="15"/>
      <c r="J417" s="15"/>
      <c r="K417" s="15"/>
      <c r="L417" s="15"/>
      <c r="M417" s="15"/>
      <c r="N417" s="16"/>
      <c r="O417" s="16"/>
      <c r="P417" s="17">
        <f>IFERROR(G417/(G417+Priors!$H$3),0)</f>
        <v>0</v>
      </c>
      <c r="Q417" s="18">
        <f>IF(E417="Premier League",Priors!$H$4,IF(E417="Championship",Priors!$H$5,Priors!$H$8))</f>
        <v>0</v>
      </c>
      <c r="R417" s="19" t="b">
        <v>0</v>
      </c>
      <c r="S417" s="18">
        <f>IF(R417=TRUE,Priors!$H$6,1)</f>
        <v>1</v>
      </c>
      <c r="T417" s="19" t="b">
        <v>1</v>
      </c>
      <c r="U417" s="18">
        <f>IF(T417=TRUE,Priors!$H$7,1)</f>
        <v>0.9</v>
      </c>
      <c r="V417" s="18">
        <f t="shared" si="36"/>
        <v>0</v>
      </c>
      <c r="W417" s="20">
        <f>VLOOKUP(D417,Priors!$A$3:$C$6,2,FALSE)</f>
        <v>0.10751786102217777</v>
      </c>
      <c r="X417" s="20">
        <f>VLOOKUP(D417,Priors!$A$3:$C$6,3,FALSE)</f>
        <v>9.0240671969462088E-2</v>
      </c>
      <c r="Y417" s="20">
        <f t="shared" si="37"/>
        <v>0.10751786102217777</v>
      </c>
      <c r="Z417" s="20">
        <f t="shared" si="38"/>
        <v>9.0240671969462088E-2</v>
      </c>
      <c r="AA417" s="21">
        <v>1</v>
      </c>
      <c r="AB417" s="21">
        <v>1</v>
      </c>
      <c r="AC417" s="22">
        <f t="shared" si="39"/>
        <v>0.10751786102217777</v>
      </c>
      <c r="AD417" s="22">
        <f t="shared" si="40"/>
        <v>9.0240671969462088E-2</v>
      </c>
      <c r="AE417" s="22">
        <f t="shared" si="41"/>
        <v>1</v>
      </c>
      <c r="AF417" s="7" t="s">
        <v>1647</v>
      </c>
      <c r="AG417" s="7"/>
      <c r="AH417" s="7"/>
      <c r="AI417" s="7"/>
      <c r="AJ417" s="8" t="b">
        <v>1</v>
      </c>
      <c r="AK417" s="28" t="s">
        <v>1648</v>
      </c>
      <c r="AL417" s="28"/>
      <c r="AM417" s="28"/>
      <c r="AN417" s="7"/>
      <c r="AO417" s="7">
        <v>0</v>
      </c>
      <c r="AP417" s="8" t="b">
        <v>0</v>
      </c>
      <c r="AQ417" s="28" t="s">
        <v>1646</v>
      </c>
    </row>
    <row r="418" spans="1:43" ht="30">
      <c r="A418" s="7">
        <v>409</v>
      </c>
      <c r="B418" s="7" t="s">
        <v>1236</v>
      </c>
      <c r="C418" s="7" t="s">
        <v>53</v>
      </c>
      <c r="D418" s="7" t="s">
        <v>112</v>
      </c>
      <c r="E418" s="7" t="s">
        <v>1642</v>
      </c>
      <c r="F418" s="7" t="s">
        <v>53</v>
      </c>
      <c r="G418" s="14">
        <v>25</v>
      </c>
      <c r="H418" s="15">
        <v>0</v>
      </c>
      <c r="I418" s="15">
        <v>0.21</v>
      </c>
      <c r="J418" s="15">
        <v>0</v>
      </c>
      <c r="K418" s="15">
        <v>0.75599999999999989</v>
      </c>
      <c r="L418" s="15">
        <v>71.599999999999994</v>
      </c>
      <c r="M418" s="15">
        <v>1.8842105263157893</v>
      </c>
      <c r="N418" s="16">
        <v>0</v>
      </c>
      <c r="O418" s="16">
        <v>0.40122905027932959</v>
      </c>
      <c r="P418" s="17">
        <f>IFERROR(G418/(G418+Priors!$H$3),0)</f>
        <v>2.4390243902439025E-2</v>
      </c>
      <c r="Q418" s="18">
        <f>IF(E418="Premier League",Priors!$H$4,IF(E418="Championship",Priors!$H$5,Priors!$H$8))</f>
        <v>1</v>
      </c>
      <c r="R418" s="19" t="b">
        <v>0</v>
      </c>
      <c r="S418" s="18">
        <f>IF(R418=TRUE,Priors!$H$6,1)</f>
        <v>1</v>
      </c>
      <c r="T418" s="19" t="b">
        <v>1</v>
      </c>
      <c r="U418" s="18">
        <f>IF(T418=TRUE,Priors!$H$7,1)</f>
        <v>0.9</v>
      </c>
      <c r="V418" s="18">
        <f t="shared" si="36"/>
        <v>2.1951219512195124E-2</v>
      </c>
      <c r="W418" s="20">
        <f>VLOOKUP(D418,Priors!$A$3:$C$6,2,FALSE)</f>
        <v>0.10751786102217777</v>
      </c>
      <c r="X418" s="20">
        <f>VLOOKUP(D418,Priors!$A$3:$C$6,3,FALSE)</f>
        <v>9.0240671969462088E-2</v>
      </c>
      <c r="Y418" s="20">
        <f t="shared" si="37"/>
        <v>0.10515771285339826</v>
      </c>
      <c r="Z418" s="20">
        <f t="shared" si="38"/>
        <v>9.7067246127483575E-2</v>
      </c>
      <c r="AA418" s="21">
        <v>1</v>
      </c>
      <c r="AB418" s="21">
        <v>1</v>
      </c>
      <c r="AC418" s="22">
        <f t="shared" si="39"/>
        <v>0.10515771285339826</v>
      </c>
      <c r="AD418" s="22">
        <f t="shared" si="40"/>
        <v>9.7067246127483575E-2</v>
      </c>
      <c r="AE418" s="22">
        <f t="shared" si="41"/>
        <v>0.97804878048780486</v>
      </c>
      <c r="AF418" s="7" t="s">
        <v>1643</v>
      </c>
      <c r="AG418" s="7"/>
      <c r="AH418" s="7"/>
      <c r="AI418" s="7"/>
      <c r="AJ418" s="8" t="b">
        <v>1</v>
      </c>
      <c r="AK418" s="28" t="s">
        <v>1644</v>
      </c>
      <c r="AL418" s="28" t="s">
        <v>1645</v>
      </c>
      <c r="AM418" s="28"/>
      <c r="AN418" s="7"/>
      <c r="AO418" s="7">
        <v>0</v>
      </c>
      <c r="AP418" s="8" t="b">
        <v>0</v>
      </c>
      <c r="AQ418" s="28" t="s">
        <v>1646</v>
      </c>
    </row>
    <row r="419" spans="1:43" ht="15">
      <c r="A419" s="7">
        <v>410</v>
      </c>
      <c r="B419" s="7" t="s">
        <v>1238</v>
      </c>
      <c r="C419" s="7" t="s">
        <v>53</v>
      </c>
      <c r="D419" s="7" t="s">
        <v>112</v>
      </c>
      <c r="E419" s="7" t="s">
        <v>1647</v>
      </c>
      <c r="F419" s="7"/>
      <c r="G419" s="14"/>
      <c r="H419" s="15"/>
      <c r="I419" s="15"/>
      <c r="J419" s="15"/>
      <c r="K419" s="15"/>
      <c r="L419" s="15"/>
      <c r="M419" s="15"/>
      <c r="N419" s="16"/>
      <c r="O419" s="16"/>
      <c r="P419" s="17">
        <f>IFERROR(G419/(G419+Priors!$H$3),0)</f>
        <v>0</v>
      </c>
      <c r="Q419" s="18">
        <f>IF(E419="Premier League",Priors!$H$4,IF(E419="Championship",Priors!$H$5,Priors!$H$8))</f>
        <v>0</v>
      </c>
      <c r="R419" s="19" t="b">
        <v>0</v>
      </c>
      <c r="S419" s="18">
        <f>IF(R419=TRUE,Priors!$H$6,1)</f>
        <v>1</v>
      </c>
      <c r="T419" s="19" t="b">
        <v>1</v>
      </c>
      <c r="U419" s="18">
        <f>IF(T419=TRUE,Priors!$H$7,1)</f>
        <v>0.9</v>
      </c>
      <c r="V419" s="18">
        <f t="shared" si="36"/>
        <v>0</v>
      </c>
      <c r="W419" s="20">
        <f>VLOOKUP(D419,Priors!$A$3:$C$6,2,FALSE)</f>
        <v>0.10751786102217777</v>
      </c>
      <c r="X419" s="20">
        <f>VLOOKUP(D419,Priors!$A$3:$C$6,3,FALSE)</f>
        <v>9.0240671969462088E-2</v>
      </c>
      <c r="Y419" s="20">
        <f t="shared" si="37"/>
        <v>0.10751786102217777</v>
      </c>
      <c r="Z419" s="20">
        <f t="shared" si="38"/>
        <v>9.0240671969462088E-2</v>
      </c>
      <c r="AA419" s="21">
        <v>1</v>
      </c>
      <c r="AB419" s="21">
        <v>1</v>
      </c>
      <c r="AC419" s="22">
        <f t="shared" si="39"/>
        <v>0.10751786102217777</v>
      </c>
      <c r="AD419" s="22">
        <f t="shared" si="40"/>
        <v>9.0240671969462088E-2</v>
      </c>
      <c r="AE419" s="22">
        <f t="shared" si="41"/>
        <v>1</v>
      </c>
      <c r="AF419" s="7" t="s">
        <v>1647</v>
      </c>
      <c r="AG419" s="7"/>
      <c r="AH419" s="7"/>
      <c r="AI419" s="7"/>
      <c r="AJ419" s="8" t="b">
        <v>1</v>
      </c>
      <c r="AK419" s="28" t="s">
        <v>1648</v>
      </c>
      <c r="AL419" s="28"/>
      <c r="AM419" s="28"/>
      <c r="AN419" s="7"/>
      <c r="AO419" s="7">
        <v>0</v>
      </c>
      <c r="AP419" s="8" t="b">
        <v>0</v>
      </c>
      <c r="AQ419" s="28" t="s">
        <v>1646</v>
      </c>
    </row>
    <row r="420" spans="1:43" ht="30">
      <c r="A420" s="7">
        <v>411</v>
      </c>
      <c r="B420" s="7" t="s">
        <v>1240</v>
      </c>
      <c r="C420" s="7" t="s">
        <v>53</v>
      </c>
      <c r="D420" s="7" t="s">
        <v>167</v>
      </c>
      <c r="E420" s="7" t="s">
        <v>1642</v>
      </c>
      <c r="F420" s="7" t="s">
        <v>53</v>
      </c>
      <c r="G420" s="14">
        <v>2953</v>
      </c>
      <c r="H420" s="15">
        <v>25.5</v>
      </c>
      <c r="I420" s="15">
        <v>2.67</v>
      </c>
      <c r="J420" s="15">
        <v>0.77717575347104639</v>
      </c>
      <c r="K420" s="15">
        <v>8.1374873010497797E-2</v>
      </c>
      <c r="L420" s="15">
        <v>71.599999999999994</v>
      </c>
      <c r="M420" s="15">
        <v>1.8842105263157893</v>
      </c>
      <c r="N420" s="16">
        <v>0.41246757865781797</v>
      </c>
      <c r="O420" s="16">
        <v>4.3187781765347995E-2</v>
      </c>
      <c r="P420" s="17">
        <f>IFERROR(G420/(G420+Priors!$H$3),0)</f>
        <v>0.74702757399443465</v>
      </c>
      <c r="Q420" s="18">
        <f>IF(E420="Premier League",Priors!$H$4,IF(E420="Championship",Priors!$H$5,Priors!$H$8))</f>
        <v>1</v>
      </c>
      <c r="R420" s="19" t="b">
        <v>0</v>
      </c>
      <c r="S420" s="18">
        <f>IF(R420=TRUE,Priors!$H$6,1)</f>
        <v>1</v>
      </c>
      <c r="T420" s="19" t="b">
        <v>1</v>
      </c>
      <c r="U420" s="18">
        <f>IF(T420=TRUE,Priors!$H$7,1)</f>
        <v>0.9</v>
      </c>
      <c r="V420" s="18">
        <f t="shared" si="36"/>
        <v>0.67232481659499121</v>
      </c>
      <c r="W420" s="20">
        <f>VLOOKUP(D420,Priors!$A$3:$C$6,2,FALSE)</f>
        <v>0.30461525508032317</v>
      </c>
      <c r="X420" s="20">
        <f>VLOOKUP(D420,Priors!$A$3:$C$6,3,FALSE)</f>
        <v>3.9258061548584466E-2</v>
      </c>
      <c r="Y420" s="20">
        <f t="shared" si="37"/>
        <v>0.37712704874890601</v>
      </c>
      <c r="Z420" s="20">
        <f t="shared" si="38"/>
        <v>4.1900109972589632E-2</v>
      </c>
      <c r="AA420" s="21">
        <v>1</v>
      </c>
      <c r="AB420" s="21">
        <v>1</v>
      </c>
      <c r="AC420" s="22">
        <f t="shared" si="39"/>
        <v>0.37712704874890601</v>
      </c>
      <c r="AD420" s="22">
        <f t="shared" si="40"/>
        <v>4.1900109972589632E-2</v>
      </c>
      <c r="AE420" s="22">
        <f t="shared" si="41"/>
        <v>0.32767518340500879</v>
      </c>
      <c r="AF420" s="7" t="s">
        <v>1643</v>
      </c>
      <c r="AG420" s="7">
        <v>1</v>
      </c>
      <c r="AH420" s="7"/>
      <c r="AI420" s="7"/>
      <c r="AJ420" s="8" t="b">
        <v>1</v>
      </c>
      <c r="AK420" s="28" t="s">
        <v>1644</v>
      </c>
      <c r="AL420" s="28" t="s">
        <v>1645</v>
      </c>
      <c r="AM420" s="28"/>
      <c r="AN420" s="7"/>
      <c r="AO420" s="7">
        <v>0</v>
      </c>
      <c r="AP420" s="8" t="b">
        <v>0</v>
      </c>
      <c r="AQ420" s="28" t="s">
        <v>1646</v>
      </c>
    </row>
    <row r="421" spans="1:43" ht="30">
      <c r="A421" s="7">
        <v>481</v>
      </c>
      <c r="B421" s="7" t="s">
        <v>1242</v>
      </c>
      <c r="C421" s="7" t="s">
        <v>53</v>
      </c>
      <c r="D421" s="7" t="s">
        <v>112</v>
      </c>
      <c r="E421" s="7" t="s">
        <v>1642</v>
      </c>
      <c r="F421" s="7" t="s">
        <v>56</v>
      </c>
      <c r="G421" s="14">
        <v>3332</v>
      </c>
      <c r="H421" s="15">
        <v>2.94</v>
      </c>
      <c r="I421" s="15">
        <v>4.79</v>
      </c>
      <c r="J421" s="15">
        <v>7.9411764705882362E-2</v>
      </c>
      <c r="K421" s="15">
        <v>0.12938175270108043</v>
      </c>
      <c r="L421" s="15">
        <v>46</v>
      </c>
      <c r="M421" s="15">
        <v>1.2105263157894737</v>
      </c>
      <c r="N421" s="16">
        <v>6.5601023017902826E-2</v>
      </c>
      <c r="O421" s="16">
        <v>0.10688057831828383</v>
      </c>
      <c r="P421" s="17">
        <f>IFERROR(G421/(G421+Priors!$H$3),0)</f>
        <v>0.76915974145891042</v>
      </c>
      <c r="Q421" s="18">
        <f>IF(E421="Premier League",Priors!$H$4,IF(E421="Championship",Priors!$H$5,Priors!$H$8))</f>
        <v>1</v>
      </c>
      <c r="R421" s="19" t="b">
        <v>1</v>
      </c>
      <c r="S421" s="18">
        <f>IF(R421=TRUE,Priors!$H$6,1)</f>
        <v>0.85</v>
      </c>
      <c r="T421" s="19" t="b">
        <v>1</v>
      </c>
      <c r="U421" s="18">
        <f>IF(T421=TRUE,Priors!$H$7,1)</f>
        <v>0.9</v>
      </c>
      <c r="V421" s="18">
        <f t="shared" si="36"/>
        <v>0.58840720221606646</v>
      </c>
      <c r="W421" s="20">
        <f>VLOOKUP(D421,Priors!$A$3:$C$6,2,FALSE)</f>
        <v>0.10751786102217777</v>
      </c>
      <c r="X421" s="20">
        <f>VLOOKUP(D421,Priors!$A$3:$C$6,3,FALSE)</f>
        <v>9.0240671969462088E-2</v>
      </c>
      <c r="Y421" s="20">
        <f t="shared" si="37"/>
        <v>8.2853691646338268E-2</v>
      </c>
      <c r="Z421" s="20">
        <f t="shared" si="38"/>
        <v>0.10003171270930966</v>
      </c>
      <c r="AA421" s="21">
        <v>1</v>
      </c>
      <c r="AB421" s="21">
        <v>1</v>
      </c>
      <c r="AC421" s="22">
        <f t="shared" si="39"/>
        <v>8.2853691646338268E-2</v>
      </c>
      <c r="AD421" s="22">
        <f t="shared" si="40"/>
        <v>0.10003171270930966</v>
      </c>
      <c r="AE421" s="22">
        <f t="shared" si="41"/>
        <v>0.41159279778393354</v>
      </c>
      <c r="AF421" s="7" t="s">
        <v>1643</v>
      </c>
      <c r="AG421" s="7"/>
      <c r="AH421" s="7"/>
      <c r="AI421" s="7"/>
      <c r="AJ421" s="8" t="b">
        <v>1</v>
      </c>
      <c r="AK421" s="28" t="s">
        <v>1644</v>
      </c>
      <c r="AL421" s="28" t="s">
        <v>1645</v>
      </c>
      <c r="AM421" s="28"/>
      <c r="AN421" s="7"/>
      <c r="AO421" s="7">
        <v>0</v>
      </c>
      <c r="AP421" s="8" t="b">
        <v>0</v>
      </c>
      <c r="AQ421" s="28" t="s">
        <v>1646</v>
      </c>
    </row>
    <row r="422" spans="1:43" ht="30">
      <c r="A422" s="7">
        <v>43</v>
      </c>
      <c r="B422" s="7" t="s">
        <v>1244</v>
      </c>
      <c r="C422" s="7" t="s">
        <v>54</v>
      </c>
      <c r="D422" s="7" t="s">
        <v>112</v>
      </c>
      <c r="E422" s="7" t="s">
        <v>1642</v>
      </c>
      <c r="F422" s="7" t="s">
        <v>40</v>
      </c>
      <c r="G422" s="14">
        <v>1857</v>
      </c>
      <c r="H422" s="15">
        <v>1.1399999999999999</v>
      </c>
      <c r="I422" s="15">
        <v>3.26</v>
      </c>
      <c r="J422" s="15">
        <v>5.525040387722132E-2</v>
      </c>
      <c r="K422" s="15">
        <v>0.15799676898222939</v>
      </c>
      <c r="L422" s="15">
        <v>48.2</v>
      </c>
      <c r="M422" s="15">
        <v>1.2684210526315791</v>
      </c>
      <c r="N422" s="16">
        <v>4.3558409695734643E-2</v>
      </c>
      <c r="O422" s="16">
        <v>0.12456176807727627</v>
      </c>
      <c r="P422" s="17">
        <f>IFERROR(G422/(G422+Priors!$H$3),0)</f>
        <v>0.6499824991249562</v>
      </c>
      <c r="Q422" s="18">
        <f>IF(E422="Premier League",Priors!$H$4,IF(E422="Championship",Priors!$H$5,Priors!$H$8))</f>
        <v>1</v>
      </c>
      <c r="R422" s="19" t="b">
        <v>1</v>
      </c>
      <c r="S422" s="18">
        <f>IF(R422=TRUE,Priors!$H$6,1)</f>
        <v>0.85</v>
      </c>
      <c r="T422" s="19" t="b">
        <v>0</v>
      </c>
      <c r="U422" s="18">
        <f>IF(T422=TRUE,Priors!$H$7,1)</f>
        <v>1</v>
      </c>
      <c r="V422" s="18">
        <f t="shared" si="36"/>
        <v>0.55248512425621277</v>
      </c>
      <c r="W422" s="20">
        <f>VLOOKUP(D422,Priors!$A$3:$C$6,2,FALSE)</f>
        <v>0.10751786102217777</v>
      </c>
      <c r="X422" s="20">
        <f>VLOOKUP(D422,Priors!$A$3:$C$6,3,FALSE)</f>
        <v>9.0240671969462088E-2</v>
      </c>
      <c r="Y422" s="20">
        <f t="shared" si="37"/>
        <v>7.2181215608728644E-2</v>
      </c>
      <c r="Z422" s="20">
        <f t="shared" si="38"/>
        <v>0.10920256701719723</v>
      </c>
      <c r="AA422" s="21">
        <v>1</v>
      </c>
      <c r="AB422" s="21">
        <v>1</v>
      </c>
      <c r="AC422" s="22">
        <f t="shared" si="39"/>
        <v>7.2181215608728644E-2</v>
      </c>
      <c r="AD422" s="22">
        <f t="shared" si="40"/>
        <v>0.10920256701719723</v>
      </c>
      <c r="AE422" s="22">
        <f t="shared" si="41"/>
        <v>0.44751487574378723</v>
      </c>
      <c r="AF422" s="7" t="s">
        <v>1643</v>
      </c>
      <c r="AG422" s="7">
        <v>3</v>
      </c>
      <c r="AH422" s="7"/>
      <c r="AI422" s="7"/>
      <c r="AJ422" s="8" t="b">
        <v>1</v>
      </c>
      <c r="AK422" s="28" t="s">
        <v>1644</v>
      </c>
      <c r="AL422" s="28" t="s">
        <v>1645</v>
      </c>
      <c r="AM422" s="28"/>
      <c r="AN422" s="7"/>
      <c r="AO422" s="7">
        <v>0</v>
      </c>
      <c r="AP422" s="8" t="b">
        <v>0</v>
      </c>
      <c r="AQ422" s="28" t="s">
        <v>1646</v>
      </c>
    </row>
    <row r="423" spans="1:43" ht="30">
      <c r="A423" s="7">
        <v>162</v>
      </c>
      <c r="B423" s="7" t="s">
        <v>1248</v>
      </c>
      <c r="C423" s="7" t="s">
        <v>54</v>
      </c>
      <c r="D423" s="7" t="s">
        <v>112</v>
      </c>
      <c r="E423" s="7" t="s">
        <v>1642</v>
      </c>
      <c r="F423" s="7" t="s">
        <v>44</v>
      </c>
      <c r="G423" s="14">
        <v>1247</v>
      </c>
      <c r="H423" s="15">
        <v>2</v>
      </c>
      <c r="I423" s="15">
        <v>0.88</v>
      </c>
      <c r="J423" s="15">
        <v>0.14434643143544507</v>
      </c>
      <c r="K423" s="15">
        <v>6.3512429831595829E-2</v>
      </c>
      <c r="L423" s="15">
        <v>66.5</v>
      </c>
      <c r="M423" s="15">
        <v>1.75</v>
      </c>
      <c r="N423" s="16">
        <v>8.2483675105968615E-2</v>
      </c>
      <c r="O423" s="16">
        <v>3.6292817046626187E-2</v>
      </c>
      <c r="P423" s="17">
        <f>IFERROR(G423/(G423+Priors!$H$3),0)</f>
        <v>0.55496217178460172</v>
      </c>
      <c r="Q423" s="18">
        <f>IF(E423="Premier League",Priors!$H$4,IF(E423="Championship",Priors!$H$5,Priors!$H$8))</f>
        <v>1</v>
      </c>
      <c r="R423" s="19" t="b">
        <v>1</v>
      </c>
      <c r="S423" s="18">
        <f>IF(R423=TRUE,Priors!$H$6,1)</f>
        <v>0.85</v>
      </c>
      <c r="T423" s="19" t="b">
        <v>0</v>
      </c>
      <c r="U423" s="18">
        <f>IF(T423=TRUE,Priors!$H$7,1)</f>
        <v>1</v>
      </c>
      <c r="V423" s="18">
        <f t="shared" si="36"/>
        <v>0.47171784601691147</v>
      </c>
      <c r="W423" s="20">
        <f>VLOOKUP(D423,Priors!$A$3:$C$6,2,FALSE)</f>
        <v>0.10751786102217777</v>
      </c>
      <c r="X423" s="20">
        <f>VLOOKUP(D423,Priors!$A$3:$C$6,3,FALSE)</f>
        <v>9.0240671969462088E-2</v>
      </c>
      <c r="Y423" s="20">
        <f t="shared" si="37"/>
        <v>9.570878876499668E-2</v>
      </c>
      <c r="Z423" s="20">
        <f t="shared" si="38"/>
        <v>6.4792506048029108E-2</v>
      </c>
      <c r="AA423" s="21">
        <v>1</v>
      </c>
      <c r="AB423" s="21">
        <v>1</v>
      </c>
      <c r="AC423" s="22">
        <f t="shared" si="39"/>
        <v>9.570878876499668E-2</v>
      </c>
      <c r="AD423" s="22">
        <f t="shared" si="40"/>
        <v>6.4792506048029108E-2</v>
      </c>
      <c r="AE423" s="22">
        <f t="shared" si="41"/>
        <v>0.52828215398308853</v>
      </c>
      <c r="AF423" s="7" t="s">
        <v>1643</v>
      </c>
      <c r="AG423" s="7"/>
      <c r="AH423" s="7"/>
      <c r="AI423" s="7"/>
      <c r="AJ423" s="8" t="b">
        <v>1</v>
      </c>
      <c r="AK423" s="28" t="s">
        <v>1644</v>
      </c>
      <c r="AL423" s="28" t="s">
        <v>1645</v>
      </c>
      <c r="AM423" s="28"/>
      <c r="AN423" s="7"/>
      <c r="AO423" s="7">
        <v>0</v>
      </c>
      <c r="AP423" s="8" t="b">
        <v>0</v>
      </c>
      <c r="AQ423" s="28" t="s">
        <v>1646</v>
      </c>
    </row>
    <row r="424" spans="1:43" ht="30">
      <c r="A424" s="7">
        <v>325</v>
      </c>
      <c r="B424" s="7" t="s">
        <v>1251</v>
      </c>
      <c r="C424" s="7" t="s">
        <v>54</v>
      </c>
      <c r="D424" s="7" t="s">
        <v>85</v>
      </c>
      <c r="E424" s="7" t="s">
        <v>1642</v>
      </c>
      <c r="F424" s="7" t="s">
        <v>51</v>
      </c>
      <c r="G424" s="14">
        <v>1980</v>
      </c>
      <c r="H424" s="15">
        <v>0</v>
      </c>
      <c r="I424" s="15">
        <v>0.05</v>
      </c>
      <c r="J424" s="15">
        <v>0</v>
      </c>
      <c r="K424" s="15">
        <v>2.2727272727272726E-3</v>
      </c>
      <c r="L424" s="15">
        <v>54.2</v>
      </c>
      <c r="M424" s="15">
        <v>1.4263157894736842</v>
      </c>
      <c r="N424" s="16">
        <v>0</v>
      </c>
      <c r="O424" s="16">
        <v>1.5934250251593424E-3</v>
      </c>
      <c r="P424" s="17">
        <f>IFERROR(G424/(G424+Priors!$H$3),0)</f>
        <v>0.66442953020134232</v>
      </c>
      <c r="Q424" s="18">
        <f>IF(E424="Premier League",Priors!$H$4,IF(E424="Championship",Priors!$H$5,Priors!$H$8))</f>
        <v>1</v>
      </c>
      <c r="R424" s="19" t="b">
        <v>1</v>
      </c>
      <c r="S424" s="18">
        <f>IF(R424=TRUE,Priors!$H$6,1)</f>
        <v>0.85</v>
      </c>
      <c r="T424" s="19" t="b">
        <v>0</v>
      </c>
      <c r="U424" s="18">
        <f>IF(T424=TRUE,Priors!$H$7,1)</f>
        <v>1</v>
      </c>
      <c r="V424" s="18">
        <f t="shared" si="36"/>
        <v>0.56476510067114094</v>
      </c>
      <c r="W424" s="20">
        <f>VLOOKUP(D424,Priors!$A$3:$C$6,2,FALSE)</f>
        <v>1.6719534964712218E-4</v>
      </c>
      <c r="X424" s="20">
        <f>VLOOKUP(D424,Priors!$A$3:$C$6,3,FALSE)</f>
        <v>1.379361634588758E-3</v>
      </c>
      <c r="Y424" s="20">
        <f t="shared" si="37"/>
        <v>7.2769251171918612E-5</v>
      </c>
      <c r="Z424" s="20">
        <f t="shared" si="38"/>
        <v>1.5002571669143598E-3</v>
      </c>
      <c r="AA424" s="21">
        <v>1</v>
      </c>
      <c r="AB424" s="21">
        <v>1</v>
      </c>
      <c r="AC424" s="22">
        <f t="shared" si="39"/>
        <v>7.2769251171918612E-5</v>
      </c>
      <c r="AD424" s="22">
        <f t="shared" si="40"/>
        <v>1.5002571669143598E-3</v>
      </c>
      <c r="AE424" s="22">
        <f t="shared" si="41"/>
        <v>0.43523489932885906</v>
      </c>
      <c r="AF424" s="7" t="s">
        <v>1643</v>
      </c>
      <c r="AG424" s="7"/>
      <c r="AH424" s="7"/>
      <c r="AI424" s="7"/>
      <c r="AJ424" s="8" t="b">
        <v>1</v>
      </c>
      <c r="AK424" s="28" t="s">
        <v>1644</v>
      </c>
      <c r="AL424" s="28" t="s">
        <v>1645</v>
      </c>
      <c r="AM424" s="28"/>
      <c r="AN424" s="7"/>
      <c r="AO424" s="7">
        <v>0</v>
      </c>
      <c r="AP424" s="8" t="b">
        <v>0</v>
      </c>
      <c r="AQ424" s="28" t="s">
        <v>1646</v>
      </c>
    </row>
    <row r="425" spans="1:43" ht="30">
      <c r="A425" s="7">
        <v>412</v>
      </c>
      <c r="B425" s="7" t="s">
        <v>1254</v>
      </c>
      <c r="C425" s="7" t="s">
        <v>54</v>
      </c>
      <c r="D425" s="7" t="s">
        <v>85</v>
      </c>
      <c r="E425" s="7" t="s">
        <v>1642</v>
      </c>
      <c r="F425" s="7" t="s">
        <v>54</v>
      </c>
      <c r="G425" s="14">
        <v>2880</v>
      </c>
      <c r="H425" s="15">
        <v>0</v>
      </c>
      <c r="I425" s="15">
        <v>0</v>
      </c>
      <c r="J425" s="15">
        <v>0</v>
      </c>
      <c r="K425" s="15">
        <v>0</v>
      </c>
      <c r="L425" s="15">
        <v>65.3</v>
      </c>
      <c r="M425" s="15">
        <v>1.7184210526315788</v>
      </c>
      <c r="N425" s="16">
        <v>0</v>
      </c>
      <c r="O425" s="16">
        <v>0</v>
      </c>
      <c r="P425" s="17">
        <f>IFERROR(G425/(G425+Priors!$H$3),0)</f>
        <v>0.74226804123711343</v>
      </c>
      <c r="Q425" s="18">
        <f>IF(E425="Premier League",Priors!$H$4,IF(E425="Championship",Priors!$H$5,Priors!$H$8))</f>
        <v>1</v>
      </c>
      <c r="R425" s="19" t="b">
        <v>0</v>
      </c>
      <c r="S425" s="18">
        <f>IF(R425=TRUE,Priors!$H$6,1)</f>
        <v>1</v>
      </c>
      <c r="T425" s="19" t="b">
        <v>0</v>
      </c>
      <c r="U425" s="18">
        <f>IF(T425=TRUE,Priors!$H$7,1)</f>
        <v>1</v>
      </c>
      <c r="V425" s="18">
        <f t="shared" si="36"/>
        <v>0.74226804123711343</v>
      </c>
      <c r="W425" s="20">
        <f>VLOOKUP(D425,Priors!$A$3:$C$6,2,FALSE)</f>
        <v>1.6719534964712218E-4</v>
      </c>
      <c r="X425" s="20">
        <f>VLOOKUP(D425,Priors!$A$3:$C$6,3,FALSE)</f>
        <v>1.379361634588758E-3</v>
      </c>
      <c r="Y425" s="20">
        <f t="shared" si="37"/>
        <v>4.3091584960598499E-5</v>
      </c>
      <c r="Z425" s="20">
        <f t="shared" si="38"/>
        <v>3.5550557592493762E-4</v>
      </c>
      <c r="AA425" s="21">
        <v>1</v>
      </c>
      <c r="AB425" s="21">
        <v>1</v>
      </c>
      <c r="AC425" s="22">
        <f t="shared" si="39"/>
        <v>4.3091584960598499E-5</v>
      </c>
      <c r="AD425" s="22">
        <f t="shared" si="40"/>
        <v>3.5550557592493762E-4</v>
      </c>
      <c r="AE425" s="22">
        <f t="shared" si="41"/>
        <v>0.25773195876288657</v>
      </c>
      <c r="AF425" s="7" t="s">
        <v>1643</v>
      </c>
      <c r="AG425" s="7"/>
      <c r="AH425" s="7"/>
      <c r="AI425" s="7"/>
      <c r="AJ425" s="8" t="b">
        <v>0</v>
      </c>
      <c r="AK425" s="28" t="s">
        <v>1644</v>
      </c>
      <c r="AL425" s="28" t="s">
        <v>1645</v>
      </c>
      <c r="AM425" s="28"/>
      <c r="AN425" s="7"/>
      <c r="AO425" s="7">
        <v>0</v>
      </c>
      <c r="AP425" s="8" t="b">
        <v>0</v>
      </c>
      <c r="AQ425" s="28" t="s">
        <v>1646</v>
      </c>
    </row>
    <row r="426" spans="1:43" ht="30">
      <c r="A426" s="7">
        <v>413</v>
      </c>
      <c r="B426" s="7" t="s">
        <v>1256</v>
      </c>
      <c r="C426" s="7" t="s">
        <v>54</v>
      </c>
      <c r="D426" s="7" t="s">
        <v>85</v>
      </c>
      <c r="E426" s="7" t="s">
        <v>1642</v>
      </c>
      <c r="F426" s="7" t="s">
        <v>54</v>
      </c>
      <c r="G426" s="14">
        <v>540</v>
      </c>
      <c r="H426" s="15">
        <v>0</v>
      </c>
      <c r="I426" s="15">
        <v>0.05</v>
      </c>
      <c r="J426" s="15">
        <v>0</v>
      </c>
      <c r="K426" s="15">
        <v>8.3333333333333332E-3</v>
      </c>
      <c r="L426" s="15">
        <v>65.3</v>
      </c>
      <c r="M426" s="15">
        <v>1.7184210526315788</v>
      </c>
      <c r="N426" s="16">
        <v>0</v>
      </c>
      <c r="O426" s="16">
        <v>4.8494129657988775E-3</v>
      </c>
      <c r="P426" s="17">
        <f>IFERROR(G426/(G426+Priors!$H$3),0)</f>
        <v>0.35064935064935066</v>
      </c>
      <c r="Q426" s="18">
        <f>IF(E426="Premier League",Priors!$H$4,IF(E426="Championship",Priors!$H$5,Priors!$H$8))</f>
        <v>1</v>
      </c>
      <c r="R426" s="19" t="b">
        <v>0</v>
      </c>
      <c r="S426" s="18">
        <f>IF(R426=TRUE,Priors!$H$6,1)</f>
        <v>1</v>
      </c>
      <c r="T426" s="19" t="b">
        <v>0</v>
      </c>
      <c r="U426" s="18">
        <f>IF(T426=TRUE,Priors!$H$7,1)</f>
        <v>1</v>
      </c>
      <c r="V426" s="18">
        <f t="shared" si="36"/>
        <v>0.35064935064935066</v>
      </c>
      <c r="W426" s="20">
        <f>VLOOKUP(D426,Priors!$A$3:$C$6,2,FALSE)</f>
        <v>1.6719534964712218E-4</v>
      </c>
      <c r="X426" s="20">
        <f>VLOOKUP(D426,Priors!$A$3:$C$6,3,FALSE)</f>
        <v>1.379361634588758E-3</v>
      </c>
      <c r="Y426" s="20">
        <f t="shared" si="37"/>
        <v>1.0856840886176765E-4</v>
      </c>
      <c r="Z426" s="20">
        <f t="shared" si="38"/>
        <v>2.5961328805975013E-3</v>
      </c>
      <c r="AA426" s="21">
        <v>1</v>
      </c>
      <c r="AB426" s="21">
        <v>1</v>
      </c>
      <c r="AC426" s="22">
        <f t="shared" si="39"/>
        <v>1.0856840886176765E-4</v>
      </c>
      <c r="AD426" s="22">
        <f t="shared" si="40"/>
        <v>2.5961328805975013E-3</v>
      </c>
      <c r="AE426" s="22">
        <f t="shared" si="41"/>
        <v>0.64935064935064934</v>
      </c>
      <c r="AF426" s="7" t="s">
        <v>1643</v>
      </c>
      <c r="AG426" s="7"/>
      <c r="AH426" s="7"/>
      <c r="AI426" s="7"/>
      <c r="AJ426" s="8" t="b">
        <v>1</v>
      </c>
      <c r="AK426" s="28" t="s">
        <v>1644</v>
      </c>
      <c r="AL426" s="28" t="s">
        <v>1645</v>
      </c>
      <c r="AM426" s="28"/>
      <c r="AN426" s="7"/>
      <c r="AO426" s="7">
        <v>0</v>
      </c>
      <c r="AP426" s="8" t="b">
        <v>0</v>
      </c>
      <c r="AQ426" s="28" t="s">
        <v>1646</v>
      </c>
    </row>
    <row r="427" spans="1:43" ht="15">
      <c r="A427" s="7">
        <v>414</v>
      </c>
      <c r="B427" s="7" t="s">
        <v>1258</v>
      </c>
      <c r="C427" s="7" t="s">
        <v>54</v>
      </c>
      <c r="D427" s="7" t="s">
        <v>85</v>
      </c>
      <c r="E427" s="7" t="s">
        <v>1647</v>
      </c>
      <c r="F427" s="7"/>
      <c r="G427" s="14"/>
      <c r="H427" s="15"/>
      <c r="I427" s="15"/>
      <c r="J427" s="15"/>
      <c r="K427" s="15"/>
      <c r="L427" s="15"/>
      <c r="M427" s="15"/>
      <c r="N427" s="16"/>
      <c r="O427" s="16"/>
      <c r="P427" s="17">
        <f>IFERROR(G427/(G427+Priors!$H$3),0)</f>
        <v>0</v>
      </c>
      <c r="Q427" s="18">
        <f>IF(E427="Premier League",Priors!$H$4,IF(E427="Championship",Priors!$H$5,Priors!$H$8))</f>
        <v>0</v>
      </c>
      <c r="R427" s="19" t="b">
        <v>0</v>
      </c>
      <c r="S427" s="18">
        <f>IF(R427=TRUE,Priors!$H$6,1)</f>
        <v>1</v>
      </c>
      <c r="T427" s="19" t="b">
        <v>0</v>
      </c>
      <c r="U427" s="18">
        <f>IF(T427=TRUE,Priors!$H$7,1)</f>
        <v>1</v>
      </c>
      <c r="V427" s="18">
        <f t="shared" si="36"/>
        <v>0</v>
      </c>
      <c r="W427" s="20">
        <f>VLOOKUP(D427,Priors!$A$3:$C$6,2,FALSE)</f>
        <v>1.6719534964712218E-4</v>
      </c>
      <c r="X427" s="20">
        <f>VLOOKUP(D427,Priors!$A$3:$C$6,3,FALSE)</f>
        <v>1.379361634588758E-3</v>
      </c>
      <c r="Y427" s="20">
        <f t="shared" si="37"/>
        <v>1.6719534964712218E-4</v>
      </c>
      <c r="Z427" s="20">
        <f t="shared" si="38"/>
        <v>1.379361634588758E-3</v>
      </c>
      <c r="AA427" s="21">
        <v>1</v>
      </c>
      <c r="AB427" s="21">
        <v>1</v>
      </c>
      <c r="AC427" s="22">
        <f t="shared" si="39"/>
        <v>1.6719534964712218E-4</v>
      </c>
      <c r="AD427" s="22">
        <f t="shared" si="40"/>
        <v>1.379361634588758E-3</v>
      </c>
      <c r="AE427" s="22">
        <f t="shared" si="41"/>
        <v>1</v>
      </c>
      <c r="AF427" s="7" t="s">
        <v>1647</v>
      </c>
      <c r="AG427" s="7"/>
      <c r="AH427" s="7"/>
      <c r="AI427" s="7"/>
      <c r="AJ427" s="8" t="b">
        <v>1</v>
      </c>
      <c r="AK427" s="28" t="s">
        <v>1648</v>
      </c>
      <c r="AL427" s="28"/>
      <c r="AM427" s="28"/>
      <c r="AN427" s="7">
        <v>1</v>
      </c>
      <c r="AO427" s="7">
        <v>2</v>
      </c>
      <c r="AP427" s="8" t="b">
        <v>1</v>
      </c>
      <c r="AQ427" s="28" t="s">
        <v>1649</v>
      </c>
    </row>
    <row r="428" spans="1:43" ht="30">
      <c r="A428" s="7">
        <v>415</v>
      </c>
      <c r="B428" s="7" t="s">
        <v>1260</v>
      </c>
      <c r="C428" s="7" t="s">
        <v>54</v>
      </c>
      <c r="D428" s="7" t="s">
        <v>112</v>
      </c>
      <c r="E428" s="7" t="s">
        <v>1642</v>
      </c>
      <c r="F428" s="7" t="s">
        <v>54</v>
      </c>
      <c r="G428" s="14">
        <v>1440</v>
      </c>
      <c r="H428" s="15">
        <v>2.39</v>
      </c>
      <c r="I428" s="15">
        <v>1.84</v>
      </c>
      <c r="J428" s="15">
        <v>0.14937500000000001</v>
      </c>
      <c r="K428" s="15">
        <v>0.11499999999999999</v>
      </c>
      <c r="L428" s="15">
        <v>65.3</v>
      </c>
      <c r="M428" s="15">
        <v>1.7184210526315788</v>
      </c>
      <c r="N428" s="16">
        <v>8.6925727411944875E-2</v>
      </c>
      <c r="O428" s="16">
        <v>6.6921898928024498E-2</v>
      </c>
      <c r="P428" s="17">
        <f>IFERROR(G428/(G428+Priors!$H$3),0)</f>
        <v>0.5901639344262295</v>
      </c>
      <c r="Q428" s="18">
        <f>IF(E428="Premier League",Priors!$H$4,IF(E428="Championship",Priors!$H$5,Priors!$H$8))</f>
        <v>1</v>
      </c>
      <c r="R428" s="19" t="b">
        <v>0</v>
      </c>
      <c r="S428" s="18">
        <f>IF(R428=TRUE,Priors!$H$6,1)</f>
        <v>1</v>
      </c>
      <c r="T428" s="19" t="b">
        <v>0</v>
      </c>
      <c r="U428" s="18">
        <f>IF(T428=TRUE,Priors!$H$7,1)</f>
        <v>1</v>
      </c>
      <c r="V428" s="18">
        <f t="shared" si="36"/>
        <v>0.5901639344262295</v>
      </c>
      <c r="W428" s="20">
        <f>VLOOKUP(D428,Priors!$A$3:$C$6,2,FALSE)</f>
        <v>0.10751786102217777</v>
      </c>
      <c r="X428" s="20">
        <f>VLOOKUP(D428,Priors!$A$3:$C$6,3,FALSE)</f>
        <v>9.0240671969462088E-2</v>
      </c>
      <c r="Y428" s="20">
        <f t="shared" si="37"/>
        <v>9.5365126432532116E-2</v>
      </c>
      <c r="Z428" s="20">
        <f t="shared" si="38"/>
        <v>7.6478773125334992E-2</v>
      </c>
      <c r="AA428" s="21">
        <v>1</v>
      </c>
      <c r="AB428" s="21">
        <v>1</v>
      </c>
      <c r="AC428" s="22">
        <f t="shared" si="39"/>
        <v>9.5365126432532116E-2</v>
      </c>
      <c r="AD428" s="22">
        <f t="shared" si="40"/>
        <v>7.6478773125334992E-2</v>
      </c>
      <c r="AE428" s="22">
        <f t="shared" si="41"/>
        <v>0.4098360655737705</v>
      </c>
      <c r="AF428" s="7" t="s">
        <v>1643</v>
      </c>
      <c r="AG428" s="7"/>
      <c r="AH428" s="7"/>
      <c r="AI428" s="7"/>
      <c r="AJ428" s="8" t="b">
        <v>0</v>
      </c>
      <c r="AK428" s="28" t="s">
        <v>1644</v>
      </c>
      <c r="AL428" s="28" t="s">
        <v>1645</v>
      </c>
      <c r="AM428" s="28"/>
      <c r="AN428" s="7"/>
      <c r="AO428" s="7">
        <v>0</v>
      </c>
      <c r="AP428" s="8" t="b">
        <v>0</v>
      </c>
      <c r="AQ428" s="28" t="s">
        <v>1646</v>
      </c>
    </row>
    <row r="429" spans="1:43" ht="30">
      <c r="A429" s="7">
        <v>416</v>
      </c>
      <c r="B429" s="7" t="s">
        <v>1262</v>
      </c>
      <c r="C429" s="7" t="s">
        <v>54</v>
      </c>
      <c r="D429" s="7" t="s">
        <v>99</v>
      </c>
      <c r="E429" s="7" t="s">
        <v>1642</v>
      </c>
      <c r="F429" s="7" t="s">
        <v>54</v>
      </c>
      <c r="G429" s="14">
        <v>1170</v>
      </c>
      <c r="H429" s="15">
        <v>1.38</v>
      </c>
      <c r="I429" s="15">
        <v>0.83</v>
      </c>
      <c r="J429" s="15">
        <v>0.10615384615384614</v>
      </c>
      <c r="K429" s="15">
        <v>6.3846153846153844E-2</v>
      </c>
      <c r="L429" s="15">
        <v>65.3</v>
      </c>
      <c r="M429" s="15">
        <v>1.7184210526315788</v>
      </c>
      <c r="N429" s="16">
        <v>6.1774060548945693E-2</v>
      </c>
      <c r="O429" s="16">
        <v>3.7153963953351396E-2</v>
      </c>
      <c r="P429" s="17">
        <f>IFERROR(G429/(G429+Priors!$H$3),0)</f>
        <v>0.53917050691244239</v>
      </c>
      <c r="Q429" s="18">
        <f>IF(E429="Premier League",Priors!$H$4,IF(E429="Championship",Priors!$H$5,Priors!$H$8))</f>
        <v>1</v>
      </c>
      <c r="R429" s="19" t="b">
        <v>0</v>
      </c>
      <c r="S429" s="18">
        <f>IF(R429=TRUE,Priors!$H$6,1)</f>
        <v>1</v>
      </c>
      <c r="T429" s="19" t="b">
        <v>0</v>
      </c>
      <c r="U429" s="18">
        <f>IF(T429=TRUE,Priors!$H$7,1)</f>
        <v>1</v>
      </c>
      <c r="V429" s="18">
        <f t="shared" si="36"/>
        <v>0.53917050691244239</v>
      </c>
      <c r="W429" s="20">
        <f>VLOOKUP(D429,Priors!$A$3:$C$6,2,FALSE)</f>
        <v>4.1142361271531161E-2</v>
      </c>
      <c r="X429" s="20">
        <f>VLOOKUP(D429,Priors!$A$3:$C$6,3,FALSE)</f>
        <v>4.0513079897554365E-2</v>
      </c>
      <c r="Y429" s="20">
        <f t="shared" si="37"/>
        <v>5.2266365029399825E-2</v>
      </c>
      <c r="Z429" s="20">
        <f t="shared" si="38"/>
        <v>3.8701943651140783E-2</v>
      </c>
      <c r="AA429" s="21">
        <v>1</v>
      </c>
      <c r="AB429" s="21">
        <v>1</v>
      </c>
      <c r="AC429" s="22">
        <f t="shared" si="39"/>
        <v>5.2266365029399825E-2</v>
      </c>
      <c r="AD429" s="22">
        <f t="shared" si="40"/>
        <v>3.8701943651140783E-2</v>
      </c>
      <c r="AE429" s="22">
        <f t="shared" si="41"/>
        <v>0.46082949308755761</v>
      </c>
      <c r="AF429" s="7" t="s">
        <v>1643</v>
      </c>
      <c r="AG429" s="7"/>
      <c r="AH429" s="7"/>
      <c r="AI429" s="7"/>
      <c r="AJ429" s="8" t="b">
        <v>0</v>
      </c>
      <c r="AK429" s="28" t="s">
        <v>1644</v>
      </c>
      <c r="AL429" s="28" t="s">
        <v>1645</v>
      </c>
      <c r="AM429" s="28"/>
      <c r="AN429" s="7"/>
      <c r="AO429" s="7">
        <v>0</v>
      </c>
      <c r="AP429" s="8" t="b">
        <v>0</v>
      </c>
      <c r="AQ429" s="28" t="s">
        <v>1646</v>
      </c>
    </row>
    <row r="430" spans="1:43" ht="30">
      <c r="A430" s="7">
        <v>417</v>
      </c>
      <c r="B430" s="7" t="s">
        <v>1264</v>
      </c>
      <c r="C430" s="7" t="s">
        <v>54</v>
      </c>
      <c r="D430" s="7" t="s">
        <v>99</v>
      </c>
      <c r="E430" s="7" t="s">
        <v>1642</v>
      </c>
      <c r="F430" s="7" t="s">
        <v>54</v>
      </c>
      <c r="G430" s="14">
        <v>2609</v>
      </c>
      <c r="H430" s="15">
        <v>1.93</v>
      </c>
      <c r="I430" s="15">
        <v>2.57</v>
      </c>
      <c r="J430" s="15">
        <v>6.6577232656190102E-2</v>
      </c>
      <c r="K430" s="15">
        <v>8.865465695668838E-2</v>
      </c>
      <c r="L430" s="15">
        <v>65.3</v>
      </c>
      <c r="M430" s="15">
        <v>1.7184210526315788</v>
      </c>
      <c r="N430" s="16">
        <v>3.8743259432392402E-2</v>
      </c>
      <c r="O430" s="16">
        <v>5.1590765150905951E-2</v>
      </c>
      <c r="P430" s="17">
        <f>IFERROR(G430/(G430+Priors!$H$3),0)</f>
        <v>0.72291493488500969</v>
      </c>
      <c r="Q430" s="18">
        <f>IF(E430="Premier League",Priors!$H$4,IF(E430="Championship",Priors!$H$5,Priors!$H$8))</f>
        <v>1</v>
      </c>
      <c r="R430" s="19" t="b">
        <v>0</v>
      </c>
      <c r="S430" s="18">
        <f>IF(R430=TRUE,Priors!$H$6,1)</f>
        <v>1</v>
      </c>
      <c r="T430" s="19" t="b">
        <v>0</v>
      </c>
      <c r="U430" s="18">
        <f>IF(T430=TRUE,Priors!$H$7,1)</f>
        <v>1</v>
      </c>
      <c r="V430" s="18">
        <f t="shared" si="36"/>
        <v>0.72291493488500969</v>
      </c>
      <c r="W430" s="20">
        <f>VLOOKUP(D430,Priors!$A$3:$C$6,2,FALSE)</f>
        <v>4.1142361271531161E-2</v>
      </c>
      <c r="X430" s="20">
        <f>VLOOKUP(D430,Priors!$A$3:$C$6,3,FALSE)</f>
        <v>4.0513079897554365E-2</v>
      </c>
      <c r="Y430" s="20">
        <f t="shared" si="37"/>
        <v>3.9408014721707657E-2</v>
      </c>
      <c r="Z430" s="20">
        <f t="shared" si="38"/>
        <v>4.8521304011157659E-2</v>
      </c>
      <c r="AA430" s="21">
        <v>1</v>
      </c>
      <c r="AB430" s="21">
        <v>1</v>
      </c>
      <c r="AC430" s="22">
        <f t="shared" si="39"/>
        <v>3.9408014721707657E-2</v>
      </c>
      <c r="AD430" s="22">
        <f t="shared" si="40"/>
        <v>4.8521304011157659E-2</v>
      </c>
      <c r="AE430" s="22">
        <f t="shared" si="41"/>
        <v>0.27708506511499031</v>
      </c>
      <c r="AF430" s="7" t="s">
        <v>1643</v>
      </c>
      <c r="AG430" s="7"/>
      <c r="AH430" s="7"/>
      <c r="AI430" s="7"/>
      <c r="AJ430" s="8" t="b">
        <v>0</v>
      </c>
      <c r="AK430" s="28" t="s">
        <v>1644</v>
      </c>
      <c r="AL430" s="28" t="s">
        <v>1645</v>
      </c>
      <c r="AM430" s="28"/>
      <c r="AN430" s="7"/>
      <c r="AO430" s="7">
        <v>0</v>
      </c>
      <c r="AP430" s="8" t="b">
        <v>0</v>
      </c>
      <c r="AQ430" s="28" t="s">
        <v>1646</v>
      </c>
    </row>
    <row r="431" spans="1:43" ht="30">
      <c r="A431" s="7">
        <v>418</v>
      </c>
      <c r="B431" s="7" t="s">
        <v>1267</v>
      </c>
      <c r="C431" s="7" t="s">
        <v>54</v>
      </c>
      <c r="D431" s="7" t="s">
        <v>99</v>
      </c>
      <c r="E431" s="7" t="s">
        <v>1642</v>
      </c>
      <c r="F431" s="7" t="s">
        <v>54</v>
      </c>
      <c r="G431" s="14">
        <v>1649</v>
      </c>
      <c r="H431" s="15">
        <v>1.1200000000000001</v>
      </c>
      <c r="I431" s="15">
        <v>0.5</v>
      </c>
      <c r="J431" s="15">
        <v>6.112795633717405E-2</v>
      </c>
      <c r="K431" s="15">
        <v>2.7289266221952699E-2</v>
      </c>
      <c r="L431" s="15">
        <v>65.3</v>
      </c>
      <c r="M431" s="15">
        <v>1.7184210526315788</v>
      </c>
      <c r="N431" s="16">
        <v>3.5572164484113537E-2</v>
      </c>
      <c r="O431" s="16">
        <v>1.5880430573264971E-2</v>
      </c>
      <c r="P431" s="17">
        <f>IFERROR(G431/(G431+Priors!$H$3),0)</f>
        <v>0.62249905624764057</v>
      </c>
      <c r="Q431" s="18">
        <f>IF(E431="Premier League",Priors!$H$4,IF(E431="Championship",Priors!$H$5,Priors!$H$8))</f>
        <v>1</v>
      </c>
      <c r="R431" s="19" t="b">
        <v>0</v>
      </c>
      <c r="S431" s="18">
        <f>IF(R431=TRUE,Priors!$H$6,1)</f>
        <v>1</v>
      </c>
      <c r="T431" s="19" t="b">
        <v>0</v>
      </c>
      <c r="U431" s="18">
        <f>IF(T431=TRUE,Priors!$H$7,1)</f>
        <v>1</v>
      </c>
      <c r="V431" s="18">
        <f t="shared" si="36"/>
        <v>0.62249905624764057</v>
      </c>
      <c r="W431" s="20">
        <f>VLOOKUP(D431,Priors!$A$3:$C$6,2,FALSE)</f>
        <v>4.1142361271531161E-2</v>
      </c>
      <c r="X431" s="20">
        <f>VLOOKUP(D431,Priors!$A$3:$C$6,3,FALSE)</f>
        <v>4.0513079897554365E-2</v>
      </c>
      <c r="Y431" s="20">
        <f t="shared" si="37"/>
        <v>3.7674919028250049E-2</v>
      </c>
      <c r="Z431" s="20">
        <f t="shared" si="38"/>
        <v>2.5179278940305135E-2</v>
      </c>
      <c r="AA431" s="21">
        <v>1</v>
      </c>
      <c r="AB431" s="21">
        <v>1</v>
      </c>
      <c r="AC431" s="22">
        <f t="shared" si="39"/>
        <v>3.7674919028250049E-2</v>
      </c>
      <c r="AD431" s="22">
        <f t="shared" si="40"/>
        <v>2.5179278940305135E-2</v>
      </c>
      <c r="AE431" s="22">
        <f t="shared" si="41"/>
        <v>0.37750094375235943</v>
      </c>
      <c r="AF431" s="7" t="s">
        <v>1643</v>
      </c>
      <c r="AG431" s="7"/>
      <c r="AH431" s="7"/>
      <c r="AI431" s="7"/>
      <c r="AJ431" s="8" t="b">
        <v>0</v>
      </c>
      <c r="AK431" s="28" t="s">
        <v>1644</v>
      </c>
      <c r="AL431" s="28" t="s">
        <v>1645</v>
      </c>
      <c r="AM431" s="28"/>
      <c r="AN431" s="7"/>
      <c r="AO431" s="7">
        <v>0</v>
      </c>
      <c r="AP431" s="8" t="b">
        <v>0</v>
      </c>
      <c r="AQ431" s="28" t="s">
        <v>1646</v>
      </c>
    </row>
    <row r="432" spans="1:43" ht="30">
      <c r="A432" s="7">
        <v>419</v>
      </c>
      <c r="B432" s="7" t="s">
        <v>178</v>
      </c>
      <c r="C432" s="7" t="s">
        <v>54</v>
      </c>
      <c r="D432" s="7" t="s">
        <v>99</v>
      </c>
      <c r="E432" s="7" t="s">
        <v>1642</v>
      </c>
      <c r="F432" s="7" t="s">
        <v>54</v>
      </c>
      <c r="G432" s="14">
        <v>1229</v>
      </c>
      <c r="H432" s="15">
        <v>0.15</v>
      </c>
      <c r="I432" s="15">
        <v>0.6</v>
      </c>
      <c r="J432" s="15">
        <v>1.0984540276647681E-2</v>
      </c>
      <c r="K432" s="15">
        <v>4.3938161106590726E-2</v>
      </c>
      <c r="L432" s="15">
        <v>65.3</v>
      </c>
      <c r="M432" s="15">
        <v>1.7184210526315788</v>
      </c>
      <c r="N432" s="16">
        <v>6.3922286449098302E-3</v>
      </c>
      <c r="O432" s="16">
        <v>2.5568914579639321E-2</v>
      </c>
      <c r="P432" s="17">
        <f>IFERROR(G432/(G432+Priors!$H$3),0)</f>
        <v>0.55136832660385826</v>
      </c>
      <c r="Q432" s="18">
        <f>IF(E432="Premier League",Priors!$H$4,IF(E432="Championship",Priors!$H$5,Priors!$H$8))</f>
        <v>1</v>
      </c>
      <c r="R432" s="19" t="b">
        <v>0</v>
      </c>
      <c r="S432" s="18">
        <f>IF(R432=TRUE,Priors!$H$6,1)</f>
        <v>1</v>
      </c>
      <c r="T432" s="19" t="b">
        <v>0</v>
      </c>
      <c r="U432" s="18">
        <f>IF(T432=TRUE,Priors!$H$7,1)</f>
        <v>1</v>
      </c>
      <c r="V432" s="18">
        <f t="shared" si="36"/>
        <v>0.55136832660385826</v>
      </c>
      <c r="W432" s="20">
        <f>VLOOKUP(D432,Priors!$A$3:$C$6,2,FALSE)</f>
        <v>4.1142361271531161E-2</v>
      </c>
      <c r="X432" s="20">
        <f>VLOOKUP(D432,Priors!$A$3:$C$6,3,FALSE)</f>
        <v>4.0513079897554365E-2</v>
      </c>
      <c r="Y432" s="20">
        <f t="shared" si="37"/>
        <v>2.1982238795928821E-2</v>
      </c>
      <c r="Z432" s="20">
        <f t="shared" si="38"/>
        <v>3.2273340473724127E-2</v>
      </c>
      <c r="AA432" s="21">
        <v>1</v>
      </c>
      <c r="AB432" s="21">
        <v>1</v>
      </c>
      <c r="AC432" s="22">
        <f t="shared" si="39"/>
        <v>2.1982238795928821E-2</v>
      </c>
      <c r="AD432" s="22">
        <f t="shared" si="40"/>
        <v>3.2273340473724127E-2</v>
      </c>
      <c r="AE432" s="22">
        <f t="shared" si="41"/>
        <v>0.44863167339614174</v>
      </c>
      <c r="AF432" s="7" t="s">
        <v>1643</v>
      </c>
      <c r="AG432" s="7"/>
      <c r="AH432" s="7"/>
      <c r="AI432" s="7"/>
      <c r="AJ432" s="8" t="b">
        <v>0</v>
      </c>
      <c r="AK432" s="28" t="s">
        <v>1644</v>
      </c>
      <c r="AL432" s="28" t="s">
        <v>1645</v>
      </c>
      <c r="AM432" s="28"/>
      <c r="AN432" s="7"/>
      <c r="AO432" s="7">
        <v>0</v>
      </c>
      <c r="AP432" s="8" t="b">
        <v>0</v>
      </c>
      <c r="AQ432" s="28" t="s">
        <v>1646</v>
      </c>
    </row>
    <row r="433" spans="1:43" ht="30">
      <c r="A433" s="7">
        <v>420</v>
      </c>
      <c r="B433" s="7" t="s">
        <v>1273</v>
      </c>
      <c r="C433" s="7" t="s">
        <v>54</v>
      </c>
      <c r="D433" s="7" t="s">
        <v>99</v>
      </c>
      <c r="E433" s="7" t="s">
        <v>1642</v>
      </c>
      <c r="F433" s="7" t="s">
        <v>54</v>
      </c>
      <c r="G433" s="14">
        <v>1730</v>
      </c>
      <c r="H433" s="15">
        <v>1.34</v>
      </c>
      <c r="I433" s="15">
        <v>0.59</v>
      </c>
      <c r="J433" s="15">
        <v>6.9710982658959544E-2</v>
      </c>
      <c r="K433" s="15">
        <v>3.0693641618497105E-2</v>
      </c>
      <c r="L433" s="15">
        <v>65.3</v>
      </c>
      <c r="M433" s="15">
        <v>1.7184210526315788</v>
      </c>
      <c r="N433" s="16">
        <v>4.0566881179792694E-2</v>
      </c>
      <c r="O433" s="16">
        <v>1.7861537235878869E-2</v>
      </c>
      <c r="P433" s="17">
        <f>IFERROR(G433/(G433+Priors!$H$3),0)</f>
        <v>0.63369963369963367</v>
      </c>
      <c r="Q433" s="18">
        <f>IF(E433="Premier League",Priors!$H$4,IF(E433="Championship",Priors!$H$5,Priors!$H$8))</f>
        <v>1</v>
      </c>
      <c r="R433" s="19" t="b">
        <v>0</v>
      </c>
      <c r="S433" s="18">
        <f>IF(R433=TRUE,Priors!$H$6,1)</f>
        <v>1</v>
      </c>
      <c r="T433" s="19" t="b">
        <v>0</v>
      </c>
      <c r="U433" s="18">
        <f>IF(T433=TRUE,Priors!$H$7,1)</f>
        <v>1</v>
      </c>
      <c r="V433" s="18">
        <f t="shared" si="36"/>
        <v>0.63369963369963367</v>
      </c>
      <c r="W433" s="20">
        <f>VLOOKUP(D433,Priors!$A$3:$C$6,2,FALSE)</f>
        <v>4.1142361271531161E-2</v>
      </c>
      <c r="X433" s="20">
        <f>VLOOKUP(D433,Priors!$A$3:$C$6,3,FALSE)</f>
        <v>4.0513079897554365E-2</v>
      </c>
      <c r="Y433" s="20">
        <f t="shared" si="37"/>
        <v>4.0777679748195066E-2</v>
      </c>
      <c r="Z433" s="20">
        <f t="shared" si="38"/>
        <v>2.6158805610118976E-2</v>
      </c>
      <c r="AA433" s="21">
        <v>1</v>
      </c>
      <c r="AB433" s="21">
        <v>1</v>
      </c>
      <c r="AC433" s="22">
        <f t="shared" si="39"/>
        <v>4.0777679748195066E-2</v>
      </c>
      <c r="AD433" s="22">
        <f t="shared" si="40"/>
        <v>2.6158805610118976E-2</v>
      </c>
      <c r="AE433" s="22">
        <f t="shared" si="41"/>
        <v>0.36630036630036633</v>
      </c>
      <c r="AF433" s="7" t="s">
        <v>1643</v>
      </c>
      <c r="AG433" s="7"/>
      <c r="AH433" s="7"/>
      <c r="AI433" s="7"/>
      <c r="AJ433" s="8" t="b">
        <v>0</v>
      </c>
      <c r="AK433" s="28" t="s">
        <v>1644</v>
      </c>
      <c r="AL433" s="28" t="s">
        <v>1645</v>
      </c>
      <c r="AM433" s="28"/>
      <c r="AN433" s="7"/>
      <c r="AO433" s="7">
        <v>0</v>
      </c>
      <c r="AP433" s="8" t="b">
        <v>0</v>
      </c>
      <c r="AQ433" s="28" t="s">
        <v>1646</v>
      </c>
    </row>
    <row r="434" spans="1:43" ht="30">
      <c r="A434" s="7">
        <v>421</v>
      </c>
      <c r="B434" s="7" t="s">
        <v>1275</v>
      </c>
      <c r="C434" s="7" t="s">
        <v>54</v>
      </c>
      <c r="D434" s="7" t="s">
        <v>99</v>
      </c>
      <c r="E434" s="7" t="s">
        <v>1642</v>
      </c>
      <c r="F434" s="7" t="s">
        <v>54</v>
      </c>
      <c r="G434" s="14">
        <v>920</v>
      </c>
      <c r="H434" s="15">
        <v>0.34</v>
      </c>
      <c r="I434" s="15">
        <v>0.18</v>
      </c>
      <c r="J434" s="15">
        <v>3.3260869565217392E-2</v>
      </c>
      <c r="K434" s="15">
        <v>1.7608695652173913E-2</v>
      </c>
      <c r="L434" s="15">
        <v>65.3</v>
      </c>
      <c r="M434" s="15">
        <v>1.7184210526315788</v>
      </c>
      <c r="N434" s="16">
        <v>1.9355483054797257E-2</v>
      </c>
      <c r="O434" s="16">
        <v>1.0247020440775018E-2</v>
      </c>
      <c r="P434" s="17">
        <f>IFERROR(G434/(G434+Priors!$H$3),0)</f>
        <v>0.47916666666666669</v>
      </c>
      <c r="Q434" s="18">
        <f>IF(E434="Premier League",Priors!$H$4,IF(E434="Championship",Priors!$H$5,Priors!$H$8))</f>
        <v>1</v>
      </c>
      <c r="R434" s="19" t="b">
        <v>0</v>
      </c>
      <c r="S434" s="18">
        <f>IF(R434=TRUE,Priors!$H$6,1)</f>
        <v>1</v>
      </c>
      <c r="T434" s="19" t="b">
        <v>0</v>
      </c>
      <c r="U434" s="18">
        <f>IF(T434=TRUE,Priors!$H$7,1)</f>
        <v>1</v>
      </c>
      <c r="V434" s="18">
        <f t="shared" si="36"/>
        <v>0.47916666666666669</v>
      </c>
      <c r="W434" s="20">
        <f>VLOOKUP(D434,Priors!$A$3:$C$6,2,FALSE)</f>
        <v>4.1142361271531161E-2</v>
      </c>
      <c r="X434" s="20">
        <f>VLOOKUP(D434,Priors!$A$3:$C$6,3,FALSE)</f>
        <v>4.0513079897554365E-2</v>
      </c>
      <c r="Y434" s="20">
        <f t="shared" si="37"/>
        <v>3.0702815459346163E-2</v>
      </c>
      <c r="Z434" s="20">
        <f t="shared" si="38"/>
        <v>2.6010593074514258E-2</v>
      </c>
      <c r="AA434" s="21">
        <v>1</v>
      </c>
      <c r="AB434" s="21">
        <v>1</v>
      </c>
      <c r="AC434" s="22">
        <f t="shared" si="39"/>
        <v>3.0702815459346163E-2</v>
      </c>
      <c r="AD434" s="22">
        <f t="shared" si="40"/>
        <v>2.6010593074514258E-2</v>
      </c>
      <c r="AE434" s="22">
        <f t="shared" si="41"/>
        <v>0.52083333333333326</v>
      </c>
      <c r="AF434" s="7" t="s">
        <v>1643</v>
      </c>
      <c r="AG434" s="7"/>
      <c r="AH434" s="7"/>
      <c r="AI434" s="7"/>
      <c r="AJ434" s="8" t="b">
        <v>0</v>
      </c>
      <c r="AK434" s="28" t="s">
        <v>1644</v>
      </c>
      <c r="AL434" s="28" t="s">
        <v>1645</v>
      </c>
      <c r="AM434" s="28"/>
      <c r="AN434" s="7"/>
      <c r="AO434" s="7">
        <v>0</v>
      </c>
      <c r="AP434" s="8" t="b">
        <v>0</v>
      </c>
      <c r="AQ434" s="28" t="s">
        <v>1646</v>
      </c>
    </row>
    <row r="435" spans="1:43" ht="30">
      <c r="A435" s="7">
        <v>422</v>
      </c>
      <c r="B435" s="7" t="s">
        <v>1278</v>
      </c>
      <c r="C435" s="7" t="s">
        <v>54</v>
      </c>
      <c r="D435" s="7" t="s">
        <v>99</v>
      </c>
      <c r="E435" s="7" t="s">
        <v>1642</v>
      </c>
      <c r="F435" s="7" t="s">
        <v>54</v>
      </c>
      <c r="G435" s="14">
        <v>977</v>
      </c>
      <c r="H435" s="15">
        <v>0.19</v>
      </c>
      <c r="I435" s="15">
        <v>0.35</v>
      </c>
      <c r="J435" s="15">
        <v>1.7502558853633575E-2</v>
      </c>
      <c r="K435" s="15">
        <v>3.2241555783009211E-2</v>
      </c>
      <c r="L435" s="15">
        <v>65.3</v>
      </c>
      <c r="M435" s="15">
        <v>1.7184210526315788</v>
      </c>
      <c r="N435" s="16">
        <v>1.0185256300736231E-2</v>
      </c>
      <c r="O435" s="16">
        <v>1.8762314238198317E-2</v>
      </c>
      <c r="P435" s="17">
        <f>IFERROR(G435/(G435+Priors!$H$3),0)</f>
        <v>0.49418310571573093</v>
      </c>
      <c r="Q435" s="18">
        <f>IF(E435="Premier League",Priors!$H$4,IF(E435="Championship",Priors!$H$5,Priors!$H$8))</f>
        <v>1</v>
      </c>
      <c r="R435" s="19" t="b">
        <v>0</v>
      </c>
      <c r="S435" s="18">
        <f>IF(R435=TRUE,Priors!$H$6,1)</f>
        <v>1</v>
      </c>
      <c r="T435" s="19" t="b">
        <v>0</v>
      </c>
      <c r="U435" s="18">
        <f>IF(T435=TRUE,Priors!$H$7,1)</f>
        <v>1</v>
      </c>
      <c r="V435" s="18">
        <f t="shared" si="36"/>
        <v>0.49418310571573093</v>
      </c>
      <c r="W435" s="20">
        <f>VLOOKUP(D435,Priors!$A$3:$C$6,2,FALSE)</f>
        <v>4.1142361271531161E-2</v>
      </c>
      <c r="X435" s="20">
        <f>VLOOKUP(D435,Priors!$A$3:$C$6,3,FALSE)</f>
        <v>4.0513079897554365E-2</v>
      </c>
      <c r="Y435" s="20">
        <f t="shared" si="37"/>
        <v>2.5843882993095833E-2</v>
      </c>
      <c r="Z435" s="20">
        <f t="shared" si="38"/>
        <v>2.9764218972318728E-2</v>
      </c>
      <c r="AA435" s="21">
        <v>1</v>
      </c>
      <c r="AB435" s="21">
        <v>1</v>
      </c>
      <c r="AC435" s="22">
        <f t="shared" si="39"/>
        <v>2.5843882993095833E-2</v>
      </c>
      <c r="AD435" s="22">
        <f t="shared" si="40"/>
        <v>2.9764218972318728E-2</v>
      </c>
      <c r="AE435" s="22">
        <f t="shared" si="41"/>
        <v>0.50581689428426913</v>
      </c>
      <c r="AF435" s="7" t="s">
        <v>1643</v>
      </c>
      <c r="AG435" s="7"/>
      <c r="AH435" s="7"/>
      <c r="AI435" s="7"/>
      <c r="AJ435" s="8" t="b">
        <v>0</v>
      </c>
      <c r="AK435" s="28" t="s">
        <v>1644</v>
      </c>
      <c r="AL435" s="28" t="s">
        <v>1645</v>
      </c>
      <c r="AM435" s="28"/>
      <c r="AN435" s="7"/>
      <c r="AO435" s="7">
        <v>0</v>
      </c>
      <c r="AP435" s="8" t="b">
        <v>0</v>
      </c>
      <c r="AQ435" s="28" t="s">
        <v>1646</v>
      </c>
    </row>
    <row r="436" spans="1:43" ht="30">
      <c r="A436" s="7">
        <v>423</v>
      </c>
      <c r="B436" s="7" t="s">
        <v>1280</v>
      </c>
      <c r="C436" s="7" t="s">
        <v>54</v>
      </c>
      <c r="D436" s="7" t="s">
        <v>99</v>
      </c>
      <c r="E436" s="7" t="s">
        <v>1642</v>
      </c>
      <c r="F436" s="7" t="s">
        <v>54</v>
      </c>
      <c r="G436" s="14">
        <v>3220</v>
      </c>
      <c r="H436" s="15">
        <v>0.72</v>
      </c>
      <c r="I436" s="15">
        <v>1.98</v>
      </c>
      <c r="J436" s="15">
        <v>2.0124223602484472E-2</v>
      </c>
      <c r="K436" s="15">
        <v>5.5341614906832294E-2</v>
      </c>
      <c r="L436" s="15">
        <v>65.3</v>
      </c>
      <c r="M436" s="15">
        <v>1.7184210526315788</v>
      </c>
      <c r="N436" s="16">
        <v>1.1710880503742879E-2</v>
      </c>
      <c r="O436" s="16">
        <v>3.2204921385292913E-2</v>
      </c>
      <c r="P436" s="17">
        <f>IFERROR(G436/(G436+Priors!$H$3),0)</f>
        <v>0.76303317535545023</v>
      </c>
      <c r="Q436" s="18">
        <f>IF(E436="Premier League",Priors!$H$4,IF(E436="Championship",Priors!$H$5,Priors!$H$8))</f>
        <v>1</v>
      </c>
      <c r="R436" s="19" t="b">
        <v>0</v>
      </c>
      <c r="S436" s="18">
        <f>IF(R436=TRUE,Priors!$H$6,1)</f>
        <v>1</v>
      </c>
      <c r="T436" s="19" t="b">
        <v>0</v>
      </c>
      <c r="U436" s="18">
        <f>IF(T436=TRUE,Priors!$H$7,1)</f>
        <v>1</v>
      </c>
      <c r="V436" s="18">
        <f t="shared" si="36"/>
        <v>0.76303317535545023</v>
      </c>
      <c r="W436" s="20">
        <f>VLOOKUP(D436,Priors!$A$3:$C$6,2,FALSE)</f>
        <v>4.1142361271531161E-2</v>
      </c>
      <c r="X436" s="20">
        <f>VLOOKUP(D436,Priors!$A$3:$C$6,3,FALSE)</f>
        <v>4.0513079897554365E-2</v>
      </c>
      <c r="Y436" s="20">
        <f t="shared" si="37"/>
        <v>1.8685165045872802E-2</v>
      </c>
      <c r="Z436" s="20">
        <f t="shared" si="38"/>
        <v>3.4173679326587096E-2</v>
      </c>
      <c r="AA436" s="21">
        <v>1</v>
      </c>
      <c r="AB436" s="21">
        <v>1</v>
      </c>
      <c r="AC436" s="22">
        <f t="shared" si="39"/>
        <v>1.8685165045872802E-2</v>
      </c>
      <c r="AD436" s="22">
        <f t="shared" si="40"/>
        <v>3.4173679326587096E-2</v>
      </c>
      <c r="AE436" s="22">
        <f t="shared" si="41"/>
        <v>0.23696682464454977</v>
      </c>
      <c r="AF436" s="7" t="s">
        <v>1643</v>
      </c>
      <c r="AG436" s="7"/>
      <c r="AH436" s="7"/>
      <c r="AI436" s="7"/>
      <c r="AJ436" s="8" t="b">
        <v>0</v>
      </c>
      <c r="AK436" s="28" t="s">
        <v>1644</v>
      </c>
      <c r="AL436" s="28" t="s">
        <v>1645</v>
      </c>
      <c r="AM436" s="28"/>
      <c r="AN436" s="7"/>
      <c r="AO436" s="7">
        <v>0</v>
      </c>
      <c r="AP436" s="8" t="b">
        <v>0</v>
      </c>
      <c r="AQ436" s="28" t="s">
        <v>1646</v>
      </c>
    </row>
    <row r="437" spans="1:43" ht="15">
      <c r="A437" s="7">
        <v>424</v>
      </c>
      <c r="B437" s="7" t="s">
        <v>1283</v>
      </c>
      <c r="C437" s="7" t="s">
        <v>54</v>
      </c>
      <c r="D437" s="7" t="s">
        <v>99</v>
      </c>
      <c r="E437" s="7" t="s">
        <v>1647</v>
      </c>
      <c r="F437" s="7"/>
      <c r="G437" s="14"/>
      <c r="H437" s="15"/>
      <c r="I437" s="15"/>
      <c r="J437" s="15"/>
      <c r="K437" s="15"/>
      <c r="L437" s="15"/>
      <c r="M437" s="15"/>
      <c r="N437" s="16"/>
      <c r="O437" s="16"/>
      <c r="P437" s="17">
        <f>IFERROR(G437/(G437+Priors!$H$3),0)</f>
        <v>0</v>
      </c>
      <c r="Q437" s="18">
        <f>IF(E437="Premier League",Priors!$H$4,IF(E437="Championship",Priors!$H$5,Priors!$H$8))</f>
        <v>0</v>
      </c>
      <c r="R437" s="19" t="b">
        <v>0</v>
      </c>
      <c r="S437" s="18">
        <f>IF(R437=TRUE,Priors!$H$6,1)</f>
        <v>1</v>
      </c>
      <c r="T437" s="19" t="b">
        <v>0</v>
      </c>
      <c r="U437" s="18">
        <f>IF(T437=TRUE,Priors!$H$7,1)</f>
        <v>1</v>
      </c>
      <c r="V437" s="18">
        <f t="shared" si="36"/>
        <v>0</v>
      </c>
      <c r="W437" s="20">
        <f>VLOOKUP(D437,Priors!$A$3:$C$6,2,FALSE)</f>
        <v>4.1142361271531161E-2</v>
      </c>
      <c r="X437" s="20">
        <f>VLOOKUP(D437,Priors!$A$3:$C$6,3,FALSE)</f>
        <v>4.0513079897554365E-2</v>
      </c>
      <c r="Y437" s="20">
        <f t="shared" si="37"/>
        <v>4.1142361271531161E-2</v>
      </c>
      <c r="Z437" s="20">
        <f t="shared" si="38"/>
        <v>4.0513079897554365E-2</v>
      </c>
      <c r="AA437" s="21">
        <v>1</v>
      </c>
      <c r="AB437" s="21">
        <v>1</v>
      </c>
      <c r="AC437" s="22">
        <f t="shared" si="39"/>
        <v>4.1142361271531161E-2</v>
      </c>
      <c r="AD437" s="22">
        <f t="shared" si="40"/>
        <v>4.0513079897554365E-2</v>
      </c>
      <c r="AE437" s="22">
        <f t="shared" si="41"/>
        <v>1</v>
      </c>
      <c r="AF437" s="7" t="s">
        <v>1647</v>
      </c>
      <c r="AG437" s="7"/>
      <c r="AH437" s="7"/>
      <c r="AI437" s="7"/>
      <c r="AJ437" s="8" t="b">
        <v>1</v>
      </c>
      <c r="AK437" s="28" t="s">
        <v>1648</v>
      </c>
      <c r="AL437" s="28"/>
      <c r="AM437" s="28"/>
      <c r="AN437" s="7"/>
      <c r="AO437" s="7">
        <v>0</v>
      </c>
      <c r="AP437" s="8" t="b">
        <v>0</v>
      </c>
      <c r="AQ437" s="28" t="s">
        <v>1646</v>
      </c>
    </row>
    <row r="438" spans="1:43" ht="30">
      <c r="A438" s="7">
        <v>425</v>
      </c>
      <c r="B438" s="7" t="s">
        <v>1286</v>
      </c>
      <c r="C438" s="7" t="s">
        <v>54</v>
      </c>
      <c r="D438" s="7" t="s">
        <v>99</v>
      </c>
      <c r="E438" s="7" t="s">
        <v>1642</v>
      </c>
      <c r="F438" s="7" t="s">
        <v>54</v>
      </c>
      <c r="G438" s="14">
        <v>2</v>
      </c>
      <c r="H438" s="15">
        <v>0</v>
      </c>
      <c r="I438" s="15">
        <v>0</v>
      </c>
      <c r="J438" s="15">
        <v>0</v>
      </c>
      <c r="K438" s="15">
        <v>0</v>
      </c>
      <c r="L438" s="15">
        <v>65.3</v>
      </c>
      <c r="M438" s="15">
        <v>1.7184210526315788</v>
      </c>
      <c r="N438" s="16">
        <v>0</v>
      </c>
      <c r="O438" s="16">
        <v>0</v>
      </c>
      <c r="P438" s="17">
        <f>IFERROR(G438/(G438+Priors!$H$3),0)</f>
        <v>1.996007984031936E-3</v>
      </c>
      <c r="Q438" s="18">
        <f>IF(E438="Premier League",Priors!$H$4,IF(E438="Championship",Priors!$H$5,Priors!$H$8))</f>
        <v>1</v>
      </c>
      <c r="R438" s="19" t="b">
        <v>0</v>
      </c>
      <c r="S438" s="18">
        <f>IF(R438=TRUE,Priors!$H$6,1)</f>
        <v>1</v>
      </c>
      <c r="T438" s="19" t="b">
        <v>0</v>
      </c>
      <c r="U438" s="18">
        <f>IF(T438=TRUE,Priors!$H$7,1)</f>
        <v>1</v>
      </c>
      <c r="V438" s="18">
        <f t="shared" si="36"/>
        <v>1.996007984031936E-3</v>
      </c>
      <c r="W438" s="20">
        <f>VLOOKUP(D438,Priors!$A$3:$C$6,2,FALSE)</f>
        <v>4.1142361271531161E-2</v>
      </c>
      <c r="X438" s="20">
        <f>VLOOKUP(D438,Priors!$A$3:$C$6,3,FALSE)</f>
        <v>4.0513079897554365E-2</v>
      </c>
      <c r="Y438" s="20">
        <f t="shared" si="37"/>
        <v>4.1060240789951255E-2</v>
      </c>
      <c r="Z438" s="20">
        <f t="shared" si="38"/>
        <v>4.0432215466621117E-2</v>
      </c>
      <c r="AA438" s="21">
        <v>1</v>
      </c>
      <c r="AB438" s="21">
        <v>1</v>
      </c>
      <c r="AC438" s="22">
        <f t="shared" si="39"/>
        <v>4.1060240789951255E-2</v>
      </c>
      <c r="AD438" s="22">
        <f t="shared" si="40"/>
        <v>4.0432215466621117E-2</v>
      </c>
      <c r="AE438" s="22">
        <f t="shared" si="41"/>
        <v>0.99800399201596801</v>
      </c>
      <c r="AF438" s="7" t="s">
        <v>1643</v>
      </c>
      <c r="AG438" s="7"/>
      <c r="AH438" s="7"/>
      <c r="AI438" s="7"/>
      <c r="AJ438" s="8" t="b">
        <v>1</v>
      </c>
      <c r="AK438" s="28" t="s">
        <v>1644</v>
      </c>
      <c r="AL438" s="28" t="s">
        <v>1645</v>
      </c>
      <c r="AM438" s="28"/>
      <c r="AN438" s="7"/>
      <c r="AO438" s="7">
        <v>0</v>
      </c>
      <c r="AP438" s="8" t="b">
        <v>0</v>
      </c>
      <c r="AQ438" s="28" t="s">
        <v>1646</v>
      </c>
    </row>
    <row r="439" spans="1:43" ht="30">
      <c r="A439" s="7">
        <v>426</v>
      </c>
      <c r="B439" s="7" t="s">
        <v>1289</v>
      </c>
      <c r="C439" s="7" t="s">
        <v>54</v>
      </c>
      <c r="D439" s="7" t="s">
        <v>112</v>
      </c>
      <c r="E439" s="7" t="s">
        <v>1642</v>
      </c>
      <c r="F439" s="7" t="s">
        <v>54</v>
      </c>
      <c r="G439" s="14">
        <v>3065</v>
      </c>
      <c r="H439" s="15">
        <v>10.79</v>
      </c>
      <c r="I439" s="15">
        <v>12.28</v>
      </c>
      <c r="J439" s="15">
        <v>0.31683523654159867</v>
      </c>
      <c r="K439" s="15">
        <v>0.36058727569331162</v>
      </c>
      <c r="L439" s="15">
        <v>65.3</v>
      </c>
      <c r="M439" s="15">
        <v>1.7184210526315788</v>
      </c>
      <c r="N439" s="16">
        <v>0.18437578849281394</v>
      </c>
      <c r="O439" s="16">
        <v>0.20983639320590877</v>
      </c>
      <c r="P439" s="17">
        <f>IFERROR(G439/(G439+Priors!$H$3),0)</f>
        <v>0.75399753997539976</v>
      </c>
      <c r="Q439" s="18">
        <f>IF(E439="Premier League",Priors!$H$4,IF(E439="Championship",Priors!$H$5,Priors!$H$8))</f>
        <v>1</v>
      </c>
      <c r="R439" s="19" t="b">
        <v>0</v>
      </c>
      <c r="S439" s="18">
        <f>IF(R439=TRUE,Priors!$H$6,1)</f>
        <v>1</v>
      </c>
      <c r="T439" s="19" t="b">
        <v>0</v>
      </c>
      <c r="U439" s="18">
        <f>IF(T439=TRUE,Priors!$H$7,1)</f>
        <v>1</v>
      </c>
      <c r="V439" s="18">
        <f t="shared" si="36"/>
        <v>0.75399753997539976</v>
      </c>
      <c r="W439" s="20">
        <f>VLOOKUP(D439,Priors!$A$3:$C$6,2,FALSE)</f>
        <v>0.10751786102217777</v>
      </c>
      <c r="X439" s="20">
        <f>VLOOKUP(D439,Priors!$A$3:$C$6,3,FALSE)</f>
        <v>9.0240671969462088E-2</v>
      </c>
      <c r="Y439" s="20">
        <f t="shared" si="37"/>
        <v>0.16546854926264512</v>
      </c>
      <c r="Z439" s="20">
        <f t="shared" si="38"/>
        <v>0.18041555157332656</v>
      </c>
      <c r="AA439" s="21">
        <v>1</v>
      </c>
      <c r="AB439" s="21">
        <v>1</v>
      </c>
      <c r="AC439" s="22">
        <f t="shared" si="39"/>
        <v>0.16546854926264512</v>
      </c>
      <c r="AD439" s="22">
        <f t="shared" si="40"/>
        <v>0.18041555157332656</v>
      </c>
      <c r="AE439" s="22">
        <f t="shared" si="41"/>
        <v>0.24600246002460024</v>
      </c>
      <c r="AF439" s="7" t="s">
        <v>1643</v>
      </c>
      <c r="AG439" s="7">
        <v>1</v>
      </c>
      <c r="AH439" s="7">
        <v>1</v>
      </c>
      <c r="AI439" s="7">
        <v>4</v>
      </c>
      <c r="AJ439" s="8" t="b">
        <v>0</v>
      </c>
      <c r="AK439" s="28" t="s">
        <v>1644</v>
      </c>
      <c r="AL439" s="28" t="s">
        <v>1645</v>
      </c>
      <c r="AM439" s="28"/>
      <c r="AN439" s="7"/>
      <c r="AO439" s="7">
        <v>0</v>
      </c>
      <c r="AP439" s="8" t="b">
        <v>0</v>
      </c>
      <c r="AQ439" s="28" t="s">
        <v>1646</v>
      </c>
    </row>
    <row r="440" spans="1:43" ht="30">
      <c r="A440" s="7">
        <v>427</v>
      </c>
      <c r="B440" s="7" t="s">
        <v>1292</v>
      </c>
      <c r="C440" s="7" t="s">
        <v>54</v>
      </c>
      <c r="D440" s="7" t="s">
        <v>112</v>
      </c>
      <c r="E440" s="7" t="s">
        <v>1642</v>
      </c>
      <c r="F440" s="7" t="s">
        <v>54</v>
      </c>
      <c r="G440" s="14">
        <v>2611</v>
      </c>
      <c r="H440" s="15">
        <v>11.98</v>
      </c>
      <c r="I440" s="15">
        <v>4.99</v>
      </c>
      <c r="J440" s="15">
        <v>0.41294523171198777</v>
      </c>
      <c r="K440" s="15">
        <v>0.17200306396016854</v>
      </c>
      <c r="L440" s="15">
        <v>65.3</v>
      </c>
      <c r="M440" s="15">
        <v>1.7184210526315788</v>
      </c>
      <c r="N440" s="16">
        <v>0.24030503529947222</v>
      </c>
      <c r="O440" s="16">
        <v>0.10009366662306898</v>
      </c>
      <c r="P440" s="17">
        <f>IFERROR(G440/(G440+Priors!$H$3),0)</f>
        <v>0.72306840210468015</v>
      </c>
      <c r="Q440" s="18">
        <f>IF(E440="Premier League",Priors!$H$4,IF(E440="Championship",Priors!$H$5,Priors!$H$8))</f>
        <v>1</v>
      </c>
      <c r="R440" s="19" t="b">
        <v>0</v>
      </c>
      <c r="S440" s="18">
        <f>IF(R440=TRUE,Priors!$H$6,1)</f>
        <v>1</v>
      </c>
      <c r="T440" s="19" t="b">
        <v>0</v>
      </c>
      <c r="U440" s="18">
        <f>IF(T440=TRUE,Priors!$H$7,1)</f>
        <v>1</v>
      </c>
      <c r="V440" s="18">
        <f t="shared" si="36"/>
        <v>0.72306840210468015</v>
      </c>
      <c r="W440" s="20">
        <f>VLOOKUP(D440,Priors!$A$3:$C$6,2,FALSE)</f>
        <v>0.10751786102217777</v>
      </c>
      <c r="X440" s="20">
        <f>VLOOKUP(D440,Priors!$A$3:$C$6,3,FALSE)</f>
        <v>9.0240671969462088E-2</v>
      </c>
      <c r="Y440" s="20">
        <f t="shared" si="37"/>
        <v>0.20353207094685677</v>
      </c>
      <c r="Z440" s="20">
        <f t="shared" si="38"/>
        <v>9.7365061069591585E-2</v>
      </c>
      <c r="AA440" s="21">
        <v>1</v>
      </c>
      <c r="AB440" s="21">
        <v>1</v>
      </c>
      <c r="AC440" s="22">
        <f t="shared" si="39"/>
        <v>0.20353207094685677</v>
      </c>
      <c r="AD440" s="22">
        <f t="shared" si="40"/>
        <v>9.7365061069591585E-2</v>
      </c>
      <c r="AE440" s="22">
        <f t="shared" si="41"/>
        <v>0.27693159789531985</v>
      </c>
      <c r="AF440" s="7" t="s">
        <v>1643</v>
      </c>
      <c r="AG440" s="7">
        <v>2</v>
      </c>
      <c r="AH440" s="7">
        <v>2</v>
      </c>
      <c r="AI440" s="7">
        <v>5</v>
      </c>
      <c r="AJ440" s="8" t="b">
        <v>0</v>
      </c>
      <c r="AK440" s="28" t="s">
        <v>1644</v>
      </c>
      <c r="AL440" s="28" t="s">
        <v>1645</v>
      </c>
      <c r="AM440" s="28"/>
      <c r="AN440" s="7"/>
      <c r="AO440" s="7">
        <v>0</v>
      </c>
      <c r="AP440" s="8" t="b">
        <v>0</v>
      </c>
      <c r="AQ440" s="28" t="s">
        <v>1646</v>
      </c>
    </row>
    <row r="441" spans="1:43" ht="30">
      <c r="A441" s="7">
        <v>428</v>
      </c>
      <c r="B441" s="7" t="s">
        <v>1295</v>
      </c>
      <c r="C441" s="7" t="s">
        <v>54</v>
      </c>
      <c r="D441" s="7" t="s">
        <v>112</v>
      </c>
      <c r="E441" s="7" t="s">
        <v>1642</v>
      </c>
      <c r="F441" s="7" t="s">
        <v>54</v>
      </c>
      <c r="G441" s="14">
        <v>2493</v>
      </c>
      <c r="H441" s="15">
        <v>6.9</v>
      </c>
      <c r="I441" s="15">
        <v>3.36</v>
      </c>
      <c r="J441" s="15">
        <v>0.24909747292418771</v>
      </c>
      <c r="K441" s="15">
        <v>0.12129963898916966</v>
      </c>
      <c r="L441" s="15">
        <v>65.3</v>
      </c>
      <c r="M441" s="15">
        <v>1.7184210526315788</v>
      </c>
      <c r="N441" s="16">
        <v>0.14495718179355488</v>
      </c>
      <c r="O441" s="16">
        <v>7.0587845047296288E-2</v>
      </c>
      <c r="P441" s="17">
        <f>IFERROR(G441/(G441+Priors!$H$3),0)</f>
        <v>0.71371314056684798</v>
      </c>
      <c r="Q441" s="18">
        <f>IF(E441="Premier League",Priors!$H$4,IF(E441="Championship",Priors!$H$5,Priors!$H$8))</f>
        <v>1</v>
      </c>
      <c r="R441" s="19" t="b">
        <v>0</v>
      </c>
      <c r="S441" s="18">
        <f>IF(R441=TRUE,Priors!$H$6,1)</f>
        <v>1</v>
      </c>
      <c r="T441" s="19" t="b">
        <v>0</v>
      </c>
      <c r="U441" s="18">
        <f>IF(T441=TRUE,Priors!$H$7,1)</f>
        <v>1</v>
      </c>
      <c r="V441" s="18">
        <f t="shared" si="36"/>
        <v>0.71371314056684798</v>
      </c>
      <c r="W441" s="20">
        <f>VLOOKUP(D441,Priors!$A$3:$C$6,2,FALSE)</f>
        <v>0.10751786102217777</v>
      </c>
      <c r="X441" s="20">
        <f>VLOOKUP(D441,Priors!$A$3:$C$6,3,FALSE)</f>
        <v>9.0240671969462088E-2</v>
      </c>
      <c r="Y441" s="20">
        <f t="shared" si="37"/>
        <v>0.13423879623060694</v>
      </c>
      <c r="Z441" s="20">
        <f t="shared" si="38"/>
        <v>7.6214191145826435E-2</v>
      </c>
      <c r="AA441" s="21">
        <v>1</v>
      </c>
      <c r="AB441" s="21">
        <v>1</v>
      </c>
      <c r="AC441" s="22">
        <f t="shared" si="39"/>
        <v>0.13423879623060694</v>
      </c>
      <c r="AD441" s="22">
        <f t="shared" si="40"/>
        <v>7.6214191145826435E-2</v>
      </c>
      <c r="AE441" s="22">
        <f t="shared" si="41"/>
        <v>0.28628685943315202</v>
      </c>
      <c r="AF441" s="7" t="s">
        <v>1643</v>
      </c>
      <c r="AG441" s="7"/>
      <c r="AH441" s="7"/>
      <c r="AI441" s="7"/>
      <c r="AJ441" s="8" t="b">
        <v>0</v>
      </c>
      <c r="AK441" s="28" t="s">
        <v>1644</v>
      </c>
      <c r="AL441" s="28" t="s">
        <v>1645</v>
      </c>
      <c r="AM441" s="28"/>
      <c r="AN441" s="7"/>
      <c r="AO441" s="7">
        <v>0</v>
      </c>
      <c r="AP441" s="8" t="b">
        <v>0</v>
      </c>
      <c r="AQ441" s="28" t="s">
        <v>1646</v>
      </c>
    </row>
    <row r="442" spans="1:43" ht="15">
      <c r="A442" s="7">
        <v>429</v>
      </c>
      <c r="B442" s="7" t="s">
        <v>1297</v>
      </c>
      <c r="C442" s="7" t="s">
        <v>54</v>
      </c>
      <c r="D442" s="7" t="s">
        <v>112</v>
      </c>
      <c r="E442" s="7" t="s">
        <v>1647</v>
      </c>
      <c r="F442" s="7"/>
      <c r="G442" s="14"/>
      <c r="H442" s="15"/>
      <c r="I442" s="15"/>
      <c r="J442" s="15"/>
      <c r="K442" s="15"/>
      <c r="L442" s="15"/>
      <c r="M442" s="15"/>
      <c r="N442" s="16"/>
      <c r="O442" s="16"/>
      <c r="P442" s="17">
        <f>IFERROR(G442/(G442+Priors!$H$3),0)</f>
        <v>0</v>
      </c>
      <c r="Q442" s="18">
        <f>IF(E442="Premier League",Priors!$H$4,IF(E442="Championship",Priors!$H$5,Priors!$H$8))</f>
        <v>0</v>
      </c>
      <c r="R442" s="19" t="b">
        <v>0</v>
      </c>
      <c r="S442" s="18">
        <f>IF(R442=TRUE,Priors!$H$6,1)</f>
        <v>1</v>
      </c>
      <c r="T442" s="19" t="b">
        <v>0</v>
      </c>
      <c r="U442" s="18">
        <f>IF(T442=TRUE,Priors!$H$7,1)</f>
        <v>1</v>
      </c>
      <c r="V442" s="18">
        <f t="shared" si="36"/>
        <v>0</v>
      </c>
      <c r="W442" s="20">
        <f>VLOOKUP(D442,Priors!$A$3:$C$6,2,FALSE)</f>
        <v>0.10751786102217777</v>
      </c>
      <c r="X442" s="20">
        <f>VLOOKUP(D442,Priors!$A$3:$C$6,3,FALSE)</f>
        <v>9.0240671969462088E-2</v>
      </c>
      <c r="Y442" s="20">
        <f t="shared" si="37"/>
        <v>0.10751786102217777</v>
      </c>
      <c r="Z442" s="20">
        <f t="shared" si="38"/>
        <v>9.0240671969462088E-2</v>
      </c>
      <c r="AA442" s="21">
        <v>1</v>
      </c>
      <c r="AB442" s="21">
        <v>1</v>
      </c>
      <c r="AC442" s="22">
        <f t="shared" si="39"/>
        <v>0.10751786102217777</v>
      </c>
      <c r="AD442" s="22">
        <f t="shared" si="40"/>
        <v>9.0240671969462088E-2</v>
      </c>
      <c r="AE442" s="22">
        <f t="shared" si="41"/>
        <v>1</v>
      </c>
      <c r="AF442" s="7" t="s">
        <v>1647</v>
      </c>
      <c r="AG442" s="7"/>
      <c r="AH442" s="7"/>
      <c r="AI442" s="7"/>
      <c r="AJ442" s="8" t="b">
        <v>1</v>
      </c>
      <c r="AK442" s="28" t="s">
        <v>1648</v>
      </c>
      <c r="AL442" s="28"/>
      <c r="AM442" s="28"/>
      <c r="AN442" s="7"/>
      <c r="AO442" s="7">
        <v>0</v>
      </c>
      <c r="AP442" s="8" t="b">
        <v>0</v>
      </c>
      <c r="AQ442" s="28" t="s">
        <v>1646</v>
      </c>
    </row>
    <row r="443" spans="1:43" ht="30">
      <c r="A443" s="7">
        <v>430</v>
      </c>
      <c r="B443" s="7" t="s">
        <v>1300</v>
      </c>
      <c r="C443" s="7" t="s">
        <v>54</v>
      </c>
      <c r="D443" s="7" t="s">
        <v>112</v>
      </c>
      <c r="E443" s="7" t="s">
        <v>1642</v>
      </c>
      <c r="F443" s="7" t="s">
        <v>54</v>
      </c>
      <c r="G443" s="14">
        <v>1010</v>
      </c>
      <c r="H443" s="15">
        <v>1.56</v>
      </c>
      <c r="I443" s="15">
        <v>1.62</v>
      </c>
      <c r="J443" s="15">
        <v>0.13900990099009902</v>
      </c>
      <c r="K443" s="15">
        <v>0.14435643564356437</v>
      </c>
      <c r="L443" s="15">
        <v>65.3</v>
      </c>
      <c r="M443" s="15">
        <v>1.7184210526315788</v>
      </c>
      <c r="N443" s="16">
        <v>8.0893969948296521E-2</v>
      </c>
      <c r="O443" s="16">
        <v>8.4005276484769478E-2</v>
      </c>
      <c r="P443" s="17">
        <f>IFERROR(G443/(G443+Priors!$H$3),0)</f>
        <v>0.50248756218905477</v>
      </c>
      <c r="Q443" s="18">
        <f>IF(E443="Premier League",Priors!$H$4,IF(E443="Championship",Priors!$H$5,Priors!$H$8))</f>
        <v>1</v>
      </c>
      <c r="R443" s="19" t="b">
        <v>0</v>
      </c>
      <c r="S443" s="18">
        <f>IF(R443=TRUE,Priors!$H$6,1)</f>
        <v>1</v>
      </c>
      <c r="T443" s="19" t="b">
        <v>0</v>
      </c>
      <c r="U443" s="18">
        <f>IF(T443=TRUE,Priors!$H$7,1)</f>
        <v>1</v>
      </c>
      <c r="V443" s="18">
        <f t="shared" si="36"/>
        <v>0.50248756218905477</v>
      </c>
      <c r="W443" s="20">
        <f>VLOOKUP(D443,Priors!$A$3:$C$6,2,FALSE)</f>
        <v>0.10751786102217777</v>
      </c>
      <c r="X443" s="20">
        <f>VLOOKUP(D443,Priors!$A$3:$C$6,3,FALSE)</f>
        <v>9.0240671969462088E-2</v>
      </c>
      <c r="Y443" s="20">
        <f t="shared" si="37"/>
        <v>9.4139686900476249E-2</v>
      </c>
      <c r="Z443" s="20">
        <f t="shared" si="38"/>
        <v>8.7107463293074255E-2</v>
      </c>
      <c r="AA443" s="21">
        <v>1</v>
      </c>
      <c r="AB443" s="21">
        <v>1</v>
      </c>
      <c r="AC443" s="22">
        <f t="shared" si="39"/>
        <v>9.4139686900476249E-2</v>
      </c>
      <c r="AD443" s="22">
        <f t="shared" si="40"/>
        <v>8.7107463293074255E-2</v>
      </c>
      <c r="AE443" s="22">
        <f t="shared" si="41"/>
        <v>0.49751243781094523</v>
      </c>
      <c r="AF443" s="7" t="s">
        <v>1643</v>
      </c>
      <c r="AG443" s="7"/>
      <c r="AH443" s="7">
        <v>3</v>
      </c>
      <c r="AI443" s="7"/>
      <c r="AJ443" s="8" t="b">
        <v>0</v>
      </c>
      <c r="AK443" s="28" t="s">
        <v>1644</v>
      </c>
      <c r="AL443" s="28" t="s">
        <v>1645</v>
      </c>
      <c r="AM443" s="28"/>
      <c r="AN443" s="7"/>
      <c r="AO443" s="7">
        <v>0</v>
      </c>
      <c r="AP443" s="8" t="b">
        <v>0</v>
      </c>
      <c r="AQ443" s="28" t="s">
        <v>1646</v>
      </c>
    </row>
    <row r="444" spans="1:43" ht="30">
      <c r="A444" s="7">
        <v>431</v>
      </c>
      <c r="B444" s="7" t="s">
        <v>1303</v>
      </c>
      <c r="C444" s="7" t="s">
        <v>54</v>
      </c>
      <c r="D444" s="7" t="s">
        <v>112</v>
      </c>
      <c r="E444" s="7" t="s">
        <v>1642</v>
      </c>
      <c r="F444" s="7" t="s">
        <v>54</v>
      </c>
      <c r="G444" s="14">
        <v>2339</v>
      </c>
      <c r="H444" s="15">
        <v>5.46</v>
      </c>
      <c r="I444" s="15">
        <v>4.74</v>
      </c>
      <c r="J444" s="15">
        <v>0.21008978195810174</v>
      </c>
      <c r="K444" s="15">
        <v>0.18238563488670373</v>
      </c>
      <c r="L444" s="15">
        <v>65.3</v>
      </c>
      <c r="M444" s="15">
        <v>1.7184210526315788</v>
      </c>
      <c r="N444" s="16">
        <v>0.12225745351313731</v>
      </c>
      <c r="O444" s="16">
        <v>0.10613559151140493</v>
      </c>
      <c r="P444" s="17">
        <f>IFERROR(G444/(G444+Priors!$H$3),0)</f>
        <v>0.70050913447139862</v>
      </c>
      <c r="Q444" s="18">
        <f>IF(E444="Premier League",Priors!$H$4,IF(E444="Championship",Priors!$H$5,Priors!$H$8))</f>
        <v>1</v>
      </c>
      <c r="R444" s="19" t="b">
        <v>0</v>
      </c>
      <c r="S444" s="18">
        <f>IF(R444=TRUE,Priors!$H$6,1)</f>
        <v>1</v>
      </c>
      <c r="T444" s="19" t="b">
        <v>0</v>
      </c>
      <c r="U444" s="18">
        <f>IF(T444=TRUE,Priors!$H$7,1)</f>
        <v>1</v>
      </c>
      <c r="V444" s="18">
        <f t="shared" si="36"/>
        <v>0.70050913447139862</v>
      </c>
      <c r="W444" s="20">
        <f>VLOOKUP(D444,Priors!$A$3:$C$6,2,FALSE)</f>
        <v>0.10751786102217777</v>
      </c>
      <c r="X444" s="20">
        <f>VLOOKUP(D444,Priors!$A$3:$C$6,3,FALSE)</f>
        <v>9.0240671969462088E-2</v>
      </c>
      <c r="Y444" s="20">
        <f t="shared" si="37"/>
        <v>0.11784308020048097</v>
      </c>
      <c r="Z444" s="20">
        <f t="shared" si="38"/>
        <v>0.10137520830028099</v>
      </c>
      <c r="AA444" s="21">
        <v>1</v>
      </c>
      <c r="AB444" s="21">
        <v>1</v>
      </c>
      <c r="AC444" s="22">
        <f t="shared" si="39"/>
        <v>0.11784308020048097</v>
      </c>
      <c r="AD444" s="22">
        <f t="shared" si="40"/>
        <v>0.10137520830028099</v>
      </c>
      <c r="AE444" s="22">
        <f t="shared" si="41"/>
        <v>0.29949086552860138</v>
      </c>
      <c r="AF444" s="7" t="s">
        <v>1643</v>
      </c>
      <c r="AG444" s="7"/>
      <c r="AH444" s="7"/>
      <c r="AI444" s="7">
        <v>6</v>
      </c>
      <c r="AJ444" s="8" t="b">
        <v>0</v>
      </c>
      <c r="AK444" s="28" t="s">
        <v>1644</v>
      </c>
      <c r="AL444" s="28" t="s">
        <v>1645</v>
      </c>
      <c r="AM444" s="28"/>
      <c r="AN444" s="7"/>
      <c r="AO444" s="7">
        <v>0</v>
      </c>
      <c r="AP444" s="8" t="b">
        <v>0</v>
      </c>
      <c r="AQ444" s="28" t="s">
        <v>1646</v>
      </c>
    </row>
    <row r="445" spans="1:43" ht="30">
      <c r="A445" s="7">
        <v>432</v>
      </c>
      <c r="B445" s="7" t="s">
        <v>1305</v>
      </c>
      <c r="C445" s="7" t="s">
        <v>54</v>
      </c>
      <c r="D445" s="7" t="s">
        <v>112</v>
      </c>
      <c r="E445" s="7" t="s">
        <v>1642</v>
      </c>
      <c r="F445" s="7" t="s">
        <v>54</v>
      </c>
      <c r="G445" s="14">
        <v>1653</v>
      </c>
      <c r="H445" s="15">
        <v>0.48</v>
      </c>
      <c r="I445" s="15">
        <v>1.27</v>
      </c>
      <c r="J445" s="15">
        <v>2.613430127041742E-2</v>
      </c>
      <c r="K445" s="15">
        <v>6.9147005444646095E-2</v>
      </c>
      <c r="L445" s="15">
        <v>65.3</v>
      </c>
      <c r="M445" s="15">
        <v>1.7184210526315788</v>
      </c>
      <c r="N445" s="16">
        <v>1.5208322331942756E-2</v>
      </c>
      <c r="O445" s="16">
        <v>4.0238686169931877E-2</v>
      </c>
      <c r="P445" s="17">
        <f>IFERROR(G445/(G445+Priors!$H$3),0)</f>
        <v>0.62306822465133815</v>
      </c>
      <c r="Q445" s="18">
        <f>IF(E445="Premier League",Priors!$H$4,IF(E445="Championship",Priors!$H$5,Priors!$H$8))</f>
        <v>1</v>
      </c>
      <c r="R445" s="19" t="b">
        <v>0</v>
      </c>
      <c r="S445" s="18">
        <f>IF(R445=TRUE,Priors!$H$6,1)</f>
        <v>1</v>
      </c>
      <c r="T445" s="19" t="b">
        <v>0</v>
      </c>
      <c r="U445" s="18">
        <f>IF(T445=TRUE,Priors!$H$7,1)</f>
        <v>1</v>
      </c>
      <c r="V445" s="18">
        <f t="shared" si="36"/>
        <v>0.62306822465133815</v>
      </c>
      <c r="W445" s="20">
        <f>VLOOKUP(D445,Priors!$A$3:$C$6,2,FALSE)</f>
        <v>0.10751786102217777</v>
      </c>
      <c r="X445" s="20">
        <f>VLOOKUP(D445,Priors!$A$3:$C$6,3,FALSE)</f>
        <v>9.0240671969462088E-2</v>
      </c>
      <c r="Y445" s="20">
        <f t="shared" si="37"/>
        <v>5.000272063206903E-2</v>
      </c>
      <c r="Z445" s="20">
        <f t="shared" si="38"/>
        <v>5.9086023448307379E-2</v>
      </c>
      <c r="AA445" s="21">
        <v>1</v>
      </c>
      <c r="AB445" s="21">
        <v>1</v>
      </c>
      <c r="AC445" s="22">
        <f t="shared" si="39"/>
        <v>5.000272063206903E-2</v>
      </c>
      <c r="AD445" s="22">
        <f t="shared" si="40"/>
        <v>5.9086023448307379E-2</v>
      </c>
      <c r="AE445" s="22">
        <f t="shared" si="41"/>
        <v>0.37693177534866185</v>
      </c>
      <c r="AF445" s="7" t="s">
        <v>1643</v>
      </c>
      <c r="AG445" s="7"/>
      <c r="AH445" s="7"/>
      <c r="AI445" s="7"/>
      <c r="AJ445" s="8" t="b">
        <v>0</v>
      </c>
      <c r="AK445" s="28" t="s">
        <v>1644</v>
      </c>
      <c r="AL445" s="28" t="s">
        <v>1645</v>
      </c>
      <c r="AM445" s="28"/>
      <c r="AN445" s="7"/>
      <c r="AO445" s="7"/>
      <c r="AP445" s="7"/>
      <c r="AQ445" s="28" t="s">
        <v>1650</v>
      </c>
    </row>
    <row r="446" spans="1:43" ht="30">
      <c r="A446" s="7">
        <v>433</v>
      </c>
      <c r="B446" s="7" t="s">
        <v>1308</v>
      </c>
      <c r="C446" s="7" t="s">
        <v>54</v>
      </c>
      <c r="D446" s="7" t="s">
        <v>112</v>
      </c>
      <c r="E446" s="7" t="s">
        <v>1642</v>
      </c>
      <c r="F446" s="7" t="s">
        <v>54</v>
      </c>
      <c r="G446" s="14">
        <v>876</v>
      </c>
      <c r="H446" s="15">
        <v>0.72</v>
      </c>
      <c r="I446" s="15">
        <v>0.16</v>
      </c>
      <c r="J446" s="15">
        <v>7.3972602739726029E-2</v>
      </c>
      <c r="K446" s="15">
        <v>1.6438356164383564E-2</v>
      </c>
      <c r="L446" s="15">
        <v>65.3</v>
      </c>
      <c r="M446" s="15">
        <v>1.7184210526315788</v>
      </c>
      <c r="N446" s="16">
        <v>4.3046843860790038E-2</v>
      </c>
      <c r="O446" s="16">
        <v>9.5659653023977866E-3</v>
      </c>
      <c r="P446" s="17">
        <f>IFERROR(G446/(G446+Priors!$H$3),0)</f>
        <v>0.46695095948827292</v>
      </c>
      <c r="Q446" s="18">
        <f>IF(E446="Premier League",Priors!$H$4,IF(E446="Championship",Priors!$H$5,Priors!$H$8))</f>
        <v>1</v>
      </c>
      <c r="R446" s="19" t="b">
        <v>0</v>
      </c>
      <c r="S446" s="18">
        <f>IF(R446=TRUE,Priors!$H$6,1)</f>
        <v>1</v>
      </c>
      <c r="T446" s="19" t="b">
        <v>0</v>
      </c>
      <c r="U446" s="18">
        <f>IF(T446=TRUE,Priors!$H$7,1)</f>
        <v>1</v>
      </c>
      <c r="V446" s="18">
        <f t="shared" si="36"/>
        <v>0.46695095948827292</v>
      </c>
      <c r="W446" s="20">
        <f>VLOOKUP(D446,Priors!$A$3:$C$6,2,FALSE)</f>
        <v>0.10751786102217777</v>
      </c>
      <c r="X446" s="20">
        <f>VLOOKUP(D446,Priors!$A$3:$C$6,3,FALSE)</f>
        <v>9.0240671969462088E-2</v>
      </c>
      <c r="Y446" s="20">
        <f t="shared" si="37"/>
        <v>7.7413057699482854E-2</v>
      </c>
      <c r="Z446" s="20">
        <f t="shared" si="38"/>
        <v>5.256954028484144E-2</v>
      </c>
      <c r="AA446" s="21">
        <v>1</v>
      </c>
      <c r="AB446" s="21">
        <v>1</v>
      </c>
      <c r="AC446" s="22">
        <f t="shared" si="39"/>
        <v>7.7413057699482854E-2</v>
      </c>
      <c r="AD446" s="22">
        <f t="shared" si="40"/>
        <v>5.256954028484144E-2</v>
      </c>
      <c r="AE446" s="22">
        <f t="shared" si="41"/>
        <v>0.53304904051172708</v>
      </c>
      <c r="AF446" s="7" t="s">
        <v>1643</v>
      </c>
      <c r="AG446" s="7"/>
      <c r="AH446" s="7"/>
      <c r="AI446" s="7"/>
      <c r="AJ446" s="8" t="b">
        <v>0</v>
      </c>
      <c r="AK446" s="28" t="s">
        <v>1644</v>
      </c>
      <c r="AL446" s="28" t="s">
        <v>1645</v>
      </c>
      <c r="AM446" s="28"/>
      <c r="AN446" s="7"/>
      <c r="AO446" s="7">
        <v>0</v>
      </c>
      <c r="AP446" s="8" t="b">
        <v>0</v>
      </c>
      <c r="AQ446" s="28" t="s">
        <v>1646</v>
      </c>
    </row>
    <row r="447" spans="1:43" ht="30">
      <c r="A447" s="7">
        <v>434</v>
      </c>
      <c r="B447" s="7" t="s">
        <v>1310</v>
      </c>
      <c r="C447" s="7" t="s">
        <v>54</v>
      </c>
      <c r="D447" s="7" t="s">
        <v>112</v>
      </c>
      <c r="E447" s="7" t="s">
        <v>1642</v>
      </c>
      <c r="F447" s="7" t="s">
        <v>54</v>
      </c>
      <c r="G447" s="14">
        <v>107</v>
      </c>
      <c r="H447" s="15">
        <v>0.03</v>
      </c>
      <c r="I447" s="15">
        <v>0.02</v>
      </c>
      <c r="J447" s="15">
        <v>2.5233644859813081E-2</v>
      </c>
      <c r="K447" s="15">
        <v>1.6822429906542057E-2</v>
      </c>
      <c r="L447" s="15">
        <v>65.3</v>
      </c>
      <c r="M447" s="15">
        <v>1.7184210526315788</v>
      </c>
      <c r="N447" s="16">
        <v>1.468420374690501E-2</v>
      </c>
      <c r="O447" s="16">
        <v>9.7894691646033417E-3</v>
      </c>
      <c r="P447" s="17">
        <f>IFERROR(G447/(G447+Priors!$H$3),0)</f>
        <v>9.66576332429991E-2</v>
      </c>
      <c r="Q447" s="18">
        <f>IF(E447="Premier League",Priors!$H$4,IF(E447="Championship",Priors!$H$5,Priors!$H$8))</f>
        <v>1</v>
      </c>
      <c r="R447" s="19" t="b">
        <v>0</v>
      </c>
      <c r="S447" s="18">
        <f>IF(R447=TRUE,Priors!$H$6,1)</f>
        <v>1</v>
      </c>
      <c r="T447" s="19" t="b">
        <v>0</v>
      </c>
      <c r="U447" s="18">
        <f>IF(T447=TRUE,Priors!$H$7,1)</f>
        <v>1</v>
      </c>
      <c r="V447" s="18">
        <f t="shared" si="36"/>
        <v>9.66576332429991E-2</v>
      </c>
      <c r="W447" s="20">
        <f>VLOOKUP(D447,Priors!$A$3:$C$6,2,FALSE)</f>
        <v>0.10751786102217777</v>
      </c>
      <c r="X447" s="20">
        <f>VLOOKUP(D447,Priors!$A$3:$C$6,3,FALSE)</f>
        <v>9.0240671969462088E-2</v>
      </c>
      <c r="Y447" s="20">
        <f t="shared" si="37"/>
        <v>9.8544779424658183E-2</v>
      </c>
      <c r="Z447" s="20">
        <f t="shared" si="38"/>
        <v>8.2464449114791907E-2</v>
      </c>
      <c r="AA447" s="21">
        <v>1</v>
      </c>
      <c r="AB447" s="21">
        <v>1</v>
      </c>
      <c r="AC447" s="22">
        <f t="shared" si="39"/>
        <v>9.8544779424658183E-2</v>
      </c>
      <c r="AD447" s="22">
        <f t="shared" si="40"/>
        <v>8.2464449114791907E-2</v>
      </c>
      <c r="AE447" s="22">
        <f t="shared" si="41"/>
        <v>0.90334236675700086</v>
      </c>
      <c r="AF447" s="7" t="s">
        <v>1643</v>
      </c>
      <c r="AG447" s="7"/>
      <c r="AH447" s="7"/>
      <c r="AI447" s="7"/>
      <c r="AJ447" s="8" t="b">
        <v>1</v>
      </c>
      <c r="AK447" s="28" t="s">
        <v>1644</v>
      </c>
      <c r="AL447" s="28" t="s">
        <v>1645</v>
      </c>
      <c r="AM447" s="28"/>
      <c r="AN447" s="7"/>
      <c r="AO447" s="7">
        <v>0</v>
      </c>
      <c r="AP447" s="8" t="b">
        <v>0</v>
      </c>
      <c r="AQ447" s="28" t="s">
        <v>1646</v>
      </c>
    </row>
    <row r="448" spans="1:43" ht="30">
      <c r="A448" s="7">
        <v>435</v>
      </c>
      <c r="B448" s="7" t="s">
        <v>1312</v>
      </c>
      <c r="C448" s="7" t="s">
        <v>54</v>
      </c>
      <c r="D448" s="7" t="s">
        <v>112</v>
      </c>
      <c r="E448" s="7" t="s">
        <v>1642</v>
      </c>
      <c r="F448" s="7" t="s">
        <v>54</v>
      </c>
      <c r="G448" s="14">
        <v>40</v>
      </c>
      <c r="H448" s="15">
        <v>0.1</v>
      </c>
      <c r="I448" s="15">
        <v>0.01</v>
      </c>
      <c r="J448" s="15">
        <v>0.22500000000000001</v>
      </c>
      <c r="K448" s="15">
        <v>2.2499999999999999E-2</v>
      </c>
      <c r="L448" s="15">
        <v>65.3</v>
      </c>
      <c r="M448" s="15">
        <v>1.7184210526315788</v>
      </c>
      <c r="N448" s="16">
        <v>0.13093415007656969</v>
      </c>
      <c r="O448" s="16">
        <v>1.3093415007656968E-2</v>
      </c>
      <c r="P448" s="17">
        <f>IFERROR(G448/(G448+Priors!$H$3),0)</f>
        <v>3.8461538461538464E-2</v>
      </c>
      <c r="Q448" s="18">
        <f>IF(E448="Premier League",Priors!$H$4,IF(E448="Championship",Priors!$H$5,Priors!$H$8))</f>
        <v>1</v>
      </c>
      <c r="R448" s="19" t="b">
        <v>0</v>
      </c>
      <c r="S448" s="18">
        <f>IF(R448=TRUE,Priors!$H$6,1)</f>
        <v>1</v>
      </c>
      <c r="T448" s="19" t="b">
        <v>0</v>
      </c>
      <c r="U448" s="18">
        <f>IF(T448=TRUE,Priors!$H$7,1)</f>
        <v>1</v>
      </c>
      <c r="V448" s="18">
        <f t="shared" si="36"/>
        <v>3.8461538461538464E-2</v>
      </c>
      <c r="W448" s="20">
        <f>VLOOKUP(D448,Priors!$A$3:$C$6,2,FALSE)</f>
        <v>0.10751786102217777</v>
      </c>
      <c r="X448" s="20">
        <f>VLOOKUP(D448,Priors!$A$3:$C$6,3,FALSE)</f>
        <v>9.0240671969462088E-2</v>
      </c>
      <c r="Y448" s="20">
        <f t="shared" si="37"/>
        <v>0.10841848752426977</v>
      </c>
      <c r="Z448" s="20">
        <f t="shared" si="38"/>
        <v>8.7273469778623422E-2</v>
      </c>
      <c r="AA448" s="21">
        <v>1</v>
      </c>
      <c r="AB448" s="21">
        <v>1</v>
      </c>
      <c r="AC448" s="22">
        <f t="shared" si="39"/>
        <v>0.10841848752426977</v>
      </c>
      <c r="AD448" s="22">
        <f t="shared" si="40"/>
        <v>8.7273469778623422E-2</v>
      </c>
      <c r="AE448" s="22">
        <f t="shared" si="41"/>
        <v>0.96153846153846156</v>
      </c>
      <c r="AF448" s="7" t="s">
        <v>1643</v>
      </c>
      <c r="AG448" s="7"/>
      <c r="AH448" s="7"/>
      <c r="AI448" s="7"/>
      <c r="AJ448" s="8" t="b">
        <v>1</v>
      </c>
      <c r="AK448" s="28" t="s">
        <v>1644</v>
      </c>
      <c r="AL448" s="28" t="s">
        <v>1645</v>
      </c>
      <c r="AM448" s="28"/>
      <c r="AN448" s="7"/>
      <c r="AO448" s="7">
        <v>0</v>
      </c>
      <c r="AP448" s="8" t="b">
        <v>0</v>
      </c>
      <c r="AQ448" s="28" t="s">
        <v>1646</v>
      </c>
    </row>
    <row r="449" spans="1:43" ht="15">
      <c r="A449" s="7">
        <v>436</v>
      </c>
      <c r="B449" s="7" t="s">
        <v>1315</v>
      </c>
      <c r="C449" s="7" t="s">
        <v>54</v>
      </c>
      <c r="D449" s="7" t="s">
        <v>112</v>
      </c>
      <c r="E449" s="7" t="s">
        <v>1647</v>
      </c>
      <c r="F449" s="7"/>
      <c r="G449" s="14"/>
      <c r="H449" s="15"/>
      <c r="I449" s="15"/>
      <c r="J449" s="15"/>
      <c r="K449" s="15"/>
      <c r="L449" s="15"/>
      <c r="M449" s="15"/>
      <c r="N449" s="16"/>
      <c r="O449" s="16"/>
      <c r="P449" s="17">
        <f>IFERROR(G449/(G449+Priors!$H$3),0)</f>
        <v>0</v>
      </c>
      <c r="Q449" s="18">
        <f>IF(E449="Premier League",Priors!$H$4,IF(E449="Championship",Priors!$H$5,Priors!$H$8))</f>
        <v>0</v>
      </c>
      <c r="R449" s="19" t="b">
        <v>0</v>
      </c>
      <c r="S449" s="18">
        <f>IF(R449=TRUE,Priors!$H$6,1)</f>
        <v>1</v>
      </c>
      <c r="T449" s="19" t="b">
        <v>0</v>
      </c>
      <c r="U449" s="18">
        <f>IF(T449=TRUE,Priors!$H$7,1)</f>
        <v>1</v>
      </c>
      <c r="V449" s="18">
        <f t="shared" si="36"/>
        <v>0</v>
      </c>
      <c r="W449" s="20">
        <f>VLOOKUP(D449,Priors!$A$3:$C$6,2,FALSE)</f>
        <v>0.10751786102217777</v>
      </c>
      <c r="X449" s="20">
        <f>VLOOKUP(D449,Priors!$A$3:$C$6,3,FALSE)</f>
        <v>9.0240671969462088E-2</v>
      </c>
      <c r="Y449" s="20">
        <f t="shared" si="37"/>
        <v>0.10751786102217777</v>
      </c>
      <c r="Z449" s="20">
        <f t="shared" si="38"/>
        <v>9.0240671969462088E-2</v>
      </c>
      <c r="AA449" s="21">
        <v>1</v>
      </c>
      <c r="AB449" s="21">
        <v>1</v>
      </c>
      <c r="AC449" s="22">
        <f t="shared" si="39"/>
        <v>0.10751786102217777</v>
      </c>
      <c r="AD449" s="22">
        <f t="shared" si="40"/>
        <v>9.0240671969462088E-2</v>
      </c>
      <c r="AE449" s="22">
        <f t="shared" si="41"/>
        <v>1</v>
      </c>
      <c r="AF449" s="7" t="s">
        <v>1647</v>
      </c>
      <c r="AG449" s="7"/>
      <c r="AH449" s="7"/>
      <c r="AI449" s="7"/>
      <c r="AJ449" s="8" t="b">
        <v>1</v>
      </c>
      <c r="AK449" s="28" t="s">
        <v>1648</v>
      </c>
      <c r="AL449" s="28"/>
      <c r="AM449" s="28"/>
      <c r="AN449" s="7"/>
      <c r="AO449" s="7">
        <v>0</v>
      </c>
      <c r="AP449" s="8" t="b">
        <v>0</v>
      </c>
      <c r="AQ449" s="28" t="s">
        <v>1646</v>
      </c>
    </row>
    <row r="450" spans="1:43" ht="30">
      <c r="A450" s="7">
        <v>437</v>
      </c>
      <c r="B450" s="7" t="s">
        <v>1317</v>
      </c>
      <c r="C450" s="7" t="s">
        <v>54</v>
      </c>
      <c r="D450" s="7" t="s">
        <v>112</v>
      </c>
      <c r="E450" s="7" t="s">
        <v>1642</v>
      </c>
      <c r="F450" s="7" t="s">
        <v>54</v>
      </c>
      <c r="G450" s="14">
        <v>15</v>
      </c>
      <c r="H450" s="15">
        <v>0</v>
      </c>
      <c r="I450" s="15">
        <v>0.01</v>
      </c>
      <c r="J450" s="15">
        <v>0</v>
      </c>
      <c r="K450" s="15">
        <v>6.0000000000000005E-2</v>
      </c>
      <c r="L450" s="15">
        <v>65.3</v>
      </c>
      <c r="M450" s="15">
        <v>1.7184210526315788</v>
      </c>
      <c r="N450" s="16">
        <v>0</v>
      </c>
      <c r="O450" s="16">
        <v>3.4915773353751921E-2</v>
      </c>
      <c r="P450" s="17">
        <f>IFERROR(G450/(G450+Priors!$H$3),0)</f>
        <v>1.4778325123152709E-2</v>
      </c>
      <c r="Q450" s="18">
        <f>IF(E450="Premier League",Priors!$H$4,IF(E450="Championship",Priors!$H$5,Priors!$H$8))</f>
        <v>1</v>
      </c>
      <c r="R450" s="19" t="b">
        <v>0</v>
      </c>
      <c r="S450" s="18">
        <f>IF(R450=TRUE,Priors!$H$6,1)</f>
        <v>1</v>
      </c>
      <c r="T450" s="19" t="b">
        <v>0</v>
      </c>
      <c r="U450" s="18">
        <f>IF(T450=TRUE,Priors!$H$7,1)</f>
        <v>1</v>
      </c>
      <c r="V450" s="18">
        <f t="shared" ref="V450:V513" si="42">P450*Q450*S450*U450</f>
        <v>1.4778325123152709E-2</v>
      </c>
      <c r="W450" s="20">
        <f>VLOOKUP(D450,Priors!$A$3:$C$6,2,FALSE)</f>
        <v>0.10751786102217777</v>
      </c>
      <c r="X450" s="20">
        <f>VLOOKUP(D450,Priors!$A$3:$C$6,3,FALSE)</f>
        <v>9.0240671969462088E-2</v>
      </c>
      <c r="Y450" s="20">
        <f t="shared" ref="Y450:Y513" si="43">IF(N450="",W450,V450*N450+(1-V450)*W450)</f>
        <v>0.10592892711544608</v>
      </c>
      <c r="Z450" s="20">
        <f t="shared" ref="Z450:Z513" si="44">IF(O450="",X450,V450*O450+(1-V450)*X450)</f>
        <v>8.9423062630313674E-2</v>
      </c>
      <c r="AA450" s="21">
        <v>1</v>
      </c>
      <c r="AB450" s="21">
        <v>1</v>
      </c>
      <c r="AC450" s="22">
        <f t="shared" ref="AC450:AC513" si="45">Y450*AA450</f>
        <v>0.10592892711544608</v>
      </c>
      <c r="AD450" s="22">
        <f t="shared" ref="AD450:AD513" si="46">Z450*AB450</f>
        <v>8.9423062630313674E-2</v>
      </c>
      <c r="AE450" s="22">
        <f t="shared" ref="AE450:AE513" si="47">1-V450</f>
        <v>0.98522167487684731</v>
      </c>
      <c r="AF450" s="7" t="s">
        <v>1643</v>
      </c>
      <c r="AG450" s="7"/>
      <c r="AH450" s="7"/>
      <c r="AI450" s="7"/>
      <c r="AJ450" s="8" t="b">
        <v>1</v>
      </c>
      <c r="AK450" s="28" t="s">
        <v>1644</v>
      </c>
      <c r="AL450" s="28" t="s">
        <v>1645</v>
      </c>
      <c r="AM450" s="28"/>
      <c r="AN450" s="7"/>
      <c r="AO450" s="7">
        <v>0</v>
      </c>
      <c r="AP450" s="8" t="b">
        <v>0</v>
      </c>
      <c r="AQ450" s="28" t="s">
        <v>1646</v>
      </c>
    </row>
    <row r="451" spans="1:43" ht="30">
      <c r="A451" s="7">
        <v>438</v>
      </c>
      <c r="B451" s="7" t="s">
        <v>1318</v>
      </c>
      <c r="C451" s="7" t="s">
        <v>54</v>
      </c>
      <c r="D451" s="7" t="s">
        <v>112</v>
      </c>
      <c r="E451" s="7" t="s">
        <v>1642</v>
      </c>
      <c r="F451" s="7" t="s">
        <v>54</v>
      </c>
      <c r="G451" s="14">
        <v>17</v>
      </c>
      <c r="H451" s="15">
        <v>0</v>
      </c>
      <c r="I451" s="15">
        <v>0.01</v>
      </c>
      <c r="J451" s="15">
        <v>0</v>
      </c>
      <c r="K451" s="15">
        <v>5.2941176470588235E-2</v>
      </c>
      <c r="L451" s="15">
        <v>65.3</v>
      </c>
      <c r="M451" s="15">
        <v>1.7184210526315788</v>
      </c>
      <c r="N451" s="16">
        <v>0</v>
      </c>
      <c r="O451" s="16">
        <v>3.0808035312134042E-2</v>
      </c>
      <c r="P451" s="17">
        <f>IFERROR(G451/(G451+Priors!$H$3),0)</f>
        <v>1.6715830875122909E-2</v>
      </c>
      <c r="Q451" s="18">
        <f>IF(E451="Premier League",Priors!$H$4,IF(E451="Championship",Priors!$H$5,Priors!$H$8))</f>
        <v>1</v>
      </c>
      <c r="R451" s="19" t="b">
        <v>0</v>
      </c>
      <c r="S451" s="18">
        <f>IF(R451=TRUE,Priors!$H$6,1)</f>
        <v>1</v>
      </c>
      <c r="T451" s="19" t="b">
        <v>0</v>
      </c>
      <c r="U451" s="18">
        <f>IF(T451=TRUE,Priors!$H$7,1)</f>
        <v>1</v>
      </c>
      <c r="V451" s="18">
        <f t="shared" si="42"/>
        <v>1.6715830875122909E-2</v>
      </c>
      <c r="W451" s="20">
        <f>VLOOKUP(D451,Priors!$A$3:$C$6,2,FALSE)</f>
        <v>0.10751786102217777</v>
      </c>
      <c r="X451" s="20">
        <f>VLOOKUP(D451,Priors!$A$3:$C$6,3,FALSE)</f>
        <v>9.0240671969462088E-2</v>
      </c>
      <c r="Y451" s="20">
        <f t="shared" si="43"/>
        <v>0.10572061064127607</v>
      </c>
      <c r="Z451" s="20">
        <f t="shared" si="44"/>
        <v>8.9247206066635554E-2</v>
      </c>
      <c r="AA451" s="21">
        <v>1</v>
      </c>
      <c r="AB451" s="21">
        <v>1</v>
      </c>
      <c r="AC451" s="22">
        <f t="shared" si="45"/>
        <v>0.10572061064127607</v>
      </c>
      <c r="AD451" s="22">
        <f t="shared" si="46"/>
        <v>8.9247206066635554E-2</v>
      </c>
      <c r="AE451" s="22">
        <f t="shared" si="47"/>
        <v>0.98328416912487704</v>
      </c>
      <c r="AF451" s="7" t="s">
        <v>1643</v>
      </c>
      <c r="AG451" s="7"/>
      <c r="AH451" s="7"/>
      <c r="AI451" s="7"/>
      <c r="AJ451" s="8" t="b">
        <v>1</v>
      </c>
      <c r="AK451" s="28" t="s">
        <v>1644</v>
      </c>
      <c r="AL451" s="28" t="s">
        <v>1645</v>
      </c>
      <c r="AM451" s="28"/>
      <c r="AN451" s="7"/>
      <c r="AO451" s="7">
        <v>0</v>
      </c>
      <c r="AP451" s="8" t="b">
        <v>0</v>
      </c>
      <c r="AQ451" s="28" t="s">
        <v>1646</v>
      </c>
    </row>
    <row r="452" spans="1:43" ht="30">
      <c r="A452" s="7">
        <v>439</v>
      </c>
      <c r="B452" s="7" t="s">
        <v>1320</v>
      </c>
      <c r="C452" s="7" t="s">
        <v>54</v>
      </c>
      <c r="D452" s="7" t="s">
        <v>167</v>
      </c>
      <c r="E452" s="7" t="s">
        <v>1642</v>
      </c>
      <c r="F452" s="7" t="s">
        <v>54</v>
      </c>
      <c r="G452" s="14">
        <v>1630</v>
      </c>
      <c r="H452" s="15">
        <v>9.2100000000000009</v>
      </c>
      <c r="I452" s="15">
        <v>0.28000000000000003</v>
      </c>
      <c r="J452" s="15">
        <v>0.50852760736196323</v>
      </c>
      <c r="K452" s="15">
        <v>1.5460122699386505E-2</v>
      </c>
      <c r="L452" s="15">
        <v>65.3</v>
      </c>
      <c r="M452" s="15">
        <v>1.7184210526315788</v>
      </c>
      <c r="N452" s="16">
        <v>0.29592724471293419</v>
      </c>
      <c r="O452" s="16">
        <v>8.9967023365495752E-3</v>
      </c>
      <c r="P452" s="17">
        <f>IFERROR(G452/(G452+Priors!$H$3),0)</f>
        <v>0.61977186311787069</v>
      </c>
      <c r="Q452" s="18">
        <f>IF(E452="Premier League",Priors!$H$4,IF(E452="Championship",Priors!$H$5,Priors!$H$8))</f>
        <v>1</v>
      </c>
      <c r="R452" s="19" t="b">
        <v>0</v>
      </c>
      <c r="S452" s="18">
        <f>IF(R452=TRUE,Priors!$H$6,1)</f>
        <v>1</v>
      </c>
      <c r="T452" s="19" t="b">
        <v>0</v>
      </c>
      <c r="U452" s="18">
        <f>IF(T452=TRUE,Priors!$H$7,1)</f>
        <v>1</v>
      </c>
      <c r="V452" s="18">
        <f t="shared" si="42"/>
        <v>0.61977186311787069</v>
      </c>
      <c r="W452" s="20">
        <f>VLOOKUP(D452,Priors!$A$3:$C$6,2,FALSE)</f>
        <v>0.30461525508032317</v>
      </c>
      <c r="X452" s="20">
        <f>VLOOKUP(D452,Priors!$A$3:$C$6,3,FALSE)</f>
        <v>3.9258061548584466E-2</v>
      </c>
      <c r="Y452" s="20">
        <f t="shared" si="43"/>
        <v>0.29923067070813913</v>
      </c>
      <c r="Z452" s="20">
        <f t="shared" si="44"/>
        <v>2.0502922569262463E-2</v>
      </c>
      <c r="AA452" s="21">
        <v>1</v>
      </c>
      <c r="AB452" s="21">
        <v>1</v>
      </c>
      <c r="AC452" s="22">
        <f t="shared" si="45"/>
        <v>0.29923067070813913</v>
      </c>
      <c r="AD452" s="22">
        <f t="shared" si="46"/>
        <v>2.0502922569262463E-2</v>
      </c>
      <c r="AE452" s="22">
        <f t="shared" si="47"/>
        <v>0.38022813688212931</v>
      </c>
      <c r="AF452" s="7" t="s">
        <v>1643</v>
      </c>
      <c r="AG452" s="7"/>
      <c r="AH452" s="7"/>
      <c r="AI452" s="7"/>
      <c r="AJ452" s="8" t="b">
        <v>0</v>
      </c>
      <c r="AK452" s="28" t="s">
        <v>1644</v>
      </c>
      <c r="AL452" s="28" t="s">
        <v>1645</v>
      </c>
      <c r="AM452" s="28"/>
      <c r="AN452" s="7"/>
      <c r="AO452" s="7">
        <v>0</v>
      </c>
      <c r="AP452" s="8" t="b">
        <v>0</v>
      </c>
      <c r="AQ452" s="28" t="s">
        <v>1646</v>
      </c>
    </row>
    <row r="453" spans="1:43" ht="30">
      <c r="A453" s="7">
        <v>440</v>
      </c>
      <c r="B453" s="7" t="s">
        <v>1324</v>
      </c>
      <c r="C453" s="7" t="s">
        <v>54</v>
      </c>
      <c r="D453" s="7" t="s">
        <v>167</v>
      </c>
      <c r="E453" s="7" t="s">
        <v>1642</v>
      </c>
      <c r="F453" s="7" t="s">
        <v>54</v>
      </c>
      <c r="G453" s="14">
        <v>607</v>
      </c>
      <c r="H453" s="15">
        <v>2.74</v>
      </c>
      <c r="I453" s="15">
        <v>0.34</v>
      </c>
      <c r="J453" s="15">
        <v>0.4062602965403625</v>
      </c>
      <c r="K453" s="15">
        <v>5.0411861614497532E-2</v>
      </c>
      <c r="L453" s="15">
        <v>65.3</v>
      </c>
      <c r="M453" s="15">
        <v>1.7184210526315788</v>
      </c>
      <c r="N453" s="16">
        <v>0.23641487394385569</v>
      </c>
      <c r="O453" s="16">
        <v>2.9336152241208367E-2</v>
      </c>
      <c r="P453" s="17">
        <f>IFERROR(G453/(G453+Priors!$H$3),0)</f>
        <v>0.37772246421904171</v>
      </c>
      <c r="Q453" s="18">
        <f>IF(E453="Premier League",Priors!$H$4,IF(E453="Championship",Priors!$H$5,Priors!$H$8))</f>
        <v>1</v>
      </c>
      <c r="R453" s="19" t="b">
        <v>0</v>
      </c>
      <c r="S453" s="18">
        <f>IF(R453=TRUE,Priors!$H$6,1)</f>
        <v>1</v>
      </c>
      <c r="T453" s="19" t="b">
        <v>0</v>
      </c>
      <c r="U453" s="18">
        <f>IF(T453=TRUE,Priors!$H$7,1)</f>
        <v>1</v>
      </c>
      <c r="V453" s="18">
        <f t="shared" si="42"/>
        <v>0.37772246421904171</v>
      </c>
      <c r="W453" s="20">
        <f>VLOOKUP(D453,Priors!$A$3:$C$6,2,FALSE)</f>
        <v>0.30461525508032317</v>
      </c>
      <c r="X453" s="20">
        <f>VLOOKUP(D453,Priors!$A$3:$C$6,3,FALSE)</f>
        <v>3.9258061548584466E-2</v>
      </c>
      <c r="Y453" s="20">
        <f t="shared" si="43"/>
        <v>0.27885443905677881</v>
      </c>
      <c r="Z453" s="20">
        <f t="shared" si="44"/>
        <v>3.5510333515244519E-2</v>
      </c>
      <c r="AA453" s="21">
        <v>1</v>
      </c>
      <c r="AB453" s="21">
        <v>1</v>
      </c>
      <c r="AC453" s="22">
        <f t="shared" si="45"/>
        <v>0.27885443905677881</v>
      </c>
      <c r="AD453" s="22">
        <f t="shared" si="46"/>
        <v>3.5510333515244519E-2</v>
      </c>
      <c r="AE453" s="22">
        <f t="shared" si="47"/>
        <v>0.62227753578095824</v>
      </c>
      <c r="AF453" s="7" t="s">
        <v>1643</v>
      </c>
      <c r="AG453" s="7"/>
      <c r="AH453" s="7"/>
      <c r="AI453" s="7"/>
      <c r="AJ453" s="8" t="b">
        <v>1</v>
      </c>
      <c r="AK453" s="28" t="s">
        <v>1644</v>
      </c>
      <c r="AL453" s="28" t="s">
        <v>1645</v>
      </c>
      <c r="AM453" s="28"/>
      <c r="AN453" s="7">
        <v>2</v>
      </c>
      <c r="AO453" s="7">
        <v>0</v>
      </c>
      <c r="AP453" s="8" t="b">
        <v>1</v>
      </c>
      <c r="AQ453" s="28" t="s">
        <v>1649</v>
      </c>
    </row>
    <row r="454" spans="1:43" ht="15">
      <c r="A454" s="7">
        <v>441</v>
      </c>
      <c r="B454" s="7" t="s">
        <v>1327</v>
      </c>
      <c r="C454" s="7" t="s">
        <v>54</v>
      </c>
      <c r="D454" s="7" t="s">
        <v>167</v>
      </c>
      <c r="E454" s="7" t="s">
        <v>1647</v>
      </c>
      <c r="F454" s="7"/>
      <c r="G454" s="14"/>
      <c r="H454" s="15"/>
      <c r="I454" s="15"/>
      <c r="J454" s="15"/>
      <c r="K454" s="15"/>
      <c r="L454" s="15"/>
      <c r="M454" s="15"/>
      <c r="N454" s="16"/>
      <c r="O454" s="16"/>
      <c r="P454" s="17">
        <f>IFERROR(G454/(G454+Priors!$H$3),0)</f>
        <v>0</v>
      </c>
      <c r="Q454" s="18">
        <f>IF(E454="Premier League",Priors!$H$4,IF(E454="Championship",Priors!$H$5,Priors!$H$8))</f>
        <v>0</v>
      </c>
      <c r="R454" s="19" t="b">
        <v>0</v>
      </c>
      <c r="S454" s="18">
        <f>IF(R454=TRUE,Priors!$H$6,1)</f>
        <v>1</v>
      </c>
      <c r="T454" s="19" t="b">
        <v>0</v>
      </c>
      <c r="U454" s="18">
        <f>IF(T454=TRUE,Priors!$H$7,1)</f>
        <v>1</v>
      </c>
      <c r="V454" s="18">
        <f t="shared" si="42"/>
        <v>0</v>
      </c>
      <c r="W454" s="20">
        <f>VLOOKUP(D454,Priors!$A$3:$C$6,2,FALSE)</f>
        <v>0.30461525508032317</v>
      </c>
      <c r="X454" s="20">
        <f>VLOOKUP(D454,Priors!$A$3:$C$6,3,FALSE)</f>
        <v>3.9258061548584466E-2</v>
      </c>
      <c r="Y454" s="20">
        <f t="shared" si="43"/>
        <v>0.30461525508032317</v>
      </c>
      <c r="Z454" s="20">
        <f t="shared" si="44"/>
        <v>3.9258061548584466E-2</v>
      </c>
      <c r="AA454" s="21">
        <v>1</v>
      </c>
      <c r="AB454" s="21">
        <v>1</v>
      </c>
      <c r="AC454" s="22">
        <f t="shared" si="45"/>
        <v>0.30461525508032317</v>
      </c>
      <c r="AD454" s="22">
        <f t="shared" si="46"/>
        <v>3.9258061548584466E-2</v>
      </c>
      <c r="AE454" s="22">
        <f t="shared" si="47"/>
        <v>1</v>
      </c>
      <c r="AF454" s="7" t="s">
        <v>1647</v>
      </c>
      <c r="AG454" s="7"/>
      <c r="AH454" s="7"/>
      <c r="AI454" s="7"/>
      <c r="AJ454" s="8" t="b">
        <v>1</v>
      </c>
      <c r="AK454" s="28" t="s">
        <v>1648</v>
      </c>
      <c r="AL454" s="28"/>
      <c r="AM454" s="28"/>
      <c r="AN454" s="7"/>
      <c r="AO454" s="7">
        <v>0</v>
      </c>
      <c r="AP454" s="8" t="b">
        <v>0</v>
      </c>
      <c r="AQ454" s="28" t="s">
        <v>1646</v>
      </c>
    </row>
    <row r="455" spans="1:43" ht="30">
      <c r="A455" s="7">
        <v>442</v>
      </c>
      <c r="B455" s="7" t="s">
        <v>1330</v>
      </c>
      <c r="C455" s="7" t="s">
        <v>55</v>
      </c>
      <c r="D455" s="7" t="s">
        <v>85</v>
      </c>
      <c r="E455" s="7" t="s">
        <v>1642</v>
      </c>
      <c r="F455" s="7" t="s">
        <v>55</v>
      </c>
      <c r="G455" s="14">
        <v>2416</v>
      </c>
      <c r="H455" s="15">
        <v>0.16</v>
      </c>
      <c r="I455" s="15">
        <v>0</v>
      </c>
      <c r="J455" s="15">
        <v>5.9602649006622521E-3</v>
      </c>
      <c r="K455" s="15">
        <v>0</v>
      </c>
      <c r="L455" s="15">
        <v>57.1</v>
      </c>
      <c r="M455" s="15">
        <v>1.5026315789473685</v>
      </c>
      <c r="N455" s="16">
        <v>3.9665510722445806E-3</v>
      </c>
      <c r="O455" s="16">
        <v>0</v>
      </c>
      <c r="P455" s="17">
        <f>IFERROR(G455/(G455+Priors!$H$3),0)</f>
        <v>0.70725995316159251</v>
      </c>
      <c r="Q455" s="18">
        <f>IF(E455="Premier League",Priors!$H$4,IF(E455="Championship",Priors!$H$5,Priors!$H$8))</f>
        <v>1</v>
      </c>
      <c r="R455" s="19" t="b">
        <v>0</v>
      </c>
      <c r="S455" s="18">
        <f>IF(R455=TRUE,Priors!$H$6,1)</f>
        <v>1</v>
      </c>
      <c r="T455" s="19" t="b">
        <v>1</v>
      </c>
      <c r="U455" s="18">
        <f>IF(T455=TRUE,Priors!$H$7,1)</f>
        <v>0.9</v>
      </c>
      <c r="V455" s="18">
        <f t="shared" si="42"/>
        <v>0.63653395784543332</v>
      </c>
      <c r="W455" s="20">
        <f>VLOOKUP(D455,Priors!$A$3:$C$6,2,FALSE)</f>
        <v>1.6719534964712218E-4</v>
      </c>
      <c r="X455" s="20">
        <f>VLOOKUP(D455,Priors!$A$3:$C$6,3,FALSE)</f>
        <v>1.379361634588758E-3</v>
      </c>
      <c r="Y455" s="20">
        <f t="shared" si="43"/>
        <v>2.5856142850147787E-3</v>
      </c>
      <c r="Z455" s="20">
        <f t="shared" si="44"/>
        <v>5.0135111402382947E-4</v>
      </c>
      <c r="AA455" s="21">
        <v>1</v>
      </c>
      <c r="AB455" s="21">
        <v>1</v>
      </c>
      <c r="AC455" s="22">
        <f t="shared" si="45"/>
        <v>2.5856142850147787E-3</v>
      </c>
      <c r="AD455" s="22">
        <f t="shared" si="46"/>
        <v>5.0135111402382947E-4</v>
      </c>
      <c r="AE455" s="22">
        <f t="shared" si="47"/>
        <v>0.36346604215456668</v>
      </c>
      <c r="AF455" s="7" t="s">
        <v>1643</v>
      </c>
      <c r="AG455" s="7"/>
      <c r="AH455" s="7"/>
      <c r="AI455" s="7"/>
      <c r="AJ455" s="8" t="b">
        <v>1</v>
      </c>
      <c r="AK455" s="28" t="s">
        <v>1644</v>
      </c>
      <c r="AL455" s="28" t="s">
        <v>1645</v>
      </c>
      <c r="AM455" s="28"/>
      <c r="AN455" s="7"/>
      <c r="AO455" s="7">
        <v>0</v>
      </c>
      <c r="AP455" s="8" t="b">
        <v>0</v>
      </c>
      <c r="AQ455" s="28" t="s">
        <v>1646</v>
      </c>
    </row>
    <row r="456" spans="1:43" ht="15">
      <c r="A456" s="7">
        <v>443</v>
      </c>
      <c r="B456" s="7" t="s">
        <v>1335</v>
      </c>
      <c r="C456" s="7" t="s">
        <v>55</v>
      </c>
      <c r="D456" s="7" t="s">
        <v>85</v>
      </c>
      <c r="E456" s="7" t="s">
        <v>1647</v>
      </c>
      <c r="F456" s="7"/>
      <c r="G456" s="14"/>
      <c r="H456" s="15"/>
      <c r="I456" s="15"/>
      <c r="J456" s="15"/>
      <c r="K456" s="15"/>
      <c r="L456" s="15"/>
      <c r="M456" s="15"/>
      <c r="N456" s="16"/>
      <c r="O456" s="16"/>
      <c r="P456" s="17">
        <f>IFERROR(G456/(G456+Priors!$H$3),0)</f>
        <v>0</v>
      </c>
      <c r="Q456" s="18">
        <f>IF(E456="Premier League",Priors!$H$4,IF(E456="Championship",Priors!$H$5,Priors!$H$8))</f>
        <v>0</v>
      </c>
      <c r="R456" s="19" t="b">
        <v>0</v>
      </c>
      <c r="S456" s="18">
        <f>IF(R456=TRUE,Priors!$H$6,1)</f>
        <v>1</v>
      </c>
      <c r="T456" s="19" t="b">
        <v>1</v>
      </c>
      <c r="U456" s="18">
        <f>IF(T456=TRUE,Priors!$H$7,1)</f>
        <v>0.9</v>
      </c>
      <c r="V456" s="18">
        <f t="shared" si="42"/>
        <v>0</v>
      </c>
      <c r="W456" s="20">
        <f>VLOOKUP(D456,Priors!$A$3:$C$6,2,FALSE)</f>
        <v>1.6719534964712218E-4</v>
      </c>
      <c r="X456" s="20">
        <f>VLOOKUP(D456,Priors!$A$3:$C$6,3,FALSE)</f>
        <v>1.379361634588758E-3</v>
      </c>
      <c r="Y456" s="20">
        <f t="shared" si="43"/>
        <v>1.6719534964712218E-4</v>
      </c>
      <c r="Z456" s="20">
        <f t="shared" si="44"/>
        <v>1.379361634588758E-3</v>
      </c>
      <c r="AA456" s="21">
        <v>1</v>
      </c>
      <c r="AB456" s="21">
        <v>1</v>
      </c>
      <c r="AC456" s="22">
        <f t="shared" si="45"/>
        <v>1.6719534964712218E-4</v>
      </c>
      <c r="AD456" s="22">
        <f t="shared" si="46"/>
        <v>1.379361634588758E-3</v>
      </c>
      <c r="AE456" s="22">
        <f t="shared" si="47"/>
        <v>1</v>
      </c>
      <c r="AF456" s="7" t="s">
        <v>1647</v>
      </c>
      <c r="AG456" s="7"/>
      <c r="AH456" s="7"/>
      <c r="AI456" s="7"/>
      <c r="AJ456" s="8" t="b">
        <v>1</v>
      </c>
      <c r="AK456" s="28" t="s">
        <v>1648</v>
      </c>
      <c r="AL456" s="28"/>
      <c r="AM456" s="28"/>
      <c r="AN456" s="7"/>
      <c r="AO456" s="7">
        <v>0</v>
      </c>
      <c r="AP456" s="8" t="b">
        <v>0</v>
      </c>
      <c r="AQ456" s="28" t="s">
        <v>1646</v>
      </c>
    </row>
    <row r="457" spans="1:43" ht="15">
      <c r="A457" s="7">
        <v>444</v>
      </c>
      <c r="B457" s="7" t="s">
        <v>1338</v>
      </c>
      <c r="C457" s="7" t="s">
        <v>55</v>
      </c>
      <c r="D457" s="7" t="s">
        <v>85</v>
      </c>
      <c r="E457" s="7" t="s">
        <v>1647</v>
      </c>
      <c r="F457" s="7"/>
      <c r="G457" s="14"/>
      <c r="H457" s="15"/>
      <c r="I457" s="15"/>
      <c r="J457" s="15"/>
      <c r="K457" s="15"/>
      <c r="L457" s="15"/>
      <c r="M457" s="15"/>
      <c r="N457" s="16"/>
      <c r="O457" s="16"/>
      <c r="P457" s="17">
        <f>IFERROR(G457/(G457+Priors!$H$3),0)</f>
        <v>0</v>
      </c>
      <c r="Q457" s="18">
        <f>IF(E457="Premier League",Priors!$H$4,IF(E457="Championship",Priors!$H$5,Priors!$H$8))</f>
        <v>0</v>
      </c>
      <c r="R457" s="19" t="b">
        <v>0</v>
      </c>
      <c r="S457" s="18">
        <f>IF(R457=TRUE,Priors!$H$6,1)</f>
        <v>1</v>
      </c>
      <c r="T457" s="19" t="b">
        <v>1</v>
      </c>
      <c r="U457" s="18">
        <f>IF(T457=TRUE,Priors!$H$7,1)</f>
        <v>0.9</v>
      </c>
      <c r="V457" s="18">
        <f t="shared" si="42"/>
        <v>0</v>
      </c>
      <c r="W457" s="20">
        <f>VLOOKUP(D457,Priors!$A$3:$C$6,2,FALSE)</f>
        <v>1.6719534964712218E-4</v>
      </c>
      <c r="X457" s="20">
        <f>VLOOKUP(D457,Priors!$A$3:$C$6,3,FALSE)</f>
        <v>1.379361634588758E-3</v>
      </c>
      <c r="Y457" s="20">
        <f t="shared" si="43"/>
        <v>1.6719534964712218E-4</v>
      </c>
      <c r="Z457" s="20">
        <f t="shared" si="44"/>
        <v>1.379361634588758E-3</v>
      </c>
      <c r="AA457" s="21">
        <v>1</v>
      </c>
      <c r="AB457" s="21">
        <v>1</v>
      </c>
      <c r="AC457" s="22">
        <f t="shared" si="45"/>
        <v>1.6719534964712218E-4</v>
      </c>
      <c r="AD457" s="22">
        <f t="shared" si="46"/>
        <v>1.379361634588758E-3</v>
      </c>
      <c r="AE457" s="22">
        <f t="shared" si="47"/>
        <v>1</v>
      </c>
      <c r="AF457" s="7" t="s">
        <v>1647</v>
      </c>
      <c r="AG457" s="7"/>
      <c r="AH457" s="7"/>
      <c r="AI457" s="7"/>
      <c r="AJ457" s="8" t="b">
        <v>1</v>
      </c>
      <c r="AK457" s="28" t="s">
        <v>1648</v>
      </c>
      <c r="AL457" s="28"/>
      <c r="AM457" s="28"/>
      <c r="AN457" s="7"/>
      <c r="AO457" s="7">
        <v>0</v>
      </c>
      <c r="AP457" s="8" t="b">
        <v>0</v>
      </c>
      <c r="AQ457" s="28" t="s">
        <v>1646</v>
      </c>
    </row>
    <row r="458" spans="1:43" ht="30">
      <c r="A458" s="7">
        <v>445</v>
      </c>
      <c r="B458" s="7" t="s">
        <v>1340</v>
      </c>
      <c r="C458" s="7" t="s">
        <v>55</v>
      </c>
      <c r="D458" s="7" t="s">
        <v>99</v>
      </c>
      <c r="E458" s="7" t="s">
        <v>1642</v>
      </c>
      <c r="F458" s="7" t="s">
        <v>55</v>
      </c>
      <c r="G458" s="14">
        <v>2963</v>
      </c>
      <c r="H458" s="15">
        <v>4.8</v>
      </c>
      <c r="I458" s="15">
        <v>0.96</v>
      </c>
      <c r="J458" s="15">
        <v>0.14579817752278096</v>
      </c>
      <c r="K458" s="15">
        <v>2.9159635504556192E-2</v>
      </c>
      <c r="L458" s="15">
        <v>57.1</v>
      </c>
      <c r="M458" s="15">
        <v>1.5026315789473685</v>
      </c>
      <c r="N458" s="16">
        <v>9.7028559472253514E-2</v>
      </c>
      <c r="O458" s="16">
        <v>1.9405711894450704E-2</v>
      </c>
      <c r="P458" s="17">
        <f>IFERROR(G458/(G458+Priors!$H$3),0)</f>
        <v>0.74766590966439561</v>
      </c>
      <c r="Q458" s="18">
        <f>IF(E458="Premier League",Priors!$H$4,IF(E458="Championship",Priors!$H$5,Priors!$H$8))</f>
        <v>1</v>
      </c>
      <c r="R458" s="19" t="b">
        <v>0</v>
      </c>
      <c r="S458" s="18">
        <f>IF(R458=TRUE,Priors!$H$6,1)</f>
        <v>1</v>
      </c>
      <c r="T458" s="19" t="b">
        <v>1</v>
      </c>
      <c r="U458" s="18">
        <f>IF(T458=TRUE,Priors!$H$7,1)</f>
        <v>0.9</v>
      </c>
      <c r="V458" s="18">
        <f t="shared" si="42"/>
        <v>0.67289931869795605</v>
      </c>
      <c r="W458" s="20">
        <f>VLOOKUP(D458,Priors!$A$3:$C$6,2,FALSE)</f>
        <v>4.1142361271531161E-2</v>
      </c>
      <c r="X458" s="20">
        <f>VLOOKUP(D458,Priors!$A$3:$C$6,3,FALSE)</f>
        <v>4.0513079897554365E-2</v>
      </c>
      <c r="Y458" s="20">
        <f t="shared" si="43"/>
        <v>7.8748145965416183E-2</v>
      </c>
      <c r="Z458" s="20">
        <f t="shared" si="44"/>
        <v>2.6309946348758873E-2</v>
      </c>
      <c r="AA458" s="21">
        <v>1</v>
      </c>
      <c r="AB458" s="21">
        <v>1</v>
      </c>
      <c r="AC458" s="22">
        <f t="shared" si="45"/>
        <v>7.8748145965416183E-2</v>
      </c>
      <c r="AD458" s="22">
        <f t="shared" si="46"/>
        <v>2.6309946348758873E-2</v>
      </c>
      <c r="AE458" s="22">
        <f t="shared" si="47"/>
        <v>0.32710068130204395</v>
      </c>
      <c r="AF458" s="7" t="s">
        <v>1643</v>
      </c>
      <c r="AG458" s="7"/>
      <c r="AH458" s="7"/>
      <c r="AI458" s="7"/>
      <c r="AJ458" s="8" t="b">
        <v>1</v>
      </c>
      <c r="AK458" s="28" t="s">
        <v>1644</v>
      </c>
      <c r="AL458" s="28" t="s">
        <v>1645</v>
      </c>
      <c r="AM458" s="28"/>
      <c r="AN458" s="7"/>
      <c r="AO458" s="7">
        <v>0</v>
      </c>
      <c r="AP458" s="8" t="b">
        <v>0</v>
      </c>
      <c r="AQ458" s="28" t="s">
        <v>1646</v>
      </c>
    </row>
    <row r="459" spans="1:43" ht="30">
      <c r="A459" s="7">
        <v>446</v>
      </c>
      <c r="B459" s="7" t="s">
        <v>1343</v>
      </c>
      <c r="C459" s="7" t="s">
        <v>55</v>
      </c>
      <c r="D459" s="7" t="s">
        <v>99</v>
      </c>
      <c r="E459" s="7" t="s">
        <v>1642</v>
      </c>
      <c r="F459" s="7" t="s">
        <v>55</v>
      </c>
      <c r="G459" s="14">
        <v>1089</v>
      </c>
      <c r="H459" s="15">
        <v>0.97</v>
      </c>
      <c r="I459" s="15">
        <v>0.6</v>
      </c>
      <c r="J459" s="15">
        <v>8.0165289256198341E-2</v>
      </c>
      <c r="K459" s="15">
        <v>4.9586776859504134E-2</v>
      </c>
      <c r="L459" s="15">
        <v>57.1</v>
      </c>
      <c r="M459" s="15">
        <v>1.5026315789473685</v>
      </c>
      <c r="N459" s="16">
        <v>5.3349929802723933E-2</v>
      </c>
      <c r="O459" s="16">
        <v>3.2999956579004501E-2</v>
      </c>
      <c r="P459" s="17">
        <f>IFERROR(G459/(G459+Priors!$H$3),0)</f>
        <v>0.52130205840114885</v>
      </c>
      <c r="Q459" s="18">
        <f>IF(E459="Premier League",Priors!$H$4,IF(E459="Championship",Priors!$H$5,Priors!$H$8))</f>
        <v>1</v>
      </c>
      <c r="R459" s="19" t="b">
        <v>0</v>
      </c>
      <c r="S459" s="18">
        <f>IF(R459=TRUE,Priors!$H$6,1)</f>
        <v>1</v>
      </c>
      <c r="T459" s="19" t="b">
        <v>1</v>
      </c>
      <c r="U459" s="18">
        <f>IF(T459=TRUE,Priors!$H$7,1)</f>
        <v>0.9</v>
      </c>
      <c r="V459" s="18">
        <f t="shared" si="42"/>
        <v>0.469171852561034</v>
      </c>
      <c r="W459" s="20">
        <f>VLOOKUP(D459,Priors!$A$3:$C$6,2,FALSE)</f>
        <v>4.1142361271531161E-2</v>
      </c>
      <c r="X459" s="20">
        <f>VLOOKUP(D459,Priors!$A$3:$C$6,3,FALSE)</f>
        <v>4.0513079897554365E-2</v>
      </c>
      <c r="Y459" s="20">
        <f t="shared" si="43"/>
        <v>4.6869808814576655E-2</v>
      </c>
      <c r="Z459" s="20">
        <f t="shared" si="44"/>
        <v>3.6988133911670822E-2</v>
      </c>
      <c r="AA459" s="21">
        <v>1</v>
      </c>
      <c r="AB459" s="21">
        <v>1</v>
      </c>
      <c r="AC459" s="22">
        <f t="shared" si="45"/>
        <v>4.6869808814576655E-2</v>
      </c>
      <c r="AD459" s="22">
        <f t="shared" si="46"/>
        <v>3.6988133911670822E-2</v>
      </c>
      <c r="AE459" s="22">
        <f t="shared" si="47"/>
        <v>0.530828147438966</v>
      </c>
      <c r="AF459" s="7" t="s">
        <v>1643</v>
      </c>
      <c r="AG459" s="7"/>
      <c r="AH459" s="7">
        <v>3</v>
      </c>
      <c r="AI459" s="7"/>
      <c r="AJ459" s="8" t="b">
        <v>1</v>
      </c>
      <c r="AK459" s="28" t="s">
        <v>1644</v>
      </c>
      <c r="AL459" s="28" t="s">
        <v>1645</v>
      </c>
      <c r="AM459" s="28"/>
      <c r="AN459" s="7"/>
      <c r="AO459" s="7">
        <v>0</v>
      </c>
      <c r="AP459" s="8" t="b">
        <v>0</v>
      </c>
      <c r="AQ459" s="28" t="s">
        <v>1646</v>
      </c>
    </row>
    <row r="460" spans="1:43" ht="30">
      <c r="A460" s="7">
        <v>447</v>
      </c>
      <c r="B460" s="7" t="s">
        <v>1346</v>
      </c>
      <c r="C460" s="7" t="s">
        <v>55</v>
      </c>
      <c r="D460" s="7" t="s">
        <v>99</v>
      </c>
      <c r="E460" s="7" t="s">
        <v>1642</v>
      </c>
      <c r="F460" s="7" t="s">
        <v>55</v>
      </c>
      <c r="G460" s="14">
        <v>1834</v>
      </c>
      <c r="H460" s="15">
        <v>1.73</v>
      </c>
      <c r="I460" s="15">
        <v>0.86</v>
      </c>
      <c r="J460" s="15">
        <v>8.4896401308615047E-2</v>
      </c>
      <c r="K460" s="15">
        <v>4.2202835332606325E-2</v>
      </c>
      <c r="L460" s="15">
        <v>57.1</v>
      </c>
      <c r="M460" s="15">
        <v>1.5026315789473685</v>
      </c>
      <c r="N460" s="16">
        <v>5.6498480730777081E-2</v>
      </c>
      <c r="O460" s="16">
        <v>2.8085949958652195E-2</v>
      </c>
      <c r="P460" s="17">
        <f>IFERROR(G460/(G460+Priors!$H$3),0)</f>
        <v>0.64714184897671134</v>
      </c>
      <c r="Q460" s="18">
        <f>IF(E460="Premier League",Priors!$H$4,IF(E460="Championship",Priors!$H$5,Priors!$H$8))</f>
        <v>1</v>
      </c>
      <c r="R460" s="19" t="b">
        <v>0</v>
      </c>
      <c r="S460" s="18">
        <f>IF(R460=TRUE,Priors!$H$6,1)</f>
        <v>1</v>
      </c>
      <c r="T460" s="19" t="b">
        <v>1</v>
      </c>
      <c r="U460" s="18">
        <f>IF(T460=TRUE,Priors!$H$7,1)</f>
        <v>0.9</v>
      </c>
      <c r="V460" s="18">
        <f t="shared" si="42"/>
        <v>0.58242766407904023</v>
      </c>
      <c r="W460" s="20">
        <f>VLOOKUP(D460,Priors!$A$3:$C$6,2,FALSE)</f>
        <v>4.1142361271531161E-2</v>
      </c>
      <c r="X460" s="20">
        <f>VLOOKUP(D460,Priors!$A$3:$C$6,3,FALSE)</f>
        <v>4.0513079897554365E-2</v>
      </c>
      <c r="Y460" s="20">
        <f t="shared" si="43"/>
        <v>5.008619005749846E-2</v>
      </c>
      <c r="Z460" s="20">
        <f t="shared" si="44"/>
        <v>3.3275175636032869E-2</v>
      </c>
      <c r="AA460" s="21">
        <v>1</v>
      </c>
      <c r="AB460" s="21">
        <v>1</v>
      </c>
      <c r="AC460" s="22">
        <f t="shared" si="45"/>
        <v>5.008619005749846E-2</v>
      </c>
      <c r="AD460" s="22">
        <f t="shared" si="46"/>
        <v>3.3275175636032869E-2</v>
      </c>
      <c r="AE460" s="22">
        <f t="shared" si="47"/>
        <v>0.41757233592095977</v>
      </c>
      <c r="AF460" s="7" t="s">
        <v>1643</v>
      </c>
      <c r="AG460" s="7"/>
      <c r="AH460" s="7"/>
      <c r="AI460" s="7"/>
      <c r="AJ460" s="8" t="b">
        <v>1</v>
      </c>
      <c r="AK460" s="28" t="s">
        <v>1644</v>
      </c>
      <c r="AL460" s="28" t="s">
        <v>1645</v>
      </c>
      <c r="AM460" s="28"/>
      <c r="AN460" s="7"/>
      <c r="AO460" s="7">
        <v>0</v>
      </c>
      <c r="AP460" s="8" t="b">
        <v>0</v>
      </c>
      <c r="AQ460" s="28" t="s">
        <v>1646</v>
      </c>
    </row>
    <row r="461" spans="1:43" ht="30">
      <c r="A461" s="7">
        <v>448</v>
      </c>
      <c r="B461" s="7" t="s">
        <v>1349</v>
      </c>
      <c r="C461" s="7" t="s">
        <v>55</v>
      </c>
      <c r="D461" s="7" t="s">
        <v>99</v>
      </c>
      <c r="E461" s="7" t="s">
        <v>1642</v>
      </c>
      <c r="F461" s="7" t="s">
        <v>55</v>
      </c>
      <c r="G461" s="14">
        <v>2195</v>
      </c>
      <c r="H461" s="15">
        <v>1.08</v>
      </c>
      <c r="I461" s="15">
        <v>0.36</v>
      </c>
      <c r="J461" s="15">
        <v>4.4282460136674258E-2</v>
      </c>
      <c r="K461" s="15">
        <v>1.4760820045558086E-2</v>
      </c>
      <c r="L461" s="15">
        <v>57.1</v>
      </c>
      <c r="M461" s="15">
        <v>1.5026315789473685</v>
      </c>
      <c r="N461" s="16">
        <v>2.946993844472192E-2</v>
      </c>
      <c r="O461" s="16">
        <v>9.8233128149073073E-3</v>
      </c>
      <c r="P461" s="17">
        <f>IFERROR(G461/(G461+Priors!$H$3),0)</f>
        <v>0.68701095461658845</v>
      </c>
      <c r="Q461" s="18">
        <f>IF(E461="Premier League",Priors!$H$4,IF(E461="Championship",Priors!$H$5,Priors!$H$8))</f>
        <v>1</v>
      </c>
      <c r="R461" s="19" t="b">
        <v>0</v>
      </c>
      <c r="S461" s="18">
        <f>IF(R461=TRUE,Priors!$H$6,1)</f>
        <v>1</v>
      </c>
      <c r="T461" s="19" t="b">
        <v>1</v>
      </c>
      <c r="U461" s="18">
        <f>IF(T461=TRUE,Priors!$H$7,1)</f>
        <v>0.9</v>
      </c>
      <c r="V461" s="18">
        <f t="shared" si="42"/>
        <v>0.61830985915492964</v>
      </c>
      <c r="W461" s="20">
        <f>VLOOKUP(D461,Priors!$A$3:$C$6,2,FALSE)</f>
        <v>4.1142361271531161E-2</v>
      </c>
      <c r="X461" s="20">
        <f>VLOOKUP(D461,Priors!$A$3:$C$6,3,FALSE)</f>
        <v>4.0513079897554365E-2</v>
      </c>
      <c r="Y461" s="20">
        <f t="shared" si="43"/>
        <v>3.3925187157489954E-2</v>
      </c>
      <c r="Z461" s="20">
        <f t="shared" si="44"/>
        <v>2.1537294335185267E-2</v>
      </c>
      <c r="AA461" s="21">
        <v>1</v>
      </c>
      <c r="AB461" s="21">
        <v>1</v>
      </c>
      <c r="AC461" s="22">
        <f t="shared" si="45"/>
        <v>3.3925187157489954E-2</v>
      </c>
      <c r="AD461" s="22">
        <f t="shared" si="46"/>
        <v>2.1537294335185267E-2</v>
      </c>
      <c r="AE461" s="22">
        <f t="shared" si="47"/>
        <v>0.38169014084507036</v>
      </c>
      <c r="AF461" s="7" t="s">
        <v>1643</v>
      </c>
      <c r="AG461" s="7"/>
      <c r="AH461" s="7"/>
      <c r="AI461" s="7"/>
      <c r="AJ461" s="8" t="b">
        <v>1</v>
      </c>
      <c r="AK461" s="28" t="s">
        <v>1644</v>
      </c>
      <c r="AL461" s="28" t="s">
        <v>1645</v>
      </c>
      <c r="AM461" s="28"/>
      <c r="AN461" s="7"/>
      <c r="AO461" s="7">
        <v>0</v>
      </c>
      <c r="AP461" s="8" t="b">
        <v>0</v>
      </c>
      <c r="AQ461" s="28" t="s">
        <v>1646</v>
      </c>
    </row>
    <row r="462" spans="1:43" ht="30">
      <c r="A462" s="7">
        <v>449</v>
      </c>
      <c r="B462" s="7" t="s">
        <v>1351</v>
      </c>
      <c r="C462" s="7" t="s">
        <v>55</v>
      </c>
      <c r="D462" s="7" t="s">
        <v>99</v>
      </c>
      <c r="E462" s="7" t="s">
        <v>1642</v>
      </c>
      <c r="F462" s="7" t="s">
        <v>55</v>
      </c>
      <c r="G462" s="14">
        <v>2176</v>
      </c>
      <c r="H462" s="15">
        <v>1.01</v>
      </c>
      <c r="I462" s="15">
        <v>2.78</v>
      </c>
      <c r="J462" s="15">
        <v>4.1773897058823534E-2</v>
      </c>
      <c r="K462" s="15">
        <v>0.11498161764705882</v>
      </c>
      <c r="L462" s="15">
        <v>57.1</v>
      </c>
      <c r="M462" s="15">
        <v>1.5026315789473685</v>
      </c>
      <c r="N462" s="16">
        <v>2.7800491913052436E-2</v>
      </c>
      <c r="O462" s="16">
        <v>7.6520165859688877E-2</v>
      </c>
      <c r="P462" s="17">
        <f>IFERROR(G462/(G462+Priors!$H$3),0)</f>
        <v>0.68513853904282118</v>
      </c>
      <c r="Q462" s="18">
        <f>IF(E462="Premier League",Priors!$H$4,IF(E462="Championship",Priors!$H$5,Priors!$H$8))</f>
        <v>1</v>
      </c>
      <c r="R462" s="19" t="b">
        <v>0</v>
      </c>
      <c r="S462" s="18">
        <f>IF(R462=TRUE,Priors!$H$6,1)</f>
        <v>1</v>
      </c>
      <c r="T462" s="19" t="b">
        <v>1</v>
      </c>
      <c r="U462" s="18">
        <f>IF(T462=TRUE,Priors!$H$7,1)</f>
        <v>0.9</v>
      </c>
      <c r="V462" s="18">
        <f t="shared" si="42"/>
        <v>0.61662468513853907</v>
      </c>
      <c r="W462" s="20">
        <f>VLOOKUP(D462,Priors!$A$3:$C$6,2,FALSE)</f>
        <v>4.1142361271531161E-2</v>
      </c>
      <c r="X462" s="20">
        <f>VLOOKUP(D462,Priors!$A$3:$C$6,3,FALSE)</f>
        <v>4.0513079897554365E-2</v>
      </c>
      <c r="Y462" s="20">
        <f t="shared" si="43"/>
        <v>3.2915435279199698E-2</v>
      </c>
      <c r="Z462" s="20">
        <f t="shared" si="44"/>
        <v>6.2715937941711861E-2</v>
      </c>
      <c r="AA462" s="21">
        <v>1</v>
      </c>
      <c r="AB462" s="21">
        <v>1</v>
      </c>
      <c r="AC462" s="22">
        <f t="shared" si="45"/>
        <v>3.2915435279199698E-2</v>
      </c>
      <c r="AD462" s="22">
        <f t="shared" si="46"/>
        <v>6.2715937941711861E-2</v>
      </c>
      <c r="AE462" s="22">
        <f t="shared" si="47"/>
        <v>0.38337531486146093</v>
      </c>
      <c r="AF462" s="7" t="s">
        <v>1643</v>
      </c>
      <c r="AG462" s="7"/>
      <c r="AH462" s="7">
        <v>1</v>
      </c>
      <c r="AI462" s="7">
        <v>5</v>
      </c>
      <c r="AJ462" s="8" t="b">
        <v>1</v>
      </c>
      <c r="AK462" s="28" t="s">
        <v>1644</v>
      </c>
      <c r="AL462" s="28" t="s">
        <v>1645</v>
      </c>
      <c r="AM462" s="28"/>
      <c r="AN462" s="7"/>
      <c r="AO462" s="7"/>
      <c r="AP462" s="7"/>
      <c r="AQ462" s="28" t="s">
        <v>1650</v>
      </c>
    </row>
    <row r="463" spans="1:43" ht="30">
      <c r="A463" s="7">
        <v>450</v>
      </c>
      <c r="B463" s="7" t="s">
        <v>1353</v>
      </c>
      <c r="C463" s="7" t="s">
        <v>55</v>
      </c>
      <c r="D463" s="7" t="s">
        <v>99</v>
      </c>
      <c r="E463" s="7" t="s">
        <v>1642</v>
      </c>
      <c r="F463" s="7" t="s">
        <v>55</v>
      </c>
      <c r="G463" s="14">
        <v>1326</v>
      </c>
      <c r="H463" s="15">
        <v>0.13</v>
      </c>
      <c r="I463" s="15">
        <v>0.89</v>
      </c>
      <c r="J463" s="15">
        <v>8.8235294117647075E-3</v>
      </c>
      <c r="K463" s="15">
        <v>6.0407239819004518E-2</v>
      </c>
      <c r="L463" s="15">
        <v>57.1</v>
      </c>
      <c r="M463" s="15">
        <v>1.5026315789473685</v>
      </c>
      <c r="N463" s="16">
        <v>5.8720510971463896E-3</v>
      </c>
      <c r="O463" s="16">
        <v>4.0200965203540655E-2</v>
      </c>
      <c r="P463" s="17">
        <f>IFERROR(G463/(G463+Priors!$H$3),0)</f>
        <v>0.57007738607050729</v>
      </c>
      <c r="Q463" s="18">
        <f>IF(E463="Premier League",Priors!$H$4,IF(E463="Championship",Priors!$H$5,Priors!$H$8))</f>
        <v>1</v>
      </c>
      <c r="R463" s="19" t="b">
        <v>0</v>
      </c>
      <c r="S463" s="18">
        <f>IF(R463=TRUE,Priors!$H$6,1)</f>
        <v>1</v>
      </c>
      <c r="T463" s="19" t="b">
        <v>1</v>
      </c>
      <c r="U463" s="18">
        <f>IF(T463=TRUE,Priors!$H$7,1)</f>
        <v>0.9</v>
      </c>
      <c r="V463" s="18">
        <f t="shared" si="42"/>
        <v>0.51306964746345662</v>
      </c>
      <c r="W463" s="20">
        <f>VLOOKUP(D463,Priors!$A$3:$C$6,2,FALSE)</f>
        <v>4.1142361271531161E-2</v>
      </c>
      <c r="X463" s="20">
        <f>VLOOKUP(D463,Priors!$A$3:$C$6,3,FALSE)</f>
        <v>4.0513079897554365E-2</v>
      </c>
      <c r="Y463" s="20">
        <f t="shared" si="43"/>
        <v>2.3046235664432799E-2</v>
      </c>
      <c r="Z463" s="20">
        <f t="shared" si="44"/>
        <v>4.0352943321528584E-2</v>
      </c>
      <c r="AA463" s="21">
        <v>1</v>
      </c>
      <c r="AB463" s="21">
        <v>1</v>
      </c>
      <c r="AC463" s="22">
        <f t="shared" si="45"/>
        <v>2.3046235664432799E-2</v>
      </c>
      <c r="AD463" s="22">
        <f t="shared" si="46"/>
        <v>4.0352943321528584E-2</v>
      </c>
      <c r="AE463" s="22">
        <f t="shared" si="47"/>
        <v>0.48693035253654338</v>
      </c>
      <c r="AF463" s="7" t="s">
        <v>1643</v>
      </c>
      <c r="AG463" s="7"/>
      <c r="AH463" s="7"/>
      <c r="AI463" s="7"/>
      <c r="AJ463" s="8" t="b">
        <v>1</v>
      </c>
      <c r="AK463" s="28" t="s">
        <v>1644</v>
      </c>
      <c r="AL463" s="28" t="s">
        <v>1645</v>
      </c>
      <c r="AM463" s="28"/>
      <c r="AN463" s="7"/>
      <c r="AO463" s="7"/>
      <c r="AP463" s="7"/>
      <c r="AQ463" s="28" t="s">
        <v>1650</v>
      </c>
    </row>
    <row r="464" spans="1:43" ht="30">
      <c r="A464" s="7">
        <v>451</v>
      </c>
      <c r="B464" s="7" t="s">
        <v>1357</v>
      </c>
      <c r="C464" s="7" t="s">
        <v>55</v>
      </c>
      <c r="D464" s="7" t="s">
        <v>99</v>
      </c>
      <c r="E464" s="7" t="s">
        <v>1642</v>
      </c>
      <c r="F464" s="7" t="s">
        <v>55</v>
      </c>
      <c r="G464" s="14">
        <v>7</v>
      </c>
      <c r="H464" s="15">
        <v>0</v>
      </c>
      <c r="I464" s="15">
        <v>0</v>
      </c>
      <c r="J464" s="15">
        <v>0</v>
      </c>
      <c r="K464" s="15">
        <v>0</v>
      </c>
      <c r="L464" s="15">
        <v>57.1</v>
      </c>
      <c r="M464" s="15">
        <v>1.5026315789473685</v>
      </c>
      <c r="N464" s="16">
        <v>0</v>
      </c>
      <c r="O464" s="16">
        <v>0</v>
      </c>
      <c r="P464" s="17">
        <f>IFERROR(G464/(G464+Priors!$H$3),0)</f>
        <v>6.9513406156901684E-3</v>
      </c>
      <c r="Q464" s="18">
        <f>IF(E464="Premier League",Priors!$H$4,IF(E464="Championship",Priors!$H$5,Priors!$H$8))</f>
        <v>1</v>
      </c>
      <c r="R464" s="19" t="b">
        <v>0</v>
      </c>
      <c r="S464" s="18">
        <f>IF(R464=TRUE,Priors!$H$6,1)</f>
        <v>1</v>
      </c>
      <c r="T464" s="19" t="b">
        <v>1</v>
      </c>
      <c r="U464" s="18">
        <f>IF(T464=TRUE,Priors!$H$7,1)</f>
        <v>0.9</v>
      </c>
      <c r="V464" s="18">
        <f t="shared" si="42"/>
        <v>6.256206554121152E-3</v>
      </c>
      <c r="W464" s="20">
        <f>VLOOKUP(D464,Priors!$A$3:$C$6,2,FALSE)</f>
        <v>4.1142361271531161E-2</v>
      </c>
      <c r="X464" s="20">
        <f>VLOOKUP(D464,Priors!$A$3:$C$6,3,FALSE)</f>
        <v>4.0513079897554365E-2</v>
      </c>
      <c r="Y464" s="20">
        <f t="shared" si="43"/>
        <v>4.088496616129219E-2</v>
      </c>
      <c r="Z464" s="20">
        <f t="shared" si="44"/>
        <v>4.025962170157165E-2</v>
      </c>
      <c r="AA464" s="21">
        <v>1</v>
      </c>
      <c r="AB464" s="21">
        <v>1</v>
      </c>
      <c r="AC464" s="22">
        <f t="shared" si="45"/>
        <v>4.088496616129219E-2</v>
      </c>
      <c r="AD464" s="22">
        <f t="shared" si="46"/>
        <v>4.025962170157165E-2</v>
      </c>
      <c r="AE464" s="22">
        <f t="shared" si="47"/>
        <v>0.99374379344587882</v>
      </c>
      <c r="AF464" s="7" t="s">
        <v>1643</v>
      </c>
      <c r="AG464" s="7"/>
      <c r="AH464" s="7"/>
      <c r="AI464" s="7"/>
      <c r="AJ464" s="8" t="b">
        <v>1</v>
      </c>
      <c r="AK464" s="28" t="s">
        <v>1644</v>
      </c>
      <c r="AL464" s="28" t="s">
        <v>1645</v>
      </c>
      <c r="AM464" s="28"/>
      <c r="AN464" s="7">
        <v>3</v>
      </c>
      <c r="AO464" s="7">
        <v>0</v>
      </c>
      <c r="AP464" s="8" t="b">
        <v>0</v>
      </c>
      <c r="AQ464" s="28" t="s">
        <v>1646</v>
      </c>
    </row>
    <row r="465" spans="1:43" ht="30">
      <c r="A465" s="7">
        <v>452</v>
      </c>
      <c r="B465" s="7" t="s">
        <v>1359</v>
      </c>
      <c r="C465" s="7" t="s">
        <v>55</v>
      </c>
      <c r="D465" s="7" t="s">
        <v>112</v>
      </c>
      <c r="E465" s="7" t="s">
        <v>1642</v>
      </c>
      <c r="F465" s="7" t="s">
        <v>55</v>
      </c>
      <c r="G465" s="14">
        <v>2456</v>
      </c>
      <c r="H465" s="15">
        <v>5.59</v>
      </c>
      <c r="I465" s="15">
        <v>4.96</v>
      </c>
      <c r="J465" s="15">
        <v>0.20484527687296417</v>
      </c>
      <c r="K465" s="15">
        <v>0.18175895765472311</v>
      </c>
      <c r="L465" s="15">
        <v>57.1</v>
      </c>
      <c r="M465" s="15">
        <v>1.5026315789473685</v>
      </c>
      <c r="N465" s="16">
        <v>0.13632435238480978</v>
      </c>
      <c r="O465" s="16">
        <v>0.12096042716076143</v>
      </c>
      <c r="P465" s="17">
        <f>IFERROR(G465/(G465+Priors!$H$3),0)</f>
        <v>0.71064814814814814</v>
      </c>
      <c r="Q465" s="18">
        <f>IF(E465="Premier League",Priors!$H$4,IF(E465="Championship",Priors!$H$5,Priors!$H$8))</f>
        <v>1</v>
      </c>
      <c r="R465" s="19" t="b">
        <v>0</v>
      </c>
      <c r="S465" s="18">
        <f>IF(R465=TRUE,Priors!$H$6,1)</f>
        <v>1</v>
      </c>
      <c r="T465" s="19" t="b">
        <v>1</v>
      </c>
      <c r="U465" s="18">
        <f>IF(T465=TRUE,Priors!$H$7,1)</f>
        <v>0.9</v>
      </c>
      <c r="V465" s="18">
        <f t="shared" si="42"/>
        <v>0.63958333333333339</v>
      </c>
      <c r="W465" s="20">
        <f>VLOOKUP(D465,Priors!$A$3:$C$6,2,FALSE)</f>
        <v>0.10751786102217777</v>
      </c>
      <c r="X465" s="20">
        <f>VLOOKUP(D465,Priors!$A$3:$C$6,3,FALSE)</f>
        <v>9.0240671969462088E-2</v>
      </c>
      <c r="Y465" s="20">
        <f t="shared" si="43"/>
        <v>0.12594201278952782</v>
      </c>
      <c r="Z465" s="20">
        <f t="shared" si="44"/>
        <v>0.1098885153938973</v>
      </c>
      <c r="AA465" s="21">
        <v>1</v>
      </c>
      <c r="AB465" s="21">
        <v>1</v>
      </c>
      <c r="AC465" s="22">
        <f t="shared" si="45"/>
        <v>0.12594201278952782</v>
      </c>
      <c r="AD465" s="22">
        <f t="shared" si="46"/>
        <v>0.1098885153938973</v>
      </c>
      <c r="AE465" s="22">
        <f t="shared" si="47"/>
        <v>0.36041666666666661</v>
      </c>
      <c r="AF465" s="7" t="s">
        <v>1643</v>
      </c>
      <c r="AG465" s="7">
        <v>3</v>
      </c>
      <c r="AH465" s="7">
        <v>2</v>
      </c>
      <c r="AI465" s="7">
        <v>6</v>
      </c>
      <c r="AJ465" s="8" t="b">
        <v>1</v>
      </c>
      <c r="AK465" s="28" t="s">
        <v>1644</v>
      </c>
      <c r="AL465" s="28" t="s">
        <v>1645</v>
      </c>
      <c r="AM465" s="28"/>
      <c r="AN465" s="7"/>
      <c r="AO465" s="7">
        <v>0</v>
      </c>
      <c r="AP465" s="8" t="b">
        <v>0</v>
      </c>
      <c r="AQ465" s="28" t="s">
        <v>1646</v>
      </c>
    </row>
    <row r="466" spans="1:43" ht="30">
      <c r="A466" s="7">
        <v>453</v>
      </c>
      <c r="B466" s="7" t="s">
        <v>1362</v>
      </c>
      <c r="C466" s="7" t="s">
        <v>55</v>
      </c>
      <c r="D466" s="7" t="s">
        <v>112</v>
      </c>
      <c r="E466" s="7" t="s">
        <v>1642</v>
      </c>
      <c r="F466" s="7" t="s">
        <v>55</v>
      </c>
      <c r="G466" s="14">
        <v>1951</v>
      </c>
      <c r="H466" s="15">
        <v>6.84</v>
      </c>
      <c r="I466" s="15">
        <v>2.72</v>
      </c>
      <c r="J466" s="15">
        <v>0.31553049718093285</v>
      </c>
      <c r="K466" s="15">
        <v>0.12547411583803178</v>
      </c>
      <c r="L466" s="15">
        <v>57.1</v>
      </c>
      <c r="M466" s="15">
        <v>1.5026315789473685</v>
      </c>
      <c r="N466" s="16">
        <v>0.20998526957750346</v>
      </c>
      <c r="O466" s="16">
        <v>8.3502914217954596E-2</v>
      </c>
      <c r="P466" s="17">
        <f>IFERROR(G466/(G466+Priors!$H$3),0)</f>
        <v>0.66113181972212809</v>
      </c>
      <c r="Q466" s="18">
        <f>IF(E466="Premier League",Priors!$H$4,IF(E466="Championship",Priors!$H$5,Priors!$H$8))</f>
        <v>1</v>
      </c>
      <c r="R466" s="19" t="b">
        <v>0</v>
      </c>
      <c r="S466" s="18">
        <f>IF(R466=TRUE,Priors!$H$6,1)</f>
        <v>1</v>
      </c>
      <c r="T466" s="19" t="b">
        <v>1</v>
      </c>
      <c r="U466" s="18">
        <f>IF(T466=TRUE,Priors!$H$7,1)</f>
        <v>0.9</v>
      </c>
      <c r="V466" s="18">
        <f t="shared" si="42"/>
        <v>0.59501863774991526</v>
      </c>
      <c r="W466" s="20">
        <f>VLOOKUP(D466,Priors!$A$3:$C$6,2,FALSE)</f>
        <v>0.10751786102217777</v>
      </c>
      <c r="X466" s="20">
        <f>VLOOKUP(D466,Priors!$A$3:$C$6,3,FALSE)</f>
        <v>9.0240671969462088E-2</v>
      </c>
      <c r="Y466" s="20">
        <f t="shared" si="43"/>
        <v>0.16848787887453168</v>
      </c>
      <c r="Z466" s="20">
        <f t="shared" si="44"/>
        <v>8.6231580530671176E-2</v>
      </c>
      <c r="AA466" s="21">
        <v>1</v>
      </c>
      <c r="AB466" s="21">
        <v>1</v>
      </c>
      <c r="AC466" s="22">
        <f t="shared" si="45"/>
        <v>0.16848787887453168</v>
      </c>
      <c r="AD466" s="22">
        <f t="shared" si="46"/>
        <v>8.6231580530671176E-2</v>
      </c>
      <c r="AE466" s="22">
        <f t="shared" si="47"/>
        <v>0.40498136225008474</v>
      </c>
      <c r="AF466" s="7" t="s">
        <v>1643</v>
      </c>
      <c r="AG466" s="7"/>
      <c r="AH466" s="7"/>
      <c r="AI466" s="7"/>
      <c r="AJ466" s="8" t="b">
        <v>1</v>
      </c>
      <c r="AK466" s="28" t="s">
        <v>1644</v>
      </c>
      <c r="AL466" s="28" t="s">
        <v>1645</v>
      </c>
      <c r="AM466" s="28"/>
      <c r="AN466" s="7"/>
      <c r="AO466" s="7">
        <v>0</v>
      </c>
      <c r="AP466" s="8" t="b">
        <v>0</v>
      </c>
      <c r="AQ466" s="28" t="s">
        <v>1646</v>
      </c>
    </row>
    <row r="467" spans="1:43" ht="30">
      <c r="A467" s="7">
        <v>454</v>
      </c>
      <c r="B467" s="7" t="s">
        <v>1365</v>
      </c>
      <c r="C467" s="7" t="s">
        <v>55</v>
      </c>
      <c r="D467" s="7" t="s">
        <v>112</v>
      </c>
      <c r="E467" s="7" t="s">
        <v>1642</v>
      </c>
      <c r="F467" s="7" t="s">
        <v>55</v>
      </c>
      <c r="G467" s="14">
        <v>1302</v>
      </c>
      <c r="H467" s="15">
        <v>1.65</v>
      </c>
      <c r="I467" s="15">
        <v>1.74</v>
      </c>
      <c r="J467" s="15">
        <v>0.11405529953917051</v>
      </c>
      <c r="K467" s="15">
        <v>0.12027649769585252</v>
      </c>
      <c r="L467" s="15">
        <v>57.1</v>
      </c>
      <c r="M467" s="15">
        <v>1.5026315789473685</v>
      </c>
      <c r="N467" s="16">
        <v>7.5903701970025911E-2</v>
      </c>
      <c r="O467" s="16">
        <v>8.0043903895663668E-2</v>
      </c>
      <c r="P467" s="17">
        <f>IFERROR(G467/(G467+Priors!$H$3),0)</f>
        <v>0.56559513466550826</v>
      </c>
      <c r="Q467" s="18">
        <f>IF(E467="Premier League",Priors!$H$4,IF(E467="Championship",Priors!$H$5,Priors!$H$8))</f>
        <v>1</v>
      </c>
      <c r="R467" s="19" t="b">
        <v>0</v>
      </c>
      <c r="S467" s="18">
        <f>IF(R467=TRUE,Priors!$H$6,1)</f>
        <v>1</v>
      </c>
      <c r="T467" s="19" t="b">
        <v>1</v>
      </c>
      <c r="U467" s="18">
        <f>IF(T467=TRUE,Priors!$H$7,1)</f>
        <v>0.9</v>
      </c>
      <c r="V467" s="18">
        <f t="shared" si="42"/>
        <v>0.5090356211989574</v>
      </c>
      <c r="W467" s="20">
        <f>VLOOKUP(D467,Priors!$A$3:$C$6,2,FALSE)</f>
        <v>0.10751786102217777</v>
      </c>
      <c r="X467" s="20">
        <f>VLOOKUP(D467,Priors!$A$3:$C$6,3,FALSE)</f>
        <v>9.0240671969462088E-2</v>
      </c>
      <c r="Y467" s="20">
        <f t="shared" si="43"/>
        <v>9.1425127930383016E-2</v>
      </c>
      <c r="Z467" s="20">
        <f t="shared" si="44"/>
        <v>8.5050153798794409E-2</v>
      </c>
      <c r="AA467" s="21">
        <v>1</v>
      </c>
      <c r="AB467" s="21">
        <v>1</v>
      </c>
      <c r="AC467" s="22">
        <f t="shared" si="45"/>
        <v>9.1425127930383016E-2</v>
      </c>
      <c r="AD467" s="22">
        <f t="shared" si="46"/>
        <v>8.5050153798794409E-2</v>
      </c>
      <c r="AE467" s="22">
        <f t="shared" si="47"/>
        <v>0.4909643788010426</v>
      </c>
      <c r="AF467" s="7" t="s">
        <v>1643</v>
      </c>
      <c r="AG467" s="7"/>
      <c r="AH467" s="7"/>
      <c r="AI467" s="7">
        <v>8</v>
      </c>
      <c r="AJ467" s="8" t="b">
        <v>1</v>
      </c>
      <c r="AK467" s="28" t="s">
        <v>1644</v>
      </c>
      <c r="AL467" s="28" t="s">
        <v>1645</v>
      </c>
      <c r="AM467" s="28"/>
      <c r="AN467" s="7"/>
      <c r="AO467" s="7">
        <v>0</v>
      </c>
      <c r="AP467" s="8" t="b">
        <v>0</v>
      </c>
      <c r="AQ467" s="28" t="s">
        <v>1646</v>
      </c>
    </row>
    <row r="468" spans="1:43" ht="30">
      <c r="A468" s="7">
        <v>456</v>
      </c>
      <c r="B468" s="7" t="s">
        <v>1367</v>
      </c>
      <c r="C468" s="7" t="s">
        <v>55</v>
      </c>
      <c r="D468" s="7" t="s">
        <v>112</v>
      </c>
      <c r="E468" s="7" t="s">
        <v>1642</v>
      </c>
      <c r="F468" s="7" t="s">
        <v>55</v>
      </c>
      <c r="G468" s="14">
        <v>1441</v>
      </c>
      <c r="H468" s="15">
        <v>1.2</v>
      </c>
      <c r="I468" s="15">
        <v>1.45</v>
      </c>
      <c r="J468" s="15">
        <v>7.4947952810548224E-2</v>
      </c>
      <c r="K468" s="15">
        <v>9.0562109646079109E-2</v>
      </c>
      <c r="L468" s="15">
        <v>57.1</v>
      </c>
      <c r="M468" s="15">
        <v>1.5026315789473685</v>
      </c>
      <c r="N468" s="16">
        <v>4.9877796966739621E-2</v>
      </c>
      <c r="O468" s="16">
        <v>6.0269004668143708E-2</v>
      </c>
      <c r="P468" s="17">
        <f>IFERROR(G468/(G468+Priors!$H$3),0)</f>
        <v>0.59033183121671451</v>
      </c>
      <c r="Q468" s="18">
        <f>IF(E468="Premier League",Priors!$H$4,IF(E468="Championship",Priors!$H$5,Priors!$H$8))</f>
        <v>1</v>
      </c>
      <c r="R468" s="19" t="b">
        <v>0</v>
      </c>
      <c r="S468" s="18">
        <f>IF(R468=TRUE,Priors!$H$6,1)</f>
        <v>1</v>
      </c>
      <c r="T468" s="19" t="b">
        <v>1</v>
      </c>
      <c r="U468" s="18">
        <f>IF(T468=TRUE,Priors!$H$7,1)</f>
        <v>0.9</v>
      </c>
      <c r="V468" s="18">
        <f t="shared" si="42"/>
        <v>0.53129864809504312</v>
      </c>
      <c r="W468" s="20">
        <f>VLOOKUP(D468,Priors!$A$3:$C$6,2,FALSE)</f>
        <v>0.10751786102217777</v>
      </c>
      <c r="X468" s="20">
        <f>VLOOKUP(D468,Priors!$A$3:$C$6,3,FALSE)</f>
        <v>9.0240671969462088E-2</v>
      </c>
      <c r="Y468" s="20">
        <f t="shared" si="43"/>
        <v>7.689377291341179E-2</v>
      </c>
      <c r="Z468" s="20">
        <f t="shared" si="44"/>
        <v>7.4316765651117223E-2</v>
      </c>
      <c r="AA468" s="21">
        <v>1</v>
      </c>
      <c r="AB468" s="21">
        <v>1</v>
      </c>
      <c r="AC468" s="22">
        <f t="shared" si="45"/>
        <v>7.689377291341179E-2</v>
      </c>
      <c r="AD468" s="22">
        <f t="shared" si="46"/>
        <v>7.4316765651117223E-2</v>
      </c>
      <c r="AE468" s="22">
        <f t="shared" si="47"/>
        <v>0.46870135190495688</v>
      </c>
      <c r="AF468" s="7" t="s">
        <v>1643</v>
      </c>
      <c r="AG468" s="7"/>
      <c r="AH468" s="7"/>
      <c r="AI468" s="7"/>
      <c r="AJ468" s="8" t="b">
        <v>1</v>
      </c>
      <c r="AK468" s="28" t="s">
        <v>1644</v>
      </c>
      <c r="AL468" s="28" t="s">
        <v>1645</v>
      </c>
      <c r="AM468" s="28"/>
      <c r="AN468" s="7"/>
      <c r="AO468" s="7">
        <v>0</v>
      </c>
      <c r="AP468" s="8" t="b">
        <v>0</v>
      </c>
      <c r="AQ468" s="28" t="s">
        <v>1646</v>
      </c>
    </row>
    <row r="469" spans="1:43" ht="30">
      <c r="A469" s="7">
        <v>457</v>
      </c>
      <c r="B469" s="7" t="s">
        <v>1370</v>
      </c>
      <c r="C469" s="7" t="s">
        <v>55</v>
      </c>
      <c r="D469" s="7" t="s">
        <v>112</v>
      </c>
      <c r="E469" s="7" t="s">
        <v>1642</v>
      </c>
      <c r="F469" s="7" t="s">
        <v>55</v>
      </c>
      <c r="G469" s="14">
        <v>1606</v>
      </c>
      <c r="H469" s="15">
        <v>3.07</v>
      </c>
      <c r="I469" s="15">
        <v>2.66</v>
      </c>
      <c r="J469" s="15">
        <v>0.17204234122042342</v>
      </c>
      <c r="K469" s="15">
        <v>0.14906600249066002</v>
      </c>
      <c r="L469" s="15">
        <v>57.1</v>
      </c>
      <c r="M469" s="15">
        <v>1.5026315789473685</v>
      </c>
      <c r="N469" s="16">
        <v>0.11449402743215568</v>
      </c>
      <c r="O469" s="16">
        <v>9.920329412688407E-2</v>
      </c>
      <c r="P469" s="17">
        <f>IFERROR(G469/(G469+Priors!$H$3),0)</f>
        <v>0.61627014581734463</v>
      </c>
      <c r="Q469" s="18">
        <f>IF(E469="Premier League",Priors!$H$4,IF(E469="Championship",Priors!$H$5,Priors!$H$8))</f>
        <v>1</v>
      </c>
      <c r="R469" s="19" t="b">
        <v>0</v>
      </c>
      <c r="S469" s="18">
        <f>IF(R469=TRUE,Priors!$H$6,1)</f>
        <v>1</v>
      </c>
      <c r="T469" s="19" t="b">
        <v>1</v>
      </c>
      <c r="U469" s="18">
        <f>IF(T469=TRUE,Priors!$H$7,1)</f>
        <v>0.9</v>
      </c>
      <c r="V469" s="18">
        <f t="shared" si="42"/>
        <v>0.55464313123561015</v>
      </c>
      <c r="W469" s="20">
        <f>VLOOKUP(D469,Priors!$A$3:$C$6,2,FALSE)</f>
        <v>0.10751786102217777</v>
      </c>
      <c r="X469" s="20">
        <f>VLOOKUP(D469,Priors!$A$3:$C$6,3,FALSE)</f>
        <v>9.0240671969462088E-2</v>
      </c>
      <c r="Y469" s="20">
        <f t="shared" si="43"/>
        <v>0.11138714380382861</v>
      </c>
      <c r="Z469" s="20">
        <f t="shared" si="44"/>
        <v>9.5211728786936276E-2</v>
      </c>
      <c r="AA469" s="21">
        <v>1</v>
      </c>
      <c r="AB469" s="21">
        <v>1</v>
      </c>
      <c r="AC469" s="22">
        <f t="shared" si="45"/>
        <v>0.11138714380382861</v>
      </c>
      <c r="AD469" s="22">
        <f t="shared" si="46"/>
        <v>9.5211728786936276E-2</v>
      </c>
      <c r="AE469" s="22">
        <f t="shared" si="47"/>
        <v>0.44535686876438985</v>
      </c>
      <c r="AF469" s="7" t="s">
        <v>1643</v>
      </c>
      <c r="AG469" s="7"/>
      <c r="AH469" s="7"/>
      <c r="AI469" s="7"/>
      <c r="AJ469" s="8" t="b">
        <v>1</v>
      </c>
      <c r="AK469" s="28" t="s">
        <v>1644</v>
      </c>
      <c r="AL469" s="28" t="s">
        <v>1645</v>
      </c>
      <c r="AM469" s="28"/>
      <c r="AN469" s="7"/>
      <c r="AO469" s="7">
        <v>0</v>
      </c>
      <c r="AP469" s="8" t="b">
        <v>0</v>
      </c>
      <c r="AQ469" s="28" t="s">
        <v>1646</v>
      </c>
    </row>
    <row r="470" spans="1:43" ht="30">
      <c r="A470" s="7">
        <v>458</v>
      </c>
      <c r="B470" s="7" t="s">
        <v>1373</v>
      </c>
      <c r="C470" s="7" t="s">
        <v>55</v>
      </c>
      <c r="D470" s="7" t="s">
        <v>112</v>
      </c>
      <c r="E470" s="7" t="s">
        <v>1642</v>
      </c>
      <c r="F470" s="7" t="s">
        <v>55</v>
      </c>
      <c r="G470" s="14">
        <v>1950</v>
      </c>
      <c r="H470" s="15">
        <v>2.36</v>
      </c>
      <c r="I470" s="15">
        <v>1.35</v>
      </c>
      <c r="J470" s="15">
        <v>0.10892307692307691</v>
      </c>
      <c r="K470" s="15">
        <v>6.2307692307692314E-2</v>
      </c>
      <c r="L470" s="15">
        <v>57.1</v>
      </c>
      <c r="M470" s="15">
        <v>1.5026315789473685</v>
      </c>
      <c r="N470" s="16">
        <v>7.2488212313080946E-2</v>
      </c>
      <c r="O470" s="16">
        <v>4.1465714670618346E-2</v>
      </c>
      <c r="P470" s="17">
        <f>IFERROR(G470/(G470+Priors!$H$3),0)</f>
        <v>0.66101694915254239</v>
      </c>
      <c r="Q470" s="18">
        <f>IF(E470="Premier League",Priors!$H$4,IF(E470="Championship",Priors!$H$5,Priors!$H$8))</f>
        <v>1</v>
      </c>
      <c r="R470" s="19" t="b">
        <v>0</v>
      </c>
      <c r="S470" s="18">
        <f>IF(R470=TRUE,Priors!$H$6,1)</f>
        <v>1</v>
      </c>
      <c r="T470" s="19" t="b">
        <v>1</v>
      </c>
      <c r="U470" s="18">
        <f>IF(T470=TRUE,Priors!$H$7,1)</f>
        <v>0.9</v>
      </c>
      <c r="V470" s="18">
        <f t="shared" si="42"/>
        <v>0.59491525423728819</v>
      </c>
      <c r="W470" s="20">
        <f>VLOOKUP(D470,Priors!$A$3:$C$6,2,FALSE)</f>
        <v>0.10751786102217777</v>
      </c>
      <c r="X470" s="20">
        <f>VLOOKUP(D470,Priors!$A$3:$C$6,3,FALSE)</f>
        <v>9.0240671969462088E-2</v>
      </c>
      <c r="Y470" s="20">
        <f t="shared" si="43"/>
        <v>8.6678188654562532E-2</v>
      </c>
      <c r="Z470" s="20">
        <f t="shared" si="44"/>
        <v>6.1223705847607585E-2</v>
      </c>
      <c r="AA470" s="21">
        <v>1</v>
      </c>
      <c r="AB470" s="21">
        <v>1</v>
      </c>
      <c r="AC470" s="22">
        <f t="shared" si="45"/>
        <v>8.6678188654562532E-2</v>
      </c>
      <c r="AD470" s="22">
        <f t="shared" si="46"/>
        <v>6.1223705847607585E-2</v>
      </c>
      <c r="AE470" s="22">
        <f t="shared" si="47"/>
        <v>0.40508474576271181</v>
      </c>
      <c r="AF470" s="7" t="s">
        <v>1643</v>
      </c>
      <c r="AG470" s="7"/>
      <c r="AH470" s="7"/>
      <c r="AI470" s="7"/>
      <c r="AJ470" s="8" t="b">
        <v>1</v>
      </c>
      <c r="AK470" s="28" t="s">
        <v>1644</v>
      </c>
      <c r="AL470" s="28" t="s">
        <v>1645</v>
      </c>
      <c r="AM470" s="28"/>
      <c r="AN470" s="7"/>
      <c r="AO470" s="7">
        <v>0</v>
      </c>
      <c r="AP470" s="8" t="b">
        <v>0</v>
      </c>
      <c r="AQ470" s="28" t="s">
        <v>1646</v>
      </c>
    </row>
    <row r="471" spans="1:43" ht="30">
      <c r="A471" s="7">
        <v>459</v>
      </c>
      <c r="B471" s="7" t="s">
        <v>1376</v>
      </c>
      <c r="C471" s="7" t="s">
        <v>55</v>
      </c>
      <c r="D471" s="7" t="s">
        <v>112</v>
      </c>
      <c r="E471" s="7" t="s">
        <v>1642</v>
      </c>
      <c r="F471" s="7" t="s">
        <v>55</v>
      </c>
      <c r="G471" s="14">
        <v>1493</v>
      </c>
      <c r="H471" s="15">
        <v>1.36</v>
      </c>
      <c r="I471" s="15">
        <v>2.1</v>
      </c>
      <c r="J471" s="15">
        <v>8.1982585398526459E-2</v>
      </c>
      <c r="K471" s="15">
        <v>0.12659075686537175</v>
      </c>
      <c r="L471" s="15">
        <v>57.1</v>
      </c>
      <c r="M471" s="15">
        <v>1.5026315789473685</v>
      </c>
      <c r="N471" s="16">
        <v>5.4559338794115675E-2</v>
      </c>
      <c r="O471" s="16">
        <v>8.4246037843855093E-2</v>
      </c>
      <c r="P471" s="17">
        <f>IFERROR(G471/(G471+Priors!$H$3),0)</f>
        <v>0.5988768551945447</v>
      </c>
      <c r="Q471" s="18">
        <f>IF(E471="Premier League",Priors!$H$4,IF(E471="Championship",Priors!$H$5,Priors!$H$8))</f>
        <v>1</v>
      </c>
      <c r="R471" s="19" t="b">
        <v>0</v>
      </c>
      <c r="S471" s="18">
        <f>IF(R471=TRUE,Priors!$H$6,1)</f>
        <v>1</v>
      </c>
      <c r="T471" s="19" t="b">
        <v>1</v>
      </c>
      <c r="U471" s="18">
        <f>IF(T471=TRUE,Priors!$H$7,1)</f>
        <v>0.9</v>
      </c>
      <c r="V471" s="18">
        <f t="shared" si="42"/>
        <v>0.53898916967509025</v>
      </c>
      <c r="W471" s="20">
        <f>VLOOKUP(D471,Priors!$A$3:$C$6,2,FALSE)</f>
        <v>0.10751786102217777</v>
      </c>
      <c r="X471" s="20">
        <f>VLOOKUP(D471,Priors!$A$3:$C$6,3,FALSE)</f>
        <v>9.0240671969462088E-2</v>
      </c>
      <c r="Y471" s="20">
        <f t="shared" si="43"/>
        <v>7.8973791099254759E-2</v>
      </c>
      <c r="Z471" s="20">
        <f t="shared" si="44"/>
        <v>8.7009629099595212E-2</v>
      </c>
      <c r="AA471" s="21">
        <v>1</v>
      </c>
      <c r="AB471" s="21">
        <v>1</v>
      </c>
      <c r="AC471" s="22">
        <f t="shared" si="45"/>
        <v>7.8973791099254759E-2</v>
      </c>
      <c r="AD471" s="22">
        <f t="shared" si="46"/>
        <v>8.7009629099595212E-2</v>
      </c>
      <c r="AE471" s="22">
        <f t="shared" si="47"/>
        <v>0.46101083032490975</v>
      </c>
      <c r="AF471" s="7" t="s">
        <v>1643</v>
      </c>
      <c r="AG471" s="7"/>
      <c r="AH471" s="7"/>
      <c r="AI471" s="7">
        <v>7</v>
      </c>
      <c r="AJ471" s="8" t="b">
        <v>1</v>
      </c>
      <c r="AK471" s="28" t="s">
        <v>1644</v>
      </c>
      <c r="AL471" s="28" t="s">
        <v>1645</v>
      </c>
      <c r="AM471" s="28"/>
      <c r="AN471" s="7"/>
      <c r="AO471" s="7">
        <v>0</v>
      </c>
      <c r="AP471" s="8" t="b">
        <v>0</v>
      </c>
      <c r="AQ471" s="28" t="s">
        <v>1646</v>
      </c>
    </row>
    <row r="472" spans="1:43" ht="30">
      <c r="A472" s="7">
        <v>460</v>
      </c>
      <c r="B472" s="7" t="s">
        <v>1380</v>
      </c>
      <c r="C472" s="7" t="s">
        <v>55</v>
      </c>
      <c r="D472" s="7" t="s">
        <v>112</v>
      </c>
      <c r="E472" s="7" t="s">
        <v>1642</v>
      </c>
      <c r="F472" s="7" t="s">
        <v>55</v>
      </c>
      <c r="G472" s="14">
        <v>972</v>
      </c>
      <c r="H472" s="15">
        <v>1.26</v>
      </c>
      <c r="I472" s="15">
        <v>1.07</v>
      </c>
      <c r="J472" s="15">
        <v>0.11666666666666667</v>
      </c>
      <c r="K472" s="15">
        <v>9.9074074074074092E-2</v>
      </c>
      <c r="L472" s="15">
        <v>57.1</v>
      </c>
      <c r="M472" s="15">
        <v>1.5026315789473685</v>
      </c>
      <c r="N472" s="16">
        <v>7.7641564506713362E-2</v>
      </c>
      <c r="O472" s="16">
        <v>6.5933709541415322E-2</v>
      </c>
      <c r="P472" s="17">
        <f>IFERROR(G472/(G472+Priors!$H$3),0)</f>
        <v>0.49290060851926976</v>
      </c>
      <c r="Q472" s="18">
        <f>IF(E472="Premier League",Priors!$H$4,IF(E472="Championship",Priors!$H$5,Priors!$H$8))</f>
        <v>1</v>
      </c>
      <c r="R472" s="19" t="b">
        <v>0</v>
      </c>
      <c r="S472" s="18">
        <f>IF(R472=TRUE,Priors!$H$6,1)</f>
        <v>1</v>
      </c>
      <c r="T472" s="19" t="b">
        <v>1</v>
      </c>
      <c r="U472" s="18">
        <f>IF(T472=TRUE,Priors!$H$7,1)</f>
        <v>0.9</v>
      </c>
      <c r="V472" s="18">
        <f t="shared" si="42"/>
        <v>0.44361054766734281</v>
      </c>
      <c r="W472" s="20">
        <f>VLOOKUP(D472,Priors!$A$3:$C$6,2,FALSE)</f>
        <v>0.10751786102217777</v>
      </c>
      <c r="X472" s="20">
        <f>VLOOKUP(D472,Priors!$A$3:$C$6,3,FALSE)</f>
        <v>9.0240671969462088E-2</v>
      </c>
      <c r="Y472" s="20">
        <f t="shared" si="43"/>
        <v>9.426442076268067E-2</v>
      </c>
      <c r="Z472" s="20">
        <f t="shared" si="44"/>
        <v>7.9457847054626732E-2</v>
      </c>
      <c r="AA472" s="21">
        <v>1</v>
      </c>
      <c r="AB472" s="21">
        <v>1</v>
      </c>
      <c r="AC472" s="22">
        <f t="shared" si="45"/>
        <v>9.426442076268067E-2</v>
      </c>
      <c r="AD472" s="22">
        <f t="shared" si="46"/>
        <v>7.9457847054626732E-2</v>
      </c>
      <c r="AE472" s="22">
        <f t="shared" si="47"/>
        <v>0.55638945233265713</v>
      </c>
      <c r="AF472" s="7" t="s">
        <v>1643</v>
      </c>
      <c r="AG472" s="7"/>
      <c r="AH472" s="7"/>
      <c r="AI472" s="7"/>
      <c r="AJ472" s="8" t="b">
        <v>1</v>
      </c>
      <c r="AK472" s="28" t="s">
        <v>1644</v>
      </c>
      <c r="AL472" s="28" t="s">
        <v>1645</v>
      </c>
      <c r="AM472" s="28"/>
      <c r="AN472" s="7"/>
      <c r="AO472" s="7">
        <v>0</v>
      </c>
      <c r="AP472" s="8" t="b">
        <v>0</v>
      </c>
      <c r="AQ472" s="28" t="s">
        <v>1646</v>
      </c>
    </row>
    <row r="473" spans="1:43" ht="15">
      <c r="A473" s="7">
        <v>461</v>
      </c>
      <c r="B473" s="7" t="s">
        <v>1383</v>
      </c>
      <c r="C473" s="7" t="s">
        <v>55</v>
      </c>
      <c r="D473" s="7" t="s">
        <v>112</v>
      </c>
      <c r="E473" s="7" t="s">
        <v>1647</v>
      </c>
      <c r="F473" s="7"/>
      <c r="G473" s="14"/>
      <c r="H473" s="15"/>
      <c r="I473" s="15"/>
      <c r="J473" s="15"/>
      <c r="K473" s="15"/>
      <c r="L473" s="15"/>
      <c r="M473" s="15"/>
      <c r="N473" s="16"/>
      <c r="O473" s="16"/>
      <c r="P473" s="17">
        <f>IFERROR(G473/(G473+Priors!$H$3),0)</f>
        <v>0</v>
      </c>
      <c r="Q473" s="18">
        <f>IF(E473="Premier League",Priors!$H$4,IF(E473="Championship",Priors!$H$5,Priors!$H$8))</f>
        <v>0</v>
      </c>
      <c r="R473" s="19" t="b">
        <v>0</v>
      </c>
      <c r="S473" s="18">
        <f>IF(R473=TRUE,Priors!$H$6,1)</f>
        <v>1</v>
      </c>
      <c r="T473" s="19" t="b">
        <v>1</v>
      </c>
      <c r="U473" s="18">
        <f>IF(T473=TRUE,Priors!$H$7,1)</f>
        <v>0.9</v>
      </c>
      <c r="V473" s="18">
        <f t="shared" si="42"/>
        <v>0</v>
      </c>
      <c r="W473" s="20">
        <f>VLOOKUP(D473,Priors!$A$3:$C$6,2,FALSE)</f>
        <v>0.10751786102217777</v>
      </c>
      <c r="X473" s="20">
        <f>VLOOKUP(D473,Priors!$A$3:$C$6,3,FALSE)</f>
        <v>9.0240671969462088E-2</v>
      </c>
      <c r="Y473" s="20">
        <f t="shared" si="43"/>
        <v>0.10751786102217777</v>
      </c>
      <c r="Z473" s="20">
        <f t="shared" si="44"/>
        <v>9.0240671969462088E-2</v>
      </c>
      <c r="AA473" s="21">
        <v>1</v>
      </c>
      <c r="AB473" s="21">
        <v>1</v>
      </c>
      <c r="AC473" s="22">
        <f t="shared" si="45"/>
        <v>0.10751786102217777</v>
      </c>
      <c r="AD473" s="22">
        <f t="shared" si="46"/>
        <v>9.0240671969462088E-2</v>
      </c>
      <c r="AE473" s="22">
        <f t="shared" si="47"/>
        <v>1</v>
      </c>
      <c r="AF473" s="7" t="s">
        <v>1647</v>
      </c>
      <c r="AG473" s="7"/>
      <c r="AH473" s="7"/>
      <c r="AI473" s="7"/>
      <c r="AJ473" s="8" t="b">
        <v>1</v>
      </c>
      <c r="AK473" s="28" t="s">
        <v>1648</v>
      </c>
      <c r="AL473" s="28"/>
      <c r="AM473" s="28"/>
      <c r="AN473" s="7"/>
      <c r="AO473" s="7">
        <v>0</v>
      </c>
      <c r="AP473" s="8" t="b">
        <v>0</v>
      </c>
      <c r="AQ473" s="28" t="s">
        <v>1646</v>
      </c>
    </row>
    <row r="474" spans="1:43" ht="15">
      <c r="A474" s="7">
        <v>462</v>
      </c>
      <c r="B474" s="7" t="s">
        <v>1386</v>
      </c>
      <c r="C474" s="7" t="s">
        <v>55</v>
      </c>
      <c r="D474" s="7" t="s">
        <v>112</v>
      </c>
      <c r="E474" s="7" t="s">
        <v>1647</v>
      </c>
      <c r="F474" s="7"/>
      <c r="G474" s="14"/>
      <c r="H474" s="15"/>
      <c r="I474" s="15"/>
      <c r="J474" s="15"/>
      <c r="K474" s="15"/>
      <c r="L474" s="15"/>
      <c r="M474" s="15"/>
      <c r="N474" s="16"/>
      <c r="O474" s="16"/>
      <c r="P474" s="17">
        <f>IFERROR(G474/(G474+Priors!$H$3),0)</f>
        <v>0</v>
      </c>
      <c r="Q474" s="18">
        <f>IF(E474="Premier League",Priors!$H$4,IF(E474="Championship",Priors!$H$5,Priors!$H$8))</f>
        <v>0</v>
      </c>
      <c r="R474" s="19" t="b">
        <v>0</v>
      </c>
      <c r="S474" s="18">
        <f>IF(R474=TRUE,Priors!$H$6,1)</f>
        <v>1</v>
      </c>
      <c r="T474" s="19" t="b">
        <v>1</v>
      </c>
      <c r="U474" s="18">
        <f>IF(T474=TRUE,Priors!$H$7,1)</f>
        <v>0.9</v>
      </c>
      <c r="V474" s="18">
        <f t="shared" si="42"/>
        <v>0</v>
      </c>
      <c r="W474" s="20">
        <f>VLOOKUP(D474,Priors!$A$3:$C$6,2,FALSE)</f>
        <v>0.10751786102217777</v>
      </c>
      <c r="X474" s="20">
        <f>VLOOKUP(D474,Priors!$A$3:$C$6,3,FALSE)</f>
        <v>9.0240671969462088E-2</v>
      </c>
      <c r="Y474" s="20">
        <f t="shared" si="43"/>
        <v>0.10751786102217777</v>
      </c>
      <c r="Z474" s="20">
        <f t="shared" si="44"/>
        <v>9.0240671969462088E-2</v>
      </c>
      <c r="AA474" s="21">
        <v>1</v>
      </c>
      <c r="AB474" s="21">
        <v>1</v>
      </c>
      <c r="AC474" s="22">
        <f t="shared" si="45"/>
        <v>0.10751786102217777</v>
      </c>
      <c r="AD474" s="22">
        <f t="shared" si="46"/>
        <v>9.0240671969462088E-2</v>
      </c>
      <c r="AE474" s="22">
        <f t="shared" si="47"/>
        <v>1</v>
      </c>
      <c r="AF474" s="7" t="s">
        <v>1647</v>
      </c>
      <c r="AG474" s="7"/>
      <c r="AH474" s="7"/>
      <c r="AI474" s="7"/>
      <c r="AJ474" s="8" t="b">
        <v>1</v>
      </c>
      <c r="AK474" s="28" t="s">
        <v>1648</v>
      </c>
      <c r="AL474" s="28"/>
      <c r="AM474" s="28"/>
      <c r="AN474" s="7"/>
      <c r="AO474" s="7">
        <v>0</v>
      </c>
      <c r="AP474" s="8" t="b">
        <v>0</v>
      </c>
      <c r="AQ474" s="28" t="s">
        <v>1646</v>
      </c>
    </row>
    <row r="475" spans="1:43" ht="30">
      <c r="A475" s="7">
        <v>463</v>
      </c>
      <c r="B475" s="7" t="s">
        <v>1388</v>
      </c>
      <c r="C475" s="7" t="s">
        <v>55</v>
      </c>
      <c r="D475" s="7" t="s">
        <v>167</v>
      </c>
      <c r="E475" s="7" t="s">
        <v>1642</v>
      </c>
      <c r="F475" s="7" t="s">
        <v>55</v>
      </c>
      <c r="G475" s="14">
        <v>1896</v>
      </c>
      <c r="H475" s="15">
        <v>6.59</v>
      </c>
      <c r="I475" s="15">
        <v>1.53</v>
      </c>
      <c r="J475" s="15">
        <v>0.31281645569620253</v>
      </c>
      <c r="K475" s="15">
        <v>7.2626582278481011E-2</v>
      </c>
      <c r="L475" s="15">
        <v>57.1</v>
      </c>
      <c r="M475" s="15">
        <v>1.5026315789473685</v>
      </c>
      <c r="N475" s="16">
        <v>0.20817907734598415</v>
      </c>
      <c r="O475" s="16">
        <v>4.8332926910372651E-2</v>
      </c>
      <c r="P475" s="17">
        <f>IFERROR(G475/(G475+Priors!$H$3),0)</f>
        <v>0.65469613259668513</v>
      </c>
      <c r="Q475" s="18">
        <f>IF(E475="Premier League",Priors!$H$4,IF(E475="Championship",Priors!$H$5,Priors!$H$8))</f>
        <v>1</v>
      </c>
      <c r="R475" s="19" t="b">
        <v>0</v>
      </c>
      <c r="S475" s="18">
        <f>IF(R475=TRUE,Priors!$H$6,1)</f>
        <v>1</v>
      </c>
      <c r="T475" s="19" t="b">
        <v>1</v>
      </c>
      <c r="U475" s="18">
        <f>IF(T475=TRUE,Priors!$H$7,1)</f>
        <v>0.9</v>
      </c>
      <c r="V475" s="18">
        <f t="shared" si="42"/>
        <v>0.58922651933701664</v>
      </c>
      <c r="W475" s="20">
        <f>VLOOKUP(D475,Priors!$A$3:$C$6,2,FALSE)</f>
        <v>0.30461525508032317</v>
      </c>
      <c r="X475" s="20">
        <f>VLOOKUP(D475,Priors!$A$3:$C$6,3,FALSE)</f>
        <v>3.9258061548584466E-2</v>
      </c>
      <c r="Y475" s="20">
        <f t="shared" si="43"/>
        <v>0.24779250173575268</v>
      </c>
      <c r="Z475" s="20">
        <f t="shared" si="44"/>
        <v>4.460521287916297E-2</v>
      </c>
      <c r="AA475" s="21">
        <v>1</v>
      </c>
      <c r="AB475" s="21">
        <v>1</v>
      </c>
      <c r="AC475" s="22">
        <f t="shared" si="45"/>
        <v>0.24779250173575268</v>
      </c>
      <c r="AD475" s="22">
        <f t="shared" si="46"/>
        <v>4.460521287916297E-2</v>
      </c>
      <c r="AE475" s="22">
        <f t="shared" si="47"/>
        <v>0.41077348066298336</v>
      </c>
      <c r="AF475" s="7" t="s">
        <v>1643</v>
      </c>
      <c r="AG475" s="7">
        <v>1</v>
      </c>
      <c r="AH475" s="7"/>
      <c r="AI475" s="7"/>
      <c r="AJ475" s="8" t="b">
        <v>1</v>
      </c>
      <c r="AK475" s="28" t="s">
        <v>1644</v>
      </c>
      <c r="AL475" s="28" t="s">
        <v>1645</v>
      </c>
      <c r="AM475" s="28"/>
      <c r="AN475" s="7"/>
      <c r="AO475" s="7">
        <v>0</v>
      </c>
      <c r="AP475" s="8" t="b">
        <v>0</v>
      </c>
      <c r="AQ475" s="28" t="s">
        <v>1646</v>
      </c>
    </row>
    <row r="476" spans="1:43" ht="30">
      <c r="A476" s="7">
        <v>464</v>
      </c>
      <c r="B476" s="7" t="s">
        <v>1391</v>
      </c>
      <c r="C476" s="7" t="s">
        <v>55</v>
      </c>
      <c r="D476" s="7" t="s">
        <v>167</v>
      </c>
      <c r="E476" s="7" t="s">
        <v>1642</v>
      </c>
      <c r="F476" s="7" t="s">
        <v>55</v>
      </c>
      <c r="G476" s="14">
        <v>517</v>
      </c>
      <c r="H476" s="15">
        <v>3.13</v>
      </c>
      <c r="I476" s="15">
        <v>0.54</v>
      </c>
      <c r="J476" s="15">
        <v>0.54487427466150873</v>
      </c>
      <c r="K476" s="15">
        <v>9.4003868471953578E-2</v>
      </c>
      <c r="L476" s="15">
        <v>57.1</v>
      </c>
      <c r="M476" s="15">
        <v>1.5026315789473685</v>
      </c>
      <c r="N476" s="16">
        <v>0.36261335266440159</v>
      </c>
      <c r="O476" s="16">
        <v>6.2559492152963844E-2</v>
      </c>
      <c r="P476" s="17">
        <f>IFERROR(G476/(G476+Priors!$H$3),0)</f>
        <v>0.34080421885299933</v>
      </c>
      <c r="Q476" s="18">
        <f>IF(E476="Premier League",Priors!$H$4,IF(E476="Championship",Priors!$H$5,Priors!$H$8))</f>
        <v>1</v>
      </c>
      <c r="R476" s="19" t="b">
        <v>0</v>
      </c>
      <c r="S476" s="18">
        <f>IF(R476=TRUE,Priors!$H$6,1)</f>
        <v>1</v>
      </c>
      <c r="T476" s="19" t="b">
        <v>1</v>
      </c>
      <c r="U476" s="18">
        <f>IF(T476=TRUE,Priors!$H$7,1)</f>
        <v>0.9</v>
      </c>
      <c r="V476" s="18">
        <f t="shared" si="42"/>
        <v>0.30672379696769941</v>
      </c>
      <c r="W476" s="20">
        <f>VLOOKUP(D476,Priors!$A$3:$C$6,2,FALSE)</f>
        <v>0.30461525508032317</v>
      </c>
      <c r="X476" s="20">
        <f>VLOOKUP(D476,Priors!$A$3:$C$6,3,FALSE)</f>
        <v>3.9258061548584466E-2</v>
      </c>
      <c r="Y476" s="20">
        <f t="shared" si="43"/>
        <v>0.32240465178821487</v>
      </c>
      <c r="Z476" s="20">
        <f t="shared" si="44"/>
        <v>4.6405164818339062E-2</v>
      </c>
      <c r="AA476" s="21">
        <v>1</v>
      </c>
      <c r="AB476" s="21">
        <v>1</v>
      </c>
      <c r="AC476" s="22">
        <f t="shared" si="45"/>
        <v>0.32240465178821487</v>
      </c>
      <c r="AD476" s="22">
        <f t="shared" si="46"/>
        <v>4.6405164818339062E-2</v>
      </c>
      <c r="AE476" s="22">
        <f t="shared" si="47"/>
        <v>0.69327620303230053</v>
      </c>
      <c r="AF476" s="7" t="s">
        <v>1643</v>
      </c>
      <c r="AG476" s="7">
        <v>4</v>
      </c>
      <c r="AH476" s="7"/>
      <c r="AI476" s="7"/>
      <c r="AJ476" s="8" t="b">
        <v>1</v>
      </c>
      <c r="AK476" s="28" t="s">
        <v>1644</v>
      </c>
      <c r="AL476" s="28" t="s">
        <v>1645</v>
      </c>
      <c r="AM476" s="28"/>
      <c r="AN476" s="7"/>
      <c r="AO476" s="7">
        <v>0</v>
      </c>
      <c r="AP476" s="8" t="b">
        <v>0</v>
      </c>
      <c r="AQ476" s="28" t="s">
        <v>1646</v>
      </c>
    </row>
    <row r="477" spans="1:43" ht="30">
      <c r="A477" s="7">
        <v>465</v>
      </c>
      <c r="B477" s="7" t="s">
        <v>1393</v>
      </c>
      <c r="C477" s="7" t="s">
        <v>55</v>
      </c>
      <c r="D477" s="7" t="s">
        <v>167</v>
      </c>
      <c r="E477" s="7" t="s">
        <v>1642</v>
      </c>
      <c r="F477" s="7" t="s">
        <v>55</v>
      </c>
      <c r="G477" s="14">
        <v>805</v>
      </c>
      <c r="H477" s="15">
        <v>4.28</v>
      </c>
      <c r="I477" s="15">
        <v>0.62</v>
      </c>
      <c r="J477" s="15">
        <v>0.47850931677018638</v>
      </c>
      <c r="K477" s="15">
        <v>6.9316770186335405E-2</v>
      </c>
      <c r="L477" s="15">
        <v>57.1</v>
      </c>
      <c r="M477" s="15">
        <v>1.5026315789473685</v>
      </c>
      <c r="N477" s="16">
        <v>0.3184475313006494</v>
      </c>
      <c r="O477" s="16">
        <v>4.6130249861309022E-2</v>
      </c>
      <c r="P477" s="17">
        <f>IFERROR(G477/(G477+Priors!$H$3),0)</f>
        <v>0.44598337950138506</v>
      </c>
      <c r="Q477" s="18">
        <f>IF(E477="Premier League",Priors!$H$4,IF(E477="Championship",Priors!$H$5,Priors!$H$8))</f>
        <v>1</v>
      </c>
      <c r="R477" s="19" t="b">
        <v>0</v>
      </c>
      <c r="S477" s="18">
        <f>IF(R477=TRUE,Priors!$H$6,1)</f>
        <v>1</v>
      </c>
      <c r="T477" s="19" t="b">
        <v>1</v>
      </c>
      <c r="U477" s="18">
        <f>IF(T477=TRUE,Priors!$H$7,1)</f>
        <v>0.9</v>
      </c>
      <c r="V477" s="18">
        <f t="shared" si="42"/>
        <v>0.40138504155124655</v>
      </c>
      <c r="W477" s="20">
        <f>VLOOKUP(D477,Priors!$A$3:$C$6,2,FALSE)</f>
        <v>0.30461525508032317</v>
      </c>
      <c r="X477" s="20">
        <f>VLOOKUP(D477,Priors!$A$3:$C$6,3,FALSE)</f>
        <v>3.9258061548584466E-2</v>
      </c>
      <c r="Y477" s="20">
        <f t="shared" si="43"/>
        <v>0.31016732384576712</v>
      </c>
      <c r="Z477" s="20">
        <f t="shared" si="44"/>
        <v>4.2016455140035401E-2</v>
      </c>
      <c r="AA477" s="21">
        <v>1</v>
      </c>
      <c r="AB477" s="21">
        <v>1</v>
      </c>
      <c r="AC477" s="22">
        <f t="shared" si="45"/>
        <v>0.31016732384576712</v>
      </c>
      <c r="AD477" s="22">
        <f t="shared" si="46"/>
        <v>4.2016455140035401E-2</v>
      </c>
      <c r="AE477" s="22">
        <f t="shared" si="47"/>
        <v>0.59861495844875345</v>
      </c>
      <c r="AF477" s="7" t="s">
        <v>1643</v>
      </c>
      <c r="AG477" s="7">
        <v>2</v>
      </c>
      <c r="AH477" s="7"/>
      <c r="AI477" s="7"/>
      <c r="AJ477" s="8" t="b">
        <v>1</v>
      </c>
      <c r="AK477" s="28" t="s">
        <v>1644</v>
      </c>
      <c r="AL477" s="28" t="s">
        <v>1645</v>
      </c>
      <c r="AM477" s="28"/>
      <c r="AN477" s="7"/>
      <c r="AO477" s="7">
        <v>0</v>
      </c>
      <c r="AP477" s="8" t="b">
        <v>0</v>
      </c>
      <c r="AQ477" s="28" t="s">
        <v>1646</v>
      </c>
    </row>
    <row r="478" spans="1:43" ht="30">
      <c r="A478" s="7">
        <v>466</v>
      </c>
      <c r="B478" s="7" t="s">
        <v>1395</v>
      </c>
      <c r="C478" s="7" t="s">
        <v>55</v>
      </c>
      <c r="D478" s="7" t="s">
        <v>167</v>
      </c>
      <c r="E478" s="7" t="s">
        <v>1642</v>
      </c>
      <c r="F478" s="7" t="s">
        <v>55</v>
      </c>
      <c r="G478" s="14">
        <v>13</v>
      </c>
      <c r="H478" s="15">
        <v>0.03</v>
      </c>
      <c r="I478" s="15">
        <v>0</v>
      </c>
      <c r="J478" s="15">
        <v>0.20769230769230768</v>
      </c>
      <c r="K478" s="15">
        <v>0</v>
      </c>
      <c r="L478" s="15">
        <v>57.1</v>
      </c>
      <c r="M478" s="15">
        <v>1.5026315789473685</v>
      </c>
      <c r="N478" s="16">
        <v>0.13821904890206113</v>
      </c>
      <c r="O478" s="16">
        <v>0</v>
      </c>
      <c r="P478" s="17">
        <f>IFERROR(G478/(G478+Priors!$H$3),0)</f>
        <v>1.2833168805528134E-2</v>
      </c>
      <c r="Q478" s="18">
        <f>IF(E478="Premier League",Priors!$H$4,IF(E478="Championship",Priors!$H$5,Priors!$H$8))</f>
        <v>1</v>
      </c>
      <c r="R478" s="19" t="b">
        <v>0</v>
      </c>
      <c r="S478" s="18">
        <f>IF(R478=TRUE,Priors!$H$6,1)</f>
        <v>1</v>
      </c>
      <c r="T478" s="19" t="b">
        <v>1</v>
      </c>
      <c r="U478" s="18">
        <f>IF(T478=TRUE,Priors!$H$7,1)</f>
        <v>0.9</v>
      </c>
      <c r="V478" s="18">
        <f t="shared" si="42"/>
        <v>1.1549851924975322E-2</v>
      </c>
      <c r="W478" s="20">
        <f>VLOOKUP(D478,Priors!$A$3:$C$6,2,FALSE)</f>
        <v>0.30461525508032317</v>
      </c>
      <c r="X478" s="20">
        <f>VLOOKUP(D478,Priors!$A$3:$C$6,3,FALSE)</f>
        <v>3.9258061548584466E-2</v>
      </c>
      <c r="Y478" s="20">
        <f t="shared" si="43"/>
        <v>0.3026934035380866</v>
      </c>
      <c r="Z478" s="20">
        <f t="shared" si="44"/>
        <v>3.8804636750836743E-2</v>
      </c>
      <c r="AA478" s="21">
        <v>1</v>
      </c>
      <c r="AB478" s="21">
        <v>1</v>
      </c>
      <c r="AC478" s="22">
        <f t="shared" si="45"/>
        <v>0.3026934035380866</v>
      </c>
      <c r="AD478" s="22">
        <f t="shared" si="46"/>
        <v>3.8804636750836743E-2</v>
      </c>
      <c r="AE478" s="22">
        <f t="shared" si="47"/>
        <v>0.98845014807502463</v>
      </c>
      <c r="AF478" s="7" t="s">
        <v>1643</v>
      </c>
      <c r="AG478" s="7"/>
      <c r="AH478" s="7"/>
      <c r="AI478" s="7"/>
      <c r="AJ478" s="8" t="b">
        <v>1</v>
      </c>
      <c r="AK478" s="28" t="s">
        <v>1644</v>
      </c>
      <c r="AL478" s="28" t="s">
        <v>1645</v>
      </c>
      <c r="AM478" s="28"/>
      <c r="AN478" s="7"/>
      <c r="AO478" s="7">
        <v>0</v>
      </c>
      <c r="AP478" s="8" t="b">
        <v>0</v>
      </c>
      <c r="AQ478" s="28" t="s">
        <v>1646</v>
      </c>
    </row>
    <row r="479" spans="1:43" ht="15">
      <c r="A479" s="7">
        <v>559</v>
      </c>
      <c r="B479" s="7" t="s">
        <v>1398</v>
      </c>
      <c r="C479" s="7" t="s">
        <v>55</v>
      </c>
      <c r="D479" s="7" t="s">
        <v>112</v>
      </c>
      <c r="E479" s="7" t="s">
        <v>1647</v>
      </c>
      <c r="F479" s="7"/>
      <c r="G479" s="14"/>
      <c r="H479" s="15"/>
      <c r="I479" s="15"/>
      <c r="J479" s="15"/>
      <c r="K479" s="15"/>
      <c r="L479" s="15"/>
      <c r="M479" s="15"/>
      <c r="N479" s="16"/>
      <c r="O479" s="16"/>
      <c r="P479" s="17">
        <f>IFERROR(G479/(G479+Priors!$H$3),0)</f>
        <v>0</v>
      </c>
      <c r="Q479" s="18">
        <f>IF(E479="Premier League",Priors!$H$4,IF(E479="Championship",Priors!$H$5,Priors!$H$8))</f>
        <v>0</v>
      </c>
      <c r="R479" s="19" t="b">
        <v>0</v>
      </c>
      <c r="S479" s="18">
        <f>IF(R479=TRUE,Priors!$H$6,1)</f>
        <v>1</v>
      </c>
      <c r="T479" s="19" t="b">
        <v>1</v>
      </c>
      <c r="U479" s="18">
        <f>IF(T479=TRUE,Priors!$H$7,1)</f>
        <v>0.9</v>
      </c>
      <c r="V479" s="18">
        <f t="shared" si="42"/>
        <v>0</v>
      </c>
      <c r="W479" s="20">
        <f>VLOOKUP(D479,Priors!$A$3:$C$6,2,FALSE)</f>
        <v>0.10751786102217777</v>
      </c>
      <c r="X479" s="20">
        <f>VLOOKUP(D479,Priors!$A$3:$C$6,3,FALSE)</f>
        <v>9.0240671969462088E-2</v>
      </c>
      <c r="Y479" s="20">
        <f t="shared" si="43"/>
        <v>0.10751786102217777</v>
      </c>
      <c r="Z479" s="20">
        <f t="shared" si="44"/>
        <v>9.0240671969462088E-2</v>
      </c>
      <c r="AA479" s="21">
        <v>1</v>
      </c>
      <c r="AB479" s="21">
        <v>1</v>
      </c>
      <c r="AC479" s="22">
        <f t="shared" si="45"/>
        <v>0.10751786102217777</v>
      </c>
      <c r="AD479" s="22">
        <f t="shared" si="46"/>
        <v>9.0240671969462088E-2</v>
      </c>
      <c r="AE479" s="22">
        <f t="shared" si="47"/>
        <v>1</v>
      </c>
      <c r="AF479" s="7" t="s">
        <v>1647</v>
      </c>
      <c r="AG479" s="7"/>
      <c r="AH479" s="7"/>
      <c r="AI479" s="7"/>
      <c r="AJ479" s="8" t="b">
        <v>1</v>
      </c>
      <c r="AK479" s="28" t="s">
        <v>1648</v>
      </c>
      <c r="AL479" s="28"/>
      <c r="AM479" s="28"/>
      <c r="AN479" s="7"/>
      <c r="AO479" s="7">
        <v>0</v>
      </c>
      <c r="AP479" s="8" t="b">
        <v>0</v>
      </c>
      <c r="AQ479" s="28" t="s">
        <v>1646</v>
      </c>
    </row>
    <row r="480" spans="1:43" ht="15">
      <c r="A480" s="7">
        <v>567</v>
      </c>
      <c r="B480" s="7" t="s">
        <v>1400</v>
      </c>
      <c r="C480" s="7" t="s">
        <v>55</v>
      </c>
      <c r="D480" s="7" t="s">
        <v>85</v>
      </c>
      <c r="E480" s="7" t="s">
        <v>1647</v>
      </c>
      <c r="F480" s="7"/>
      <c r="G480" s="14"/>
      <c r="H480" s="15"/>
      <c r="I480" s="15"/>
      <c r="J480" s="15"/>
      <c r="K480" s="15"/>
      <c r="L480" s="15"/>
      <c r="M480" s="15"/>
      <c r="N480" s="16"/>
      <c r="O480" s="16"/>
      <c r="P480" s="17">
        <f>IFERROR(G480/(G480+Priors!$H$3),0)</f>
        <v>0</v>
      </c>
      <c r="Q480" s="18">
        <f>IF(E480="Premier League",Priors!$H$4,IF(E480="Championship",Priors!$H$5,Priors!$H$8))</f>
        <v>0</v>
      </c>
      <c r="R480" s="19" t="b">
        <v>0</v>
      </c>
      <c r="S480" s="18">
        <f>IF(R480=TRUE,Priors!$H$6,1)</f>
        <v>1</v>
      </c>
      <c r="T480" s="19" t="b">
        <v>1</v>
      </c>
      <c r="U480" s="18">
        <f>IF(T480=TRUE,Priors!$H$7,1)</f>
        <v>0.9</v>
      </c>
      <c r="V480" s="18">
        <f t="shared" si="42"/>
        <v>0</v>
      </c>
      <c r="W480" s="20">
        <f>VLOOKUP(D480,Priors!$A$3:$C$6,2,FALSE)</f>
        <v>1.6719534964712218E-4</v>
      </c>
      <c r="X480" s="20">
        <f>VLOOKUP(D480,Priors!$A$3:$C$6,3,FALSE)</f>
        <v>1.379361634588758E-3</v>
      </c>
      <c r="Y480" s="20">
        <f t="shared" si="43"/>
        <v>1.6719534964712218E-4</v>
      </c>
      <c r="Z480" s="20">
        <f t="shared" si="44"/>
        <v>1.379361634588758E-3</v>
      </c>
      <c r="AA480" s="21">
        <v>1</v>
      </c>
      <c r="AB480" s="21">
        <v>1</v>
      </c>
      <c r="AC480" s="22">
        <f t="shared" si="45"/>
        <v>1.6719534964712218E-4</v>
      </c>
      <c r="AD480" s="22">
        <f t="shared" si="46"/>
        <v>1.379361634588758E-3</v>
      </c>
      <c r="AE480" s="22">
        <f t="shared" si="47"/>
        <v>1</v>
      </c>
      <c r="AF480" s="7" t="s">
        <v>1647</v>
      </c>
      <c r="AG480" s="7"/>
      <c r="AH480" s="7"/>
      <c r="AI480" s="7"/>
      <c r="AJ480" s="8" t="b">
        <v>1</v>
      </c>
      <c r="AK480" s="28" t="s">
        <v>1648</v>
      </c>
      <c r="AL480" s="28"/>
      <c r="AM480" s="28"/>
      <c r="AN480" s="7"/>
      <c r="AO480" s="7"/>
      <c r="AP480" s="7"/>
      <c r="AQ480" s="28" t="s">
        <v>1650</v>
      </c>
    </row>
    <row r="481" spans="1:43" ht="30">
      <c r="A481" s="7">
        <v>467</v>
      </c>
      <c r="B481" s="7" t="s">
        <v>1403</v>
      </c>
      <c r="C481" s="7" t="s">
        <v>56</v>
      </c>
      <c r="D481" s="7" t="s">
        <v>85</v>
      </c>
      <c r="E481" s="7" t="s">
        <v>1642</v>
      </c>
      <c r="F481" s="7" t="s">
        <v>56</v>
      </c>
      <c r="G481" s="14">
        <v>2667</v>
      </c>
      <c r="H481" s="15">
        <v>0</v>
      </c>
      <c r="I481" s="15">
        <v>0.06</v>
      </c>
      <c r="J481" s="15">
        <v>0</v>
      </c>
      <c r="K481" s="15">
        <v>2.0247469066366703E-3</v>
      </c>
      <c r="L481" s="15">
        <v>46</v>
      </c>
      <c r="M481" s="15">
        <v>1.2105263157894737</v>
      </c>
      <c r="N481" s="16">
        <v>0</v>
      </c>
      <c r="O481" s="16">
        <v>1.6726170098302928E-3</v>
      </c>
      <c r="P481" s="17">
        <f>IFERROR(G481/(G481+Priors!$H$3),0)</f>
        <v>0.72729751840741752</v>
      </c>
      <c r="Q481" s="18">
        <f>IF(E481="Premier League",Priors!$H$4,IF(E481="Championship",Priors!$H$5,Priors!$H$8))</f>
        <v>1</v>
      </c>
      <c r="R481" s="19" t="b">
        <v>0</v>
      </c>
      <c r="S481" s="18">
        <f>IF(R481=TRUE,Priors!$H$6,1)</f>
        <v>1</v>
      </c>
      <c r="T481" s="19" t="b">
        <v>1</v>
      </c>
      <c r="U481" s="18">
        <f>IF(T481=TRUE,Priors!$H$7,1)</f>
        <v>0.9</v>
      </c>
      <c r="V481" s="18">
        <f t="shared" si="42"/>
        <v>0.65456776656667581</v>
      </c>
      <c r="W481" s="20">
        <f>VLOOKUP(D481,Priors!$A$3:$C$6,2,FALSE)</f>
        <v>1.6719534964712218E-4</v>
      </c>
      <c r="X481" s="20">
        <f>VLOOKUP(D481,Priors!$A$3:$C$6,3,FALSE)</f>
        <v>1.379361634588758E-3</v>
      </c>
      <c r="Y481" s="20">
        <f t="shared" si="43"/>
        <v>5.7754663048270968E-5</v>
      </c>
      <c r="Z481" s="20">
        <f t="shared" si="44"/>
        <v>1.5713171505942819E-3</v>
      </c>
      <c r="AA481" s="21">
        <v>1</v>
      </c>
      <c r="AB481" s="21">
        <v>1</v>
      </c>
      <c r="AC481" s="22">
        <f t="shared" si="45"/>
        <v>5.7754663048270968E-5</v>
      </c>
      <c r="AD481" s="22">
        <f t="shared" si="46"/>
        <v>1.5713171505942819E-3</v>
      </c>
      <c r="AE481" s="22">
        <f t="shared" si="47"/>
        <v>0.34543223343332419</v>
      </c>
      <c r="AF481" s="7" t="s">
        <v>1643</v>
      </c>
      <c r="AG481" s="7"/>
      <c r="AH481" s="7"/>
      <c r="AI481" s="7"/>
      <c r="AJ481" s="8" t="b">
        <v>1</v>
      </c>
      <c r="AK481" s="28" t="s">
        <v>1644</v>
      </c>
      <c r="AL481" s="28" t="s">
        <v>1645</v>
      </c>
      <c r="AM481" s="28"/>
      <c r="AN481" s="7">
        <v>2</v>
      </c>
      <c r="AO481" s="7">
        <v>0</v>
      </c>
      <c r="AP481" s="8" t="b">
        <v>1</v>
      </c>
      <c r="AQ481" s="28" t="s">
        <v>1649</v>
      </c>
    </row>
    <row r="482" spans="1:43" ht="30">
      <c r="A482" s="7">
        <v>468</v>
      </c>
      <c r="B482" s="7" t="s">
        <v>1406</v>
      </c>
      <c r="C482" s="7" t="s">
        <v>56</v>
      </c>
      <c r="D482" s="7" t="s">
        <v>85</v>
      </c>
      <c r="E482" s="7" t="s">
        <v>1642</v>
      </c>
      <c r="F482" s="7" t="s">
        <v>56</v>
      </c>
      <c r="G482" s="14">
        <v>437</v>
      </c>
      <c r="H482" s="15">
        <v>0</v>
      </c>
      <c r="I482" s="15">
        <v>0</v>
      </c>
      <c r="J482" s="15">
        <v>0</v>
      </c>
      <c r="K482" s="15">
        <v>0</v>
      </c>
      <c r="L482" s="15">
        <v>46</v>
      </c>
      <c r="M482" s="15">
        <v>1.2105263157894737</v>
      </c>
      <c r="N482" s="16">
        <v>0</v>
      </c>
      <c r="O482" s="16">
        <v>0</v>
      </c>
      <c r="P482" s="17">
        <f>IFERROR(G482/(G482+Priors!$H$3),0)</f>
        <v>0.30410577592205984</v>
      </c>
      <c r="Q482" s="18">
        <f>IF(E482="Premier League",Priors!$H$4,IF(E482="Championship",Priors!$H$5,Priors!$H$8))</f>
        <v>1</v>
      </c>
      <c r="R482" s="19" t="b">
        <v>0</v>
      </c>
      <c r="S482" s="18">
        <f>IF(R482=TRUE,Priors!$H$6,1)</f>
        <v>1</v>
      </c>
      <c r="T482" s="19" t="b">
        <v>1</v>
      </c>
      <c r="U482" s="18">
        <f>IF(T482=TRUE,Priors!$H$7,1)</f>
        <v>0.9</v>
      </c>
      <c r="V482" s="18">
        <f t="shared" si="42"/>
        <v>0.27369519832985384</v>
      </c>
      <c r="W482" s="20">
        <f>VLOOKUP(D482,Priors!$A$3:$C$6,2,FALSE)</f>
        <v>1.6719534964712218E-4</v>
      </c>
      <c r="X482" s="20">
        <f>VLOOKUP(D482,Priors!$A$3:$C$6,3,FALSE)</f>
        <v>1.379361634588758E-3</v>
      </c>
      <c r="Y482" s="20">
        <f t="shared" si="43"/>
        <v>1.2143478526562381E-4</v>
      </c>
      <c r="Z482" s="20">
        <f t="shared" si="44"/>
        <v>1.0018369784413964E-3</v>
      </c>
      <c r="AA482" s="21">
        <v>1</v>
      </c>
      <c r="AB482" s="21">
        <v>1</v>
      </c>
      <c r="AC482" s="22">
        <f t="shared" si="45"/>
        <v>1.2143478526562381E-4</v>
      </c>
      <c r="AD482" s="22">
        <f t="shared" si="46"/>
        <v>1.0018369784413964E-3</v>
      </c>
      <c r="AE482" s="22">
        <f t="shared" si="47"/>
        <v>0.72630480167014611</v>
      </c>
      <c r="AF482" s="7" t="s">
        <v>1643</v>
      </c>
      <c r="AG482" s="7"/>
      <c r="AH482" s="7"/>
      <c r="AI482" s="7"/>
      <c r="AJ482" s="8" t="b">
        <v>1</v>
      </c>
      <c r="AK482" s="28" t="s">
        <v>1644</v>
      </c>
      <c r="AL482" s="28" t="s">
        <v>1645</v>
      </c>
      <c r="AM482" s="28"/>
      <c r="AN482" s="7">
        <v>4</v>
      </c>
      <c r="AO482" s="7">
        <v>0</v>
      </c>
      <c r="AP482" s="8" t="b">
        <v>0</v>
      </c>
      <c r="AQ482" s="28" t="s">
        <v>1646</v>
      </c>
    </row>
    <row r="483" spans="1:43" ht="30">
      <c r="A483" s="7">
        <v>469</v>
      </c>
      <c r="B483" s="7" t="s">
        <v>1409</v>
      </c>
      <c r="C483" s="7" t="s">
        <v>56</v>
      </c>
      <c r="D483" s="7" t="s">
        <v>99</v>
      </c>
      <c r="E483" s="7" t="s">
        <v>1642</v>
      </c>
      <c r="F483" s="7" t="s">
        <v>56</v>
      </c>
      <c r="G483" s="14">
        <v>3203</v>
      </c>
      <c r="H483" s="15">
        <v>2.0099999999999998</v>
      </c>
      <c r="I483" s="15">
        <v>3.97</v>
      </c>
      <c r="J483" s="15">
        <v>5.6478301592257252E-2</v>
      </c>
      <c r="K483" s="15">
        <v>0.11155167030908524</v>
      </c>
      <c r="L483" s="15">
        <v>46</v>
      </c>
      <c r="M483" s="15">
        <v>1.2105263157894737</v>
      </c>
      <c r="N483" s="16">
        <v>4.6655988271864686E-2</v>
      </c>
      <c r="O483" s="16">
        <v>9.2151379820548676E-2</v>
      </c>
      <c r="P483" s="17">
        <f>IFERROR(G483/(G483+Priors!$H$3),0)</f>
        <v>0.76207470854151793</v>
      </c>
      <c r="Q483" s="18">
        <f>IF(E483="Premier League",Priors!$H$4,IF(E483="Championship",Priors!$H$5,Priors!$H$8))</f>
        <v>1</v>
      </c>
      <c r="R483" s="19" t="b">
        <v>0</v>
      </c>
      <c r="S483" s="18">
        <f>IF(R483=TRUE,Priors!$H$6,1)</f>
        <v>1</v>
      </c>
      <c r="T483" s="19" t="b">
        <v>1</v>
      </c>
      <c r="U483" s="18">
        <f>IF(T483=TRUE,Priors!$H$7,1)</f>
        <v>0.9</v>
      </c>
      <c r="V483" s="18">
        <f t="shared" si="42"/>
        <v>0.68586723768736613</v>
      </c>
      <c r="W483" s="20">
        <f>VLOOKUP(D483,Priors!$A$3:$C$6,2,FALSE)</f>
        <v>4.1142361271531161E-2</v>
      </c>
      <c r="X483" s="20">
        <f>VLOOKUP(D483,Priors!$A$3:$C$6,3,FALSE)</f>
        <v>4.0513079897554365E-2</v>
      </c>
      <c r="Y483" s="20">
        <f t="shared" si="43"/>
        <v>4.4923977391888394E-2</v>
      </c>
      <c r="Z483" s="20">
        <f t="shared" si="44"/>
        <v>7.5930098024610204E-2</v>
      </c>
      <c r="AA483" s="21">
        <v>1</v>
      </c>
      <c r="AB483" s="21">
        <v>1</v>
      </c>
      <c r="AC483" s="22">
        <f t="shared" si="45"/>
        <v>4.4923977391888394E-2</v>
      </c>
      <c r="AD483" s="22">
        <f t="shared" si="46"/>
        <v>7.5930098024610204E-2</v>
      </c>
      <c r="AE483" s="22">
        <f t="shared" si="47"/>
        <v>0.31413276231263387</v>
      </c>
      <c r="AF483" s="7" t="s">
        <v>1643</v>
      </c>
      <c r="AG483" s="7"/>
      <c r="AH483" s="7">
        <v>3</v>
      </c>
      <c r="AI483" s="7">
        <v>5</v>
      </c>
      <c r="AJ483" s="8" t="b">
        <v>1</v>
      </c>
      <c r="AK483" s="28" t="s">
        <v>1644</v>
      </c>
      <c r="AL483" s="28" t="s">
        <v>1645</v>
      </c>
      <c r="AM483" s="28"/>
      <c r="AN483" s="7"/>
      <c r="AO483" s="7">
        <v>0</v>
      </c>
      <c r="AP483" s="8" t="b">
        <v>0</v>
      </c>
      <c r="AQ483" s="28" t="s">
        <v>1646</v>
      </c>
    </row>
    <row r="484" spans="1:43" ht="30">
      <c r="A484" s="7">
        <v>470</v>
      </c>
      <c r="B484" s="7" t="s">
        <v>1411</v>
      </c>
      <c r="C484" s="7" t="s">
        <v>56</v>
      </c>
      <c r="D484" s="7" t="s">
        <v>99</v>
      </c>
      <c r="E484" s="7" t="s">
        <v>1642</v>
      </c>
      <c r="F484" s="7" t="s">
        <v>56</v>
      </c>
      <c r="G484" s="14">
        <v>1340</v>
      </c>
      <c r="H484" s="15">
        <v>1.32</v>
      </c>
      <c r="I484" s="15">
        <v>0.15</v>
      </c>
      <c r="J484" s="15">
        <v>8.8656716417910453E-2</v>
      </c>
      <c r="K484" s="15">
        <v>1.0074626865671642E-2</v>
      </c>
      <c r="L484" s="15">
        <v>46</v>
      </c>
      <c r="M484" s="15">
        <v>1.2105263157894737</v>
      </c>
      <c r="N484" s="16">
        <v>7.3238157040882546E-2</v>
      </c>
      <c r="O484" s="16">
        <v>8.3225178455548342E-3</v>
      </c>
      <c r="P484" s="17">
        <f>IFERROR(G484/(G484+Priors!$H$3),0)</f>
        <v>0.57264957264957261</v>
      </c>
      <c r="Q484" s="18">
        <f>IF(E484="Premier League",Priors!$H$4,IF(E484="Championship",Priors!$H$5,Priors!$H$8))</f>
        <v>1</v>
      </c>
      <c r="R484" s="19" t="b">
        <v>0</v>
      </c>
      <c r="S484" s="18">
        <f>IF(R484=TRUE,Priors!$H$6,1)</f>
        <v>1</v>
      </c>
      <c r="T484" s="19" t="b">
        <v>1</v>
      </c>
      <c r="U484" s="18">
        <f>IF(T484=TRUE,Priors!$H$7,1)</f>
        <v>0.9</v>
      </c>
      <c r="V484" s="18">
        <f t="shared" si="42"/>
        <v>0.51538461538461533</v>
      </c>
      <c r="W484" s="20">
        <f>VLOOKUP(D484,Priors!$A$3:$C$6,2,FALSE)</f>
        <v>4.1142361271531161E-2</v>
      </c>
      <c r="X484" s="20">
        <f>VLOOKUP(D484,Priors!$A$3:$C$6,3,FALSE)</f>
        <v>4.0513079897554365E-2</v>
      </c>
      <c r="Y484" s="20">
        <f t="shared" si="43"/>
        <v>5.768404062958149E-2</v>
      </c>
      <c r="Z484" s="20">
        <f t="shared" si="44"/>
        <v>2.3922559455369991E-2</v>
      </c>
      <c r="AA484" s="21">
        <v>1</v>
      </c>
      <c r="AB484" s="21">
        <v>1</v>
      </c>
      <c r="AC484" s="22">
        <f t="shared" si="45"/>
        <v>5.768404062958149E-2</v>
      </c>
      <c r="AD484" s="22">
        <f t="shared" si="46"/>
        <v>2.3922559455369991E-2</v>
      </c>
      <c r="AE484" s="22">
        <f t="shared" si="47"/>
        <v>0.48461538461538467</v>
      </c>
      <c r="AF484" s="7" t="s">
        <v>1643</v>
      </c>
      <c r="AG484" s="7"/>
      <c r="AH484" s="7"/>
      <c r="AI484" s="7"/>
      <c r="AJ484" s="8" t="b">
        <v>1</v>
      </c>
      <c r="AK484" s="28" t="s">
        <v>1644</v>
      </c>
      <c r="AL484" s="28" t="s">
        <v>1645</v>
      </c>
      <c r="AM484" s="28"/>
      <c r="AN484" s="7"/>
      <c r="AO484" s="7">
        <v>0</v>
      </c>
      <c r="AP484" s="8" t="b">
        <v>0</v>
      </c>
      <c r="AQ484" s="28" t="s">
        <v>1646</v>
      </c>
    </row>
    <row r="485" spans="1:43" ht="30">
      <c r="A485" s="7">
        <v>471</v>
      </c>
      <c r="B485" s="7" t="s">
        <v>1413</v>
      </c>
      <c r="C485" s="7" t="s">
        <v>56</v>
      </c>
      <c r="D485" s="7" t="s">
        <v>99</v>
      </c>
      <c r="E485" s="7" t="s">
        <v>1642</v>
      </c>
      <c r="F485" s="7" t="s">
        <v>56</v>
      </c>
      <c r="G485" s="14">
        <v>3375</v>
      </c>
      <c r="H485" s="15">
        <v>0.83</v>
      </c>
      <c r="I485" s="15">
        <v>0.68</v>
      </c>
      <c r="J485" s="15">
        <v>2.2133333333333335E-2</v>
      </c>
      <c r="K485" s="15">
        <v>1.8133333333333335E-2</v>
      </c>
      <c r="L485" s="15">
        <v>46</v>
      </c>
      <c r="M485" s="15">
        <v>1.2105263157894737</v>
      </c>
      <c r="N485" s="16">
        <v>1.8284057971014494E-2</v>
      </c>
      <c r="O485" s="16">
        <v>1.4979710144927537E-2</v>
      </c>
      <c r="P485" s="17">
        <f>IFERROR(G485/(G485+Priors!$H$3),0)</f>
        <v>0.77142857142857146</v>
      </c>
      <c r="Q485" s="18">
        <f>IF(E485="Premier League",Priors!$H$4,IF(E485="Championship",Priors!$H$5,Priors!$H$8))</f>
        <v>1</v>
      </c>
      <c r="R485" s="19" t="b">
        <v>0</v>
      </c>
      <c r="S485" s="18">
        <f>IF(R485=TRUE,Priors!$H$6,1)</f>
        <v>1</v>
      </c>
      <c r="T485" s="19" t="b">
        <v>1</v>
      </c>
      <c r="U485" s="18">
        <f>IF(T485=TRUE,Priors!$H$7,1)</f>
        <v>0.9</v>
      </c>
      <c r="V485" s="18">
        <f t="shared" si="42"/>
        <v>0.69428571428571428</v>
      </c>
      <c r="W485" s="20">
        <f>VLOOKUP(D485,Priors!$A$3:$C$6,2,FALSE)</f>
        <v>4.1142361271531161E-2</v>
      </c>
      <c r="X485" s="20">
        <f>VLOOKUP(D485,Priors!$A$3:$C$6,3,FALSE)</f>
        <v>4.0513079897554365E-2</v>
      </c>
      <c r="Y485" s="20">
        <f t="shared" si="43"/>
        <v>2.5272167837172448E-2</v>
      </c>
      <c r="Z485" s="20">
        <f t="shared" si="44"/>
        <v>2.2785626040730596E-2</v>
      </c>
      <c r="AA485" s="21">
        <v>1</v>
      </c>
      <c r="AB485" s="21">
        <v>1</v>
      </c>
      <c r="AC485" s="22">
        <f t="shared" si="45"/>
        <v>2.5272167837172448E-2</v>
      </c>
      <c r="AD485" s="22">
        <f t="shared" si="46"/>
        <v>2.2785626040730596E-2</v>
      </c>
      <c r="AE485" s="22">
        <f t="shared" si="47"/>
        <v>0.30571428571428572</v>
      </c>
      <c r="AF485" s="7" t="s">
        <v>1643</v>
      </c>
      <c r="AG485" s="7"/>
      <c r="AH485" s="7"/>
      <c r="AI485" s="7"/>
      <c r="AJ485" s="8" t="b">
        <v>1</v>
      </c>
      <c r="AK485" s="28" t="s">
        <v>1644</v>
      </c>
      <c r="AL485" s="28" t="s">
        <v>1645</v>
      </c>
      <c r="AM485" s="28"/>
      <c r="AN485" s="7"/>
      <c r="AO485" s="7">
        <v>0</v>
      </c>
      <c r="AP485" s="8" t="b">
        <v>0</v>
      </c>
      <c r="AQ485" s="28" t="s">
        <v>1646</v>
      </c>
    </row>
    <row r="486" spans="1:43" ht="30">
      <c r="A486" s="7">
        <v>472</v>
      </c>
      <c r="B486" s="7" t="s">
        <v>1415</v>
      </c>
      <c r="C486" s="7" t="s">
        <v>56</v>
      </c>
      <c r="D486" s="7" t="s">
        <v>99</v>
      </c>
      <c r="E486" s="7" t="s">
        <v>1642</v>
      </c>
      <c r="F486" s="7" t="s">
        <v>56</v>
      </c>
      <c r="G486" s="14">
        <v>2130</v>
      </c>
      <c r="H486" s="15">
        <v>0.73</v>
      </c>
      <c r="I486" s="15">
        <v>0.47</v>
      </c>
      <c r="J486" s="15">
        <v>3.0845070422535214E-2</v>
      </c>
      <c r="K486" s="15">
        <v>1.9859154929577464E-2</v>
      </c>
      <c r="L486" s="15">
        <v>46</v>
      </c>
      <c r="M486" s="15">
        <v>1.2105263157894737</v>
      </c>
      <c r="N486" s="16">
        <v>2.548071034905083E-2</v>
      </c>
      <c r="O486" s="16">
        <v>1.6405388854868339E-2</v>
      </c>
      <c r="P486" s="17">
        <f>IFERROR(G486/(G486+Priors!$H$3),0)</f>
        <v>0.68051118210862616</v>
      </c>
      <c r="Q486" s="18">
        <f>IF(E486="Premier League",Priors!$H$4,IF(E486="Championship",Priors!$H$5,Priors!$H$8))</f>
        <v>1</v>
      </c>
      <c r="R486" s="19" t="b">
        <v>0</v>
      </c>
      <c r="S486" s="18">
        <f>IF(R486=TRUE,Priors!$H$6,1)</f>
        <v>1</v>
      </c>
      <c r="T486" s="19" t="b">
        <v>1</v>
      </c>
      <c r="U486" s="18">
        <f>IF(T486=TRUE,Priors!$H$7,1)</f>
        <v>0.9</v>
      </c>
      <c r="V486" s="18">
        <f t="shared" si="42"/>
        <v>0.61246006389776353</v>
      </c>
      <c r="W486" s="20">
        <f>VLOOKUP(D486,Priors!$A$3:$C$6,2,FALSE)</f>
        <v>4.1142361271531161E-2</v>
      </c>
      <c r="X486" s="20">
        <f>VLOOKUP(D486,Priors!$A$3:$C$6,3,FALSE)</f>
        <v>4.0513079897554365E-2</v>
      </c>
      <c r="Y486" s="20">
        <f t="shared" si="43"/>
        <v>3.1550225546804388E-2</v>
      </c>
      <c r="Z486" s="20">
        <f t="shared" si="44"/>
        <v>2.5748081901123338E-2</v>
      </c>
      <c r="AA486" s="21">
        <v>1</v>
      </c>
      <c r="AB486" s="21">
        <v>1</v>
      </c>
      <c r="AC486" s="22">
        <f t="shared" si="45"/>
        <v>3.1550225546804388E-2</v>
      </c>
      <c r="AD486" s="22">
        <f t="shared" si="46"/>
        <v>2.5748081901123338E-2</v>
      </c>
      <c r="AE486" s="22">
        <f t="shared" si="47"/>
        <v>0.38753993610223647</v>
      </c>
      <c r="AF486" s="7" t="s">
        <v>1643</v>
      </c>
      <c r="AG486" s="7"/>
      <c r="AH486" s="7">
        <v>2</v>
      </c>
      <c r="AI486" s="7"/>
      <c r="AJ486" s="8" t="b">
        <v>1</v>
      </c>
      <c r="AK486" s="28" t="s">
        <v>1644</v>
      </c>
      <c r="AL486" s="28" t="s">
        <v>1645</v>
      </c>
      <c r="AM486" s="28"/>
      <c r="AN486" s="7"/>
      <c r="AO486" s="7">
        <v>0</v>
      </c>
      <c r="AP486" s="8" t="b">
        <v>0</v>
      </c>
      <c r="AQ486" s="28" t="s">
        <v>1646</v>
      </c>
    </row>
    <row r="487" spans="1:43" ht="30">
      <c r="A487" s="7">
        <v>473</v>
      </c>
      <c r="B487" s="7" t="s">
        <v>1418</v>
      </c>
      <c r="C487" s="7" t="s">
        <v>56</v>
      </c>
      <c r="D487" s="7" t="s">
        <v>99</v>
      </c>
      <c r="E487" s="7" t="s">
        <v>1642</v>
      </c>
      <c r="F487" s="7" t="s">
        <v>56</v>
      </c>
      <c r="G487" s="14">
        <v>1587</v>
      </c>
      <c r="H487" s="15">
        <v>0.41</v>
      </c>
      <c r="I487" s="15">
        <v>0.84</v>
      </c>
      <c r="J487" s="15">
        <v>2.3251417769376181E-2</v>
      </c>
      <c r="K487" s="15">
        <v>4.7637051039697537E-2</v>
      </c>
      <c r="L487" s="15">
        <v>46</v>
      </c>
      <c r="M487" s="15">
        <v>1.2105263157894737</v>
      </c>
      <c r="N487" s="16">
        <v>1.9207692939919453E-2</v>
      </c>
      <c r="O487" s="16">
        <v>3.9352346511054487E-2</v>
      </c>
      <c r="P487" s="17">
        <f>IFERROR(G487/(G487+Priors!$H$3),0)</f>
        <v>0.61345187475840746</v>
      </c>
      <c r="Q487" s="18">
        <f>IF(E487="Premier League",Priors!$H$4,IF(E487="Championship",Priors!$H$5,Priors!$H$8))</f>
        <v>1</v>
      </c>
      <c r="R487" s="19" t="b">
        <v>0</v>
      </c>
      <c r="S487" s="18">
        <f>IF(R487=TRUE,Priors!$H$6,1)</f>
        <v>1</v>
      </c>
      <c r="T487" s="19" t="b">
        <v>1</v>
      </c>
      <c r="U487" s="18">
        <f>IF(T487=TRUE,Priors!$H$7,1)</f>
        <v>0.9</v>
      </c>
      <c r="V487" s="18">
        <f t="shared" si="42"/>
        <v>0.55210668728256673</v>
      </c>
      <c r="W487" s="20">
        <f>VLOOKUP(D487,Priors!$A$3:$C$6,2,FALSE)</f>
        <v>4.1142361271531161E-2</v>
      </c>
      <c r="X487" s="20">
        <f>VLOOKUP(D487,Priors!$A$3:$C$6,3,FALSE)</f>
        <v>4.0513079897554365E-2</v>
      </c>
      <c r="Y487" s="20">
        <f t="shared" si="43"/>
        <v>2.9032084202323193E-2</v>
      </c>
      <c r="Z487" s="20">
        <f t="shared" si="44"/>
        <v>3.9872231232715639E-2</v>
      </c>
      <c r="AA487" s="21">
        <v>1</v>
      </c>
      <c r="AB487" s="21">
        <v>1</v>
      </c>
      <c r="AC487" s="22">
        <f t="shared" si="45"/>
        <v>2.9032084202323193E-2</v>
      </c>
      <c r="AD487" s="22">
        <f t="shared" si="46"/>
        <v>3.9872231232715639E-2</v>
      </c>
      <c r="AE487" s="22">
        <f t="shared" si="47"/>
        <v>0.44789331271743327</v>
      </c>
      <c r="AF487" s="7" t="s">
        <v>1643</v>
      </c>
      <c r="AG487" s="7"/>
      <c r="AH487" s="7"/>
      <c r="AI487" s="7"/>
      <c r="AJ487" s="8" t="b">
        <v>1</v>
      </c>
      <c r="AK487" s="28" t="s">
        <v>1644</v>
      </c>
      <c r="AL487" s="28" t="s">
        <v>1645</v>
      </c>
      <c r="AM487" s="28"/>
      <c r="AN487" s="7">
        <v>5</v>
      </c>
      <c r="AO487" s="7">
        <v>0</v>
      </c>
      <c r="AP487" s="8" t="b">
        <v>0</v>
      </c>
      <c r="AQ487" s="28" t="s">
        <v>1646</v>
      </c>
    </row>
    <row r="488" spans="1:43" ht="30">
      <c r="A488" s="7">
        <v>474</v>
      </c>
      <c r="B488" s="7" t="s">
        <v>1420</v>
      </c>
      <c r="C488" s="7" t="s">
        <v>56</v>
      </c>
      <c r="D488" s="7" t="s">
        <v>99</v>
      </c>
      <c r="E488" s="7" t="s">
        <v>1642</v>
      </c>
      <c r="F488" s="7" t="s">
        <v>56</v>
      </c>
      <c r="G488" s="14">
        <v>514</v>
      </c>
      <c r="H488" s="15">
        <v>0.27</v>
      </c>
      <c r="I488" s="15">
        <v>0.06</v>
      </c>
      <c r="J488" s="15">
        <v>4.7276264591439687E-2</v>
      </c>
      <c r="K488" s="15">
        <v>1.0505836575875485E-2</v>
      </c>
      <c r="L488" s="15">
        <v>46</v>
      </c>
      <c r="M488" s="15">
        <v>1.2105263157894737</v>
      </c>
      <c r="N488" s="16">
        <v>3.9054305532058874E-2</v>
      </c>
      <c r="O488" s="16">
        <v>8.6787345626797487E-3</v>
      </c>
      <c r="P488" s="17">
        <f>IFERROR(G488/(G488+Priors!$H$3),0)</f>
        <v>0.33949801849405548</v>
      </c>
      <c r="Q488" s="18">
        <f>IF(E488="Premier League",Priors!$H$4,IF(E488="Championship",Priors!$H$5,Priors!$H$8))</f>
        <v>1</v>
      </c>
      <c r="R488" s="19" t="b">
        <v>0</v>
      </c>
      <c r="S488" s="18">
        <f>IF(R488=TRUE,Priors!$H$6,1)</f>
        <v>1</v>
      </c>
      <c r="T488" s="19" t="b">
        <v>1</v>
      </c>
      <c r="U488" s="18">
        <f>IF(T488=TRUE,Priors!$H$7,1)</f>
        <v>0.9</v>
      </c>
      <c r="V488" s="18">
        <f t="shared" si="42"/>
        <v>0.30554821664464993</v>
      </c>
      <c r="W488" s="20">
        <f>VLOOKUP(D488,Priors!$A$3:$C$6,2,FALSE)</f>
        <v>4.1142361271531161E-2</v>
      </c>
      <c r="X488" s="20">
        <f>VLOOKUP(D488,Priors!$A$3:$C$6,3,FALSE)</f>
        <v>4.0513079897554365E-2</v>
      </c>
      <c r="Y488" s="20">
        <f t="shared" si="43"/>
        <v>4.0504359564080779E-2</v>
      </c>
      <c r="Z488" s="20">
        <f t="shared" si="44"/>
        <v>3.0786152452433494E-2</v>
      </c>
      <c r="AA488" s="21">
        <v>1</v>
      </c>
      <c r="AB488" s="21">
        <v>1</v>
      </c>
      <c r="AC488" s="22">
        <f t="shared" si="45"/>
        <v>4.0504359564080779E-2</v>
      </c>
      <c r="AD488" s="22">
        <f t="shared" si="46"/>
        <v>3.0786152452433494E-2</v>
      </c>
      <c r="AE488" s="22">
        <f t="shared" si="47"/>
        <v>0.69445178335535007</v>
      </c>
      <c r="AF488" s="7" t="s">
        <v>1643</v>
      </c>
      <c r="AG488" s="7"/>
      <c r="AH488" s="7"/>
      <c r="AI488" s="7"/>
      <c r="AJ488" s="8" t="b">
        <v>1</v>
      </c>
      <c r="AK488" s="28" t="s">
        <v>1644</v>
      </c>
      <c r="AL488" s="28" t="s">
        <v>1645</v>
      </c>
      <c r="AM488" s="28"/>
      <c r="AN488" s="7"/>
      <c r="AO488" s="7">
        <v>0</v>
      </c>
      <c r="AP488" s="8" t="b">
        <v>0</v>
      </c>
      <c r="AQ488" s="28" t="s">
        <v>1646</v>
      </c>
    </row>
    <row r="489" spans="1:43" ht="30">
      <c r="A489" s="7">
        <v>475</v>
      </c>
      <c r="B489" s="7" t="s">
        <v>1422</v>
      </c>
      <c r="C489" s="7" t="s">
        <v>56</v>
      </c>
      <c r="D489" s="7" t="s">
        <v>99</v>
      </c>
      <c r="E489" s="7" t="s">
        <v>1642</v>
      </c>
      <c r="F489" s="7" t="s">
        <v>56</v>
      </c>
      <c r="G489" s="14">
        <v>1025</v>
      </c>
      <c r="H489" s="15">
        <v>1.34</v>
      </c>
      <c r="I489" s="15">
        <v>0.45</v>
      </c>
      <c r="J489" s="15">
        <v>0.11765853658536586</v>
      </c>
      <c r="K489" s="15">
        <v>3.951219512195122E-2</v>
      </c>
      <c r="L489" s="15">
        <v>46</v>
      </c>
      <c r="M489" s="15">
        <v>1.2105263157894737</v>
      </c>
      <c r="N489" s="16">
        <v>9.7196182396606587E-2</v>
      </c>
      <c r="O489" s="16">
        <v>3.264050901378579E-2</v>
      </c>
      <c r="P489" s="17">
        <f>IFERROR(G489/(G489+Priors!$H$3),0)</f>
        <v>0.50617283950617287</v>
      </c>
      <c r="Q489" s="18">
        <f>IF(E489="Premier League",Priors!$H$4,IF(E489="Championship",Priors!$H$5,Priors!$H$8))</f>
        <v>1</v>
      </c>
      <c r="R489" s="19" t="b">
        <v>0</v>
      </c>
      <c r="S489" s="18">
        <f>IF(R489=TRUE,Priors!$H$6,1)</f>
        <v>1</v>
      </c>
      <c r="T489" s="19" t="b">
        <v>1</v>
      </c>
      <c r="U489" s="18">
        <f>IF(T489=TRUE,Priors!$H$7,1)</f>
        <v>0.9</v>
      </c>
      <c r="V489" s="18">
        <f t="shared" si="42"/>
        <v>0.4555555555555556</v>
      </c>
      <c r="W489" s="20">
        <f>VLOOKUP(D489,Priors!$A$3:$C$6,2,FALSE)</f>
        <v>4.1142361271531161E-2</v>
      </c>
      <c r="X489" s="20">
        <f>VLOOKUP(D489,Priors!$A$3:$C$6,3,FALSE)</f>
        <v>4.0513079897554365E-2</v>
      </c>
      <c r="Y489" s="20">
        <f t="shared" si="43"/>
        <v>6.6677990895176634E-2</v>
      </c>
      <c r="Z489" s="20">
        <f t="shared" si="44"/>
        <v>3.6926686494948679E-2</v>
      </c>
      <c r="AA489" s="21">
        <v>1</v>
      </c>
      <c r="AB489" s="21">
        <v>1</v>
      </c>
      <c r="AC489" s="22">
        <f t="shared" si="45"/>
        <v>6.6677990895176634E-2</v>
      </c>
      <c r="AD489" s="22">
        <f t="shared" si="46"/>
        <v>3.6926686494948679E-2</v>
      </c>
      <c r="AE489" s="22">
        <f t="shared" si="47"/>
        <v>0.5444444444444444</v>
      </c>
      <c r="AF489" s="7" t="s">
        <v>1643</v>
      </c>
      <c r="AG489" s="7"/>
      <c r="AH489" s="7"/>
      <c r="AI489" s="7"/>
      <c r="AJ489" s="8" t="b">
        <v>1</v>
      </c>
      <c r="AK489" s="28" t="s">
        <v>1644</v>
      </c>
      <c r="AL489" s="28" t="s">
        <v>1645</v>
      </c>
      <c r="AM489" s="28"/>
      <c r="AN489" s="7"/>
      <c r="AO489" s="7">
        <v>0</v>
      </c>
      <c r="AP489" s="8" t="b">
        <v>0</v>
      </c>
      <c r="AQ489" s="28" t="s">
        <v>1646</v>
      </c>
    </row>
    <row r="490" spans="1:43" ht="15">
      <c r="A490" s="7">
        <v>476</v>
      </c>
      <c r="B490" s="7" t="s">
        <v>1424</v>
      </c>
      <c r="C490" s="7" t="s">
        <v>56</v>
      </c>
      <c r="D490" s="7" t="s">
        <v>99</v>
      </c>
      <c r="E490" s="7" t="s">
        <v>1647</v>
      </c>
      <c r="F490" s="7"/>
      <c r="G490" s="14"/>
      <c r="H490" s="15"/>
      <c r="I490" s="15"/>
      <c r="J490" s="15"/>
      <c r="K490" s="15"/>
      <c r="L490" s="15"/>
      <c r="M490" s="15"/>
      <c r="N490" s="16"/>
      <c r="O490" s="16"/>
      <c r="P490" s="17">
        <f>IFERROR(G490/(G490+Priors!$H$3),0)</f>
        <v>0</v>
      </c>
      <c r="Q490" s="18">
        <f>IF(E490="Premier League",Priors!$H$4,IF(E490="Championship",Priors!$H$5,Priors!$H$8))</f>
        <v>0</v>
      </c>
      <c r="R490" s="19" t="b">
        <v>0</v>
      </c>
      <c r="S490" s="18">
        <f>IF(R490=TRUE,Priors!$H$6,1)</f>
        <v>1</v>
      </c>
      <c r="T490" s="19" t="b">
        <v>1</v>
      </c>
      <c r="U490" s="18">
        <f>IF(T490=TRUE,Priors!$H$7,1)</f>
        <v>0.9</v>
      </c>
      <c r="V490" s="18">
        <f t="shared" si="42"/>
        <v>0</v>
      </c>
      <c r="W490" s="20">
        <f>VLOOKUP(D490,Priors!$A$3:$C$6,2,FALSE)</f>
        <v>4.1142361271531161E-2</v>
      </c>
      <c r="X490" s="20">
        <f>VLOOKUP(D490,Priors!$A$3:$C$6,3,FALSE)</f>
        <v>4.0513079897554365E-2</v>
      </c>
      <c r="Y490" s="20">
        <f t="shared" si="43"/>
        <v>4.1142361271531161E-2</v>
      </c>
      <c r="Z490" s="20">
        <f t="shared" si="44"/>
        <v>4.0513079897554365E-2</v>
      </c>
      <c r="AA490" s="21">
        <v>1</v>
      </c>
      <c r="AB490" s="21">
        <v>1</v>
      </c>
      <c r="AC490" s="22">
        <f t="shared" si="45"/>
        <v>4.1142361271531161E-2</v>
      </c>
      <c r="AD490" s="22">
        <f t="shared" si="46"/>
        <v>4.0513079897554365E-2</v>
      </c>
      <c r="AE490" s="22">
        <f t="shared" si="47"/>
        <v>1</v>
      </c>
      <c r="AF490" s="7" t="s">
        <v>1647</v>
      </c>
      <c r="AG490" s="7"/>
      <c r="AH490" s="7"/>
      <c r="AI490" s="7"/>
      <c r="AJ490" s="8" t="b">
        <v>1</v>
      </c>
      <c r="AK490" s="28" t="s">
        <v>1648</v>
      </c>
      <c r="AL490" s="28"/>
      <c r="AM490" s="28"/>
      <c r="AN490" s="7"/>
      <c r="AO490" s="7">
        <v>0</v>
      </c>
      <c r="AP490" s="8" t="b">
        <v>0</v>
      </c>
      <c r="AQ490" s="28" t="s">
        <v>1646</v>
      </c>
    </row>
    <row r="491" spans="1:43" ht="30">
      <c r="A491" s="7">
        <v>477</v>
      </c>
      <c r="B491" s="7" t="s">
        <v>1427</v>
      </c>
      <c r="C491" s="7" t="s">
        <v>56</v>
      </c>
      <c r="D491" s="7" t="s">
        <v>99</v>
      </c>
      <c r="E491" s="7" t="s">
        <v>1642</v>
      </c>
      <c r="F491" s="7" t="s">
        <v>56</v>
      </c>
      <c r="G491" s="14">
        <v>165</v>
      </c>
      <c r="H491" s="15">
        <v>0</v>
      </c>
      <c r="I491" s="15">
        <v>0.01</v>
      </c>
      <c r="J491" s="15">
        <v>0</v>
      </c>
      <c r="K491" s="15">
        <v>5.454545454545455E-3</v>
      </c>
      <c r="L491" s="15">
        <v>46</v>
      </c>
      <c r="M491" s="15">
        <v>1.2105263157894737</v>
      </c>
      <c r="N491" s="16">
        <v>0</v>
      </c>
      <c r="O491" s="16">
        <v>4.5059288537549411E-3</v>
      </c>
      <c r="P491" s="17">
        <f>IFERROR(G491/(G491+Priors!$H$3),0)</f>
        <v>0.14163090128755365</v>
      </c>
      <c r="Q491" s="18">
        <f>IF(E491="Premier League",Priors!$H$4,IF(E491="Championship",Priors!$H$5,Priors!$H$8))</f>
        <v>1</v>
      </c>
      <c r="R491" s="19" t="b">
        <v>0</v>
      </c>
      <c r="S491" s="18">
        <f>IF(R491=TRUE,Priors!$H$6,1)</f>
        <v>1</v>
      </c>
      <c r="T491" s="19" t="b">
        <v>1</v>
      </c>
      <c r="U491" s="18">
        <f>IF(T491=TRUE,Priors!$H$7,1)</f>
        <v>0.9</v>
      </c>
      <c r="V491" s="18">
        <f t="shared" si="42"/>
        <v>0.12746781115879829</v>
      </c>
      <c r="W491" s="20">
        <f>VLOOKUP(D491,Priors!$A$3:$C$6,2,FALSE)</f>
        <v>4.1142361271531161E-2</v>
      </c>
      <c r="X491" s="20">
        <f>VLOOKUP(D491,Priors!$A$3:$C$6,3,FALSE)</f>
        <v>4.0513079897554365E-2</v>
      </c>
      <c r="Y491" s="20">
        <f t="shared" si="43"/>
        <v>3.5898034534344571E-2</v>
      </c>
      <c r="Z491" s="20">
        <f t="shared" si="44"/>
        <v>3.5923327167937009E-2</v>
      </c>
      <c r="AA491" s="21">
        <v>1</v>
      </c>
      <c r="AB491" s="21">
        <v>1</v>
      </c>
      <c r="AC491" s="22">
        <f t="shared" si="45"/>
        <v>3.5898034534344571E-2</v>
      </c>
      <c r="AD491" s="22">
        <f t="shared" si="46"/>
        <v>3.5923327167937009E-2</v>
      </c>
      <c r="AE491" s="22">
        <f t="shared" si="47"/>
        <v>0.87253218884120165</v>
      </c>
      <c r="AF491" s="7" t="s">
        <v>1643</v>
      </c>
      <c r="AG491" s="7"/>
      <c r="AH491" s="7"/>
      <c r="AI491" s="7"/>
      <c r="AJ491" s="8" t="b">
        <v>1</v>
      </c>
      <c r="AK491" s="28" t="s">
        <v>1644</v>
      </c>
      <c r="AL491" s="28" t="s">
        <v>1645</v>
      </c>
      <c r="AM491" s="28"/>
      <c r="AN491" s="7">
        <v>1</v>
      </c>
      <c r="AO491" s="7">
        <v>0</v>
      </c>
      <c r="AP491" s="8" t="b">
        <v>1</v>
      </c>
      <c r="AQ491" s="28" t="s">
        <v>1649</v>
      </c>
    </row>
    <row r="492" spans="1:43" ht="30">
      <c r="A492" s="7">
        <v>478</v>
      </c>
      <c r="B492" s="7" t="s">
        <v>1430</v>
      </c>
      <c r="C492" s="7" t="s">
        <v>56</v>
      </c>
      <c r="D492" s="7" t="s">
        <v>99</v>
      </c>
      <c r="E492" s="7" t="s">
        <v>1642</v>
      </c>
      <c r="F492" s="7" t="s">
        <v>56</v>
      </c>
      <c r="G492" s="14">
        <v>353</v>
      </c>
      <c r="H492" s="15">
        <v>0</v>
      </c>
      <c r="I492" s="15">
        <v>0.41</v>
      </c>
      <c r="J492" s="15">
        <v>0</v>
      </c>
      <c r="K492" s="15">
        <v>0.10453257790368271</v>
      </c>
      <c r="L492" s="15">
        <v>46</v>
      </c>
      <c r="M492" s="15">
        <v>1.2105263157894737</v>
      </c>
      <c r="N492" s="16">
        <v>0</v>
      </c>
      <c r="O492" s="16">
        <v>8.6352999137824848E-2</v>
      </c>
      <c r="P492" s="17">
        <f>IFERROR(G492/(G492+Priors!$H$3),0)</f>
        <v>0.26090169992609019</v>
      </c>
      <c r="Q492" s="18">
        <f>IF(E492="Premier League",Priors!$H$4,IF(E492="Championship",Priors!$H$5,Priors!$H$8))</f>
        <v>1</v>
      </c>
      <c r="R492" s="19" t="b">
        <v>0</v>
      </c>
      <c r="S492" s="18">
        <f>IF(R492=TRUE,Priors!$H$6,1)</f>
        <v>1</v>
      </c>
      <c r="T492" s="19" t="b">
        <v>1</v>
      </c>
      <c r="U492" s="18">
        <f>IF(T492=TRUE,Priors!$H$7,1)</f>
        <v>0.9</v>
      </c>
      <c r="V492" s="18">
        <f t="shared" si="42"/>
        <v>0.23481152993348117</v>
      </c>
      <c r="W492" s="20">
        <f>VLOOKUP(D492,Priors!$A$3:$C$6,2,FALSE)</f>
        <v>4.1142361271531161E-2</v>
      </c>
      <c r="X492" s="20">
        <f>VLOOKUP(D492,Priors!$A$3:$C$6,3,FALSE)</f>
        <v>4.0513079897554365E-2</v>
      </c>
      <c r="Y492" s="20">
        <f t="shared" si="43"/>
        <v>3.1481660476286921E-2</v>
      </c>
      <c r="Z492" s="20">
        <f t="shared" si="44"/>
        <v>5.1276821466389497E-2</v>
      </c>
      <c r="AA492" s="21">
        <v>1</v>
      </c>
      <c r="AB492" s="21">
        <v>1</v>
      </c>
      <c r="AC492" s="22">
        <f t="shared" si="45"/>
        <v>3.1481660476286921E-2</v>
      </c>
      <c r="AD492" s="22">
        <f t="shared" si="46"/>
        <v>5.1276821466389497E-2</v>
      </c>
      <c r="AE492" s="22">
        <f t="shared" si="47"/>
        <v>0.7651884700665188</v>
      </c>
      <c r="AF492" s="7" t="s">
        <v>1643</v>
      </c>
      <c r="AG492" s="7"/>
      <c r="AH492" s="7"/>
      <c r="AI492" s="7"/>
      <c r="AJ492" s="8" t="b">
        <v>1</v>
      </c>
      <c r="AK492" s="28" t="s">
        <v>1644</v>
      </c>
      <c r="AL492" s="28" t="s">
        <v>1645</v>
      </c>
      <c r="AM492" s="28"/>
      <c r="AN492" s="7">
        <v>3</v>
      </c>
      <c r="AO492" s="7">
        <v>0</v>
      </c>
      <c r="AP492" s="8" t="b">
        <v>0</v>
      </c>
      <c r="AQ492" s="28" t="s">
        <v>1646</v>
      </c>
    </row>
    <row r="493" spans="1:43" ht="15">
      <c r="A493" s="7">
        <v>479</v>
      </c>
      <c r="B493" s="7" t="s">
        <v>1432</v>
      </c>
      <c r="C493" s="7" t="s">
        <v>56</v>
      </c>
      <c r="D493" s="7" t="s">
        <v>99</v>
      </c>
      <c r="E493" s="7" t="s">
        <v>1647</v>
      </c>
      <c r="F493" s="7"/>
      <c r="G493" s="14"/>
      <c r="H493" s="15"/>
      <c r="I493" s="15"/>
      <c r="J493" s="15"/>
      <c r="K493" s="15"/>
      <c r="L493" s="15"/>
      <c r="M493" s="15"/>
      <c r="N493" s="16"/>
      <c r="O493" s="16"/>
      <c r="P493" s="17">
        <f>IFERROR(G493/(G493+Priors!$H$3),0)</f>
        <v>0</v>
      </c>
      <c r="Q493" s="18">
        <f>IF(E493="Premier League",Priors!$H$4,IF(E493="Championship",Priors!$H$5,Priors!$H$8))</f>
        <v>0</v>
      </c>
      <c r="R493" s="19" t="b">
        <v>0</v>
      </c>
      <c r="S493" s="18">
        <f>IF(R493=TRUE,Priors!$H$6,1)</f>
        <v>1</v>
      </c>
      <c r="T493" s="19" t="b">
        <v>1</v>
      </c>
      <c r="U493" s="18">
        <f>IF(T493=TRUE,Priors!$H$7,1)</f>
        <v>0.9</v>
      </c>
      <c r="V493" s="18">
        <f t="shared" si="42"/>
        <v>0</v>
      </c>
      <c r="W493" s="20">
        <f>VLOOKUP(D493,Priors!$A$3:$C$6,2,FALSE)</f>
        <v>4.1142361271531161E-2</v>
      </c>
      <c r="X493" s="20">
        <f>VLOOKUP(D493,Priors!$A$3:$C$6,3,FALSE)</f>
        <v>4.0513079897554365E-2</v>
      </c>
      <c r="Y493" s="20">
        <f t="shared" si="43"/>
        <v>4.1142361271531161E-2</v>
      </c>
      <c r="Z493" s="20">
        <f t="shared" si="44"/>
        <v>4.0513079897554365E-2</v>
      </c>
      <c r="AA493" s="21">
        <v>1</v>
      </c>
      <c r="AB493" s="21">
        <v>1</v>
      </c>
      <c r="AC493" s="22">
        <f t="shared" si="45"/>
        <v>4.1142361271531161E-2</v>
      </c>
      <c r="AD493" s="22">
        <f t="shared" si="46"/>
        <v>4.0513079897554365E-2</v>
      </c>
      <c r="AE493" s="22">
        <f t="shared" si="47"/>
        <v>1</v>
      </c>
      <c r="AF493" s="7" t="s">
        <v>1647</v>
      </c>
      <c r="AG493" s="7"/>
      <c r="AH493" s="7"/>
      <c r="AI493" s="7"/>
      <c r="AJ493" s="8" t="b">
        <v>1</v>
      </c>
      <c r="AK493" s="28" t="s">
        <v>1648</v>
      </c>
      <c r="AL493" s="28"/>
      <c r="AM493" s="28"/>
      <c r="AN493" s="7"/>
      <c r="AO493" s="7">
        <v>0</v>
      </c>
      <c r="AP493" s="8" t="b">
        <v>0</v>
      </c>
      <c r="AQ493" s="28" t="s">
        <v>1646</v>
      </c>
    </row>
    <row r="494" spans="1:43" ht="30">
      <c r="A494" s="7">
        <v>480</v>
      </c>
      <c r="B494" s="7" t="s">
        <v>1434</v>
      </c>
      <c r="C494" s="7" t="s">
        <v>56</v>
      </c>
      <c r="D494" s="7" t="s">
        <v>112</v>
      </c>
      <c r="E494" s="7" t="s">
        <v>1642</v>
      </c>
      <c r="F494" s="7" t="s">
        <v>56</v>
      </c>
      <c r="G494" s="14">
        <v>3101</v>
      </c>
      <c r="H494" s="15">
        <v>10.81</v>
      </c>
      <c r="I494" s="15">
        <v>2.91</v>
      </c>
      <c r="J494" s="15">
        <v>0.31373750403095779</v>
      </c>
      <c r="K494" s="15">
        <v>8.4456626894550163E-2</v>
      </c>
      <c r="L494" s="15">
        <v>46</v>
      </c>
      <c r="M494" s="15">
        <v>1.2105263157894737</v>
      </c>
      <c r="N494" s="16">
        <v>0.25917445985166077</v>
      </c>
      <c r="O494" s="16">
        <v>6.9768517869411004E-2</v>
      </c>
      <c r="P494" s="17">
        <f>IFERROR(G494/(G494+Priors!$H$3),0)</f>
        <v>0.756157034869544</v>
      </c>
      <c r="Q494" s="18">
        <f>IF(E494="Premier League",Priors!$H$4,IF(E494="Championship",Priors!$H$5,Priors!$H$8))</f>
        <v>1</v>
      </c>
      <c r="R494" s="19" t="b">
        <v>0</v>
      </c>
      <c r="S494" s="18">
        <f>IF(R494=TRUE,Priors!$H$6,1)</f>
        <v>1</v>
      </c>
      <c r="T494" s="19" t="b">
        <v>1</v>
      </c>
      <c r="U494" s="18">
        <f>IF(T494=TRUE,Priors!$H$7,1)</f>
        <v>0.9</v>
      </c>
      <c r="V494" s="18">
        <f t="shared" si="42"/>
        <v>0.68054133138258965</v>
      </c>
      <c r="W494" s="20">
        <f>VLOOKUP(D494,Priors!$A$3:$C$6,2,FALSE)</f>
        <v>0.10751786102217777</v>
      </c>
      <c r="X494" s="20">
        <f>VLOOKUP(D494,Priors!$A$3:$C$6,3,FALSE)</f>
        <v>9.0240671969462088E-2</v>
      </c>
      <c r="Y494" s="20">
        <f t="shared" si="43"/>
        <v>0.21072644470254939</v>
      </c>
      <c r="Z494" s="20">
        <f t="shared" si="44"/>
        <v>7.6308524961943777E-2</v>
      </c>
      <c r="AA494" s="21">
        <v>1</v>
      </c>
      <c r="AB494" s="21">
        <v>1</v>
      </c>
      <c r="AC494" s="22">
        <f t="shared" si="45"/>
        <v>0.21072644470254939</v>
      </c>
      <c r="AD494" s="22">
        <f t="shared" si="46"/>
        <v>7.6308524961943777E-2</v>
      </c>
      <c r="AE494" s="22">
        <f t="shared" si="47"/>
        <v>0.31945866861741035</v>
      </c>
      <c r="AF494" s="7" t="s">
        <v>1643</v>
      </c>
      <c r="AG494" s="7">
        <v>2</v>
      </c>
      <c r="AH494" s="7">
        <v>1</v>
      </c>
      <c r="AI494" s="7"/>
      <c r="AJ494" s="8" t="b">
        <v>1</v>
      </c>
      <c r="AK494" s="28" t="s">
        <v>1644</v>
      </c>
      <c r="AL494" s="28" t="s">
        <v>1645</v>
      </c>
      <c r="AM494" s="28"/>
      <c r="AN494" s="7"/>
      <c r="AO494" s="7">
        <v>0</v>
      </c>
      <c r="AP494" s="8" t="b">
        <v>0</v>
      </c>
      <c r="AQ494" s="28" t="s">
        <v>1646</v>
      </c>
    </row>
    <row r="495" spans="1:43" ht="30">
      <c r="A495" s="7">
        <v>482</v>
      </c>
      <c r="B495" s="7" t="s">
        <v>1437</v>
      </c>
      <c r="C495" s="7" t="s">
        <v>56</v>
      </c>
      <c r="D495" s="7" t="s">
        <v>112</v>
      </c>
      <c r="E495" s="7" t="s">
        <v>1642</v>
      </c>
      <c r="F495" s="7" t="s">
        <v>56</v>
      </c>
      <c r="G495" s="14">
        <v>1838</v>
      </c>
      <c r="H495" s="15">
        <v>2.77</v>
      </c>
      <c r="I495" s="15">
        <v>3.02</v>
      </c>
      <c r="J495" s="15">
        <v>0.13563656147986944</v>
      </c>
      <c r="K495" s="15">
        <v>0.14787812840043527</v>
      </c>
      <c r="L495" s="15">
        <v>46</v>
      </c>
      <c r="M495" s="15">
        <v>1.2105263157894737</v>
      </c>
      <c r="N495" s="16">
        <v>0.1120475942659791</v>
      </c>
      <c r="O495" s="16">
        <v>0.12216019302644653</v>
      </c>
      <c r="P495" s="17">
        <f>IFERROR(G495/(G495+Priors!$H$3),0)</f>
        <v>0.64763918252290342</v>
      </c>
      <c r="Q495" s="18">
        <f>IF(E495="Premier League",Priors!$H$4,IF(E495="Championship",Priors!$H$5,Priors!$H$8))</f>
        <v>1</v>
      </c>
      <c r="R495" s="19" t="b">
        <v>0</v>
      </c>
      <c r="S495" s="18">
        <f>IF(R495=TRUE,Priors!$H$6,1)</f>
        <v>1</v>
      </c>
      <c r="T495" s="19" t="b">
        <v>1</v>
      </c>
      <c r="U495" s="18">
        <f>IF(T495=TRUE,Priors!$H$7,1)</f>
        <v>0.9</v>
      </c>
      <c r="V495" s="18">
        <f t="shared" si="42"/>
        <v>0.58287526427061309</v>
      </c>
      <c r="W495" s="20">
        <f>VLOOKUP(D495,Priors!$A$3:$C$6,2,FALSE)</f>
        <v>0.10751786102217777</v>
      </c>
      <c r="X495" s="20">
        <f>VLOOKUP(D495,Priors!$A$3:$C$6,3,FALSE)</f>
        <v>9.0240671969462088E-2</v>
      </c>
      <c r="Y495" s="20">
        <f t="shared" si="43"/>
        <v>0.11015813048373385</v>
      </c>
      <c r="Z495" s="20">
        <f t="shared" si="44"/>
        <v>0.10884577124094329</v>
      </c>
      <c r="AA495" s="21">
        <v>1</v>
      </c>
      <c r="AB495" s="21">
        <v>1</v>
      </c>
      <c r="AC495" s="22">
        <f t="shared" si="45"/>
        <v>0.11015813048373385</v>
      </c>
      <c r="AD495" s="22">
        <f t="shared" si="46"/>
        <v>0.10884577124094329</v>
      </c>
      <c r="AE495" s="22">
        <f t="shared" si="47"/>
        <v>0.41712473572938691</v>
      </c>
      <c r="AF495" s="7" t="s">
        <v>1643</v>
      </c>
      <c r="AG495" s="7"/>
      <c r="AH495" s="7">
        <v>4</v>
      </c>
      <c r="AI495" s="7"/>
      <c r="AJ495" s="8" t="b">
        <v>1</v>
      </c>
      <c r="AK495" s="28" t="s">
        <v>1644</v>
      </c>
      <c r="AL495" s="28" t="s">
        <v>1645</v>
      </c>
      <c r="AM495" s="28"/>
      <c r="AN495" s="7"/>
      <c r="AO495" s="7">
        <v>0</v>
      </c>
      <c r="AP495" s="8" t="b">
        <v>0</v>
      </c>
      <c r="AQ495" s="28" t="s">
        <v>1646</v>
      </c>
    </row>
    <row r="496" spans="1:43" ht="30">
      <c r="A496" s="7">
        <v>483</v>
      </c>
      <c r="B496" s="7" t="s">
        <v>1439</v>
      </c>
      <c r="C496" s="7" t="s">
        <v>56</v>
      </c>
      <c r="D496" s="7" t="s">
        <v>112</v>
      </c>
      <c r="E496" s="7" t="s">
        <v>1642</v>
      </c>
      <c r="F496" s="7" t="s">
        <v>56</v>
      </c>
      <c r="G496" s="14">
        <v>1167</v>
      </c>
      <c r="H496" s="15">
        <v>1.05</v>
      </c>
      <c r="I496" s="15">
        <v>1.51</v>
      </c>
      <c r="J496" s="15">
        <v>8.0976863753213363E-2</v>
      </c>
      <c r="K496" s="15">
        <v>0.11645244215938304</v>
      </c>
      <c r="L496" s="15">
        <v>46</v>
      </c>
      <c r="M496" s="15">
        <v>1.2105263157894737</v>
      </c>
      <c r="N496" s="16">
        <v>6.6893930926567563E-2</v>
      </c>
      <c r="O496" s="16">
        <v>9.6199843522968592E-2</v>
      </c>
      <c r="P496" s="17">
        <f>IFERROR(G496/(G496+Priors!$H$3),0)</f>
        <v>0.53853253345639129</v>
      </c>
      <c r="Q496" s="18">
        <f>IF(E496="Premier League",Priors!$H$4,IF(E496="Championship",Priors!$H$5,Priors!$H$8))</f>
        <v>1</v>
      </c>
      <c r="R496" s="19" t="b">
        <v>0</v>
      </c>
      <c r="S496" s="18">
        <f>IF(R496=TRUE,Priors!$H$6,1)</f>
        <v>1</v>
      </c>
      <c r="T496" s="19" t="b">
        <v>1</v>
      </c>
      <c r="U496" s="18">
        <f>IF(T496=TRUE,Priors!$H$7,1)</f>
        <v>0.9</v>
      </c>
      <c r="V496" s="18">
        <f t="shared" si="42"/>
        <v>0.48467928011075218</v>
      </c>
      <c r="W496" s="20">
        <f>VLOOKUP(D496,Priors!$A$3:$C$6,2,FALSE)</f>
        <v>0.10751786102217777</v>
      </c>
      <c r="X496" s="20">
        <f>VLOOKUP(D496,Priors!$A$3:$C$6,3,FALSE)</f>
        <v>9.0240671969462088E-2</v>
      </c>
      <c r="Y496" s="20">
        <f t="shared" si="43"/>
        <v>8.7828283828167875E-2</v>
      </c>
      <c r="Z496" s="20">
        <f t="shared" si="44"/>
        <v>9.3128958948072077E-2</v>
      </c>
      <c r="AA496" s="21">
        <v>1</v>
      </c>
      <c r="AB496" s="21">
        <v>1</v>
      </c>
      <c r="AC496" s="22">
        <f t="shared" si="45"/>
        <v>8.7828283828167875E-2</v>
      </c>
      <c r="AD496" s="22">
        <f t="shared" si="46"/>
        <v>9.3128958948072077E-2</v>
      </c>
      <c r="AE496" s="22">
        <f t="shared" si="47"/>
        <v>0.51532071988924777</v>
      </c>
      <c r="AF496" s="7" t="s">
        <v>1643</v>
      </c>
      <c r="AG496" s="7"/>
      <c r="AH496" s="7"/>
      <c r="AI496" s="7"/>
      <c r="AJ496" s="8" t="b">
        <v>1</v>
      </c>
      <c r="AK496" s="28" t="s">
        <v>1644</v>
      </c>
      <c r="AL496" s="28" t="s">
        <v>1645</v>
      </c>
      <c r="AM496" s="28"/>
      <c r="AN496" s="7"/>
      <c r="AO496" s="7">
        <v>0</v>
      </c>
      <c r="AP496" s="8" t="b">
        <v>0</v>
      </c>
      <c r="AQ496" s="28" t="s">
        <v>1646</v>
      </c>
    </row>
    <row r="497" spans="1:43" ht="30">
      <c r="A497" s="7">
        <v>484</v>
      </c>
      <c r="B497" s="7" t="s">
        <v>1442</v>
      </c>
      <c r="C497" s="7" t="s">
        <v>56</v>
      </c>
      <c r="D497" s="7" t="s">
        <v>112</v>
      </c>
      <c r="E497" s="7" t="s">
        <v>1642</v>
      </c>
      <c r="F497" s="7" t="s">
        <v>56</v>
      </c>
      <c r="G497" s="14">
        <v>1676</v>
      </c>
      <c r="H497" s="15">
        <v>2.0099999999999998</v>
      </c>
      <c r="I497" s="15">
        <v>3.87</v>
      </c>
      <c r="J497" s="15">
        <v>0.10793556085918853</v>
      </c>
      <c r="K497" s="15">
        <v>0.20781622911694511</v>
      </c>
      <c r="L497" s="15">
        <v>46</v>
      </c>
      <c r="M497" s="15">
        <v>1.2105263157894737</v>
      </c>
      <c r="N497" s="16">
        <v>8.9164158970633997E-2</v>
      </c>
      <c r="O497" s="16">
        <v>0.17167427622704162</v>
      </c>
      <c r="P497" s="17">
        <f>IFERROR(G497/(G497+Priors!$H$3),0)</f>
        <v>0.62630792227204779</v>
      </c>
      <c r="Q497" s="18">
        <f>IF(E497="Premier League",Priors!$H$4,IF(E497="Championship",Priors!$H$5,Priors!$H$8))</f>
        <v>1</v>
      </c>
      <c r="R497" s="19" t="b">
        <v>0</v>
      </c>
      <c r="S497" s="18">
        <f>IF(R497=TRUE,Priors!$H$6,1)</f>
        <v>1</v>
      </c>
      <c r="T497" s="19" t="b">
        <v>1</v>
      </c>
      <c r="U497" s="18">
        <f>IF(T497=TRUE,Priors!$H$7,1)</f>
        <v>0.9</v>
      </c>
      <c r="V497" s="18">
        <f t="shared" si="42"/>
        <v>0.56367713004484299</v>
      </c>
      <c r="W497" s="20">
        <f>VLOOKUP(D497,Priors!$A$3:$C$6,2,FALSE)</f>
        <v>0.10751786102217777</v>
      </c>
      <c r="X497" s="20">
        <f>VLOOKUP(D497,Priors!$A$3:$C$6,3,FALSE)</f>
        <v>9.0240671969462088E-2</v>
      </c>
      <c r="Y497" s="20">
        <f t="shared" si="43"/>
        <v>9.7172298924065426E-2</v>
      </c>
      <c r="Z497" s="20">
        <f t="shared" si="44"/>
        <v>0.13614293230658203</v>
      </c>
      <c r="AA497" s="21">
        <v>1</v>
      </c>
      <c r="AB497" s="21">
        <v>1</v>
      </c>
      <c r="AC497" s="22">
        <f t="shared" si="45"/>
        <v>9.7172298924065426E-2</v>
      </c>
      <c r="AD497" s="22">
        <f t="shared" si="46"/>
        <v>0.13614293230658203</v>
      </c>
      <c r="AE497" s="22">
        <f t="shared" si="47"/>
        <v>0.43632286995515701</v>
      </c>
      <c r="AF497" s="7" t="s">
        <v>1643</v>
      </c>
      <c r="AG497" s="7"/>
      <c r="AH497" s="7"/>
      <c r="AI497" s="7">
        <v>4</v>
      </c>
      <c r="AJ497" s="8" t="b">
        <v>1</v>
      </c>
      <c r="AK497" s="28" t="s">
        <v>1644</v>
      </c>
      <c r="AL497" s="28" t="s">
        <v>1645</v>
      </c>
      <c r="AM497" s="28"/>
      <c r="AN497" s="7"/>
      <c r="AO497" s="7">
        <v>0</v>
      </c>
      <c r="AP497" s="8" t="b">
        <v>0</v>
      </c>
      <c r="AQ497" s="28" t="s">
        <v>1646</v>
      </c>
    </row>
    <row r="498" spans="1:43" ht="30">
      <c r="A498" s="7">
        <v>485</v>
      </c>
      <c r="B498" s="7" t="s">
        <v>1444</v>
      </c>
      <c r="C498" s="7" t="s">
        <v>56</v>
      </c>
      <c r="D498" s="7" t="s">
        <v>112</v>
      </c>
      <c r="E498" s="7" t="s">
        <v>1642</v>
      </c>
      <c r="F498" s="7" t="s">
        <v>56</v>
      </c>
      <c r="G498" s="14">
        <v>549</v>
      </c>
      <c r="H498" s="15">
        <v>0.54</v>
      </c>
      <c r="I498" s="15">
        <v>1.01</v>
      </c>
      <c r="J498" s="15">
        <v>8.8524590163934436E-2</v>
      </c>
      <c r="K498" s="15">
        <v>0.1655737704918033</v>
      </c>
      <c r="L498" s="15">
        <v>46</v>
      </c>
      <c r="M498" s="15">
        <v>1.2105263157894737</v>
      </c>
      <c r="N498" s="16">
        <v>7.3129009265858885E-2</v>
      </c>
      <c r="O498" s="16">
        <v>0.13677833214540272</v>
      </c>
      <c r="P498" s="17">
        <f>IFERROR(G498/(G498+Priors!$H$3),0)</f>
        <v>0.35442220787604906</v>
      </c>
      <c r="Q498" s="18">
        <f>IF(E498="Premier League",Priors!$H$4,IF(E498="Championship",Priors!$H$5,Priors!$H$8))</f>
        <v>1</v>
      </c>
      <c r="R498" s="19" t="b">
        <v>0</v>
      </c>
      <c r="S498" s="18">
        <f>IF(R498=TRUE,Priors!$H$6,1)</f>
        <v>1</v>
      </c>
      <c r="T498" s="19" t="b">
        <v>1</v>
      </c>
      <c r="U498" s="18">
        <f>IF(T498=TRUE,Priors!$H$7,1)</f>
        <v>0.9</v>
      </c>
      <c r="V498" s="18">
        <f t="shared" si="42"/>
        <v>0.31897998708844416</v>
      </c>
      <c r="W498" s="20">
        <f>VLOOKUP(D498,Priors!$A$3:$C$6,2,FALSE)</f>
        <v>0.10751786102217777</v>
      </c>
      <c r="X498" s="20">
        <f>VLOOKUP(D498,Priors!$A$3:$C$6,3,FALSE)</f>
        <v>9.0240671969462088E-2</v>
      </c>
      <c r="Y498" s="20">
        <f t="shared" si="43"/>
        <v>9.6548505532960738E-2</v>
      </c>
      <c r="Z498" s="20">
        <f t="shared" si="44"/>
        <v>0.10508525421151002</v>
      </c>
      <c r="AA498" s="21">
        <v>1</v>
      </c>
      <c r="AB498" s="21">
        <v>1</v>
      </c>
      <c r="AC498" s="22">
        <f t="shared" si="45"/>
        <v>9.6548505532960738E-2</v>
      </c>
      <c r="AD498" s="22">
        <f t="shared" si="46"/>
        <v>0.10508525421151002</v>
      </c>
      <c r="AE498" s="22">
        <f t="shared" si="47"/>
        <v>0.68102001291155578</v>
      </c>
      <c r="AF498" s="7" t="s">
        <v>1643</v>
      </c>
      <c r="AG498" s="7"/>
      <c r="AH498" s="7"/>
      <c r="AI498" s="7">
        <v>6</v>
      </c>
      <c r="AJ498" s="8" t="b">
        <v>1</v>
      </c>
      <c r="AK498" s="28" t="s">
        <v>1644</v>
      </c>
      <c r="AL498" s="28" t="s">
        <v>1645</v>
      </c>
      <c r="AM498" s="28"/>
      <c r="AN498" s="7"/>
      <c r="AO498" s="7">
        <v>0</v>
      </c>
      <c r="AP498" s="8" t="b">
        <v>0</v>
      </c>
      <c r="AQ498" s="28" t="s">
        <v>1646</v>
      </c>
    </row>
    <row r="499" spans="1:43" ht="30">
      <c r="A499" s="7">
        <v>486</v>
      </c>
      <c r="B499" s="7" t="s">
        <v>1446</v>
      </c>
      <c r="C499" s="7" t="s">
        <v>56</v>
      </c>
      <c r="D499" s="7" t="s">
        <v>112</v>
      </c>
      <c r="E499" s="7" t="s">
        <v>1642</v>
      </c>
      <c r="F499" s="7" t="s">
        <v>56</v>
      </c>
      <c r="G499" s="14">
        <v>288</v>
      </c>
      <c r="H499" s="15">
        <v>0.18</v>
      </c>
      <c r="I499" s="15">
        <v>0.37</v>
      </c>
      <c r="J499" s="15">
        <v>5.6249999999999994E-2</v>
      </c>
      <c r="K499" s="15">
        <v>0.11562499999999999</v>
      </c>
      <c r="L499" s="15">
        <v>46</v>
      </c>
      <c r="M499" s="15">
        <v>1.2105263157894737</v>
      </c>
      <c r="N499" s="16">
        <v>4.6467391304347822E-2</v>
      </c>
      <c r="O499" s="16">
        <v>9.5516304347826084E-2</v>
      </c>
      <c r="P499" s="17">
        <f>IFERROR(G499/(G499+Priors!$H$3),0)</f>
        <v>0.2236024844720497</v>
      </c>
      <c r="Q499" s="18">
        <f>IF(E499="Premier League",Priors!$H$4,IF(E499="Championship",Priors!$H$5,Priors!$H$8))</f>
        <v>1</v>
      </c>
      <c r="R499" s="19" t="b">
        <v>0</v>
      </c>
      <c r="S499" s="18">
        <f>IF(R499=TRUE,Priors!$H$6,1)</f>
        <v>1</v>
      </c>
      <c r="T499" s="19" t="b">
        <v>1</v>
      </c>
      <c r="U499" s="18">
        <f>IF(T499=TRUE,Priors!$H$7,1)</f>
        <v>0.9</v>
      </c>
      <c r="V499" s="18">
        <f t="shared" si="42"/>
        <v>0.20124223602484473</v>
      </c>
      <c r="W499" s="20">
        <f>VLOOKUP(D499,Priors!$A$3:$C$6,2,FALSE)</f>
        <v>0.10751786102217777</v>
      </c>
      <c r="X499" s="20">
        <f>VLOOKUP(D499,Priors!$A$3:$C$6,3,FALSE)</f>
        <v>9.0240671969462088E-2</v>
      </c>
      <c r="Y499" s="20">
        <f t="shared" si="43"/>
        <v>9.5231927985794607E-2</v>
      </c>
      <c r="Z499" s="20">
        <f t="shared" si="44"/>
        <v>9.130235202572913E-2</v>
      </c>
      <c r="AA499" s="21">
        <v>1</v>
      </c>
      <c r="AB499" s="21">
        <v>1</v>
      </c>
      <c r="AC499" s="22">
        <f t="shared" si="45"/>
        <v>9.5231927985794607E-2</v>
      </c>
      <c r="AD499" s="22">
        <f t="shared" si="46"/>
        <v>9.130235202572913E-2</v>
      </c>
      <c r="AE499" s="22">
        <f t="shared" si="47"/>
        <v>0.7987577639751553</v>
      </c>
      <c r="AF499" s="7" t="s">
        <v>1643</v>
      </c>
      <c r="AG499" s="7"/>
      <c r="AH499" s="7"/>
      <c r="AI499" s="7"/>
      <c r="AJ499" s="8" t="b">
        <v>1</v>
      </c>
      <c r="AK499" s="28" t="s">
        <v>1644</v>
      </c>
      <c r="AL499" s="28" t="s">
        <v>1645</v>
      </c>
      <c r="AM499" s="28"/>
      <c r="AN499" s="7"/>
      <c r="AO499" s="7">
        <v>0</v>
      </c>
      <c r="AP499" s="8" t="b">
        <v>0</v>
      </c>
      <c r="AQ499" s="28" t="s">
        <v>1646</v>
      </c>
    </row>
    <row r="500" spans="1:43" ht="30">
      <c r="A500" s="7">
        <v>487</v>
      </c>
      <c r="B500" s="7" t="s">
        <v>1448</v>
      </c>
      <c r="C500" s="7" t="s">
        <v>56</v>
      </c>
      <c r="D500" s="7" t="s">
        <v>112</v>
      </c>
      <c r="E500" s="7" t="s">
        <v>1642</v>
      </c>
      <c r="F500" s="7" t="s">
        <v>56</v>
      </c>
      <c r="G500" s="14">
        <v>1168</v>
      </c>
      <c r="H500" s="15">
        <v>1.47</v>
      </c>
      <c r="I500" s="15">
        <v>0.77</v>
      </c>
      <c r="J500" s="15">
        <v>0.11327054794520548</v>
      </c>
      <c r="K500" s="15">
        <v>5.9332191780821913E-2</v>
      </c>
      <c r="L500" s="15">
        <v>46</v>
      </c>
      <c r="M500" s="15">
        <v>1.2105263157894737</v>
      </c>
      <c r="N500" s="16">
        <v>9.3571322215604533E-2</v>
      </c>
      <c r="O500" s="16">
        <v>4.9013549731983318E-2</v>
      </c>
      <c r="P500" s="17">
        <f>IFERROR(G500/(G500+Priors!$H$3),0)</f>
        <v>0.53874538745387457</v>
      </c>
      <c r="Q500" s="18">
        <f>IF(E500="Premier League",Priors!$H$4,IF(E500="Championship",Priors!$H$5,Priors!$H$8))</f>
        <v>1</v>
      </c>
      <c r="R500" s="19" t="b">
        <v>0</v>
      </c>
      <c r="S500" s="18">
        <f>IF(R500=TRUE,Priors!$H$6,1)</f>
        <v>1</v>
      </c>
      <c r="T500" s="19" t="b">
        <v>1</v>
      </c>
      <c r="U500" s="18">
        <f>IF(T500=TRUE,Priors!$H$7,1)</f>
        <v>0.9</v>
      </c>
      <c r="V500" s="18">
        <f t="shared" si="42"/>
        <v>0.48487084870848712</v>
      </c>
      <c r="W500" s="20">
        <f>VLOOKUP(D500,Priors!$A$3:$C$6,2,FALSE)</f>
        <v>0.10751786102217777</v>
      </c>
      <c r="X500" s="20">
        <f>VLOOKUP(D500,Priors!$A$3:$C$6,3,FALSE)</f>
        <v>9.0240671969462088E-2</v>
      </c>
      <c r="Y500" s="20">
        <f t="shared" si="43"/>
        <v>0.10075559091448874</v>
      </c>
      <c r="Z500" s="20">
        <f t="shared" si="44"/>
        <v>7.0250842220367204E-2</v>
      </c>
      <c r="AA500" s="21">
        <v>1</v>
      </c>
      <c r="AB500" s="21">
        <v>1</v>
      </c>
      <c r="AC500" s="22">
        <f t="shared" si="45"/>
        <v>0.10075559091448874</v>
      </c>
      <c r="AD500" s="22">
        <f t="shared" si="46"/>
        <v>7.0250842220367204E-2</v>
      </c>
      <c r="AE500" s="22">
        <f t="shared" si="47"/>
        <v>0.51512915129151282</v>
      </c>
      <c r="AF500" s="7" t="s">
        <v>1643</v>
      </c>
      <c r="AG500" s="7"/>
      <c r="AH500" s="7"/>
      <c r="AI500" s="7"/>
      <c r="AJ500" s="8" t="b">
        <v>1</v>
      </c>
      <c r="AK500" s="28" t="s">
        <v>1644</v>
      </c>
      <c r="AL500" s="28" t="s">
        <v>1645</v>
      </c>
      <c r="AM500" s="28"/>
      <c r="AN500" s="7"/>
      <c r="AO500" s="7">
        <v>0</v>
      </c>
      <c r="AP500" s="8" t="b">
        <v>0</v>
      </c>
      <c r="AQ500" s="28" t="s">
        <v>1646</v>
      </c>
    </row>
    <row r="501" spans="1:43" ht="30">
      <c r="A501" s="7">
        <v>488</v>
      </c>
      <c r="B501" s="7" t="s">
        <v>418</v>
      </c>
      <c r="C501" s="7" t="s">
        <v>56</v>
      </c>
      <c r="D501" s="7" t="s">
        <v>112</v>
      </c>
      <c r="E501" s="7" t="s">
        <v>1642</v>
      </c>
      <c r="F501" s="7" t="s">
        <v>56</v>
      </c>
      <c r="G501" s="14">
        <v>2073</v>
      </c>
      <c r="H501" s="15">
        <v>1.1599999999999999</v>
      </c>
      <c r="I501" s="15">
        <v>1.8</v>
      </c>
      <c r="J501" s="15">
        <v>5.0361794500723582E-2</v>
      </c>
      <c r="K501" s="15">
        <v>7.8147612156295218E-2</v>
      </c>
      <c r="L501" s="15">
        <v>46</v>
      </c>
      <c r="M501" s="15">
        <v>1.2105263157894737</v>
      </c>
      <c r="N501" s="16">
        <v>4.1603221544076002E-2</v>
      </c>
      <c r="O501" s="16">
        <v>6.4556723085635176E-2</v>
      </c>
      <c r="P501" s="17">
        <f>IFERROR(G501/(G501+Priors!$H$3),0)</f>
        <v>0.67458509599739669</v>
      </c>
      <c r="Q501" s="18">
        <f>IF(E501="Premier League",Priors!$H$4,IF(E501="Championship",Priors!$H$5,Priors!$H$8))</f>
        <v>1</v>
      </c>
      <c r="R501" s="19" t="b">
        <v>0</v>
      </c>
      <c r="S501" s="18">
        <f>IF(R501=TRUE,Priors!$H$6,1)</f>
        <v>1</v>
      </c>
      <c r="T501" s="19" t="b">
        <v>1</v>
      </c>
      <c r="U501" s="18">
        <f>IF(T501=TRUE,Priors!$H$7,1)</f>
        <v>0.9</v>
      </c>
      <c r="V501" s="18">
        <f t="shared" si="42"/>
        <v>0.60712658639765704</v>
      </c>
      <c r="W501" s="20">
        <f>VLOOKUP(D501,Priors!$A$3:$C$6,2,FALSE)</f>
        <v>0.10751786102217777</v>
      </c>
      <c r="X501" s="20">
        <f>VLOOKUP(D501,Priors!$A$3:$C$6,3,FALSE)</f>
        <v>9.0240671969462088E-2</v>
      </c>
      <c r="Y501" s="20">
        <f t="shared" si="43"/>
        <v>6.7499330962205603E-2</v>
      </c>
      <c r="Z501" s="20">
        <f t="shared" si="44"/>
        <v>7.4647263758412352E-2</v>
      </c>
      <c r="AA501" s="21">
        <v>1</v>
      </c>
      <c r="AB501" s="21">
        <v>1</v>
      </c>
      <c r="AC501" s="22">
        <f t="shared" si="45"/>
        <v>6.7499330962205603E-2</v>
      </c>
      <c r="AD501" s="22">
        <f t="shared" si="46"/>
        <v>7.4647263758412352E-2</v>
      </c>
      <c r="AE501" s="22">
        <f t="shared" si="47"/>
        <v>0.39287341360234296</v>
      </c>
      <c r="AF501" s="7" t="s">
        <v>1643</v>
      </c>
      <c r="AG501" s="7"/>
      <c r="AH501" s="7"/>
      <c r="AI501" s="7"/>
      <c r="AJ501" s="8" t="b">
        <v>1</v>
      </c>
      <c r="AK501" s="28" t="s">
        <v>1644</v>
      </c>
      <c r="AL501" s="28" t="s">
        <v>1645</v>
      </c>
      <c r="AM501" s="28"/>
      <c r="AN501" s="7"/>
      <c r="AO501" s="7">
        <v>0</v>
      </c>
      <c r="AP501" s="8" t="b">
        <v>0</v>
      </c>
      <c r="AQ501" s="28" t="s">
        <v>1646</v>
      </c>
    </row>
    <row r="502" spans="1:43" ht="30">
      <c r="A502" s="7">
        <v>489</v>
      </c>
      <c r="B502" s="7" t="s">
        <v>1451</v>
      </c>
      <c r="C502" s="7" t="s">
        <v>56</v>
      </c>
      <c r="D502" s="7" t="s">
        <v>112</v>
      </c>
      <c r="E502" s="7" t="s">
        <v>1642</v>
      </c>
      <c r="F502" s="7" t="s">
        <v>56</v>
      </c>
      <c r="G502" s="14">
        <v>602</v>
      </c>
      <c r="H502" s="15">
        <v>0.49</v>
      </c>
      <c r="I502" s="15">
        <v>0.37</v>
      </c>
      <c r="J502" s="15">
        <v>7.3255813953488375E-2</v>
      </c>
      <c r="K502" s="15">
        <v>5.5315614617940198E-2</v>
      </c>
      <c r="L502" s="15">
        <v>46</v>
      </c>
      <c r="M502" s="15">
        <v>1.2105263157894737</v>
      </c>
      <c r="N502" s="16">
        <v>6.0515672396359965E-2</v>
      </c>
      <c r="O502" s="16">
        <v>4.5695507727863641E-2</v>
      </c>
      <c r="P502" s="17">
        <f>IFERROR(G502/(G502+Priors!$H$3),0)</f>
        <v>0.37578027465667913</v>
      </c>
      <c r="Q502" s="18">
        <f>IF(E502="Premier League",Priors!$H$4,IF(E502="Championship",Priors!$H$5,Priors!$H$8))</f>
        <v>1</v>
      </c>
      <c r="R502" s="19" t="b">
        <v>0</v>
      </c>
      <c r="S502" s="18">
        <f>IF(R502=TRUE,Priors!$H$6,1)</f>
        <v>1</v>
      </c>
      <c r="T502" s="19" t="b">
        <v>1</v>
      </c>
      <c r="U502" s="18">
        <f>IF(T502=TRUE,Priors!$H$7,1)</f>
        <v>0.9</v>
      </c>
      <c r="V502" s="18">
        <f t="shared" si="42"/>
        <v>0.33820224719101122</v>
      </c>
      <c r="W502" s="20">
        <f>VLOOKUP(D502,Priors!$A$3:$C$6,2,FALSE)</f>
        <v>0.10751786102217777</v>
      </c>
      <c r="X502" s="20">
        <f>VLOOKUP(D502,Priors!$A$3:$C$6,3,FALSE)</f>
        <v>9.0240671969462088E-2</v>
      </c>
      <c r="Y502" s="20">
        <f t="shared" si="43"/>
        <v>9.1621615206030391E-2</v>
      </c>
      <c r="Z502" s="20">
        <f t="shared" si="44"/>
        <v>7.5175397321460821E-2</v>
      </c>
      <c r="AA502" s="21">
        <v>1</v>
      </c>
      <c r="AB502" s="21">
        <v>1</v>
      </c>
      <c r="AC502" s="22">
        <f t="shared" si="45"/>
        <v>9.1621615206030391E-2</v>
      </c>
      <c r="AD502" s="22">
        <f t="shared" si="46"/>
        <v>7.5175397321460821E-2</v>
      </c>
      <c r="AE502" s="22">
        <f t="shared" si="47"/>
        <v>0.66179775280898878</v>
      </c>
      <c r="AF502" s="7" t="s">
        <v>1643</v>
      </c>
      <c r="AG502" s="7"/>
      <c r="AH502" s="7"/>
      <c r="AI502" s="7"/>
      <c r="AJ502" s="8" t="b">
        <v>1</v>
      </c>
      <c r="AK502" s="28" t="s">
        <v>1644</v>
      </c>
      <c r="AL502" s="28" t="s">
        <v>1645</v>
      </c>
      <c r="AM502" s="28"/>
      <c r="AN502" s="7"/>
      <c r="AO502" s="7">
        <v>0</v>
      </c>
      <c r="AP502" s="8" t="b">
        <v>0</v>
      </c>
      <c r="AQ502" s="28" t="s">
        <v>1646</v>
      </c>
    </row>
    <row r="503" spans="1:43" ht="30">
      <c r="A503" s="7">
        <v>490</v>
      </c>
      <c r="B503" s="7" t="s">
        <v>1454</v>
      </c>
      <c r="C503" s="7" t="s">
        <v>56</v>
      </c>
      <c r="D503" s="7" t="s">
        <v>167</v>
      </c>
      <c r="E503" s="7" t="s">
        <v>1642</v>
      </c>
      <c r="F503" s="7" t="s">
        <v>56</v>
      </c>
      <c r="G503" s="14">
        <v>896</v>
      </c>
      <c r="H503" s="15">
        <v>4.29</v>
      </c>
      <c r="I503" s="15">
        <v>0.32</v>
      </c>
      <c r="J503" s="15">
        <v>0.43091517857142858</v>
      </c>
      <c r="K503" s="15">
        <v>3.2142857142857147E-2</v>
      </c>
      <c r="L503" s="15">
        <v>46</v>
      </c>
      <c r="M503" s="15">
        <v>1.2105263157894737</v>
      </c>
      <c r="N503" s="16">
        <v>0.35597340838509317</v>
      </c>
      <c r="O503" s="16">
        <v>2.6552795031055905E-2</v>
      </c>
      <c r="P503" s="17">
        <f>IFERROR(G503/(G503+Priors!$H$3),0)</f>
        <v>0.47257383966244726</v>
      </c>
      <c r="Q503" s="18">
        <f>IF(E503="Premier League",Priors!$H$4,IF(E503="Championship",Priors!$H$5,Priors!$H$8))</f>
        <v>1</v>
      </c>
      <c r="R503" s="19" t="b">
        <v>0</v>
      </c>
      <c r="S503" s="18">
        <f>IF(R503=TRUE,Priors!$H$6,1)</f>
        <v>1</v>
      </c>
      <c r="T503" s="19" t="b">
        <v>1</v>
      </c>
      <c r="U503" s="18">
        <f>IF(T503=TRUE,Priors!$H$7,1)</f>
        <v>0.9</v>
      </c>
      <c r="V503" s="18">
        <f t="shared" si="42"/>
        <v>0.42531645569620252</v>
      </c>
      <c r="W503" s="20">
        <f>VLOOKUP(D503,Priors!$A$3:$C$6,2,FALSE)</f>
        <v>0.30461525508032317</v>
      </c>
      <c r="X503" s="20">
        <f>VLOOKUP(D503,Priors!$A$3:$C$6,3,FALSE)</f>
        <v>3.9258061548584466E-2</v>
      </c>
      <c r="Y503" s="20">
        <f t="shared" si="43"/>
        <v>0.32645872281501015</v>
      </c>
      <c r="Z503" s="20">
        <f t="shared" si="44"/>
        <v>3.385430262467358E-2</v>
      </c>
      <c r="AA503" s="21">
        <v>1</v>
      </c>
      <c r="AB503" s="21">
        <v>1</v>
      </c>
      <c r="AC503" s="22">
        <f t="shared" si="45"/>
        <v>0.32645872281501015</v>
      </c>
      <c r="AD503" s="22">
        <f t="shared" si="46"/>
        <v>3.385430262467358E-2</v>
      </c>
      <c r="AE503" s="22">
        <f t="shared" si="47"/>
        <v>0.57468354430379742</v>
      </c>
      <c r="AF503" s="7" t="s">
        <v>1643</v>
      </c>
      <c r="AG503" s="7">
        <v>1</v>
      </c>
      <c r="AH503" s="7"/>
      <c r="AI503" s="7"/>
      <c r="AJ503" s="8" t="b">
        <v>1</v>
      </c>
      <c r="AK503" s="28" t="s">
        <v>1644</v>
      </c>
      <c r="AL503" s="28" t="s">
        <v>1645</v>
      </c>
      <c r="AM503" s="28"/>
      <c r="AN503" s="7"/>
      <c r="AO503" s="7">
        <v>0</v>
      </c>
      <c r="AP503" s="8" t="b">
        <v>0</v>
      </c>
      <c r="AQ503" s="28" t="s">
        <v>1646</v>
      </c>
    </row>
    <row r="504" spans="1:43" ht="30">
      <c r="A504" s="7">
        <v>491</v>
      </c>
      <c r="B504" s="7" t="s">
        <v>1456</v>
      </c>
      <c r="C504" s="7" t="s">
        <v>56</v>
      </c>
      <c r="D504" s="7" t="s">
        <v>167</v>
      </c>
      <c r="E504" s="7" t="s">
        <v>1642</v>
      </c>
      <c r="F504" s="7" t="s">
        <v>56</v>
      </c>
      <c r="G504" s="14">
        <v>2293</v>
      </c>
      <c r="H504" s="15">
        <v>6.48</v>
      </c>
      <c r="I504" s="15">
        <v>1.26</v>
      </c>
      <c r="J504" s="15">
        <v>0.25433929350196249</v>
      </c>
      <c r="K504" s="15">
        <v>4.9454862625381596E-2</v>
      </c>
      <c r="L504" s="15">
        <v>46</v>
      </c>
      <c r="M504" s="15">
        <v>1.2105263157894737</v>
      </c>
      <c r="N504" s="16">
        <v>0.21010637289292555</v>
      </c>
      <c r="O504" s="16">
        <v>4.0854016951402186E-2</v>
      </c>
      <c r="P504" s="17">
        <f>IFERROR(G504/(G504+Priors!$H$3),0)</f>
        <v>0.69632553902216821</v>
      </c>
      <c r="Q504" s="18">
        <f>IF(E504="Premier League",Priors!$H$4,IF(E504="Championship",Priors!$H$5,Priors!$H$8))</f>
        <v>1</v>
      </c>
      <c r="R504" s="19" t="b">
        <v>0</v>
      </c>
      <c r="S504" s="18">
        <f>IF(R504=TRUE,Priors!$H$6,1)</f>
        <v>1</v>
      </c>
      <c r="T504" s="19" t="b">
        <v>1</v>
      </c>
      <c r="U504" s="18">
        <f>IF(T504=TRUE,Priors!$H$7,1)</f>
        <v>0.9</v>
      </c>
      <c r="V504" s="18">
        <f t="shared" si="42"/>
        <v>0.62669298511995142</v>
      </c>
      <c r="W504" s="20">
        <f>VLOOKUP(D504,Priors!$A$3:$C$6,2,FALSE)</f>
        <v>0.30461525508032317</v>
      </c>
      <c r="X504" s="20">
        <f>VLOOKUP(D504,Priors!$A$3:$C$6,3,FALSE)</f>
        <v>3.9258061548584466E-2</v>
      </c>
      <c r="Y504" s="20">
        <f t="shared" si="43"/>
        <v>0.24538720158195315</v>
      </c>
      <c r="Z504" s="20">
        <f t="shared" si="44"/>
        <v>4.0258235604094618E-2</v>
      </c>
      <c r="AA504" s="21">
        <v>1</v>
      </c>
      <c r="AB504" s="21">
        <v>1</v>
      </c>
      <c r="AC504" s="22">
        <f t="shared" si="45"/>
        <v>0.24538720158195315</v>
      </c>
      <c r="AD504" s="22">
        <f t="shared" si="46"/>
        <v>4.0258235604094618E-2</v>
      </c>
      <c r="AE504" s="22">
        <f t="shared" si="47"/>
        <v>0.37330701488004858</v>
      </c>
      <c r="AF504" s="7" t="s">
        <v>1643</v>
      </c>
      <c r="AG504" s="7">
        <v>3</v>
      </c>
      <c r="AH504" s="7"/>
      <c r="AI504" s="7"/>
      <c r="AJ504" s="8" t="b">
        <v>1</v>
      </c>
      <c r="AK504" s="28" t="s">
        <v>1644</v>
      </c>
      <c r="AL504" s="28" t="s">
        <v>1645</v>
      </c>
      <c r="AM504" s="28"/>
      <c r="AN504" s="7"/>
      <c r="AO504" s="7">
        <v>0</v>
      </c>
      <c r="AP504" s="8" t="b">
        <v>0</v>
      </c>
      <c r="AQ504" s="28" t="s">
        <v>1646</v>
      </c>
    </row>
    <row r="505" spans="1:43" ht="30">
      <c r="A505" s="7">
        <v>492</v>
      </c>
      <c r="B505" s="7" t="s">
        <v>1458</v>
      </c>
      <c r="C505" s="7" t="s">
        <v>56</v>
      </c>
      <c r="D505" s="7" t="s">
        <v>167</v>
      </c>
      <c r="E505" s="7" t="s">
        <v>1642</v>
      </c>
      <c r="F505" s="7" t="s">
        <v>56</v>
      </c>
      <c r="G505" s="14">
        <v>480</v>
      </c>
      <c r="H505" s="15">
        <v>3.68</v>
      </c>
      <c r="I505" s="15">
        <v>0.77</v>
      </c>
      <c r="J505" s="15">
        <v>0.69</v>
      </c>
      <c r="K505" s="15">
        <v>0.144375</v>
      </c>
      <c r="L505" s="15">
        <v>46</v>
      </c>
      <c r="M505" s="15">
        <v>1.2105263157894737</v>
      </c>
      <c r="N505" s="16">
        <v>0.56999999999999995</v>
      </c>
      <c r="O505" s="16">
        <v>0.11926630434782609</v>
      </c>
      <c r="P505" s="17">
        <f>IFERROR(G505/(G505+Priors!$H$3),0)</f>
        <v>0.32432432432432434</v>
      </c>
      <c r="Q505" s="18">
        <f>IF(E505="Premier League",Priors!$H$4,IF(E505="Championship",Priors!$H$5,Priors!$H$8))</f>
        <v>1</v>
      </c>
      <c r="R505" s="19" t="b">
        <v>0</v>
      </c>
      <c r="S505" s="18">
        <f>IF(R505=TRUE,Priors!$H$6,1)</f>
        <v>1</v>
      </c>
      <c r="T505" s="19" t="b">
        <v>1</v>
      </c>
      <c r="U505" s="18">
        <f>IF(T505=TRUE,Priors!$H$7,1)</f>
        <v>0.9</v>
      </c>
      <c r="V505" s="18">
        <f t="shared" si="42"/>
        <v>0.29189189189189191</v>
      </c>
      <c r="W505" s="20">
        <f>VLOOKUP(D505,Priors!$A$3:$C$6,2,FALSE)</f>
        <v>0.30461525508032317</v>
      </c>
      <c r="X505" s="20">
        <f>VLOOKUP(D505,Priors!$A$3:$C$6,3,FALSE)</f>
        <v>3.9258061548584466E-2</v>
      </c>
      <c r="Y505" s="20">
        <f t="shared" si="43"/>
        <v>0.38207891035417474</v>
      </c>
      <c r="Z505" s="20">
        <f t="shared" si="44"/>
        <v>6.2611818906200933E-2</v>
      </c>
      <c r="AA505" s="21">
        <v>1</v>
      </c>
      <c r="AB505" s="21">
        <v>1</v>
      </c>
      <c r="AC505" s="22">
        <f t="shared" si="45"/>
        <v>0.38207891035417474</v>
      </c>
      <c r="AD505" s="22">
        <f t="shared" si="46"/>
        <v>6.2611818906200933E-2</v>
      </c>
      <c r="AE505" s="22">
        <f t="shared" si="47"/>
        <v>0.70810810810810809</v>
      </c>
      <c r="AF505" s="7" t="s">
        <v>1643</v>
      </c>
      <c r="AG505" s="7"/>
      <c r="AH505" s="7"/>
      <c r="AI505" s="7"/>
      <c r="AJ505" s="8" t="b">
        <v>1</v>
      </c>
      <c r="AK505" s="28" t="s">
        <v>1644</v>
      </c>
      <c r="AL505" s="28" t="s">
        <v>1645</v>
      </c>
      <c r="AM505" s="28"/>
      <c r="AN505" s="7"/>
      <c r="AO505" s="7">
        <v>0</v>
      </c>
      <c r="AP505" s="8" t="b">
        <v>0</v>
      </c>
      <c r="AQ505" s="28" t="s">
        <v>1646</v>
      </c>
    </row>
    <row r="506" spans="1:43" ht="30">
      <c r="A506" s="7">
        <v>493</v>
      </c>
      <c r="B506" s="7" t="s">
        <v>1461</v>
      </c>
      <c r="C506" s="7" t="s">
        <v>56</v>
      </c>
      <c r="D506" s="7" t="s">
        <v>167</v>
      </c>
      <c r="E506" s="7" t="s">
        <v>1642</v>
      </c>
      <c r="F506" s="7" t="s">
        <v>56</v>
      </c>
      <c r="G506" s="14">
        <v>89</v>
      </c>
      <c r="H506" s="15">
        <v>0.44</v>
      </c>
      <c r="I506" s="15">
        <v>0.02</v>
      </c>
      <c r="J506" s="15">
        <v>0.44494382022471912</v>
      </c>
      <c r="K506" s="15">
        <v>2.0224719101123598E-2</v>
      </c>
      <c r="L506" s="15">
        <v>46</v>
      </c>
      <c r="M506" s="15">
        <v>1.2105263157894737</v>
      </c>
      <c r="N506" s="16">
        <v>0.36756228627259407</v>
      </c>
      <c r="O506" s="16">
        <v>1.6707376648754275E-2</v>
      </c>
      <c r="P506" s="17">
        <f>IFERROR(G506/(G506+Priors!$H$3),0)</f>
        <v>8.1726354453627179E-2</v>
      </c>
      <c r="Q506" s="18">
        <f>IF(E506="Premier League",Priors!$H$4,IF(E506="Championship",Priors!$H$5,Priors!$H$8))</f>
        <v>1</v>
      </c>
      <c r="R506" s="19" t="b">
        <v>0</v>
      </c>
      <c r="S506" s="18">
        <f>IF(R506=TRUE,Priors!$H$6,1)</f>
        <v>1</v>
      </c>
      <c r="T506" s="19" t="b">
        <v>1</v>
      </c>
      <c r="U506" s="18">
        <f>IF(T506=TRUE,Priors!$H$7,1)</f>
        <v>0.9</v>
      </c>
      <c r="V506" s="18">
        <f t="shared" si="42"/>
        <v>7.3553719008264462E-2</v>
      </c>
      <c r="W506" s="20">
        <f>VLOOKUP(D506,Priors!$A$3:$C$6,2,FALSE)</f>
        <v>0.30461525508032317</v>
      </c>
      <c r="X506" s="20">
        <f>VLOOKUP(D506,Priors!$A$3:$C$6,3,FALSE)</f>
        <v>3.9258061548584466E-2</v>
      </c>
      <c r="Y506" s="20">
        <f t="shared" si="43"/>
        <v>0.30924524332504388</v>
      </c>
      <c r="Z506" s="20">
        <f t="shared" si="44"/>
        <v>3.7599374808018449E-2</v>
      </c>
      <c r="AA506" s="21">
        <v>1</v>
      </c>
      <c r="AB506" s="21">
        <v>1</v>
      </c>
      <c r="AC506" s="22">
        <f t="shared" si="45"/>
        <v>0.30924524332504388</v>
      </c>
      <c r="AD506" s="22">
        <f t="shared" si="46"/>
        <v>3.7599374808018449E-2</v>
      </c>
      <c r="AE506" s="22">
        <f t="shared" si="47"/>
        <v>0.92644628099173554</v>
      </c>
      <c r="AF506" s="7" t="s">
        <v>1643</v>
      </c>
      <c r="AG506" s="7"/>
      <c r="AH506" s="7"/>
      <c r="AI506" s="7"/>
      <c r="AJ506" s="8" t="b">
        <v>1</v>
      </c>
      <c r="AK506" s="28" t="s">
        <v>1644</v>
      </c>
      <c r="AL506" s="28" t="s">
        <v>1645</v>
      </c>
      <c r="AM506" s="28"/>
      <c r="AN506" s="7"/>
      <c r="AO506" s="7">
        <v>0</v>
      </c>
      <c r="AP506" s="8" t="b">
        <v>0</v>
      </c>
      <c r="AQ506" s="28" t="s">
        <v>1646</v>
      </c>
    </row>
    <row r="507" spans="1:43" ht="15">
      <c r="A507" s="7">
        <v>558</v>
      </c>
      <c r="B507" s="7" t="s">
        <v>1463</v>
      </c>
      <c r="C507" s="7" t="s">
        <v>56</v>
      </c>
      <c r="D507" s="7" t="s">
        <v>112</v>
      </c>
      <c r="E507" s="7" t="s">
        <v>1647</v>
      </c>
      <c r="F507" s="7"/>
      <c r="G507" s="14"/>
      <c r="H507" s="15"/>
      <c r="I507" s="15"/>
      <c r="J507" s="15"/>
      <c r="K507" s="15"/>
      <c r="L507" s="15"/>
      <c r="M507" s="15"/>
      <c r="N507" s="16"/>
      <c r="O507" s="16"/>
      <c r="P507" s="17">
        <f>IFERROR(G507/(G507+Priors!$H$3),0)</f>
        <v>0</v>
      </c>
      <c r="Q507" s="18">
        <f>IF(E507="Premier League",Priors!$H$4,IF(E507="Championship",Priors!$H$5,Priors!$H$8))</f>
        <v>0</v>
      </c>
      <c r="R507" s="19" t="b">
        <v>0</v>
      </c>
      <c r="S507" s="18">
        <f>IF(R507=TRUE,Priors!$H$6,1)</f>
        <v>1</v>
      </c>
      <c r="T507" s="19" t="b">
        <v>1</v>
      </c>
      <c r="U507" s="18">
        <f>IF(T507=TRUE,Priors!$H$7,1)</f>
        <v>0.9</v>
      </c>
      <c r="V507" s="18">
        <f t="shared" si="42"/>
        <v>0</v>
      </c>
      <c r="W507" s="20">
        <f>VLOOKUP(D507,Priors!$A$3:$C$6,2,FALSE)</f>
        <v>0.10751786102217777</v>
      </c>
      <c r="X507" s="20">
        <f>VLOOKUP(D507,Priors!$A$3:$C$6,3,FALSE)</f>
        <v>9.0240671969462088E-2</v>
      </c>
      <c r="Y507" s="20">
        <f t="shared" si="43"/>
        <v>0.10751786102217777</v>
      </c>
      <c r="Z507" s="20">
        <f t="shared" si="44"/>
        <v>9.0240671969462088E-2</v>
      </c>
      <c r="AA507" s="21">
        <v>1</v>
      </c>
      <c r="AB507" s="21">
        <v>1</v>
      </c>
      <c r="AC507" s="22">
        <f t="shared" si="45"/>
        <v>0.10751786102217777</v>
      </c>
      <c r="AD507" s="22">
        <f t="shared" si="46"/>
        <v>9.0240671969462088E-2</v>
      </c>
      <c r="AE507" s="22">
        <f t="shared" si="47"/>
        <v>1</v>
      </c>
      <c r="AF507" s="7" t="s">
        <v>1647</v>
      </c>
      <c r="AG507" s="7"/>
      <c r="AH507" s="7"/>
      <c r="AI507" s="7"/>
      <c r="AJ507" s="8" t="b">
        <v>1</v>
      </c>
      <c r="AK507" s="28" t="s">
        <v>1648</v>
      </c>
      <c r="AL507" s="28"/>
      <c r="AM507" s="28"/>
      <c r="AN507" s="7"/>
      <c r="AO507" s="7">
        <v>0</v>
      </c>
      <c r="AP507" s="8" t="b">
        <v>0</v>
      </c>
      <c r="AQ507" s="28" t="s">
        <v>1646</v>
      </c>
    </row>
    <row r="508" spans="1:43" ht="30">
      <c r="A508" s="7">
        <v>112</v>
      </c>
      <c r="B508" s="7" t="s">
        <v>1465</v>
      </c>
      <c r="C508" s="7" t="s">
        <v>57</v>
      </c>
      <c r="D508" s="7" t="s">
        <v>99</v>
      </c>
      <c r="E508" s="7" t="s">
        <v>1642</v>
      </c>
      <c r="F508" s="7" t="s">
        <v>43</v>
      </c>
      <c r="G508" s="14">
        <v>3210</v>
      </c>
      <c r="H508" s="15">
        <v>3.31</v>
      </c>
      <c r="I508" s="15">
        <v>1.57</v>
      </c>
      <c r="J508" s="15">
        <v>9.2803738317756998E-2</v>
      </c>
      <c r="K508" s="15">
        <v>4.4018691588785047E-2</v>
      </c>
      <c r="L508" s="15">
        <v>57.9</v>
      </c>
      <c r="M508" s="15">
        <v>1.5236842105263158</v>
      </c>
      <c r="N508" s="16">
        <v>6.0907462108372473E-2</v>
      </c>
      <c r="O508" s="16">
        <v>2.8889642148079996E-2</v>
      </c>
      <c r="P508" s="17">
        <f>IFERROR(G508/(G508+Priors!$H$3),0)</f>
        <v>0.76247030878859856</v>
      </c>
      <c r="Q508" s="18">
        <f>IF(E508="Premier League",Priors!$H$4,IF(E508="Championship",Priors!$H$5,Priors!$H$8))</f>
        <v>1</v>
      </c>
      <c r="R508" s="19" t="b">
        <v>1</v>
      </c>
      <c r="S508" s="18">
        <f>IF(R508=TRUE,Priors!$H$6,1)</f>
        <v>0.85</v>
      </c>
      <c r="T508" s="19" t="b">
        <v>0</v>
      </c>
      <c r="U508" s="18">
        <f>IF(T508=TRUE,Priors!$H$7,1)</f>
        <v>1</v>
      </c>
      <c r="V508" s="18">
        <f t="shared" si="42"/>
        <v>0.64809976247030876</v>
      </c>
      <c r="W508" s="20">
        <f>VLOOKUP(D508,Priors!$A$3:$C$6,2,FALSE)</f>
        <v>4.1142361271531161E-2</v>
      </c>
      <c r="X508" s="20">
        <f>VLOOKUP(D508,Priors!$A$3:$C$6,3,FALSE)</f>
        <v>4.0513079897554365E-2</v>
      </c>
      <c r="Y508" s="20">
        <f t="shared" si="43"/>
        <v>5.3952118429089715E-2</v>
      </c>
      <c r="Z508" s="20">
        <f t="shared" si="44"/>
        <v>3.2979932653031604E-2</v>
      </c>
      <c r="AA508" s="21">
        <v>1</v>
      </c>
      <c r="AB508" s="21">
        <v>1</v>
      </c>
      <c r="AC508" s="22">
        <f t="shared" si="45"/>
        <v>5.3952118429089715E-2</v>
      </c>
      <c r="AD508" s="22">
        <f t="shared" si="46"/>
        <v>3.2979932653031604E-2</v>
      </c>
      <c r="AE508" s="22">
        <f t="shared" si="47"/>
        <v>0.35190023752969124</v>
      </c>
      <c r="AF508" s="7" t="s">
        <v>1643</v>
      </c>
      <c r="AG508" s="7"/>
      <c r="AH508" s="7"/>
      <c r="AI508" s="7"/>
      <c r="AJ508" s="8" t="b">
        <v>1</v>
      </c>
      <c r="AK508" s="28" t="s">
        <v>1644</v>
      </c>
      <c r="AL508" s="28" t="s">
        <v>1645</v>
      </c>
      <c r="AM508" s="28"/>
      <c r="AN508" s="7"/>
      <c r="AO508" s="7">
        <v>0</v>
      </c>
      <c r="AP508" s="8" t="b">
        <v>0</v>
      </c>
      <c r="AQ508" s="28" t="s">
        <v>1646</v>
      </c>
    </row>
    <row r="509" spans="1:43" ht="30">
      <c r="A509" s="7">
        <v>455</v>
      </c>
      <c r="B509" s="7" t="s">
        <v>1469</v>
      </c>
      <c r="C509" s="7" t="s">
        <v>57</v>
      </c>
      <c r="D509" s="7" t="s">
        <v>112</v>
      </c>
      <c r="E509" s="7" t="s">
        <v>1642</v>
      </c>
      <c r="F509" s="7" t="s">
        <v>55</v>
      </c>
      <c r="G509" s="14">
        <v>2534</v>
      </c>
      <c r="H509" s="15">
        <v>1.75</v>
      </c>
      <c r="I509" s="15">
        <v>2.87</v>
      </c>
      <c r="J509" s="15">
        <v>6.2154696132596686E-2</v>
      </c>
      <c r="K509" s="15">
        <v>0.10193370165745856</v>
      </c>
      <c r="L509" s="15">
        <v>57.1</v>
      </c>
      <c r="M509" s="15">
        <v>1.5026315789473685</v>
      </c>
      <c r="N509" s="16">
        <v>4.1363895850064343E-2</v>
      </c>
      <c r="O509" s="16">
        <v>6.7836789194105518E-2</v>
      </c>
      <c r="P509" s="17">
        <f>IFERROR(G509/(G509+Priors!$H$3),0)</f>
        <v>0.71703452178834182</v>
      </c>
      <c r="Q509" s="18">
        <f>IF(E509="Premier League",Priors!$H$4,IF(E509="Championship",Priors!$H$5,Priors!$H$8))</f>
        <v>1</v>
      </c>
      <c r="R509" s="19" t="b">
        <v>1</v>
      </c>
      <c r="S509" s="18">
        <f>IF(R509=TRUE,Priors!$H$6,1)</f>
        <v>0.85</v>
      </c>
      <c r="T509" s="19" t="b">
        <v>0</v>
      </c>
      <c r="U509" s="18">
        <f>IF(T509=TRUE,Priors!$H$7,1)</f>
        <v>1</v>
      </c>
      <c r="V509" s="18">
        <f t="shared" si="42"/>
        <v>0.60947934352009048</v>
      </c>
      <c r="W509" s="20">
        <f>VLOOKUP(D509,Priors!$A$3:$C$6,2,FALSE)</f>
        <v>0.10751786102217777</v>
      </c>
      <c r="X509" s="20">
        <f>VLOOKUP(D509,Priors!$A$3:$C$6,3,FALSE)</f>
        <v>9.0240671969462088E-2</v>
      </c>
      <c r="Y509" s="20">
        <f t="shared" si="43"/>
        <v>6.7198385757827148E-2</v>
      </c>
      <c r="Z509" s="20">
        <f t="shared" si="44"/>
        <v>7.658596820323671E-2</v>
      </c>
      <c r="AA509" s="21">
        <v>1</v>
      </c>
      <c r="AB509" s="21">
        <v>1</v>
      </c>
      <c r="AC509" s="22">
        <f t="shared" si="45"/>
        <v>6.7198385757827148E-2</v>
      </c>
      <c r="AD509" s="22">
        <f t="shared" si="46"/>
        <v>7.658596820323671E-2</v>
      </c>
      <c r="AE509" s="22">
        <f t="shared" si="47"/>
        <v>0.39052065647990952</v>
      </c>
      <c r="AF509" s="7" t="s">
        <v>1643</v>
      </c>
      <c r="AG509" s="7"/>
      <c r="AH509" s="7">
        <v>4</v>
      </c>
      <c r="AI509" s="7">
        <v>10</v>
      </c>
      <c r="AJ509" s="8" t="b">
        <v>1</v>
      </c>
      <c r="AK509" s="28" t="s">
        <v>1644</v>
      </c>
      <c r="AL509" s="28" t="s">
        <v>1645</v>
      </c>
      <c r="AM509" s="28"/>
      <c r="AN509" s="7"/>
      <c r="AO509" s="7">
        <v>0</v>
      </c>
      <c r="AP509" s="8" t="b">
        <v>0</v>
      </c>
      <c r="AQ509" s="28" t="s">
        <v>1646</v>
      </c>
    </row>
    <row r="510" spans="1:43" ht="30">
      <c r="A510" s="7">
        <v>494</v>
      </c>
      <c r="B510" s="7" t="s">
        <v>1471</v>
      </c>
      <c r="C510" s="7" t="s">
        <v>57</v>
      </c>
      <c r="D510" s="7" t="s">
        <v>85</v>
      </c>
      <c r="E510" s="7" t="s">
        <v>1642</v>
      </c>
      <c r="F510" s="7" t="s">
        <v>57</v>
      </c>
      <c r="G510" s="14">
        <v>2790</v>
      </c>
      <c r="H510" s="15">
        <v>0</v>
      </c>
      <c r="I510" s="15">
        <v>0.04</v>
      </c>
      <c r="J510" s="15">
        <v>0</v>
      </c>
      <c r="K510" s="15">
        <v>1.2903225806451613E-3</v>
      </c>
      <c r="L510" s="15">
        <v>40</v>
      </c>
      <c r="M510" s="15">
        <v>1.0526315789473684</v>
      </c>
      <c r="N510" s="16">
        <v>0</v>
      </c>
      <c r="O510" s="16">
        <v>1.2258064516129034E-3</v>
      </c>
      <c r="P510" s="17">
        <f>IFERROR(G510/(G510+Priors!$H$3),0)</f>
        <v>0.73614775725593673</v>
      </c>
      <c r="Q510" s="18">
        <f>IF(E510="Premier League",Priors!$H$4,IF(E510="Championship",Priors!$H$5,Priors!$H$8))</f>
        <v>1</v>
      </c>
      <c r="R510" s="19" t="b">
        <v>0</v>
      </c>
      <c r="S510" s="18">
        <f>IF(R510=TRUE,Priors!$H$6,1)</f>
        <v>1</v>
      </c>
      <c r="T510" s="19" t="b">
        <v>0</v>
      </c>
      <c r="U510" s="18">
        <f>IF(T510=TRUE,Priors!$H$7,1)</f>
        <v>1</v>
      </c>
      <c r="V510" s="18">
        <f t="shared" si="42"/>
        <v>0.73614775725593673</v>
      </c>
      <c r="W510" s="20">
        <f>VLOOKUP(D510,Priors!$A$3:$C$6,2,FALSE)</f>
        <v>1.6719534964712218E-4</v>
      </c>
      <c r="X510" s="20">
        <f>VLOOKUP(D510,Priors!$A$3:$C$6,3,FALSE)</f>
        <v>1.379361634588758E-3</v>
      </c>
      <c r="Y510" s="20">
        <f t="shared" si="43"/>
        <v>4.4114867980771016E-5</v>
      </c>
      <c r="Z510" s="20">
        <f t="shared" si="44"/>
        <v>1.2663223310260575E-3</v>
      </c>
      <c r="AA510" s="21">
        <v>1</v>
      </c>
      <c r="AB510" s="21">
        <v>1</v>
      </c>
      <c r="AC510" s="22">
        <f t="shared" si="45"/>
        <v>4.4114867980771016E-5</v>
      </c>
      <c r="AD510" s="22">
        <f t="shared" si="46"/>
        <v>1.2663223310260575E-3</v>
      </c>
      <c r="AE510" s="22">
        <f t="shared" si="47"/>
        <v>0.26385224274406327</v>
      </c>
      <c r="AF510" s="7" t="s">
        <v>1643</v>
      </c>
      <c r="AG510" s="7"/>
      <c r="AH510" s="7"/>
      <c r="AI510" s="7"/>
      <c r="AJ510" s="8" t="b">
        <v>0</v>
      </c>
      <c r="AK510" s="28" t="s">
        <v>1644</v>
      </c>
      <c r="AL510" s="28" t="s">
        <v>1645</v>
      </c>
      <c r="AM510" s="28"/>
      <c r="AN510" s="7"/>
      <c r="AO510" s="7">
        <v>0</v>
      </c>
      <c r="AP510" s="8" t="b">
        <v>0</v>
      </c>
      <c r="AQ510" s="28" t="s">
        <v>1646</v>
      </c>
    </row>
    <row r="511" spans="1:43" ht="15">
      <c r="A511" s="7">
        <v>495</v>
      </c>
      <c r="B511" s="7" t="s">
        <v>1473</v>
      </c>
      <c r="C511" s="7" t="s">
        <v>57</v>
      </c>
      <c r="D511" s="7" t="s">
        <v>85</v>
      </c>
      <c r="E511" s="7" t="s">
        <v>1647</v>
      </c>
      <c r="F511" s="7"/>
      <c r="G511" s="14"/>
      <c r="H511" s="15"/>
      <c r="I511" s="15"/>
      <c r="J511" s="15"/>
      <c r="K511" s="15"/>
      <c r="L511" s="15"/>
      <c r="M511" s="15"/>
      <c r="N511" s="16"/>
      <c r="O511" s="16"/>
      <c r="P511" s="17">
        <f>IFERROR(G511/(G511+Priors!$H$3),0)</f>
        <v>0</v>
      </c>
      <c r="Q511" s="18">
        <f>IF(E511="Premier League",Priors!$H$4,IF(E511="Championship",Priors!$H$5,Priors!$H$8))</f>
        <v>0</v>
      </c>
      <c r="R511" s="19" t="b">
        <v>0</v>
      </c>
      <c r="S511" s="18">
        <f>IF(R511=TRUE,Priors!$H$6,1)</f>
        <v>1</v>
      </c>
      <c r="T511" s="19" t="b">
        <v>0</v>
      </c>
      <c r="U511" s="18">
        <f>IF(T511=TRUE,Priors!$H$7,1)</f>
        <v>1</v>
      </c>
      <c r="V511" s="18">
        <f t="shared" si="42"/>
        <v>0</v>
      </c>
      <c r="W511" s="20">
        <f>VLOOKUP(D511,Priors!$A$3:$C$6,2,FALSE)</f>
        <v>1.6719534964712218E-4</v>
      </c>
      <c r="X511" s="20">
        <f>VLOOKUP(D511,Priors!$A$3:$C$6,3,FALSE)</f>
        <v>1.379361634588758E-3</v>
      </c>
      <c r="Y511" s="20">
        <f t="shared" si="43"/>
        <v>1.6719534964712218E-4</v>
      </c>
      <c r="Z511" s="20">
        <f t="shared" si="44"/>
        <v>1.379361634588758E-3</v>
      </c>
      <c r="AA511" s="21">
        <v>1</v>
      </c>
      <c r="AB511" s="21">
        <v>1</v>
      </c>
      <c r="AC511" s="22">
        <f t="shared" si="45"/>
        <v>1.6719534964712218E-4</v>
      </c>
      <c r="AD511" s="22">
        <f t="shared" si="46"/>
        <v>1.379361634588758E-3</v>
      </c>
      <c r="AE511" s="22">
        <f t="shared" si="47"/>
        <v>1</v>
      </c>
      <c r="AF511" s="7" t="s">
        <v>1647</v>
      </c>
      <c r="AG511" s="7"/>
      <c r="AH511" s="7"/>
      <c r="AI511" s="7"/>
      <c r="AJ511" s="8" t="b">
        <v>1</v>
      </c>
      <c r="AK511" s="28" t="s">
        <v>1648</v>
      </c>
      <c r="AL511" s="28"/>
      <c r="AM511" s="28"/>
      <c r="AN511" s="7"/>
      <c r="AO511" s="7">
        <v>0</v>
      </c>
      <c r="AP511" s="8" t="b">
        <v>0</v>
      </c>
      <c r="AQ511" s="28" t="s">
        <v>1646</v>
      </c>
    </row>
    <row r="512" spans="1:43" ht="30">
      <c r="A512" s="7">
        <v>496</v>
      </c>
      <c r="B512" s="7" t="s">
        <v>1476</v>
      </c>
      <c r="C512" s="7" t="s">
        <v>57</v>
      </c>
      <c r="D512" s="7" t="s">
        <v>85</v>
      </c>
      <c r="E512" s="7" t="s">
        <v>1642</v>
      </c>
      <c r="F512" s="7" t="s">
        <v>57</v>
      </c>
      <c r="G512" s="14">
        <v>630</v>
      </c>
      <c r="H512" s="15">
        <v>0</v>
      </c>
      <c r="I512" s="15">
        <v>0</v>
      </c>
      <c r="J512" s="15">
        <v>0</v>
      </c>
      <c r="K512" s="15">
        <v>0</v>
      </c>
      <c r="L512" s="15">
        <v>40</v>
      </c>
      <c r="M512" s="15">
        <v>1.0526315789473684</v>
      </c>
      <c r="N512" s="16">
        <v>0</v>
      </c>
      <c r="O512" s="16">
        <v>0</v>
      </c>
      <c r="P512" s="17">
        <f>IFERROR(G512/(G512+Priors!$H$3),0)</f>
        <v>0.38650306748466257</v>
      </c>
      <c r="Q512" s="18">
        <f>IF(E512="Premier League",Priors!$H$4,IF(E512="Championship",Priors!$H$5,Priors!$H$8))</f>
        <v>1</v>
      </c>
      <c r="R512" s="19" t="b">
        <v>0</v>
      </c>
      <c r="S512" s="18">
        <f>IF(R512=TRUE,Priors!$H$6,1)</f>
        <v>1</v>
      </c>
      <c r="T512" s="19" t="b">
        <v>0</v>
      </c>
      <c r="U512" s="18">
        <f>IF(T512=TRUE,Priors!$H$7,1)</f>
        <v>1</v>
      </c>
      <c r="V512" s="18">
        <f t="shared" si="42"/>
        <v>0.38650306748466257</v>
      </c>
      <c r="W512" s="20">
        <f>VLOOKUP(D512,Priors!$A$3:$C$6,2,FALSE)</f>
        <v>1.6719534964712218E-4</v>
      </c>
      <c r="X512" s="20">
        <f>VLOOKUP(D512,Priors!$A$3:$C$6,3,FALSE)</f>
        <v>1.379361634588758E-3</v>
      </c>
      <c r="Y512" s="20">
        <f t="shared" si="43"/>
        <v>1.0257383413933876E-4</v>
      </c>
      <c r="Z512" s="20">
        <f t="shared" si="44"/>
        <v>8.4623413164954485E-4</v>
      </c>
      <c r="AA512" s="21">
        <v>1</v>
      </c>
      <c r="AB512" s="21">
        <v>1</v>
      </c>
      <c r="AC512" s="22">
        <f t="shared" si="45"/>
        <v>1.0257383413933876E-4</v>
      </c>
      <c r="AD512" s="22">
        <f t="shared" si="46"/>
        <v>8.4623413164954485E-4</v>
      </c>
      <c r="AE512" s="22">
        <f t="shared" si="47"/>
        <v>0.61349693251533743</v>
      </c>
      <c r="AF512" s="7" t="s">
        <v>1643</v>
      </c>
      <c r="AG512" s="7"/>
      <c r="AH512" s="7"/>
      <c r="AI512" s="7"/>
      <c r="AJ512" s="8" t="b">
        <v>1</v>
      </c>
      <c r="AK512" s="28" t="s">
        <v>1644</v>
      </c>
      <c r="AL512" s="28" t="s">
        <v>1645</v>
      </c>
      <c r="AM512" s="28"/>
      <c r="AN512" s="7"/>
      <c r="AO512" s="7">
        <v>0</v>
      </c>
      <c r="AP512" s="8" t="b">
        <v>0</v>
      </c>
      <c r="AQ512" s="28" t="s">
        <v>1646</v>
      </c>
    </row>
    <row r="513" spans="1:43" ht="30">
      <c r="A513" s="7">
        <v>497</v>
      </c>
      <c r="B513" s="7" t="s">
        <v>1479</v>
      </c>
      <c r="C513" s="7" t="s">
        <v>57</v>
      </c>
      <c r="D513" s="7" t="s">
        <v>85</v>
      </c>
      <c r="E513" s="7" t="s">
        <v>1642</v>
      </c>
      <c r="F513" s="7" t="s">
        <v>1652</v>
      </c>
      <c r="G513" s="14">
        <v>3150</v>
      </c>
      <c r="H513" s="15">
        <v>0</v>
      </c>
      <c r="I513" s="15">
        <v>0.04</v>
      </c>
      <c r="J513" s="15">
        <v>0</v>
      </c>
      <c r="K513" s="15">
        <v>1.1428571428571429E-3</v>
      </c>
      <c r="L513" s="15">
        <v>32.5</v>
      </c>
      <c r="M513" s="15">
        <v>0.85526315789473684</v>
      </c>
      <c r="N513" s="16">
        <v>0</v>
      </c>
      <c r="O513" s="16">
        <v>1.3362637362637365E-3</v>
      </c>
      <c r="P513" s="17">
        <f>IFERROR(G513/(G513+Priors!$H$3),0)</f>
        <v>0.75903614457831325</v>
      </c>
      <c r="Q513" s="18">
        <f>IF(E513="Premier League",Priors!$H$4,IF(E513="Championship",Priors!$H$5,Priors!$H$8))</f>
        <v>1</v>
      </c>
      <c r="R513" s="19" t="b">
        <v>1</v>
      </c>
      <c r="S513" s="18">
        <f>IF(R513=TRUE,Priors!$H$6,1)</f>
        <v>0.85</v>
      </c>
      <c r="T513" s="19" t="b">
        <v>0</v>
      </c>
      <c r="U513" s="18">
        <f>IF(T513=TRUE,Priors!$H$7,1)</f>
        <v>1</v>
      </c>
      <c r="V513" s="18">
        <f t="shared" si="42"/>
        <v>0.64518072289156625</v>
      </c>
      <c r="W513" s="20">
        <f>VLOOKUP(D513,Priors!$A$3:$C$6,2,FALSE)</f>
        <v>1.6719534964712218E-4</v>
      </c>
      <c r="X513" s="20">
        <f>VLOOKUP(D513,Priors!$A$3:$C$6,3,FALSE)</f>
        <v>1.379361634588758E-3</v>
      </c>
      <c r="Y513" s="20">
        <f t="shared" si="43"/>
        <v>5.9324133097683716E-5</v>
      </c>
      <c r="Z513" s="20">
        <f t="shared" si="44"/>
        <v>1.3515557013923135E-3</v>
      </c>
      <c r="AA513" s="21">
        <v>1</v>
      </c>
      <c r="AB513" s="21">
        <v>1</v>
      </c>
      <c r="AC513" s="22">
        <f t="shared" si="45"/>
        <v>5.9324133097683716E-5</v>
      </c>
      <c r="AD513" s="22">
        <f t="shared" si="46"/>
        <v>1.3515557013923135E-3</v>
      </c>
      <c r="AE513" s="22">
        <f t="shared" si="47"/>
        <v>0.35481927710843375</v>
      </c>
      <c r="AF513" s="7" t="s">
        <v>1643</v>
      </c>
      <c r="AG513" s="7"/>
      <c r="AH513" s="7"/>
      <c r="AI513" s="7"/>
      <c r="AJ513" s="8" t="b">
        <v>1</v>
      </c>
      <c r="AK513" s="28" t="s">
        <v>1644</v>
      </c>
      <c r="AL513" s="28" t="s">
        <v>1645</v>
      </c>
      <c r="AM513" s="28"/>
      <c r="AN513" s="7">
        <v>3</v>
      </c>
      <c r="AO513" s="7">
        <v>0</v>
      </c>
      <c r="AP513" s="8" t="b">
        <v>0</v>
      </c>
      <c r="AQ513" s="28" t="s">
        <v>1646</v>
      </c>
    </row>
    <row r="514" spans="1:43" ht="30">
      <c r="A514" s="7">
        <v>498</v>
      </c>
      <c r="B514" s="7" t="s">
        <v>1481</v>
      </c>
      <c r="C514" s="7" t="s">
        <v>57</v>
      </c>
      <c r="D514" s="7" t="s">
        <v>99</v>
      </c>
      <c r="E514" s="7" t="s">
        <v>1642</v>
      </c>
      <c r="F514" s="7" t="s">
        <v>41</v>
      </c>
      <c r="G514" s="14">
        <v>3288</v>
      </c>
      <c r="H514" s="15">
        <v>1.53</v>
      </c>
      <c r="I514" s="15">
        <v>4.72</v>
      </c>
      <c r="J514" s="15">
        <v>4.1879562043795615E-2</v>
      </c>
      <c r="K514" s="15">
        <v>0.1291970802919708</v>
      </c>
      <c r="L514" s="15">
        <v>61.9</v>
      </c>
      <c r="M514" s="15">
        <v>1.6289473684210527</v>
      </c>
      <c r="N514" s="16">
        <v>2.570958574578729E-2</v>
      </c>
      <c r="O514" s="16">
        <v>7.9313231843213094E-2</v>
      </c>
      <c r="P514" s="17">
        <f>IFERROR(G514/(G514+Priors!$H$3),0)</f>
        <v>0.76679104477611937</v>
      </c>
      <c r="Q514" s="18">
        <f>IF(E514="Premier League",Priors!$H$4,IF(E514="Championship",Priors!$H$5,Priors!$H$8))</f>
        <v>1</v>
      </c>
      <c r="R514" s="19" t="b">
        <v>1</v>
      </c>
      <c r="S514" s="18">
        <f>IF(R514=TRUE,Priors!$H$6,1)</f>
        <v>0.85</v>
      </c>
      <c r="T514" s="19" t="b">
        <v>0</v>
      </c>
      <c r="U514" s="18">
        <f>IF(T514=TRUE,Priors!$H$7,1)</f>
        <v>1</v>
      </c>
      <c r="V514" s="18">
        <f t="shared" ref="V514:V577" si="48">P514*Q514*S514*U514</f>
        <v>0.65177238805970139</v>
      </c>
      <c r="W514" s="20">
        <f>VLOOKUP(D514,Priors!$A$3:$C$6,2,FALSE)</f>
        <v>4.1142361271531161E-2</v>
      </c>
      <c r="X514" s="20">
        <f>VLOOKUP(D514,Priors!$A$3:$C$6,3,FALSE)</f>
        <v>4.0513079897554365E-2</v>
      </c>
      <c r="Y514" s="20">
        <f t="shared" ref="Y514:Y568" si="49">IF(N514="",W514,V514*N514+(1-V514)*W514)</f>
        <v>3.1083704312727764E-2</v>
      </c>
      <c r="Z514" s="20">
        <f t="shared" ref="Z514:Z568" si="50">IF(O514="",X514,V514*O514+(1-V514)*X514)</f>
        <v>6.5801947588255624E-2</v>
      </c>
      <c r="AA514" s="21">
        <v>1</v>
      </c>
      <c r="AB514" s="21">
        <v>1</v>
      </c>
      <c r="AC514" s="22">
        <f t="shared" ref="AC514:AC568" si="51">Y514*AA514</f>
        <v>3.1083704312727764E-2</v>
      </c>
      <c r="AD514" s="22">
        <f t="shared" ref="AD514:AD568" si="52">Z514*AB514</f>
        <v>6.5801947588255624E-2</v>
      </c>
      <c r="AE514" s="22">
        <f t="shared" ref="AE514:AE568" si="53">1-V514</f>
        <v>0.34822761194029861</v>
      </c>
      <c r="AF514" s="7" t="s">
        <v>1643</v>
      </c>
      <c r="AG514" s="7"/>
      <c r="AH514" s="7"/>
      <c r="AI514" s="7"/>
      <c r="AJ514" s="8" t="b">
        <v>1</v>
      </c>
      <c r="AK514" s="28" t="s">
        <v>1644</v>
      </c>
      <c r="AL514" s="28" t="s">
        <v>1645</v>
      </c>
      <c r="AM514" s="28"/>
      <c r="AN514" s="7">
        <v>4</v>
      </c>
      <c r="AO514" s="7">
        <v>0</v>
      </c>
      <c r="AP514" s="8" t="b">
        <v>0</v>
      </c>
      <c r="AQ514" s="28" t="s">
        <v>1646</v>
      </c>
    </row>
    <row r="515" spans="1:43" ht="30">
      <c r="A515" s="7">
        <v>499</v>
      </c>
      <c r="B515" s="7" t="s">
        <v>1483</v>
      </c>
      <c r="C515" s="7" t="s">
        <v>57</v>
      </c>
      <c r="D515" s="7" t="s">
        <v>99</v>
      </c>
      <c r="E515" s="7" t="s">
        <v>1642</v>
      </c>
      <c r="F515" s="7" t="s">
        <v>57</v>
      </c>
      <c r="G515" s="14">
        <v>2793</v>
      </c>
      <c r="H515" s="15">
        <v>1.05</v>
      </c>
      <c r="I515" s="15">
        <v>4.37</v>
      </c>
      <c r="J515" s="15">
        <v>3.3834586466165412E-2</v>
      </c>
      <c r="K515" s="15">
        <v>0.14081632653061224</v>
      </c>
      <c r="L515" s="15">
        <v>40</v>
      </c>
      <c r="M515" s="15">
        <v>1.0526315789473684</v>
      </c>
      <c r="N515" s="16">
        <v>3.214285714285714E-2</v>
      </c>
      <c r="O515" s="16">
        <v>0.13377551020408163</v>
      </c>
      <c r="P515" s="17">
        <f>IFERROR(G515/(G515+Priors!$H$3),0)</f>
        <v>0.73635644608489326</v>
      </c>
      <c r="Q515" s="18">
        <f>IF(E515="Premier League",Priors!$H$4,IF(E515="Championship",Priors!$H$5,Priors!$H$8))</f>
        <v>1</v>
      </c>
      <c r="R515" s="19" t="b">
        <v>0</v>
      </c>
      <c r="S515" s="18">
        <f>IF(R515=TRUE,Priors!$H$6,1)</f>
        <v>1</v>
      </c>
      <c r="T515" s="19" t="b">
        <v>0</v>
      </c>
      <c r="U515" s="18">
        <f>IF(T515=TRUE,Priors!$H$7,1)</f>
        <v>1</v>
      </c>
      <c r="V515" s="18">
        <f t="shared" si="48"/>
        <v>0.73635644608489326</v>
      </c>
      <c r="W515" s="20">
        <f>VLOOKUP(D515,Priors!$A$3:$C$6,2,FALSE)</f>
        <v>4.1142361271531161E-2</v>
      </c>
      <c r="X515" s="20">
        <f>VLOOKUP(D515,Priors!$A$3:$C$6,3,FALSE)</f>
        <v>4.0513079897554365E-2</v>
      </c>
      <c r="Y515" s="20">
        <f t="shared" si="49"/>
        <v>3.4515518394814433E-2</v>
      </c>
      <c r="Z515" s="20">
        <f t="shared" si="50"/>
        <v>0.10918747163130883</v>
      </c>
      <c r="AA515" s="21">
        <v>1</v>
      </c>
      <c r="AB515" s="21">
        <v>1</v>
      </c>
      <c r="AC515" s="22">
        <f t="shared" si="51"/>
        <v>3.4515518394814433E-2</v>
      </c>
      <c r="AD515" s="22">
        <f t="shared" si="52"/>
        <v>0.10918747163130883</v>
      </c>
      <c r="AE515" s="22">
        <f t="shared" si="53"/>
        <v>0.26364355391510674</v>
      </c>
      <c r="AF515" s="7" t="s">
        <v>1643</v>
      </c>
      <c r="AG515" s="7"/>
      <c r="AH515" s="7">
        <v>1</v>
      </c>
      <c r="AI515" s="7">
        <v>6</v>
      </c>
      <c r="AJ515" s="8" t="b">
        <v>0</v>
      </c>
      <c r="AK515" s="28" t="s">
        <v>1644</v>
      </c>
      <c r="AL515" s="28" t="s">
        <v>1645</v>
      </c>
      <c r="AM515" s="28"/>
      <c r="AN515" s="7"/>
      <c r="AO515" s="7">
        <v>0</v>
      </c>
      <c r="AP515" s="8" t="b">
        <v>0</v>
      </c>
      <c r="AQ515" s="28" t="s">
        <v>1646</v>
      </c>
    </row>
    <row r="516" spans="1:43" ht="30">
      <c r="A516" s="7">
        <v>500</v>
      </c>
      <c r="B516" s="7" t="s">
        <v>1485</v>
      </c>
      <c r="C516" s="7" t="s">
        <v>57</v>
      </c>
      <c r="D516" s="7" t="s">
        <v>99</v>
      </c>
      <c r="E516" s="7" t="s">
        <v>1642</v>
      </c>
      <c r="F516" s="7" t="s">
        <v>57</v>
      </c>
      <c r="G516" s="14">
        <v>1869</v>
      </c>
      <c r="H516" s="15">
        <v>1.39</v>
      </c>
      <c r="I516" s="15">
        <v>1.25</v>
      </c>
      <c r="J516" s="15">
        <v>6.693418940609952E-2</v>
      </c>
      <c r="K516" s="15">
        <v>6.0192616372391657E-2</v>
      </c>
      <c r="L516" s="15">
        <v>40</v>
      </c>
      <c r="M516" s="15">
        <v>1.0526315789473684</v>
      </c>
      <c r="N516" s="16">
        <v>6.3587479935794541E-2</v>
      </c>
      <c r="O516" s="16">
        <v>5.7182985553772075E-2</v>
      </c>
      <c r="P516" s="17">
        <f>IFERROR(G516/(G516+Priors!$H$3),0)</f>
        <v>0.65144649703729518</v>
      </c>
      <c r="Q516" s="18">
        <f>IF(E516="Premier League",Priors!$H$4,IF(E516="Championship",Priors!$H$5,Priors!$H$8))</f>
        <v>1</v>
      </c>
      <c r="R516" s="19" t="b">
        <v>0</v>
      </c>
      <c r="S516" s="18">
        <f>IF(R516=TRUE,Priors!$H$6,1)</f>
        <v>1</v>
      </c>
      <c r="T516" s="19" t="b">
        <v>0</v>
      </c>
      <c r="U516" s="18">
        <f>IF(T516=TRUE,Priors!$H$7,1)</f>
        <v>1</v>
      </c>
      <c r="V516" s="18">
        <f t="shared" si="48"/>
        <v>0.65144649703729518</v>
      </c>
      <c r="W516" s="20">
        <f>VLOOKUP(D516,Priors!$A$3:$C$6,2,FALSE)</f>
        <v>4.1142361271531161E-2</v>
      </c>
      <c r="X516" s="20">
        <f>VLOOKUP(D516,Priors!$A$3:$C$6,3,FALSE)</f>
        <v>4.0513079897554365E-2</v>
      </c>
      <c r="Y516" s="20">
        <f t="shared" si="49"/>
        <v>5.5764155200951952E-2</v>
      </c>
      <c r="Z516" s="20">
        <f t="shared" si="50"/>
        <v>5.1372631543239587E-2</v>
      </c>
      <c r="AA516" s="21">
        <v>1</v>
      </c>
      <c r="AB516" s="21">
        <v>1</v>
      </c>
      <c r="AC516" s="22">
        <f t="shared" si="51"/>
        <v>5.5764155200951952E-2</v>
      </c>
      <c r="AD516" s="22">
        <f t="shared" si="52"/>
        <v>5.1372631543239587E-2</v>
      </c>
      <c r="AE516" s="22">
        <f t="shared" si="53"/>
        <v>0.34855350296270482</v>
      </c>
      <c r="AF516" s="7" t="s">
        <v>1643</v>
      </c>
      <c r="AG516" s="7"/>
      <c r="AH516" s="7"/>
      <c r="AI516" s="7"/>
      <c r="AJ516" s="8" t="b">
        <v>0</v>
      </c>
      <c r="AK516" s="28" t="s">
        <v>1644</v>
      </c>
      <c r="AL516" s="28" t="s">
        <v>1645</v>
      </c>
      <c r="AM516" s="28"/>
      <c r="AN516" s="7"/>
      <c r="AO516" s="7">
        <v>0</v>
      </c>
      <c r="AP516" s="8" t="b">
        <v>0</v>
      </c>
      <c r="AQ516" s="28" t="s">
        <v>1646</v>
      </c>
    </row>
    <row r="517" spans="1:43" ht="30">
      <c r="A517" s="7">
        <v>501</v>
      </c>
      <c r="B517" s="7" t="s">
        <v>1488</v>
      </c>
      <c r="C517" s="7" t="s">
        <v>57</v>
      </c>
      <c r="D517" s="7" t="s">
        <v>99</v>
      </c>
      <c r="E517" s="7" t="s">
        <v>1642</v>
      </c>
      <c r="F517" s="7" t="s">
        <v>57</v>
      </c>
      <c r="G517" s="14">
        <v>1489</v>
      </c>
      <c r="H517" s="15">
        <v>0.62</v>
      </c>
      <c r="I517" s="15">
        <v>0.28000000000000003</v>
      </c>
      <c r="J517" s="15">
        <v>3.7474815312290126E-2</v>
      </c>
      <c r="K517" s="15">
        <v>1.6924110141034253E-2</v>
      </c>
      <c r="L517" s="15">
        <v>40</v>
      </c>
      <c r="M517" s="15">
        <v>1.0526315789473684</v>
      </c>
      <c r="N517" s="16">
        <v>3.5601074546675625E-2</v>
      </c>
      <c r="O517" s="16">
        <v>1.6077904633982541E-2</v>
      </c>
      <c r="P517" s="17">
        <f>IFERROR(G517/(G517+Priors!$H$3),0)</f>
        <v>0.59823222177581359</v>
      </c>
      <c r="Q517" s="18">
        <f>IF(E517="Premier League",Priors!$H$4,IF(E517="Championship",Priors!$H$5,Priors!$H$8))</f>
        <v>1</v>
      </c>
      <c r="R517" s="19" t="b">
        <v>0</v>
      </c>
      <c r="S517" s="18">
        <f>IF(R517=TRUE,Priors!$H$6,1)</f>
        <v>1</v>
      </c>
      <c r="T517" s="19" t="b">
        <v>0</v>
      </c>
      <c r="U517" s="18">
        <f>IF(T517=TRUE,Priors!$H$7,1)</f>
        <v>1</v>
      </c>
      <c r="V517" s="18">
        <f t="shared" si="48"/>
        <v>0.59823222177581359</v>
      </c>
      <c r="W517" s="20">
        <f>VLOOKUP(D517,Priors!$A$3:$C$6,2,FALSE)</f>
        <v>4.1142361271531161E-2</v>
      </c>
      <c r="X517" s="20">
        <f>VLOOKUP(D517,Priors!$A$3:$C$6,3,FALSE)</f>
        <v>4.0513079897554365E-2</v>
      </c>
      <c r="Y517" s="20">
        <f t="shared" si="49"/>
        <v>3.7827385002624017E-2</v>
      </c>
      <c r="Z517" s="20">
        <f t="shared" si="50"/>
        <v>2.5895170710146392E-2</v>
      </c>
      <c r="AA517" s="21">
        <v>1</v>
      </c>
      <c r="AB517" s="21">
        <v>1</v>
      </c>
      <c r="AC517" s="22">
        <f t="shared" si="51"/>
        <v>3.7827385002624017E-2</v>
      </c>
      <c r="AD517" s="22">
        <f t="shared" si="52"/>
        <v>2.5895170710146392E-2</v>
      </c>
      <c r="AE517" s="22">
        <f t="shared" si="53"/>
        <v>0.40176777822418641</v>
      </c>
      <c r="AF517" s="7" t="s">
        <v>1643</v>
      </c>
      <c r="AG517" s="7"/>
      <c r="AH517" s="7"/>
      <c r="AI517" s="7"/>
      <c r="AJ517" s="8" t="b">
        <v>0</v>
      </c>
      <c r="AK517" s="28" t="s">
        <v>1644</v>
      </c>
      <c r="AL517" s="28" t="s">
        <v>1645</v>
      </c>
      <c r="AM517" s="28"/>
      <c r="AN517" s="7"/>
      <c r="AO517" s="7">
        <v>0</v>
      </c>
      <c r="AP517" s="8" t="b">
        <v>0</v>
      </c>
      <c r="AQ517" s="28" t="s">
        <v>1646</v>
      </c>
    </row>
    <row r="518" spans="1:43" ht="30">
      <c r="A518" s="7">
        <v>502</v>
      </c>
      <c r="B518" s="7" t="s">
        <v>1490</v>
      </c>
      <c r="C518" s="7" t="s">
        <v>57</v>
      </c>
      <c r="D518" s="7" t="s">
        <v>99</v>
      </c>
      <c r="E518" s="7" t="s">
        <v>1642</v>
      </c>
      <c r="F518" s="7" t="s">
        <v>52</v>
      </c>
      <c r="G518" s="14">
        <v>1165</v>
      </c>
      <c r="H518" s="15">
        <v>1.1000000000000001</v>
      </c>
      <c r="I518" s="15">
        <v>1.4</v>
      </c>
      <c r="J518" s="15">
        <v>8.4978540772532196E-2</v>
      </c>
      <c r="K518" s="15">
        <v>0.10815450643776822</v>
      </c>
      <c r="L518" s="15">
        <v>61.3</v>
      </c>
      <c r="M518" s="15">
        <v>1.6131578947368421</v>
      </c>
      <c r="N518" s="16">
        <v>5.2678377640395159E-2</v>
      </c>
      <c r="O518" s="16">
        <v>6.7045207905957457E-2</v>
      </c>
      <c r="P518" s="17">
        <f>IFERROR(G518/(G518+Priors!$H$3),0)</f>
        <v>0.53810623556581982</v>
      </c>
      <c r="Q518" s="18">
        <f>IF(E518="Premier League",Priors!$H$4,IF(E518="Championship",Priors!$H$5,Priors!$H$8))</f>
        <v>1</v>
      </c>
      <c r="R518" s="19" t="b">
        <v>1</v>
      </c>
      <c r="S518" s="18">
        <f>IF(R518=TRUE,Priors!$H$6,1)</f>
        <v>0.85</v>
      </c>
      <c r="T518" s="19" t="b">
        <v>0</v>
      </c>
      <c r="U518" s="18">
        <f>IF(T518=TRUE,Priors!$H$7,1)</f>
        <v>1</v>
      </c>
      <c r="V518" s="18">
        <f t="shared" si="48"/>
        <v>0.45739030023094684</v>
      </c>
      <c r="W518" s="20">
        <f>VLOOKUP(D518,Priors!$A$3:$C$6,2,FALSE)</f>
        <v>4.1142361271531161E-2</v>
      </c>
      <c r="X518" s="20">
        <f>VLOOKUP(D518,Priors!$A$3:$C$6,3,FALSE)</f>
        <v>4.0513079897554365E-2</v>
      </c>
      <c r="Y518" s="20">
        <f t="shared" si="49"/>
        <v>4.6418823261954983E-2</v>
      </c>
      <c r="Z518" s="20">
        <f t="shared" si="50"/>
        <v>5.2648617893083768E-2</v>
      </c>
      <c r="AA518" s="21">
        <v>1</v>
      </c>
      <c r="AB518" s="21">
        <v>1</v>
      </c>
      <c r="AC518" s="22">
        <f t="shared" si="51"/>
        <v>4.6418823261954983E-2</v>
      </c>
      <c r="AD518" s="22">
        <f t="shared" si="52"/>
        <v>5.2648617893083768E-2</v>
      </c>
      <c r="AE518" s="22">
        <f t="shared" si="53"/>
        <v>0.54260969976905316</v>
      </c>
      <c r="AF518" s="7" t="s">
        <v>1643</v>
      </c>
      <c r="AG518" s="7"/>
      <c r="AH518" s="7"/>
      <c r="AI518" s="7"/>
      <c r="AJ518" s="8" t="b">
        <v>1</v>
      </c>
      <c r="AK518" s="28" t="s">
        <v>1644</v>
      </c>
      <c r="AL518" s="28" t="s">
        <v>1645</v>
      </c>
      <c r="AM518" s="28"/>
      <c r="AN518" s="7"/>
      <c r="AO518" s="7">
        <v>0</v>
      </c>
      <c r="AP518" s="8" t="b">
        <v>0</v>
      </c>
      <c r="AQ518" s="28" t="s">
        <v>1646</v>
      </c>
    </row>
    <row r="519" spans="1:43" ht="30">
      <c r="A519" s="7">
        <v>503</v>
      </c>
      <c r="B519" s="7" t="s">
        <v>1492</v>
      </c>
      <c r="C519" s="7" t="s">
        <v>57</v>
      </c>
      <c r="D519" s="7" t="s">
        <v>99</v>
      </c>
      <c r="E519" s="7" t="s">
        <v>1642</v>
      </c>
      <c r="F519" s="7" t="s">
        <v>57</v>
      </c>
      <c r="G519" s="14">
        <v>3041</v>
      </c>
      <c r="H519" s="15">
        <v>2.82</v>
      </c>
      <c r="I519" s="15">
        <v>0.38</v>
      </c>
      <c r="J519" s="15">
        <v>8.3459388359092404E-2</v>
      </c>
      <c r="K519" s="15">
        <v>1.1246300559026636E-2</v>
      </c>
      <c r="L519" s="15">
        <v>40</v>
      </c>
      <c r="M519" s="15">
        <v>1.0526315789473684</v>
      </c>
      <c r="N519" s="16">
        <v>7.928641894113779E-2</v>
      </c>
      <c r="O519" s="16">
        <v>1.0683985531075305E-2</v>
      </c>
      <c r="P519" s="17">
        <f>IFERROR(G519/(G519+Priors!$H$3),0)</f>
        <v>0.75253650086612223</v>
      </c>
      <c r="Q519" s="18">
        <f>IF(E519="Premier League",Priors!$H$4,IF(E519="Championship",Priors!$H$5,Priors!$H$8))</f>
        <v>1</v>
      </c>
      <c r="R519" s="19" t="b">
        <v>0</v>
      </c>
      <c r="S519" s="18">
        <f>IF(R519=TRUE,Priors!$H$6,1)</f>
        <v>1</v>
      </c>
      <c r="T519" s="19" t="b">
        <v>0</v>
      </c>
      <c r="U519" s="18">
        <f>IF(T519=TRUE,Priors!$H$7,1)</f>
        <v>1</v>
      </c>
      <c r="V519" s="18">
        <f t="shared" si="48"/>
        <v>0.75253650086612223</v>
      </c>
      <c r="W519" s="20">
        <f>VLOOKUP(D519,Priors!$A$3:$C$6,2,FALSE)</f>
        <v>4.1142361271531161E-2</v>
      </c>
      <c r="X519" s="20">
        <f>VLOOKUP(D519,Priors!$A$3:$C$6,3,FALSE)</f>
        <v>4.0513079897554365E-2</v>
      </c>
      <c r="Y519" s="20">
        <f t="shared" si="49"/>
        <v>6.9847156959052512E-2</v>
      </c>
      <c r="Z519" s="20">
        <f t="shared" si="50"/>
        <v>1.8065597598998853E-2</v>
      </c>
      <c r="AA519" s="21">
        <v>1</v>
      </c>
      <c r="AB519" s="21">
        <v>1</v>
      </c>
      <c r="AC519" s="22">
        <f t="shared" si="51"/>
        <v>6.9847156959052512E-2</v>
      </c>
      <c r="AD519" s="22">
        <f t="shared" si="52"/>
        <v>1.8065597598998853E-2</v>
      </c>
      <c r="AE519" s="22">
        <f t="shared" si="53"/>
        <v>0.24746349913387777</v>
      </c>
      <c r="AF519" s="7" t="s">
        <v>1643</v>
      </c>
      <c r="AG519" s="7"/>
      <c r="AH519" s="7"/>
      <c r="AI519" s="7"/>
      <c r="AJ519" s="8" t="b">
        <v>0</v>
      </c>
      <c r="AK519" s="28" t="s">
        <v>1644</v>
      </c>
      <c r="AL519" s="28" t="s">
        <v>1645</v>
      </c>
      <c r="AM519" s="28"/>
      <c r="AN519" s="7"/>
      <c r="AO519" s="7">
        <v>0</v>
      </c>
      <c r="AP519" s="8" t="b">
        <v>0</v>
      </c>
      <c r="AQ519" s="28" t="s">
        <v>1646</v>
      </c>
    </row>
    <row r="520" spans="1:43" ht="30">
      <c r="A520" s="7">
        <v>505</v>
      </c>
      <c r="B520" s="7" t="s">
        <v>1494</v>
      </c>
      <c r="C520" s="7" t="s">
        <v>57</v>
      </c>
      <c r="D520" s="7" t="s">
        <v>99</v>
      </c>
      <c r="E520" s="7" t="s">
        <v>1642</v>
      </c>
      <c r="F520" s="7" t="s">
        <v>57</v>
      </c>
      <c r="G520" s="14">
        <v>2049</v>
      </c>
      <c r="H520" s="15">
        <v>0.9</v>
      </c>
      <c r="I520" s="15">
        <v>1.77</v>
      </c>
      <c r="J520" s="15">
        <v>3.9531478770131773E-2</v>
      </c>
      <c r="K520" s="15">
        <v>7.7745241581259159E-2</v>
      </c>
      <c r="L520" s="15">
        <v>40</v>
      </c>
      <c r="M520" s="15">
        <v>1.0526315789473684</v>
      </c>
      <c r="N520" s="16">
        <v>3.7554904831625185E-2</v>
      </c>
      <c r="O520" s="16">
        <v>7.3857979502196205E-2</v>
      </c>
      <c r="P520" s="17">
        <f>IFERROR(G520/(G520+Priors!$H$3),0)</f>
        <v>0.67202361429977042</v>
      </c>
      <c r="Q520" s="18">
        <f>IF(E520="Premier League",Priors!$H$4,IF(E520="Championship",Priors!$H$5,Priors!$H$8))</f>
        <v>1</v>
      </c>
      <c r="R520" s="19" t="b">
        <v>0</v>
      </c>
      <c r="S520" s="18">
        <f>IF(R520=TRUE,Priors!$H$6,1)</f>
        <v>1</v>
      </c>
      <c r="T520" s="19" t="b">
        <v>0</v>
      </c>
      <c r="U520" s="18">
        <f>IF(T520=TRUE,Priors!$H$7,1)</f>
        <v>1</v>
      </c>
      <c r="V520" s="18">
        <f t="shared" si="48"/>
        <v>0.67202361429977042</v>
      </c>
      <c r="W520" s="20">
        <f>VLOOKUP(D520,Priors!$A$3:$C$6,2,FALSE)</f>
        <v>4.1142361271531161E-2</v>
      </c>
      <c r="X520" s="20">
        <f>VLOOKUP(D520,Priors!$A$3:$C$6,3,FALSE)</f>
        <v>4.0513079897554365E-2</v>
      </c>
      <c r="Y520" s="20">
        <f t="shared" si="49"/>
        <v>3.8731505828642557E-2</v>
      </c>
      <c r="Z520" s="20">
        <f t="shared" si="50"/>
        <v>6.292163984832877E-2</v>
      </c>
      <c r="AA520" s="21">
        <v>1</v>
      </c>
      <c r="AB520" s="21">
        <v>1</v>
      </c>
      <c r="AC520" s="22">
        <f t="shared" si="51"/>
        <v>3.8731505828642557E-2</v>
      </c>
      <c r="AD520" s="22">
        <f t="shared" si="52"/>
        <v>6.292163984832877E-2</v>
      </c>
      <c r="AE520" s="22">
        <f t="shared" si="53"/>
        <v>0.32797638570022958</v>
      </c>
      <c r="AF520" s="7" t="s">
        <v>1643</v>
      </c>
      <c r="AG520" s="7"/>
      <c r="AH520" s="7"/>
      <c r="AI520" s="7"/>
      <c r="AJ520" s="8" t="b">
        <v>0</v>
      </c>
      <c r="AK520" s="28" t="s">
        <v>1644</v>
      </c>
      <c r="AL520" s="28" t="s">
        <v>1645</v>
      </c>
      <c r="AM520" s="28"/>
      <c r="AN520" s="7"/>
      <c r="AO520" s="7">
        <v>0</v>
      </c>
      <c r="AP520" s="8" t="b">
        <v>0</v>
      </c>
      <c r="AQ520" s="28" t="s">
        <v>1646</v>
      </c>
    </row>
    <row r="521" spans="1:43" ht="30">
      <c r="A521" s="7">
        <v>506</v>
      </c>
      <c r="B521" s="7" t="s">
        <v>1497</v>
      </c>
      <c r="C521" s="7" t="s">
        <v>57</v>
      </c>
      <c r="D521" s="7" t="s">
        <v>99</v>
      </c>
      <c r="E521" s="7" t="s">
        <v>1642</v>
      </c>
      <c r="F521" s="7" t="s">
        <v>57</v>
      </c>
      <c r="G521" s="14">
        <v>1335</v>
      </c>
      <c r="H521" s="15">
        <v>0.18</v>
      </c>
      <c r="I521" s="15">
        <v>0.72</v>
      </c>
      <c r="J521" s="15">
        <v>1.2134831460674157E-2</v>
      </c>
      <c r="K521" s="15">
        <v>4.8539325842696629E-2</v>
      </c>
      <c r="L521" s="15">
        <v>40</v>
      </c>
      <c r="M521" s="15">
        <v>1.0526315789473684</v>
      </c>
      <c r="N521" s="16">
        <v>1.1528089887640451E-2</v>
      </c>
      <c r="O521" s="16">
        <v>4.6112359550561803E-2</v>
      </c>
      <c r="P521" s="17">
        <f>IFERROR(G521/(G521+Priors!$H$3),0)</f>
        <v>0.57173447537473232</v>
      </c>
      <c r="Q521" s="18">
        <f>IF(E521="Premier League",Priors!$H$4,IF(E521="Championship",Priors!$H$5,Priors!$H$8))</f>
        <v>1</v>
      </c>
      <c r="R521" s="19" t="b">
        <v>0</v>
      </c>
      <c r="S521" s="18">
        <f>IF(R521=TRUE,Priors!$H$6,1)</f>
        <v>1</v>
      </c>
      <c r="T521" s="19" t="b">
        <v>0</v>
      </c>
      <c r="U521" s="18">
        <f>IF(T521=TRUE,Priors!$H$7,1)</f>
        <v>1</v>
      </c>
      <c r="V521" s="18">
        <f t="shared" si="48"/>
        <v>0.57173447537473232</v>
      </c>
      <c r="W521" s="20">
        <f>VLOOKUP(D521,Priors!$A$3:$C$6,2,FALSE)</f>
        <v>4.1142361271531161E-2</v>
      </c>
      <c r="X521" s="20">
        <f>VLOOKUP(D521,Priors!$A$3:$C$6,3,FALSE)</f>
        <v>4.0513079897554365E-2</v>
      </c>
      <c r="Y521" s="20">
        <f t="shared" si="49"/>
        <v>2.4210861358257459E-2</v>
      </c>
      <c r="Z521" s="20">
        <f t="shared" si="50"/>
        <v>4.3714381112442982E-2</v>
      </c>
      <c r="AA521" s="21">
        <v>1</v>
      </c>
      <c r="AB521" s="21">
        <v>1</v>
      </c>
      <c r="AC521" s="22">
        <f t="shared" si="51"/>
        <v>2.4210861358257459E-2</v>
      </c>
      <c r="AD521" s="22">
        <f t="shared" si="52"/>
        <v>4.3714381112442982E-2</v>
      </c>
      <c r="AE521" s="22">
        <f t="shared" si="53"/>
        <v>0.42826552462526768</v>
      </c>
      <c r="AF521" s="7" t="s">
        <v>1643</v>
      </c>
      <c r="AG521" s="7"/>
      <c r="AH521" s="7"/>
      <c r="AI521" s="7"/>
      <c r="AJ521" s="8" t="b">
        <v>0</v>
      </c>
      <c r="AK521" s="28" t="s">
        <v>1644</v>
      </c>
      <c r="AL521" s="28" t="s">
        <v>1645</v>
      </c>
      <c r="AM521" s="28"/>
      <c r="AN521" s="7"/>
      <c r="AO521" s="7">
        <v>0</v>
      </c>
      <c r="AP521" s="8" t="b">
        <v>0</v>
      </c>
      <c r="AQ521" s="28" t="s">
        <v>1646</v>
      </c>
    </row>
    <row r="522" spans="1:43" ht="15">
      <c r="A522" s="7">
        <v>507</v>
      </c>
      <c r="B522" s="7" t="s">
        <v>869</v>
      </c>
      <c r="C522" s="7" t="s">
        <v>57</v>
      </c>
      <c r="D522" s="7" t="s">
        <v>99</v>
      </c>
      <c r="E522" s="7" t="s">
        <v>1647</v>
      </c>
      <c r="F522" s="7"/>
      <c r="G522" s="14"/>
      <c r="H522" s="15"/>
      <c r="I522" s="15"/>
      <c r="J522" s="15"/>
      <c r="K522" s="15"/>
      <c r="L522" s="15"/>
      <c r="M522" s="15"/>
      <c r="N522" s="16"/>
      <c r="O522" s="16"/>
      <c r="P522" s="17">
        <f>IFERROR(G522/(G522+Priors!$H$3),0)</f>
        <v>0</v>
      </c>
      <c r="Q522" s="18">
        <f>IF(E522="Premier League",Priors!$H$4,IF(E522="Championship",Priors!$H$5,Priors!$H$8))</f>
        <v>0</v>
      </c>
      <c r="R522" s="19" t="b">
        <v>0</v>
      </c>
      <c r="S522" s="18">
        <f>IF(R522=TRUE,Priors!$H$6,1)</f>
        <v>1</v>
      </c>
      <c r="T522" s="19" t="b">
        <v>0</v>
      </c>
      <c r="U522" s="18">
        <f>IF(T522=TRUE,Priors!$H$7,1)</f>
        <v>1</v>
      </c>
      <c r="V522" s="18">
        <f t="shared" si="48"/>
        <v>0</v>
      </c>
      <c r="W522" s="20">
        <f>VLOOKUP(D522,Priors!$A$3:$C$6,2,FALSE)</f>
        <v>4.1142361271531161E-2</v>
      </c>
      <c r="X522" s="20">
        <f>VLOOKUP(D522,Priors!$A$3:$C$6,3,FALSE)</f>
        <v>4.0513079897554365E-2</v>
      </c>
      <c r="Y522" s="20">
        <f t="shared" si="49"/>
        <v>4.1142361271531161E-2</v>
      </c>
      <c r="Z522" s="20">
        <f t="shared" si="50"/>
        <v>4.0513079897554365E-2</v>
      </c>
      <c r="AA522" s="21">
        <v>1</v>
      </c>
      <c r="AB522" s="21">
        <v>1</v>
      </c>
      <c r="AC522" s="22">
        <f t="shared" si="51"/>
        <v>4.1142361271531161E-2</v>
      </c>
      <c r="AD522" s="22">
        <f t="shared" si="52"/>
        <v>4.0513079897554365E-2</v>
      </c>
      <c r="AE522" s="22">
        <f t="shared" si="53"/>
        <v>1</v>
      </c>
      <c r="AF522" s="7" t="s">
        <v>1647</v>
      </c>
      <c r="AG522" s="7"/>
      <c r="AH522" s="7"/>
      <c r="AI522" s="7"/>
      <c r="AJ522" s="8" t="b">
        <v>1</v>
      </c>
      <c r="AK522" s="28" t="s">
        <v>1648</v>
      </c>
      <c r="AL522" s="28"/>
      <c r="AM522" s="28"/>
      <c r="AN522" s="7"/>
      <c r="AO522" s="7">
        <v>0</v>
      </c>
      <c r="AP522" s="8" t="b">
        <v>0</v>
      </c>
      <c r="AQ522" s="28" t="s">
        <v>1646</v>
      </c>
    </row>
    <row r="523" spans="1:43" ht="30">
      <c r="A523" s="7">
        <v>508</v>
      </c>
      <c r="B523" s="7" t="s">
        <v>1091</v>
      </c>
      <c r="C523" s="7" t="s">
        <v>57</v>
      </c>
      <c r="D523" s="7" t="s">
        <v>99</v>
      </c>
      <c r="E523" s="7" t="s">
        <v>1642</v>
      </c>
      <c r="F523" s="7" t="s">
        <v>57</v>
      </c>
      <c r="G523" s="14">
        <v>136</v>
      </c>
      <c r="H523" s="15">
        <v>0.49</v>
      </c>
      <c r="I523" s="15">
        <v>7.0000000000000007E-2</v>
      </c>
      <c r="J523" s="15">
        <v>0.32426470588235295</v>
      </c>
      <c r="K523" s="15">
        <v>4.6323529411764708E-2</v>
      </c>
      <c r="L523" s="15">
        <v>40</v>
      </c>
      <c r="M523" s="15">
        <v>1.0526315789473684</v>
      </c>
      <c r="N523" s="16">
        <v>0.30805147058823534</v>
      </c>
      <c r="O523" s="16">
        <v>4.4007352941176477E-2</v>
      </c>
      <c r="P523" s="17">
        <f>IFERROR(G523/(G523+Priors!$H$3),0)</f>
        <v>0.11971830985915492</v>
      </c>
      <c r="Q523" s="18">
        <f>IF(E523="Premier League",Priors!$H$4,IF(E523="Championship",Priors!$H$5,Priors!$H$8))</f>
        <v>1</v>
      </c>
      <c r="R523" s="19" t="b">
        <v>0</v>
      </c>
      <c r="S523" s="18">
        <f>IF(R523=TRUE,Priors!$H$6,1)</f>
        <v>1</v>
      </c>
      <c r="T523" s="19" t="b">
        <v>0</v>
      </c>
      <c r="U523" s="18">
        <f>IF(T523=TRUE,Priors!$H$7,1)</f>
        <v>1</v>
      </c>
      <c r="V523" s="18">
        <f t="shared" si="48"/>
        <v>0.11971830985915492</v>
      </c>
      <c r="W523" s="20">
        <f>VLOOKUP(D523,Priors!$A$3:$C$6,2,FALSE)</f>
        <v>4.1142361271531161E-2</v>
      </c>
      <c r="X523" s="20">
        <f>VLOOKUP(D523,Priors!$A$3:$C$6,3,FALSE)</f>
        <v>4.0513079897554365E-2</v>
      </c>
      <c r="Y523" s="20">
        <f t="shared" si="49"/>
        <v>7.3096268724939406E-2</v>
      </c>
      <c r="Z523" s="20">
        <f t="shared" si="50"/>
        <v>4.0931408360523211E-2</v>
      </c>
      <c r="AA523" s="21">
        <v>1</v>
      </c>
      <c r="AB523" s="21">
        <v>1</v>
      </c>
      <c r="AC523" s="22">
        <f t="shared" si="51"/>
        <v>7.3096268724939406E-2</v>
      </c>
      <c r="AD523" s="22">
        <f t="shared" si="52"/>
        <v>4.0931408360523211E-2</v>
      </c>
      <c r="AE523" s="22">
        <f t="shared" si="53"/>
        <v>0.88028169014084512</v>
      </c>
      <c r="AF523" s="7" t="s">
        <v>1643</v>
      </c>
      <c r="AG523" s="7"/>
      <c r="AH523" s="7"/>
      <c r="AI523" s="7"/>
      <c r="AJ523" s="8" t="b">
        <v>1</v>
      </c>
      <c r="AK523" s="28" t="s">
        <v>1644</v>
      </c>
      <c r="AL523" s="28" t="s">
        <v>1645</v>
      </c>
      <c r="AM523" s="28"/>
      <c r="AN523" s="7"/>
      <c r="AO523" s="7">
        <v>0</v>
      </c>
      <c r="AP523" s="8" t="b">
        <v>0</v>
      </c>
      <c r="AQ523" s="28" t="s">
        <v>1646</v>
      </c>
    </row>
    <row r="524" spans="1:43" ht="30">
      <c r="A524" s="7">
        <v>509</v>
      </c>
      <c r="B524" s="7" t="s">
        <v>1503</v>
      </c>
      <c r="C524" s="7" t="s">
        <v>57</v>
      </c>
      <c r="D524" s="7" t="s">
        <v>99</v>
      </c>
      <c r="E524" s="7" t="s">
        <v>1642</v>
      </c>
      <c r="F524" s="7" t="s">
        <v>57</v>
      </c>
      <c r="G524" s="14">
        <v>1</v>
      </c>
      <c r="H524" s="15">
        <v>0</v>
      </c>
      <c r="I524" s="15">
        <v>0</v>
      </c>
      <c r="J524" s="15">
        <v>0</v>
      </c>
      <c r="K524" s="15">
        <v>0</v>
      </c>
      <c r="L524" s="15">
        <v>40</v>
      </c>
      <c r="M524" s="15">
        <v>1.0526315789473684</v>
      </c>
      <c r="N524" s="16">
        <v>0</v>
      </c>
      <c r="O524" s="16">
        <v>0</v>
      </c>
      <c r="P524" s="17">
        <f>IFERROR(G524/(G524+Priors!$H$3),0)</f>
        <v>9.99000999000999E-4</v>
      </c>
      <c r="Q524" s="18">
        <f>IF(E524="Premier League",Priors!$H$4,IF(E524="Championship",Priors!$H$5,Priors!$H$8))</f>
        <v>1</v>
      </c>
      <c r="R524" s="19" t="b">
        <v>0</v>
      </c>
      <c r="S524" s="18">
        <f>IF(R524=TRUE,Priors!$H$6,1)</f>
        <v>1</v>
      </c>
      <c r="T524" s="19" t="b">
        <v>0</v>
      </c>
      <c r="U524" s="18">
        <f>IF(T524=TRUE,Priors!$H$7,1)</f>
        <v>1</v>
      </c>
      <c r="V524" s="18">
        <f t="shared" si="48"/>
        <v>9.99000999000999E-4</v>
      </c>
      <c r="W524" s="20">
        <f>VLOOKUP(D524,Priors!$A$3:$C$6,2,FALSE)</f>
        <v>4.1142361271531161E-2</v>
      </c>
      <c r="X524" s="20">
        <f>VLOOKUP(D524,Priors!$A$3:$C$6,3,FALSE)</f>
        <v>4.0513079897554365E-2</v>
      </c>
      <c r="Y524" s="20">
        <f t="shared" si="49"/>
        <v>4.110126001151964E-2</v>
      </c>
      <c r="Z524" s="20">
        <f t="shared" si="50"/>
        <v>4.0472607290264105E-2</v>
      </c>
      <c r="AA524" s="21">
        <v>1</v>
      </c>
      <c r="AB524" s="21">
        <v>1</v>
      </c>
      <c r="AC524" s="22">
        <f t="shared" si="51"/>
        <v>4.110126001151964E-2</v>
      </c>
      <c r="AD524" s="22">
        <f t="shared" si="52"/>
        <v>4.0472607290264105E-2</v>
      </c>
      <c r="AE524" s="22">
        <f t="shared" si="53"/>
        <v>0.99900099900099903</v>
      </c>
      <c r="AF524" s="7" t="s">
        <v>1643</v>
      </c>
      <c r="AG524" s="7"/>
      <c r="AH524" s="7"/>
      <c r="AI524" s="7"/>
      <c r="AJ524" s="8" t="b">
        <v>1</v>
      </c>
      <c r="AK524" s="28" t="s">
        <v>1644</v>
      </c>
      <c r="AL524" s="28" t="s">
        <v>1645</v>
      </c>
      <c r="AM524" s="28"/>
      <c r="AN524" s="7"/>
      <c r="AO524" s="7">
        <v>0</v>
      </c>
      <c r="AP524" s="8" t="b">
        <v>0</v>
      </c>
      <c r="AQ524" s="28" t="s">
        <v>1646</v>
      </c>
    </row>
    <row r="525" spans="1:43" ht="30">
      <c r="A525" s="7">
        <v>510</v>
      </c>
      <c r="B525" s="7" t="s">
        <v>1505</v>
      </c>
      <c r="C525" s="7" t="s">
        <v>57</v>
      </c>
      <c r="D525" s="7" t="s">
        <v>99</v>
      </c>
      <c r="E525" s="7" t="s">
        <v>1642</v>
      </c>
      <c r="F525" s="7" t="s">
        <v>57</v>
      </c>
      <c r="G525" s="14">
        <v>1</v>
      </c>
      <c r="H525" s="15">
        <v>0</v>
      </c>
      <c r="I525" s="15">
        <v>0</v>
      </c>
      <c r="J525" s="15">
        <v>0</v>
      </c>
      <c r="K525" s="15">
        <v>0</v>
      </c>
      <c r="L525" s="15">
        <v>40</v>
      </c>
      <c r="M525" s="15">
        <v>1.0526315789473684</v>
      </c>
      <c r="N525" s="16">
        <v>0</v>
      </c>
      <c r="O525" s="16">
        <v>0</v>
      </c>
      <c r="P525" s="17">
        <f>IFERROR(G525/(G525+Priors!$H$3),0)</f>
        <v>9.99000999000999E-4</v>
      </c>
      <c r="Q525" s="18">
        <f>IF(E525="Premier League",Priors!$H$4,IF(E525="Championship",Priors!$H$5,Priors!$H$8))</f>
        <v>1</v>
      </c>
      <c r="R525" s="19" t="b">
        <v>0</v>
      </c>
      <c r="S525" s="18">
        <f>IF(R525=TRUE,Priors!$H$6,1)</f>
        <v>1</v>
      </c>
      <c r="T525" s="19" t="b">
        <v>0</v>
      </c>
      <c r="U525" s="18">
        <f>IF(T525=TRUE,Priors!$H$7,1)</f>
        <v>1</v>
      </c>
      <c r="V525" s="18">
        <f t="shared" si="48"/>
        <v>9.99000999000999E-4</v>
      </c>
      <c r="W525" s="20">
        <f>VLOOKUP(D525,Priors!$A$3:$C$6,2,FALSE)</f>
        <v>4.1142361271531161E-2</v>
      </c>
      <c r="X525" s="20">
        <f>VLOOKUP(D525,Priors!$A$3:$C$6,3,FALSE)</f>
        <v>4.0513079897554365E-2</v>
      </c>
      <c r="Y525" s="20">
        <f t="shared" si="49"/>
        <v>4.110126001151964E-2</v>
      </c>
      <c r="Z525" s="20">
        <f t="shared" si="50"/>
        <v>4.0472607290264105E-2</v>
      </c>
      <c r="AA525" s="21">
        <v>1</v>
      </c>
      <c r="AB525" s="21">
        <v>1</v>
      </c>
      <c r="AC525" s="22">
        <f t="shared" si="51"/>
        <v>4.110126001151964E-2</v>
      </c>
      <c r="AD525" s="22">
        <f t="shared" si="52"/>
        <v>4.0472607290264105E-2</v>
      </c>
      <c r="AE525" s="22">
        <f t="shared" si="53"/>
        <v>0.99900099900099903</v>
      </c>
      <c r="AF525" s="7" t="s">
        <v>1643</v>
      </c>
      <c r="AG525" s="7"/>
      <c r="AH525" s="7"/>
      <c r="AI525" s="7"/>
      <c r="AJ525" s="8" t="b">
        <v>1</v>
      </c>
      <c r="AK525" s="28" t="s">
        <v>1644</v>
      </c>
      <c r="AL525" s="28" t="s">
        <v>1645</v>
      </c>
      <c r="AM525" s="28"/>
      <c r="AN525" s="7"/>
      <c r="AO525" s="7">
        <v>0</v>
      </c>
      <c r="AP525" s="8" t="b">
        <v>0</v>
      </c>
      <c r="AQ525" s="28" t="s">
        <v>1646</v>
      </c>
    </row>
    <row r="526" spans="1:43" ht="30">
      <c r="A526" s="7">
        <v>511</v>
      </c>
      <c r="B526" s="7" t="s">
        <v>1507</v>
      </c>
      <c r="C526" s="7" t="s">
        <v>57</v>
      </c>
      <c r="D526" s="7" t="s">
        <v>99</v>
      </c>
      <c r="E526" s="7" t="s">
        <v>1642</v>
      </c>
      <c r="F526" s="7" t="s">
        <v>57</v>
      </c>
      <c r="G526" s="14">
        <v>142</v>
      </c>
      <c r="H526" s="15">
        <v>0.02</v>
      </c>
      <c r="I526" s="15">
        <v>0.03</v>
      </c>
      <c r="J526" s="15">
        <v>1.2676056338028169E-2</v>
      </c>
      <c r="K526" s="15">
        <v>1.9014084507042252E-2</v>
      </c>
      <c r="L526" s="15">
        <v>40</v>
      </c>
      <c r="M526" s="15">
        <v>1.0526315789473684</v>
      </c>
      <c r="N526" s="16">
        <v>1.2042253521126761E-2</v>
      </c>
      <c r="O526" s="16">
        <v>1.806338028169014E-2</v>
      </c>
      <c r="P526" s="17">
        <f>IFERROR(G526/(G526+Priors!$H$3),0)</f>
        <v>0.12434325744308231</v>
      </c>
      <c r="Q526" s="18">
        <f>IF(E526="Premier League",Priors!$H$4,IF(E526="Championship",Priors!$H$5,Priors!$H$8))</f>
        <v>1</v>
      </c>
      <c r="R526" s="19" t="b">
        <v>0</v>
      </c>
      <c r="S526" s="18">
        <f>IF(R526=TRUE,Priors!$H$6,1)</f>
        <v>1</v>
      </c>
      <c r="T526" s="19" t="b">
        <v>0</v>
      </c>
      <c r="U526" s="18">
        <f>IF(T526=TRUE,Priors!$H$7,1)</f>
        <v>1</v>
      </c>
      <c r="V526" s="18">
        <f t="shared" si="48"/>
        <v>0.12434325744308231</v>
      </c>
      <c r="W526" s="20">
        <f>VLOOKUP(D526,Priors!$A$3:$C$6,2,FALSE)</f>
        <v>4.1142361271531161E-2</v>
      </c>
      <c r="X526" s="20">
        <f>VLOOKUP(D526,Priors!$A$3:$C$6,3,FALSE)</f>
        <v>4.0513079897554365E-2</v>
      </c>
      <c r="Y526" s="20">
        <f t="shared" si="49"/>
        <v>3.752395908190119E-2</v>
      </c>
      <c r="Z526" s="20">
        <f t="shared" si="50"/>
        <v>3.7721611118699094E-2</v>
      </c>
      <c r="AA526" s="21">
        <v>1</v>
      </c>
      <c r="AB526" s="21">
        <v>1</v>
      </c>
      <c r="AC526" s="22">
        <f t="shared" si="51"/>
        <v>3.752395908190119E-2</v>
      </c>
      <c r="AD526" s="22">
        <f t="shared" si="52"/>
        <v>3.7721611118699094E-2</v>
      </c>
      <c r="AE526" s="22">
        <f t="shared" si="53"/>
        <v>0.87565674255691772</v>
      </c>
      <c r="AF526" s="7" t="s">
        <v>1643</v>
      </c>
      <c r="AG526" s="7"/>
      <c r="AH526" s="7"/>
      <c r="AI526" s="7"/>
      <c r="AJ526" s="8" t="b">
        <v>1</v>
      </c>
      <c r="AK526" s="28" t="s">
        <v>1644</v>
      </c>
      <c r="AL526" s="28" t="s">
        <v>1645</v>
      </c>
      <c r="AM526" s="28"/>
      <c r="AN526" s="7"/>
      <c r="AO526" s="7">
        <v>0</v>
      </c>
      <c r="AP526" s="8" t="b">
        <v>0</v>
      </c>
      <c r="AQ526" s="28" t="s">
        <v>1646</v>
      </c>
    </row>
    <row r="527" spans="1:43" ht="30">
      <c r="A527" s="7">
        <v>512</v>
      </c>
      <c r="B527" s="7" t="s">
        <v>1510</v>
      </c>
      <c r="C527" s="7" t="s">
        <v>57</v>
      </c>
      <c r="D527" s="7" t="s">
        <v>112</v>
      </c>
      <c r="E527" s="7" t="s">
        <v>1642</v>
      </c>
      <c r="F527" s="7" t="s">
        <v>57</v>
      </c>
      <c r="G527" s="14">
        <v>1535</v>
      </c>
      <c r="H527" s="15">
        <v>1.92</v>
      </c>
      <c r="I527" s="15">
        <v>2.41</v>
      </c>
      <c r="J527" s="15">
        <v>0.11257328990228012</v>
      </c>
      <c r="K527" s="15">
        <v>0.1413029315960912</v>
      </c>
      <c r="L527" s="15">
        <v>40</v>
      </c>
      <c r="M527" s="15">
        <v>1.0526315789473684</v>
      </c>
      <c r="N527" s="16">
        <v>0.10694462540716612</v>
      </c>
      <c r="O527" s="16">
        <v>0.13423778501628664</v>
      </c>
      <c r="P527" s="17">
        <f>IFERROR(G527/(G527+Priors!$H$3),0)</f>
        <v>0.60552268244575935</v>
      </c>
      <c r="Q527" s="18">
        <f>IF(E527="Premier League",Priors!$H$4,IF(E527="Championship",Priors!$H$5,Priors!$H$8))</f>
        <v>1</v>
      </c>
      <c r="R527" s="19" t="b">
        <v>0</v>
      </c>
      <c r="S527" s="18">
        <f>IF(R527=TRUE,Priors!$H$6,1)</f>
        <v>1</v>
      </c>
      <c r="T527" s="19" t="b">
        <v>0</v>
      </c>
      <c r="U527" s="18">
        <f>IF(T527=TRUE,Priors!$H$7,1)</f>
        <v>1</v>
      </c>
      <c r="V527" s="18">
        <f t="shared" si="48"/>
        <v>0.60552268244575935</v>
      </c>
      <c r="W527" s="20">
        <f>VLOOKUP(D527,Priors!$A$3:$C$6,2,FALSE)</f>
        <v>0.10751786102217777</v>
      </c>
      <c r="X527" s="20">
        <f>VLOOKUP(D527,Priors!$A$3:$C$6,3,FALSE)</f>
        <v>9.0240671969462088E-2</v>
      </c>
      <c r="Y527" s="20">
        <f t="shared" si="49"/>
        <v>0.10717075385490248</v>
      </c>
      <c r="Z527" s="20">
        <f t="shared" si="50"/>
        <v>0.11688192188144461</v>
      </c>
      <c r="AA527" s="21">
        <v>1</v>
      </c>
      <c r="AB527" s="21">
        <v>1</v>
      </c>
      <c r="AC527" s="22">
        <f t="shared" si="51"/>
        <v>0.10717075385490248</v>
      </c>
      <c r="AD527" s="22">
        <f t="shared" si="52"/>
        <v>0.11688192188144461</v>
      </c>
      <c r="AE527" s="22">
        <f t="shared" si="53"/>
        <v>0.39447731755424065</v>
      </c>
      <c r="AF527" s="7" t="s">
        <v>1643</v>
      </c>
      <c r="AG527" s="7">
        <v>2</v>
      </c>
      <c r="AH527" s="7">
        <v>3</v>
      </c>
      <c r="AI527" s="7">
        <v>7</v>
      </c>
      <c r="AJ527" s="8" t="b">
        <v>0</v>
      </c>
      <c r="AK527" s="28" t="s">
        <v>1644</v>
      </c>
      <c r="AL527" s="28" t="s">
        <v>1645</v>
      </c>
      <c r="AM527" s="28"/>
      <c r="AN527" s="7">
        <v>2</v>
      </c>
      <c r="AO527" s="7">
        <v>0</v>
      </c>
      <c r="AP527" s="8" t="b">
        <v>1</v>
      </c>
      <c r="AQ527" s="28" t="s">
        <v>1649</v>
      </c>
    </row>
    <row r="528" spans="1:43" ht="30">
      <c r="A528" s="7">
        <v>513</v>
      </c>
      <c r="B528" s="7" t="s">
        <v>1512</v>
      </c>
      <c r="C528" s="7" t="s">
        <v>57</v>
      </c>
      <c r="D528" s="7" t="s">
        <v>112</v>
      </c>
      <c r="E528" s="7" t="s">
        <v>1642</v>
      </c>
      <c r="F528" s="7" t="s">
        <v>57</v>
      </c>
      <c r="G528" s="14">
        <v>1747</v>
      </c>
      <c r="H528" s="15">
        <v>3.06</v>
      </c>
      <c r="I528" s="15">
        <v>3.85</v>
      </c>
      <c r="J528" s="15">
        <v>0.1576416714367487</v>
      </c>
      <c r="K528" s="15">
        <v>0.19834001144819691</v>
      </c>
      <c r="L528" s="15">
        <v>40</v>
      </c>
      <c r="M528" s="15">
        <v>1.0526315789473684</v>
      </c>
      <c r="N528" s="16">
        <v>0.14975958786491128</v>
      </c>
      <c r="O528" s="16">
        <v>0.18842301087578708</v>
      </c>
      <c r="P528" s="17">
        <f>IFERROR(G528/(G528+Priors!$H$3),0)</f>
        <v>0.63596650891882056</v>
      </c>
      <c r="Q528" s="18">
        <f>IF(E528="Premier League",Priors!$H$4,IF(E528="Championship",Priors!$H$5,Priors!$H$8))</f>
        <v>1</v>
      </c>
      <c r="R528" s="19" t="b">
        <v>0</v>
      </c>
      <c r="S528" s="18">
        <f>IF(R528=TRUE,Priors!$H$6,1)</f>
        <v>1</v>
      </c>
      <c r="T528" s="19" t="b">
        <v>0</v>
      </c>
      <c r="U528" s="18">
        <f>IF(T528=TRUE,Priors!$H$7,1)</f>
        <v>1</v>
      </c>
      <c r="V528" s="18">
        <f t="shared" si="48"/>
        <v>0.63596650891882056</v>
      </c>
      <c r="W528" s="20">
        <f>VLOOKUP(D528,Priors!$A$3:$C$6,2,FALSE)</f>
        <v>0.10751786102217777</v>
      </c>
      <c r="X528" s="20">
        <f>VLOOKUP(D528,Priors!$A$3:$C$6,3,FALSE)</f>
        <v>9.0240671969462088E-2</v>
      </c>
      <c r="Y528" s="20">
        <f t="shared" si="49"/>
        <v>0.13438218457305343</v>
      </c>
      <c r="Z528" s="20">
        <f t="shared" si="50"/>
        <v>0.15268135128120208</v>
      </c>
      <c r="AA528" s="21">
        <v>1</v>
      </c>
      <c r="AB528" s="21">
        <v>1</v>
      </c>
      <c r="AC528" s="22">
        <f t="shared" si="51"/>
        <v>0.13438218457305343</v>
      </c>
      <c r="AD528" s="22">
        <f t="shared" si="52"/>
        <v>0.15268135128120208</v>
      </c>
      <c r="AE528" s="22">
        <f t="shared" si="53"/>
        <v>0.36403349108117944</v>
      </c>
      <c r="AF528" s="7" t="s">
        <v>1643</v>
      </c>
      <c r="AG528" s="7">
        <v>3</v>
      </c>
      <c r="AH528" s="7">
        <v>2</v>
      </c>
      <c r="AI528" s="7">
        <v>8</v>
      </c>
      <c r="AJ528" s="8" t="b">
        <v>0</v>
      </c>
      <c r="AK528" s="28" t="s">
        <v>1644</v>
      </c>
      <c r="AL528" s="28" t="s">
        <v>1645</v>
      </c>
      <c r="AM528" s="28"/>
      <c r="AN528" s="7">
        <v>5</v>
      </c>
      <c r="AO528" s="7">
        <v>0</v>
      </c>
      <c r="AP528" s="8" t="b">
        <v>0</v>
      </c>
      <c r="AQ528" s="28" t="s">
        <v>1646</v>
      </c>
    </row>
    <row r="529" spans="1:43" ht="30">
      <c r="A529" s="7">
        <v>514</v>
      </c>
      <c r="B529" s="7" t="s">
        <v>1514</v>
      </c>
      <c r="C529" s="7" t="s">
        <v>57</v>
      </c>
      <c r="D529" s="7" t="s">
        <v>112</v>
      </c>
      <c r="E529" s="7" t="s">
        <v>1642</v>
      </c>
      <c r="F529" s="7" t="s">
        <v>57</v>
      </c>
      <c r="G529" s="14">
        <v>1334</v>
      </c>
      <c r="H529" s="15">
        <v>2.4700000000000002</v>
      </c>
      <c r="I529" s="15">
        <v>2.4300000000000002</v>
      </c>
      <c r="J529" s="15">
        <v>0.1666416791604198</v>
      </c>
      <c r="K529" s="15">
        <v>0.16394302848575715</v>
      </c>
      <c r="L529" s="15">
        <v>40</v>
      </c>
      <c r="M529" s="15">
        <v>1.0526315789473684</v>
      </c>
      <c r="N529" s="16">
        <v>0.15830959520239882</v>
      </c>
      <c r="O529" s="16">
        <v>0.15574587706146931</v>
      </c>
      <c r="P529" s="17">
        <f>IFERROR(G529/(G529+Priors!$H$3),0)</f>
        <v>0.57155098543273353</v>
      </c>
      <c r="Q529" s="18">
        <f>IF(E529="Premier League",Priors!$H$4,IF(E529="Championship",Priors!$H$5,Priors!$H$8))</f>
        <v>1</v>
      </c>
      <c r="R529" s="19" t="b">
        <v>0</v>
      </c>
      <c r="S529" s="18">
        <f>IF(R529=TRUE,Priors!$H$6,1)</f>
        <v>1</v>
      </c>
      <c r="T529" s="19" t="b">
        <v>0</v>
      </c>
      <c r="U529" s="18">
        <f>IF(T529=TRUE,Priors!$H$7,1)</f>
        <v>1</v>
      </c>
      <c r="V529" s="18">
        <f t="shared" si="48"/>
        <v>0.57155098543273353</v>
      </c>
      <c r="W529" s="20">
        <f>VLOOKUP(D529,Priors!$A$3:$C$6,2,FALSE)</f>
        <v>0.10751786102217777</v>
      </c>
      <c r="X529" s="20">
        <f>VLOOKUP(D529,Priors!$A$3:$C$6,3,FALSE)</f>
        <v>9.0240671969462088E-2</v>
      </c>
      <c r="Y529" s="20">
        <f t="shared" si="49"/>
        <v>0.13654792674472055</v>
      </c>
      <c r="Z529" s="20">
        <f t="shared" si="50"/>
        <v>0.12768023649077212</v>
      </c>
      <c r="AA529" s="21">
        <v>1</v>
      </c>
      <c r="AB529" s="21">
        <v>1</v>
      </c>
      <c r="AC529" s="22">
        <f t="shared" si="51"/>
        <v>0.13654792674472055</v>
      </c>
      <c r="AD529" s="22">
        <f t="shared" si="52"/>
        <v>0.12768023649077212</v>
      </c>
      <c r="AE529" s="22">
        <f t="shared" si="53"/>
        <v>0.42844901456726647</v>
      </c>
      <c r="AF529" s="7" t="s">
        <v>1643</v>
      </c>
      <c r="AG529" s="7"/>
      <c r="AH529" s="7"/>
      <c r="AI529" s="7">
        <v>9</v>
      </c>
      <c r="AJ529" s="8" t="b">
        <v>0</v>
      </c>
      <c r="AK529" s="28" t="s">
        <v>1644</v>
      </c>
      <c r="AL529" s="28" t="s">
        <v>1645</v>
      </c>
      <c r="AM529" s="28"/>
      <c r="AN529" s="7"/>
      <c r="AO529" s="7">
        <v>0</v>
      </c>
      <c r="AP529" s="8" t="b">
        <v>0</v>
      </c>
      <c r="AQ529" s="28" t="s">
        <v>1646</v>
      </c>
    </row>
    <row r="530" spans="1:43" ht="30">
      <c r="A530" s="7">
        <v>515</v>
      </c>
      <c r="B530" s="7" t="s">
        <v>1516</v>
      </c>
      <c r="C530" s="7" t="s">
        <v>57</v>
      </c>
      <c r="D530" s="7" t="s">
        <v>112</v>
      </c>
      <c r="E530" s="7" t="s">
        <v>1642</v>
      </c>
      <c r="F530" s="7" t="s">
        <v>57</v>
      </c>
      <c r="G530" s="14">
        <v>34</v>
      </c>
      <c r="H530" s="15">
        <v>0.21</v>
      </c>
      <c r="I530" s="15">
        <v>0.06</v>
      </c>
      <c r="J530" s="15">
        <v>0.55588235294117638</v>
      </c>
      <c r="K530" s="15">
        <v>0.1588235294117647</v>
      </c>
      <c r="L530" s="15">
        <v>40</v>
      </c>
      <c r="M530" s="15">
        <v>1.0526315789473684</v>
      </c>
      <c r="N530" s="16">
        <v>0.52808823529411764</v>
      </c>
      <c r="O530" s="16">
        <v>0.15088235294117647</v>
      </c>
      <c r="P530" s="17">
        <f>IFERROR(G530/(G530+Priors!$H$3),0)</f>
        <v>3.2882011605415859E-2</v>
      </c>
      <c r="Q530" s="18">
        <f>IF(E530="Premier League",Priors!$H$4,IF(E530="Championship",Priors!$H$5,Priors!$H$8))</f>
        <v>1</v>
      </c>
      <c r="R530" s="19" t="b">
        <v>0</v>
      </c>
      <c r="S530" s="18">
        <f>IF(R530=TRUE,Priors!$H$6,1)</f>
        <v>1</v>
      </c>
      <c r="T530" s="19" t="b">
        <v>0</v>
      </c>
      <c r="U530" s="18">
        <f>IF(T530=TRUE,Priors!$H$7,1)</f>
        <v>1</v>
      </c>
      <c r="V530" s="18">
        <f t="shared" si="48"/>
        <v>3.2882011605415859E-2</v>
      </c>
      <c r="W530" s="20">
        <f>VLOOKUP(D530,Priors!$A$3:$C$6,2,FALSE)</f>
        <v>0.10751786102217777</v>
      </c>
      <c r="X530" s="20">
        <f>VLOOKUP(D530,Priors!$A$3:$C$6,3,FALSE)</f>
        <v>9.0240671969462088E-2</v>
      </c>
      <c r="Y530" s="20">
        <f t="shared" si="49"/>
        <v>0.12134706094988179</v>
      </c>
      <c r="Z530" s="20">
        <f t="shared" si="50"/>
        <v>9.223469242694593E-2</v>
      </c>
      <c r="AA530" s="21">
        <v>1</v>
      </c>
      <c r="AB530" s="21">
        <v>1</v>
      </c>
      <c r="AC530" s="22">
        <f t="shared" si="51"/>
        <v>0.12134706094988179</v>
      </c>
      <c r="AD530" s="22">
        <f t="shared" si="52"/>
        <v>9.223469242694593E-2</v>
      </c>
      <c r="AE530" s="22">
        <f t="shared" si="53"/>
        <v>0.96711798839458418</v>
      </c>
      <c r="AF530" s="7" t="s">
        <v>1643</v>
      </c>
      <c r="AG530" s="7"/>
      <c r="AH530" s="7"/>
      <c r="AI530" s="7"/>
      <c r="AJ530" s="8" t="b">
        <v>1</v>
      </c>
      <c r="AK530" s="28" t="s">
        <v>1644</v>
      </c>
      <c r="AL530" s="28" t="s">
        <v>1645</v>
      </c>
      <c r="AM530" s="28"/>
      <c r="AN530" s="7"/>
      <c r="AO530" s="7">
        <v>0</v>
      </c>
      <c r="AP530" s="8" t="b">
        <v>0</v>
      </c>
      <c r="AQ530" s="28" t="s">
        <v>1646</v>
      </c>
    </row>
    <row r="531" spans="1:43" ht="30">
      <c r="A531" s="7">
        <v>516</v>
      </c>
      <c r="B531" s="7" t="s">
        <v>1518</v>
      </c>
      <c r="C531" s="7" t="s">
        <v>57</v>
      </c>
      <c r="D531" s="7" t="s">
        <v>112</v>
      </c>
      <c r="E531" s="7" t="s">
        <v>1642</v>
      </c>
      <c r="F531" s="7" t="s">
        <v>57</v>
      </c>
      <c r="G531" s="14">
        <v>1880</v>
      </c>
      <c r="H531" s="15">
        <v>0.72</v>
      </c>
      <c r="I531" s="15">
        <v>0.84</v>
      </c>
      <c r="J531" s="15">
        <v>3.4468085106382974E-2</v>
      </c>
      <c r="K531" s="15">
        <v>4.0212765957446807E-2</v>
      </c>
      <c r="L531" s="15">
        <v>40</v>
      </c>
      <c r="M531" s="15">
        <v>1.0526315789473684</v>
      </c>
      <c r="N531" s="16">
        <v>3.2744680851063829E-2</v>
      </c>
      <c r="O531" s="16">
        <v>3.8202127659574467E-2</v>
      </c>
      <c r="P531" s="17">
        <f>IFERROR(G531/(G531+Priors!$H$3),0)</f>
        <v>0.65277777777777779</v>
      </c>
      <c r="Q531" s="18">
        <f>IF(E531="Premier League",Priors!$H$4,IF(E531="Championship",Priors!$H$5,Priors!$H$8))</f>
        <v>1</v>
      </c>
      <c r="R531" s="19" t="b">
        <v>0</v>
      </c>
      <c r="S531" s="18">
        <f>IF(R531=TRUE,Priors!$H$6,1)</f>
        <v>1</v>
      </c>
      <c r="T531" s="19" t="b">
        <v>0</v>
      </c>
      <c r="U531" s="18">
        <f>IF(T531=TRUE,Priors!$H$7,1)</f>
        <v>1</v>
      </c>
      <c r="V531" s="18">
        <f t="shared" si="48"/>
        <v>0.65277777777777779</v>
      </c>
      <c r="W531" s="20">
        <f>VLOOKUP(D531,Priors!$A$3:$C$6,2,FALSE)</f>
        <v>0.10751786102217777</v>
      </c>
      <c r="X531" s="20">
        <f>VLOOKUP(D531,Priors!$A$3:$C$6,3,FALSE)</f>
        <v>9.0240671969462088E-2</v>
      </c>
      <c r="Y531" s="20">
        <f t="shared" si="49"/>
        <v>5.8707590632700611E-2</v>
      </c>
      <c r="Z531" s="20">
        <f t="shared" si="50"/>
        <v>5.6271066656063226E-2</v>
      </c>
      <c r="AA531" s="21">
        <v>1</v>
      </c>
      <c r="AB531" s="21">
        <v>1</v>
      </c>
      <c r="AC531" s="22">
        <f t="shared" si="51"/>
        <v>5.8707590632700611E-2</v>
      </c>
      <c r="AD531" s="22">
        <f t="shared" si="52"/>
        <v>5.6271066656063226E-2</v>
      </c>
      <c r="AE531" s="22">
        <f t="shared" si="53"/>
        <v>0.34722222222222221</v>
      </c>
      <c r="AF531" s="7" t="s">
        <v>1643</v>
      </c>
      <c r="AG531" s="7"/>
      <c r="AH531" s="7"/>
      <c r="AI531" s="7"/>
      <c r="AJ531" s="8" t="b">
        <v>0</v>
      </c>
      <c r="AK531" s="28" t="s">
        <v>1644</v>
      </c>
      <c r="AL531" s="28" t="s">
        <v>1645</v>
      </c>
      <c r="AM531" s="28"/>
      <c r="AN531" s="7"/>
      <c r="AO531" s="7">
        <v>0</v>
      </c>
      <c r="AP531" s="8" t="b">
        <v>0</v>
      </c>
      <c r="AQ531" s="28" t="s">
        <v>1646</v>
      </c>
    </row>
    <row r="532" spans="1:43" ht="30">
      <c r="A532" s="7">
        <v>517</v>
      </c>
      <c r="B532" s="7" t="s">
        <v>1520</v>
      </c>
      <c r="C532" s="7" t="s">
        <v>57</v>
      </c>
      <c r="D532" s="7" t="s">
        <v>112</v>
      </c>
      <c r="E532" s="7" t="s">
        <v>1642</v>
      </c>
      <c r="F532" s="7" t="s">
        <v>57</v>
      </c>
      <c r="G532" s="14">
        <v>972</v>
      </c>
      <c r="H532" s="15">
        <v>1.92</v>
      </c>
      <c r="I532" s="15">
        <v>1.21</v>
      </c>
      <c r="J532" s="15">
        <v>0.17777777777777776</v>
      </c>
      <c r="K532" s="15">
        <v>0.11203703703703703</v>
      </c>
      <c r="L532" s="15">
        <v>40</v>
      </c>
      <c r="M532" s="15">
        <v>1.0526315789473684</v>
      </c>
      <c r="N532" s="16">
        <v>0.16888888888888887</v>
      </c>
      <c r="O532" s="16">
        <v>0.10643518518518519</v>
      </c>
      <c r="P532" s="17">
        <f>IFERROR(G532/(G532+Priors!$H$3),0)</f>
        <v>0.49290060851926976</v>
      </c>
      <c r="Q532" s="18">
        <f>IF(E532="Premier League",Priors!$H$4,IF(E532="Championship",Priors!$H$5,Priors!$H$8))</f>
        <v>1</v>
      </c>
      <c r="R532" s="19" t="b">
        <v>0</v>
      </c>
      <c r="S532" s="18">
        <f>IF(R532=TRUE,Priors!$H$6,1)</f>
        <v>1</v>
      </c>
      <c r="T532" s="19" t="b">
        <v>0</v>
      </c>
      <c r="U532" s="18">
        <f>IF(T532=TRUE,Priors!$H$7,1)</f>
        <v>1</v>
      </c>
      <c r="V532" s="18">
        <f t="shared" si="48"/>
        <v>0.49290060851926976</v>
      </c>
      <c r="W532" s="20">
        <f>VLOOKUP(D532,Priors!$A$3:$C$6,2,FALSE)</f>
        <v>0.10751786102217777</v>
      </c>
      <c r="X532" s="20">
        <f>VLOOKUP(D532,Priors!$A$3:$C$6,3,FALSE)</f>
        <v>9.0240671969462088E-2</v>
      </c>
      <c r="Y532" s="20">
        <f t="shared" si="49"/>
        <v>0.13776767800313272</v>
      </c>
      <c r="Z532" s="20">
        <f t="shared" si="50"/>
        <v>9.8222957388165361E-2</v>
      </c>
      <c r="AA532" s="21">
        <v>1</v>
      </c>
      <c r="AB532" s="21">
        <v>1</v>
      </c>
      <c r="AC532" s="22">
        <f t="shared" si="51"/>
        <v>0.13776767800313272</v>
      </c>
      <c r="AD532" s="22">
        <f t="shared" si="52"/>
        <v>9.8222957388165361E-2</v>
      </c>
      <c r="AE532" s="22">
        <f t="shared" si="53"/>
        <v>0.50709939148073024</v>
      </c>
      <c r="AF532" s="7" t="s">
        <v>1643</v>
      </c>
      <c r="AG532" s="7"/>
      <c r="AH532" s="7"/>
      <c r="AI532" s="7"/>
      <c r="AJ532" s="8" t="b">
        <v>0</v>
      </c>
      <c r="AK532" s="28" t="s">
        <v>1644</v>
      </c>
      <c r="AL532" s="28" t="s">
        <v>1645</v>
      </c>
      <c r="AM532" s="28"/>
      <c r="AN532" s="7"/>
      <c r="AO532" s="7">
        <v>0</v>
      </c>
      <c r="AP532" s="8" t="b">
        <v>0</v>
      </c>
      <c r="AQ532" s="28" t="s">
        <v>1646</v>
      </c>
    </row>
    <row r="533" spans="1:43" ht="30">
      <c r="A533" s="7">
        <v>518</v>
      </c>
      <c r="B533" s="7" t="s">
        <v>1522</v>
      </c>
      <c r="C533" s="7" t="s">
        <v>57</v>
      </c>
      <c r="D533" s="7" t="s">
        <v>112</v>
      </c>
      <c r="E533" s="7" t="s">
        <v>1642</v>
      </c>
      <c r="F533" s="7" t="s">
        <v>57</v>
      </c>
      <c r="G533" s="14">
        <v>1388</v>
      </c>
      <c r="H533" s="15">
        <v>1.63</v>
      </c>
      <c r="I533" s="15">
        <v>1.1100000000000001</v>
      </c>
      <c r="J533" s="15">
        <v>0.10569164265129682</v>
      </c>
      <c r="K533" s="15">
        <v>7.1974063400576369E-2</v>
      </c>
      <c r="L533" s="15">
        <v>40</v>
      </c>
      <c r="M533" s="15">
        <v>1.0526315789473684</v>
      </c>
      <c r="N533" s="16">
        <v>0.10040706051873199</v>
      </c>
      <c r="O533" s="16">
        <v>6.8375360230547549E-2</v>
      </c>
      <c r="P533" s="17">
        <f>IFERROR(G533/(G533+Priors!$H$3),0)</f>
        <v>0.58123953098827474</v>
      </c>
      <c r="Q533" s="18">
        <f>IF(E533="Premier League",Priors!$H$4,IF(E533="Championship",Priors!$H$5,Priors!$H$8))</f>
        <v>1</v>
      </c>
      <c r="R533" s="19" t="b">
        <v>0</v>
      </c>
      <c r="S533" s="18">
        <f>IF(R533=TRUE,Priors!$H$6,1)</f>
        <v>1</v>
      </c>
      <c r="T533" s="19" t="b">
        <v>0</v>
      </c>
      <c r="U533" s="18">
        <f>IF(T533=TRUE,Priors!$H$7,1)</f>
        <v>1</v>
      </c>
      <c r="V533" s="18">
        <f t="shared" si="48"/>
        <v>0.58123953098827474</v>
      </c>
      <c r="W533" s="20">
        <f>VLOOKUP(D533,Priors!$A$3:$C$6,2,FALSE)</f>
        <v>0.10751786102217777</v>
      </c>
      <c r="X533" s="20">
        <f>VLOOKUP(D533,Priors!$A$3:$C$6,3,FALSE)</f>
        <v>9.0240671969462088E-2</v>
      </c>
      <c r="Y533" s="20">
        <f t="shared" si="49"/>
        <v>0.10338478267260376</v>
      </c>
      <c r="Z533" s="20">
        <f t="shared" si="50"/>
        <v>7.7531688429422985E-2</v>
      </c>
      <c r="AA533" s="21">
        <v>1</v>
      </c>
      <c r="AB533" s="21">
        <v>1</v>
      </c>
      <c r="AC533" s="22">
        <f t="shared" si="51"/>
        <v>0.10338478267260376</v>
      </c>
      <c r="AD533" s="22">
        <f t="shared" si="52"/>
        <v>7.7531688429422985E-2</v>
      </c>
      <c r="AE533" s="22">
        <f t="shared" si="53"/>
        <v>0.41876046901172526</v>
      </c>
      <c r="AF533" s="7" t="s">
        <v>1643</v>
      </c>
      <c r="AG533" s="7"/>
      <c r="AH533" s="7"/>
      <c r="AI533" s="7"/>
      <c r="AJ533" s="8" t="b">
        <v>0</v>
      </c>
      <c r="AK533" s="28" t="s">
        <v>1644</v>
      </c>
      <c r="AL533" s="28" t="s">
        <v>1645</v>
      </c>
      <c r="AM533" s="28"/>
      <c r="AN533" s="7"/>
      <c r="AO533" s="7">
        <v>0</v>
      </c>
      <c r="AP533" s="8" t="b">
        <v>0</v>
      </c>
      <c r="AQ533" s="28" t="s">
        <v>1646</v>
      </c>
    </row>
    <row r="534" spans="1:43" ht="30">
      <c r="A534" s="7">
        <v>519</v>
      </c>
      <c r="B534" s="7" t="s">
        <v>1525</v>
      </c>
      <c r="C534" s="7" t="s">
        <v>57</v>
      </c>
      <c r="D534" s="7" t="s">
        <v>112</v>
      </c>
      <c r="E534" s="7" t="s">
        <v>1642</v>
      </c>
      <c r="F534" s="7" t="s">
        <v>57</v>
      </c>
      <c r="G534" s="14">
        <v>1183</v>
      </c>
      <c r="H534" s="15">
        <v>1.23</v>
      </c>
      <c r="I534" s="15">
        <v>0.7</v>
      </c>
      <c r="J534" s="15">
        <v>9.3575655114116654E-2</v>
      </c>
      <c r="K534" s="15">
        <v>5.325443786982248E-2</v>
      </c>
      <c r="L534" s="15">
        <v>40</v>
      </c>
      <c r="M534" s="15">
        <v>1.0526315789473684</v>
      </c>
      <c r="N534" s="16">
        <v>8.8896872358410831E-2</v>
      </c>
      <c r="O534" s="16">
        <v>5.0591715976331358E-2</v>
      </c>
      <c r="P534" s="17">
        <f>IFERROR(G534/(G534+Priors!$H$3),0)</f>
        <v>0.54191479615208427</v>
      </c>
      <c r="Q534" s="18">
        <f>IF(E534="Premier League",Priors!$H$4,IF(E534="Championship",Priors!$H$5,Priors!$H$8))</f>
        <v>1</v>
      </c>
      <c r="R534" s="19" t="b">
        <v>0</v>
      </c>
      <c r="S534" s="18">
        <f>IF(R534=TRUE,Priors!$H$6,1)</f>
        <v>1</v>
      </c>
      <c r="T534" s="19" t="b">
        <v>0</v>
      </c>
      <c r="U534" s="18">
        <f>IF(T534=TRUE,Priors!$H$7,1)</f>
        <v>1</v>
      </c>
      <c r="V534" s="18">
        <f t="shared" si="48"/>
        <v>0.54191479615208427</v>
      </c>
      <c r="W534" s="20">
        <f>VLOOKUP(D534,Priors!$A$3:$C$6,2,FALSE)</f>
        <v>0.10751786102217777</v>
      </c>
      <c r="X534" s="20">
        <f>VLOOKUP(D534,Priors!$A$3:$C$6,3,FALSE)</f>
        <v>9.0240671969462088E-2</v>
      </c>
      <c r="Y534" s="20">
        <f t="shared" si="49"/>
        <v>9.742687174630224E-2</v>
      </c>
      <c r="Z534" s="20">
        <f t="shared" si="50"/>
        <v>6.8754316064801688E-2</v>
      </c>
      <c r="AA534" s="21">
        <v>1</v>
      </c>
      <c r="AB534" s="21">
        <v>1</v>
      </c>
      <c r="AC534" s="22">
        <f t="shared" si="51"/>
        <v>9.742687174630224E-2</v>
      </c>
      <c r="AD534" s="22">
        <f t="shared" si="52"/>
        <v>6.8754316064801688E-2</v>
      </c>
      <c r="AE534" s="22">
        <f t="shared" si="53"/>
        <v>0.45808520384791573</v>
      </c>
      <c r="AF534" s="7" t="s">
        <v>1643</v>
      </c>
      <c r="AG534" s="7"/>
      <c r="AH534" s="7"/>
      <c r="AI534" s="7"/>
      <c r="AJ534" s="8" t="b">
        <v>0</v>
      </c>
      <c r="AK534" s="28" t="s">
        <v>1644</v>
      </c>
      <c r="AL534" s="28" t="s">
        <v>1645</v>
      </c>
      <c r="AM534" s="28"/>
      <c r="AN534" s="7"/>
      <c r="AO534" s="7">
        <v>0</v>
      </c>
      <c r="AP534" s="8" t="b">
        <v>0</v>
      </c>
      <c r="AQ534" s="28" t="s">
        <v>1646</v>
      </c>
    </row>
    <row r="535" spans="1:43" ht="30">
      <c r="A535" s="7">
        <v>520</v>
      </c>
      <c r="B535" s="7" t="s">
        <v>1528</v>
      </c>
      <c r="C535" s="7" t="s">
        <v>57</v>
      </c>
      <c r="D535" s="7" t="s">
        <v>112</v>
      </c>
      <c r="E535" s="7" t="s">
        <v>1642</v>
      </c>
      <c r="F535" s="7" t="s">
        <v>57</v>
      </c>
      <c r="G535" s="14">
        <v>955</v>
      </c>
      <c r="H535" s="15">
        <v>1.23</v>
      </c>
      <c r="I535" s="15">
        <v>0.43</v>
      </c>
      <c r="J535" s="15">
        <v>0.11591623036649215</v>
      </c>
      <c r="K535" s="15">
        <v>4.0523560209424089E-2</v>
      </c>
      <c r="L535" s="15">
        <v>40</v>
      </c>
      <c r="M535" s="15">
        <v>1.0526315789473684</v>
      </c>
      <c r="N535" s="16">
        <v>0.11012041884816755</v>
      </c>
      <c r="O535" s="16">
        <v>3.8497382198952886E-2</v>
      </c>
      <c r="P535" s="17">
        <f>IFERROR(G535/(G535+Priors!$H$3),0)</f>
        <v>0.48849104859335041</v>
      </c>
      <c r="Q535" s="18">
        <f>IF(E535="Premier League",Priors!$H$4,IF(E535="Championship",Priors!$H$5,Priors!$H$8))</f>
        <v>1</v>
      </c>
      <c r="R535" s="19" t="b">
        <v>0</v>
      </c>
      <c r="S535" s="18">
        <f>IF(R535=TRUE,Priors!$H$6,1)</f>
        <v>1</v>
      </c>
      <c r="T535" s="19" t="b">
        <v>0</v>
      </c>
      <c r="U535" s="18">
        <f>IF(T535=TRUE,Priors!$H$7,1)</f>
        <v>1</v>
      </c>
      <c r="V535" s="18">
        <f t="shared" si="48"/>
        <v>0.48849104859335041</v>
      </c>
      <c r="W535" s="20">
        <f>VLOOKUP(D535,Priors!$A$3:$C$6,2,FALSE)</f>
        <v>0.10751786102217777</v>
      </c>
      <c r="X535" s="20">
        <f>VLOOKUP(D535,Priors!$A$3:$C$6,3,FALSE)</f>
        <v>9.0240671969462088E-2</v>
      </c>
      <c r="Y535" s="20">
        <f t="shared" si="49"/>
        <v>0.10878918722362034</v>
      </c>
      <c r="Z535" s="20">
        <f t="shared" si="50"/>
        <v>6.4964538091796462E-2</v>
      </c>
      <c r="AA535" s="21">
        <v>1</v>
      </c>
      <c r="AB535" s="21">
        <v>1</v>
      </c>
      <c r="AC535" s="22">
        <f t="shared" si="51"/>
        <v>0.10878918722362034</v>
      </c>
      <c r="AD535" s="22">
        <f t="shared" si="52"/>
        <v>6.4964538091796462E-2</v>
      </c>
      <c r="AE535" s="22">
        <f t="shared" si="53"/>
        <v>0.51150895140664954</v>
      </c>
      <c r="AF535" s="7" t="s">
        <v>1643</v>
      </c>
      <c r="AG535" s="7"/>
      <c r="AH535" s="7"/>
      <c r="AI535" s="7"/>
      <c r="AJ535" s="8" t="b">
        <v>0</v>
      </c>
      <c r="AK535" s="28" t="s">
        <v>1644</v>
      </c>
      <c r="AL535" s="28" t="s">
        <v>1645</v>
      </c>
      <c r="AM535" s="28"/>
      <c r="AN535" s="7"/>
      <c r="AO535" s="7">
        <v>0</v>
      </c>
      <c r="AP535" s="8" t="b">
        <v>0</v>
      </c>
      <c r="AQ535" s="28" t="s">
        <v>1646</v>
      </c>
    </row>
    <row r="536" spans="1:43" ht="15">
      <c r="A536" s="7">
        <v>521</v>
      </c>
      <c r="B536" s="7" t="s">
        <v>1530</v>
      </c>
      <c r="C536" s="7" t="s">
        <v>57</v>
      </c>
      <c r="D536" s="7" t="s">
        <v>112</v>
      </c>
      <c r="E536" s="7" t="s">
        <v>1647</v>
      </c>
      <c r="F536" s="7"/>
      <c r="G536" s="14"/>
      <c r="H536" s="15"/>
      <c r="I536" s="15"/>
      <c r="J536" s="15"/>
      <c r="K536" s="15"/>
      <c r="L536" s="15"/>
      <c r="M536" s="15"/>
      <c r="N536" s="16"/>
      <c r="O536" s="16"/>
      <c r="P536" s="17">
        <f>IFERROR(G536/(G536+Priors!$H$3),0)</f>
        <v>0</v>
      </c>
      <c r="Q536" s="18">
        <f>IF(E536="Premier League",Priors!$H$4,IF(E536="Championship",Priors!$H$5,Priors!$H$8))</f>
        <v>0</v>
      </c>
      <c r="R536" s="19" t="b">
        <v>0</v>
      </c>
      <c r="S536" s="18">
        <f>IF(R536=TRUE,Priors!$H$6,1)</f>
        <v>1</v>
      </c>
      <c r="T536" s="19" t="b">
        <v>0</v>
      </c>
      <c r="U536" s="18">
        <f>IF(T536=TRUE,Priors!$H$7,1)</f>
        <v>1</v>
      </c>
      <c r="V536" s="18">
        <f t="shared" si="48"/>
        <v>0</v>
      </c>
      <c r="W536" s="20">
        <f>VLOOKUP(D536,Priors!$A$3:$C$6,2,FALSE)</f>
        <v>0.10751786102217777</v>
      </c>
      <c r="X536" s="20">
        <f>VLOOKUP(D536,Priors!$A$3:$C$6,3,FALSE)</f>
        <v>9.0240671969462088E-2</v>
      </c>
      <c r="Y536" s="20">
        <f t="shared" si="49"/>
        <v>0.10751786102217777</v>
      </c>
      <c r="Z536" s="20">
        <f t="shared" si="50"/>
        <v>9.0240671969462088E-2</v>
      </c>
      <c r="AA536" s="21">
        <v>1</v>
      </c>
      <c r="AB536" s="21">
        <v>1</v>
      </c>
      <c r="AC536" s="22">
        <f t="shared" si="51"/>
        <v>0.10751786102217777</v>
      </c>
      <c r="AD536" s="22">
        <f t="shared" si="52"/>
        <v>9.0240671969462088E-2</v>
      </c>
      <c r="AE536" s="22">
        <f t="shared" si="53"/>
        <v>1</v>
      </c>
      <c r="AF536" s="7" t="s">
        <v>1647</v>
      </c>
      <c r="AG536" s="7"/>
      <c r="AH536" s="7"/>
      <c r="AI536" s="7"/>
      <c r="AJ536" s="8" t="b">
        <v>1</v>
      </c>
      <c r="AK536" s="28" t="s">
        <v>1648</v>
      </c>
      <c r="AL536" s="28"/>
      <c r="AM536" s="28"/>
      <c r="AN536" s="7"/>
      <c r="AO536" s="7">
        <v>0</v>
      </c>
      <c r="AP536" s="8" t="b">
        <v>0</v>
      </c>
      <c r="AQ536" s="28" t="s">
        <v>1646</v>
      </c>
    </row>
    <row r="537" spans="1:43" ht="30">
      <c r="A537" s="7">
        <v>522</v>
      </c>
      <c r="B537" s="7" t="s">
        <v>1532</v>
      </c>
      <c r="C537" s="7" t="s">
        <v>57</v>
      </c>
      <c r="D537" s="7" t="s">
        <v>112</v>
      </c>
      <c r="E537" s="7" t="s">
        <v>1642</v>
      </c>
      <c r="F537" s="7" t="s">
        <v>57</v>
      </c>
      <c r="G537" s="14">
        <v>1471</v>
      </c>
      <c r="H537" s="15">
        <v>1.5</v>
      </c>
      <c r="I537" s="15">
        <v>1.29</v>
      </c>
      <c r="J537" s="15">
        <v>9.1774303195105364E-2</v>
      </c>
      <c r="K537" s="15">
        <v>7.8925900747790628E-2</v>
      </c>
      <c r="L537" s="15">
        <v>40</v>
      </c>
      <c r="M537" s="15">
        <v>1.0526315789473684</v>
      </c>
      <c r="N537" s="16">
        <v>8.7185588035350106E-2</v>
      </c>
      <c r="O537" s="16">
        <v>7.4979605710401104E-2</v>
      </c>
      <c r="P537" s="17">
        <f>IFERROR(G537/(G537+Priors!$H$3),0)</f>
        <v>0.59530554431404292</v>
      </c>
      <c r="Q537" s="18">
        <f>IF(E537="Premier League",Priors!$H$4,IF(E537="Championship",Priors!$H$5,Priors!$H$8))</f>
        <v>1</v>
      </c>
      <c r="R537" s="19" t="b">
        <v>0</v>
      </c>
      <c r="S537" s="18">
        <f>IF(R537=TRUE,Priors!$H$6,1)</f>
        <v>1</v>
      </c>
      <c r="T537" s="19" t="b">
        <v>0</v>
      </c>
      <c r="U537" s="18">
        <f>IF(T537=TRUE,Priors!$H$7,1)</f>
        <v>1</v>
      </c>
      <c r="V537" s="18">
        <f t="shared" si="48"/>
        <v>0.59530554431404292</v>
      </c>
      <c r="W537" s="20">
        <f>VLOOKUP(D537,Priors!$A$3:$C$6,2,FALSE)</f>
        <v>0.10751786102217777</v>
      </c>
      <c r="X537" s="20">
        <f>VLOOKUP(D537,Priors!$A$3:$C$6,3,FALSE)</f>
        <v>9.0240671969462088E-2</v>
      </c>
      <c r="Y537" s="20">
        <f t="shared" si="49"/>
        <v>9.5413946184612616E-2</v>
      </c>
      <c r="Z537" s="20">
        <f t="shared" si="50"/>
        <v>8.1155674613299117E-2</v>
      </c>
      <c r="AA537" s="21">
        <v>1</v>
      </c>
      <c r="AB537" s="21">
        <v>1</v>
      </c>
      <c r="AC537" s="22">
        <f t="shared" si="51"/>
        <v>9.5413946184612616E-2</v>
      </c>
      <c r="AD537" s="22">
        <f t="shared" si="52"/>
        <v>8.1155674613299117E-2</v>
      </c>
      <c r="AE537" s="22">
        <f t="shared" si="53"/>
        <v>0.40469445568595708</v>
      </c>
      <c r="AF537" s="7" t="s">
        <v>1643</v>
      </c>
      <c r="AG537" s="7"/>
      <c r="AH537" s="7"/>
      <c r="AI537" s="7"/>
      <c r="AJ537" s="8" t="b">
        <v>0</v>
      </c>
      <c r="AK537" s="28" t="s">
        <v>1644</v>
      </c>
      <c r="AL537" s="28" t="s">
        <v>1645</v>
      </c>
      <c r="AM537" s="28"/>
      <c r="AN537" s="7"/>
      <c r="AO537" s="7">
        <v>0</v>
      </c>
      <c r="AP537" s="8" t="b">
        <v>0</v>
      </c>
      <c r="AQ537" s="28" t="s">
        <v>1646</v>
      </c>
    </row>
    <row r="538" spans="1:43" ht="15">
      <c r="A538" s="7">
        <v>523</v>
      </c>
      <c r="B538" s="7" t="s">
        <v>1534</v>
      </c>
      <c r="C538" s="7" t="s">
        <v>57</v>
      </c>
      <c r="D538" s="7" t="s">
        <v>112</v>
      </c>
      <c r="E538" s="7" t="s">
        <v>1647</v>
      </c>
      <c r="F538" s="7"/>
      <c r="G538" s="14"/>
      <c r="H538" s="15"/>
      <c r="I538" s="15"/>
      <c r="J538" s="15"/>
      <c r="K538" s="15"/>
      <c r="L538" s="15"/>
      <c r="M538" s="15"/>
      <c r="N538" s="16"/>
      <c r="O538" s="16"/>
      <c r="P538" s="17">
        <f>IFERROR(G538/(G538+Priors!$H$3),0)</f>
        <v>0</v>
      </c>
      <c r="Q538" s="18">
        <f>IF(E538="Premier League",Priors!$H$4,IF(E538="Championship",Priors!$H$5,Priors!$H$8))</f>
        <v>0</v>
      </c>
      <c r="R538" s="19" t="b">
        <v>0</v>
      </c>
      <c r="S538" s="18">
        <f>IF(R538=TRUE,Priors!$H$6,1)</f>
        <v>1</v>
      </c>
      <c r="T538" s="19" t="b">
        <v>0</v>
      </c>
      <c r="U538" s="18">
        <f>IF(T538=TRUE,Priors!$H$7,1)</f>
        <v>1</v>
      </c>
      <c r="V538" s="18">
        <f t="shared" si="48"/>
        <v>0</v>
      </c>
      <c r="W538" s="20">
        <f>VLOOKUP(D538,Priors!$A$3:$C$6,2,FALSE)</f>
        <v>0.10751786102217777</v>
      </c>
      <c r="X538" s="20">
        <f>VLOOKUP(D538,Priors!$A$3:$C$6,3,FALSE)</f>
        <v>9.0240671969462088E-2</v>
      </c>
      <c r="Y538" s="20">
        <f t="shared" si="49"/>
        <v>0.10751786102217777</v>
      </c>
      <c r="Z538" s="20">
        <f t="shared" si="50"/>
        <v>9.0240671969462088E-2</v>
      </c>
      <c r="AA538" s="21">
        <v>1</v>
      </c>
      <c r="AB538" s="21">
        <v>1</v>
      </c>
      <c r="AC538" s="22">
        <f t="shared" si="51"/>
        <v>0.10751786102217777</v>
      </c>
      <c r="AD538" s="22">
        <f t="shared" si="52"/>
        <v>9.0240671969462088E-2</v>
      </c>
      <c r="AE538" s="22">
        <f t="shared" si="53"/>
        <v>1</v>
      </c>
      <c r="AF538" s="7" t="s">
        <v>1647</v>
      </c>
      <c r="AG538" s="7"/>
      <c r="AH538" s="7"/>
      <c r="AI538" s="7"/>
      <c r="AJ538" s="8" t="b">
        <v>1</v>
      </c>
      <c r="AK538" s="28" t="s">
        <v>1648</v>
      </c>
      <c r="AL538" s="28"/>
      <c r="AM538" s="28"/>
      <c r="AN538" s="7"/>
      <c r="AO538" s="7">
        <v>0</v>
      </c>
      <c r="AP538" s="8" t="b">
        <v>0</v>
      </c>
      <c r="AQ538" s="28" t="s">
        <v>1646</v>
      </c>
    </row>
    <row r="539" spans="1:43" ht="30">
      <c r="A539" s="7">
        <v>524</v>
      </c>
      <c r="B539" s="7" t="s">
        <v>1537</v>
      </c>
      <c r="C539" s="7" t="s">
        <v>57</v>
      </c>
      <c r="D539" s="7" t="s">
        <v>112</v>
      </c>
      <c r="E539" s="7" t="s">
        <v>1642</v>
      </c>
      <c r="F539" s="7" t="s">
        <v>57</v>
      </c>
      <c r="G539" s="14">
        <v>14</v>
      </c>
      <c r="H539" s="15">
        <v>0</v>
      </c>
      <c r="I539" s="15">
        <v>0.01</v>
      </c>
      <c r="J539" s="15">
        <v>0</v>
      </c>
      <c r="K539" s="15">
        <v>6.4285714285714293E-2</v>
      </c>
      <c r="L539" s="15">
        <v>40</v>
      </c>
      <c r="M539" s="15">
        <v>1.0526315789473684</v>
      </c>
      <c r="N539" s="16">
        <v>0</v>
      </c>
      <c r="O539" s="16">
        <v>6.1071428571428582E-2</v>
      </c>
      <c r="P539" s="17">
        <f>IFERROR(G539/(G539+Priors!$H$3),0)</f>
        <v>1.3806706114398421E-2</v>
      </c>
      <c r="Q539" s="18">
        <f>IF(E539="Premier League",Priors!$H$4,IF(E539="Championship",Priors!$H$5,Priors!$H$8))</f>
        <v>1</v>
      </c>
      <c r="R539" s="19" t="b">
        <v>0</v>
      </c>
      <c r="S539" s="18">
        <f>IF(R539=TRUE,Priors!$H$6,1)</f>
        <v>1</v>
      </c>
      <c r="T539" s="19" t="b">
        <v>0</v>
      </c>
      <c r="U539" s="18">
        <f>IF(T539=TRUE,Priors!$H$7,1)</f>
        <v>1</v>
      </c>
      <c r="V539" s="18">
        <f t="shared" si="48"/>
        <v>1.3806706114398421E-2</v>
      </c>
      <c r="W539" s="20">
        <f>VLOOKUP(D539,Priors!$A$3:$C$6,2,FALSE)</f>
        <v>0.10751786102217777</v>
      </c>
      <c r="X539" s="20">
        <f>VLOOKUP(D539,Priors!$A$3:$C$6,3,FALSE)</f>
        <v>9.0240671969462088E-2</v>
      </c>
      <c r="Y539" s="20">
        <f t="shared" si="49"/>
        <v>0.10603339351299583</v>
      </c>
      <c r="Z539" s="20">
        <f t="shared" si="50"/>
        <v>8.9837940798286081E-2</v>
      </c>
      <c r="AA539" s="21">
        <v>1</v>
      </c>
      <c r="AB539" s="21">
        <v>1</v>
      </c>
      <c r="AC539" s="22">
        <f t="shared" si="51"/>
        <v>0.10603339351299583</v>
      </c>
      <c r="AD539" s="22">
        <f t="shared" si="52"/>
        <v>8.9837940798286081E-2</v>
      </c>
      <c r="AE539" s="22">
        <f t="shared" si="53"/>
        <v>0.98619329388560162</v>
      </c>
      <c r="AF539" s="7" t="s">
        <v>1643</v>
      </c>
      <c r="AG539" s="7"/>
      <c r="AH539" s="7"/>
      <c r="AI539" s="7"/>
      <c r="AJ539" s="8" t="b">
        <v>1</v>
      </c>
      <c r="AK539" s="28" t="s">
        <v>1644</v>
      </c>
      <c r="AL539" s="28" t="s">
        <v>1645</v>
      </c>
      <c r="AM539" s="28"/>
      <c r="AN539" s="7"/>
      <c r="AO539" s="7">
        <v>0</v>
      </c>
      <c r="AP539" s="8" t="b">
        <v>0</v>
      </c>
      <c r="AQ539" s="28" t="s">
        <v>1646</v>
      </c>
    </row>
    <row r="540" spans="1:43" ht="30">
      <c r="A540" s="7">
        <v>525</v>
      </c>
      <c r="B540" s="7" t="s">
        <v>1539</v>
      </c>
      <c r="C540" s="7" t="s">
        <v>57</v>
      </c>
      <c r="D540" s="7" t="s">
        <v>112</v>
      </c>
      <c r="E540" s="7" t="s">
        <v>1642</v>
      </c>
      <c r="F540" s="7" t="s">
        <v>1653</v>
      </c>
      <c r="G540" s="14">
        <v>3017</v>
      </c>
      <c r="H540" s="15">
        <v>1.99</v>
      </c>
      <c r="I540" s="15">
        <v>2.96</v>
      </c>
      <c r="J540" s="15">
        <v>5.9363606231355649E-2</v>
      </c>
      <c r="K540" s="15">
        <v>8.8299635399403373E-2</v>
      </c>
      <c r="L540" s="15">
        <v>46.1</v>
      </c>
      <c r="M540" s="15">
        <v>1.2131578947368422</v>
      </c>
      <c r="N540" s="16">
        <v>4.89331244423322E-2</v>
      </c>
      <c r="O540" s="16">
        <v>7.2784948919247888E-2</v>
      </c>
      <c r="P540" s="17">
        <f>IFERROR(G540/(G540+Priors!$H$3),0)</f>
        <v>0.75105800348518792</v>
      </c>
      <c r="Q540" s="18">
        <f>IF(E540="Premier League",Priors!$H$4,IF(E540="Championship",Priors!$H$5,Priors!$H$8))</f>
        <v>1</v>
      </c>
      <c r="R540" s="19" t="b">
        <v>1</v>
      </c>
      <c r="S540" s="18">
        <f>IF(R540=TRUE,Priors!$H$6,1)</f>
        <v>0.85</v>
      </c>
      <c r="T540" s="19" t="b">
        <v>0</v>
      </c>
      <c r="U540" s="18">
        <f>IF(T540=TRUE,Priors!$H$7,1)</f>
        <v>1</v>
      </c>
      <c r="V540" s="18">
        <f t="shared" si="48"/>
        <v>0.63839930296240976</v>
      </c>
      <c r="W540" s="20">
        <f>VLOOKUP(D540,Priors!$A$3:$C$6,2,FALSE)</f>
        <v>0.10751786102217777</v>
      </c>
      <c r="X540" s="20">
        <f>VLOOKUP(D540,Priors!$A$3:$C$6,3,FALSE)</f>
        <v>9.0240671969462088E-2</v>
      </c>
      <c r="Y540" s="20">
        <f t="shared" si="49"/>
        <v>7.0117406025367965E-2</v>
      </c>
      <c r="Z540" s="20">
        <f t="shared" si="50"/>
        <v>7.9096950541500483E-2</v>
      </c>
      <c r="AA540" s="21">
        <v>1</v>
      </c>
      <c r="AB540" s="21">
        <v>1</v>
      </c>
      <c r="AC540" s="22">
        <f t="shared" si="51"/>
        <v>7.0117406025367965E-2</v>
      </c>
      <c r="AD540" s="22">
        <f t="shared" si="52"/>
        <v>7.9096950541500483E-2</v>
      </c>
      <c r="AE540" s="22">
        <f t="shared" si="53"/>
        <v>0.36160069703759024</v>
      </c>
      <c r="AF540" s="7" t="s">
        <v>1643</v>
      </c>
      <c r="AG540" s="7"/>
      <c r="AH540" s="7"/>
      <c r="AI540" s="7"/>
      <c r="AJ540" s="8" t="b">
        <v>1</v>
      </c>
      <c r="AK540" s="28" t="s">
        <v>1644</v>
      </c>
      <c r="AL540" s="28" t="s">
        <v>1645</v>
      </c>
      <c r="AM540" s="28"/>
      <c r="AN540" s="7"/>
      <c r="AO540" s="7">
        <v>0</v>
      </c>
      <c r="AP540" s="8" t="b">
        <v>0</v>
      </c>
      <c r="AQ540" s="28" t="s">
        <v>1646</v>
      </c>
    </row>
    <row r="541" spans="1:43" ht="30">
      <c r="A541" s="7">
        <v>526</v>
      </c>
      <c r="B541" s="7" t="s">
        <v>1541</v>
      </c>
      <c r="C541" s="7" t="s">
        <v>57</v>
      </c>
      <c r="D541" s="7" t="s">
        <v>167</v>
      </c>
      <c r="E541" s="7" t="s">
        <v>1642</v>
      </c>
      <c r="F541" s="7" t="s">
        <v>57</v>
      </c>
      <c r="G541" s="14">
        <v>997</v>
      </c>
      <c r="H541" s="15">
        <v>2.97</v>
      </c>
      <c r="I541" s="15">
        <v>0.34</v>
      </c>
      <c r="J541" s="15">
        <v>0.26810431293881648</v>
      </c>
      <c r="K541" s="15">
        <v>3.0692076228686058E-2</v>
      </c>
      <c r="L541" s="15">
        <v>40</v>
      </c>
      <c r="M541" s="15">
        <v>1.0526315789473684</v>
      </c>
      <c r="N541" s="16">
        <v>0.25469909729187568</v>
      </c>
      <c r="O541" s="16">
        <v>2.9157472417251758E-2</v>
      </c>
      <c r="P541" s="17">
        <f>IFERROR(G541/(G541+Priors!$H$3),0)</f>
        <v>0.49924887330996492</v>
      </c>
      <c r="Q541" s="18">
        <f>IF(E541="Premier League",Priors!$H$4,IF(E541="Championship",Priors!$H$5,Priors!$H$8))</f>
        <v>1</v>
      </c>
      <c r="R541" s="19" t="b">
        <v>0</v>
      </c>
      <c r="S541" s="18">
        <f>IF(R541=TRUE,Priors!$H$6,1)</f>
        <v>1</v>
      </c>
      <c r="T541" s="19" t="b">
        <v>0</v>
      </c>
      <c r="U541" s="18">
        <f>IF(T541=TRUE,Priors!$H$7,1)</f>
        <v>1</v>
      </c>
      <c r="V541" s="18">
        <f t="shared" si="48"/>
        <v>0.49924887330996492</v>
      </c>
      <c r="W541" s="20">
        <f>VLOOKUP(D541,Priors!$A$3:$C$6,2,FALSE)</f>
        <v>0.30461525508032317</v>
      </c>
      <c r="X541" s="20">
        <f>VLOOKUP(D541,Priors!$A$3:$C$6,3,FALSE)</f>
        <v>3.9258061548584466E-2</v>
      </c>
      <c r="Y541" s="20">
        <f t="shared" si="49"/>
        <v>0.2796946695444783</v>
      </c>
      <c r="Z541" s="20">
        <f t="shared" si="50"/>
        <v>3.4215353804999737E-2</v>
      </c>
      <c r="AA541" s="21">
        <v>1</v>
      </c>
      <c r="AB541" s="21">
        <v>1</v>
      </c>
      <c r="AC541" s="22">
        <f t="shared" si="51"/>
        <v>0.2796946695444783</v>
      </c>
      <c r="AD541" s="22">
        <f t="shared" si="52"/>
        <v>3.4215353804999737E-2</v>
      </c>
      <c r="AE541" s="22">
        <f t="shared" si="53"/>
        <v>0.50075112669003508</v>
      </c>
      <c r="AF541" s="7" t="s">
        <v>1643</v>
      </c>
      <c r="AG541" s="7">
        <v>1</v>
      </c>
      <c r="AH541" s="7"/>
      <c r="AI541" s="7"/>
      <c r="AJ541" s="8" t="b">
        <v>0</v>
      </c>
      <c r="AK541" s="28" t="s">
        <v>1644</v>
      </c>
      <c r="AL541" s="28" t="s">
        <v>1645</v>
      </c>
      <c r="AM541" s="28"/>
      <c r="AN541" s="7"/>
      <c r="AO541" s="7">
        <v>0</v>
      </c>
      <c r="AP541" s="8" t="b">
        <v>0</v>
      </c>
      <c r="AQ541" s="28" t="s">
        <v>1646</v>
      </c>
    </row>
    <row r="542" spans="1:43" ht="30">
      <c r="A542" s="7">
        <v>527</v>
      </c>
      <c r="B542" s="7" t="s">
        <v>1544</v>
      </c>
      <c r="C542" s="7" t="s">
        <v>57</v>
      </c>
      <c r="D542" s="7" t="s">
        <v>167</v>
      </c>
      <c r="E542" s="7" t="s">
        <v>1642</v>
      </c>
      <c r="F542" s="7" t="s">
        <v>57</v>
      </c>
      <c r="G542" s="14">
        <v>1954</v>
      </c>
      <c r="H542" s="15">
        <v>8.64</v>
      </c>
      <c r="I542" s="15">
        <v>1.46</v>
      </c>
      <c r="J542" s="15">
        <v>0.39795291709314229</v>
      </c>
      <c r="K542" s="15">
        <v>6.7246673490276354E-2</v>
      </c>
      <c r="L542" s="15">
        <v>40</v>
      </c>
      <c r="M542" s="15">
        <v>1.0526315789473684</v>
      </c>
      <c r="N542" s="16">
        <v>0.3780552712384852</v>
      </c>
      <c r="O542" s="16">
        <v>6.3884339815762539E-2</v>
      </c>
      <c r="P542" s="17">
        <f>IFERROR(G542/(G542+Priors!$H$3),0)</f>
        <v>0.66147596479350035</v>
      </c>
      <c r="Q542" s="18">
        <f>IF(E542="Premier League",Priors!$H$4,IF(E542="Championship",Priors!$H$5,Priors!$H$8))</f>
        <v>1</v>
      </c>
      <c r="R542" s="19" t="b">
        <v>0</v>
      </c>
      <c r="S542" s="18">
        <f>IF(R542=TRUE,Priors!$H$6,1)</f>
        <v>1</v>
      </c>
      <c r="T542" s="19" t="b">
        <v>0</v>
      </c>
      <c r="U542" s="18">
        <f>IF(T542=TRUE,Priors!$H$7,1)</f>
        <v>1</v>
      </c>
      <c r="V542" s="18">
        <f t="shared" si="48"/>
        <v>0.66147596479350035</v>
      </c>
      <c r="W542" s="20">
        <f>VLOOKUP(D542,Priors!$A$3:$C$6,2,FALSE)</f>
        <v>0.30461525508032317</v>
      </c>
      <c r="X542" s="20">
        <f>VLOOKUP(D542,Priors!$A$3:$C$6,3,FALSE)</f>
        <v>3.9258061548584466E-2</v>
      </c>
      <c r="Y542" s="20">
        <f t="shared" si="49"/>
        <v>0.35319406062299363</v>
      </c>
      <c r="Z542" s="20">
        <f t="shared" si="50"/>
        <v>5.5547752724639292E-2</v>
      </c>
      <c r="AA542" s="21">
        <v>1</v>
      </c>
      <c r="AB542" s="21">
        <v>1</v>
      </c>
      <c r="AC542" s="22">
        <f t="shared" si="51"/>
        <v>0.35319406062299363</v>
      </c>
      <c r="AD542" s="22">
        <f t="shared" si="52"/>
        <v>5.5547752724639292E-2</v>
      </c>
      <c r="AE542" s="22">
        <f t="shared" si="53"/>
        <v>0.33852403520649965</v>
      </c>
      <c r="AF542" s="7" t="s">
        <v>1643</v>
      </c>
      <c r="AG542" s="7">
        <v>4</v>
      </c>
      <c r="AH542" s="7"/>
      <c r="AI542" s="7"/>
      <c r="AJ542" s="8" t="b">
        <v>0</v>
      </c>
      <c r="AK542" s="28" t="s">
        <v>1644</v>
      </c>
      <c r="AL542" s="28" t="s">
        <v>1645</v>
      </c>
      <c r="AM542" s="28"/>
      <c r="AN542" s="7"/>
      <c r="AO542" s="7"/>
      <c r="AP542" s="7"/>
      <c r="AQ542" s="28" t="s">
        <v>1650</v>
      </c>
    </row>
    <row r="543" spans="1:43" ht="30">
      <c r="A543" s="7">
        <v>528</v>
      </c>
      <c r="B543" s="7" t="s">
        <v>1546</v>
      </c>
      <c r="C543" s="7" t="s">
        <v>57</v>
      </c>
      <c r="D543" s="7" t="s">
        <v>167</v>
      </c>
      <c r="E543" s="7" t="s">
        <v>1642</v>
      </c>
      <c r="F543" s="7" t="s">
        <v>57</v>
      </c>
      <c r="G543" s="14">
        <v>7</v>
      </c>
      <c r="H543" s="15">
        <v>0</v>
      </c>
      <c r="I543" s="15">
        <v>0.01</v>
      </c>
      <c r="J543" s="15">
        <v>0</v>
      </c>
      <c r="K543" s="15">
        <v>0.12857142857142859</v>
      </c>
      <c r="L543" s="15">
        <v>40</v>
      </c>
      <c r="M543" s="15">
        <v>1.0526315789473684</v>
      </c>
      <c r="N543" s="16">
        <v>0</v>
      </c>
      <c r="O543" s="16">
        <v>0.12214285714285716</v>
      </c>
      <c r="P543" s="17">
        <f>IFERROR(G543/(G543+Priors!$H$3),0)</f>
        <v>6.9513406156901684E-3</v>
      </c>
      <c r="Q543" s="18">
        <f>IF(E543="Premier League",Priors!$H$4,IF(E543="Championship",Priors!$H$5,Priors!$H$8))</f>
        <v>1</v>
      </c>
      <c r="R543" s="19" t="b">
        <v>0</v>
      </c>
      <c r="S543" s="18">
        <f>IF(R543=TRUE,Priors!$H$6,1)</f>
        <v>1</v>
      </c>
      <c r="T543" s="19" t="b">
        <v>0</v>
      </c>
      <c r="U543" s="18">
        <f>IF(T543=TRUE,Priors!$H$7,1)</f>
        <v>1</v>
      </c>
      <c r="V543" s="18">
        <f t="shared" si="48"/>
        <v>6.9513406156901684E-3</v>
      </c>
      <c r="W543" s="20">
        <f>VLOOKUP(D543,Priors!$A$3:$C$6,2,FALSE)</f>
        <v>0.30461525508032317</v>
      </c>
      <c r="X543" s="20">
        <f>VLOOKUP(D543,Priors!$A$3:$C$6,3,FALSE)</f>
        <v>3.9258061548584466E-2</v>
      </c>
      <c r="Y543" s="20">
        <f t="shared" si="49"/>
        <v>0.30249777068552453</v>
      </c>
      <c r="Z543" s="20">
        <f t="shared" si="50"/>
        <v>3.9834221994622117E-2</v>
      </c>
      <c r="AA543" s="21">
        <v>1</v>
      </c>
      <c r="AB543" s="21">
        <v>1</v>
      </c>
      <c r="AC543" s="22">
        <f t="shared" si="51"/>
        <v>0.30249777068552453</v>
      </c>
      <c r="AD543" s="22">
        <f t="shared" si="52"/>
        <v>3.9834221994622117E-2</v>
      </c>
      <c r="AE543" s="22">
        <f t="shared" si="53"/>
        <v>0.99304865938430986</v>
      </c>
      <c r="AF543" s="7" t="s">
        <v>1643</v>
      </c>
      <c r="AG543" s="7"/>
      <c r="AH543" s="7"/>
      <c r="AI543" s="7"/>
      <c r="AJ543" s="8" t="b">
        <v>1</v>
      </c>
      <c r="AK543" s="28" t="s">
        <v>1644</v>
      </c>
      <c r="AL543" s="28" t="s">
        <v>1645</v>
      </c>
      <c r="AM543" s="28"/>
      <c r="AN543" s="7">
        <v>2</v>
      </c>
      <c r="AO543" s="7">
        <v>1</v>
      </c>
      <c r="AP543" s="8" t="b">
        <v>1</v>
      </c>
      <c r="AQ543" s="28" t="s">
        <v>1649</v>
      </c>
    </row>
    <row r="544" spans="1:43" ht="30">
      <c r="A544" s="7">
        <v>529</v>
      </c>
      <c r="B544" s="7" t="s">
        <v>1549</v>
      </c>
      <c r="C544" s="7" t="s">
        <v>58</v>
      </c>
      <c r="D544" s="7" t="s">
        <v>85</v>
      </c>
      <c r="E544" s="7" t="s">
        <v>1642</v>
      </c>
      <c r="F544" s="7" t="s">
        <v>58</v>
      </c>
      <c r="G544" s="14">
        <v>3150</v>
      </c>
      <c r="H544" s="15">
        <v>0</v>
      </c>
      <c r="I544" s="15">
        <v>0.1</v>
      </c>
      <c r="J544" s="15">
        <v>0</v>
      </c>
      <c r="K544" s="15">
        <v>2.8571428571428571E-3</v>
      </c>
      <c r="L544" s="15">
        <v>38.9</v>
      </c>
      <c r="M544" s="15">
        <v>1.0236842105263158</v>
      </c>
      <c r="N544" s="16">
        <v>0</v>
      </c>
      <c r="O544" s="16">
        <v>2.7910392948953359E-3</v>
      </c>
      <c r="P544" s="17">
        <f>IFERROR(G544/(G544+Priors!$H$3),0)</f>
        <v>0.75903614457831325</v>
      </c>
      <c r="Q544" s="18">
        <f>IF(E544="Premier League",Priors!$H$4,IF(E544="Championship",Priors!$H$5,Priors!$H$8))</f>
        <v>1</v>
      </c>
      <c r="R544" s="19" t="b">
        <v>0</v>
      </c>
      <c r="S544" s="18">
        <f>IF(R544=TRUE,Priors!$H$6,1)</f>
        <v>1</v>
      </c>
      <c r="T544" s="19" t="b">
        <v>0</v>
      </c>
      <c r="U544" s="18">
        <f>IF(T544=TRUE,Priors!$H$7,1)</f>
        <v>1</v>
      </c>
      <c r="V544" s="18">
        <f t="shared" si="48"/>
        <v>0.75903614457831325</v>
      </c>
      <c r="W544" s="20">
        <f>VLOOKUP(D544,Priors!$A$3:$C$6,2,FALSE)</f>
        <v>1.6719534964712218E-4</v>
      </c>
      <c r="X544" s="20">
        <f>VLOOKUP(D544,Priors!$A$3:$C$6,3,FALSE)</f>
        <v>1.379361634588758E-3</v>
      </c>
      <c r="Y544" s="20">
        <f t="shared" si="49"/>
        <v>4.0288036059547517E-5</v>
      </c>
      <c r="Z544" s="20">
        <f t="shared" si="50"/>
        <v>2.4508760032551967E-3</v>
      </c>
      <c r="AA544" s="21">
        <v>1</v>
      </c>
      <c r="AB544" s="21">
        <v>1</v>
      </c>
      <c r="AC544" s="22">
        <f t="shared" si="51"/>
        <v>4.0288036059547517E-5</v>
      </c>
      <c r="AD544" s="22">
        <f t="shared" si="52"/>
        <v>2.4508760032551967E-3</v>
      </c>
      <c r="AE544" s="22">
        <f t="shared" si="53"/>
        <v>0.24096385542168675</v>
      </c>
      <c r="AF544" s="7" t="s">
        <v>1643</v>
      </c>
      <c r="AG544" s="7"/>
      <c r="AH544" s="7"/>
      <c r="AI544" s="7"/>
      <c r="AJ544" s="8" t="b">
        <v>0</v>
      </c>
      <c r="AK544" s="28" t="s">
        <v>1644</v>
      </c>
      <c r="AL544" s="28" t="s">
        <v>1645</v>
      </c>
      <c r="AM544" s="28"/>
      <c r="AN544" s="7">
        <v>1</v>
      </c>
      <c r="AO544" s="7">
        <v>0</v>
      </c>
      <c r="AP544" s="8" t="b">
        <v>1</v>
      </c>
      <c r="AQ544" s="28" t="s">
        <v>1649</v>
      </c>
    </row>
    <row r="545" spans="1:43" ht="15">
      <c r="A545" s="7">
        <v>530</v>
      </c>
      <c r="B545" s="7" t="s">
        <v>772</v>
      </c>
      <c r="C545" s="7" t="s">
        <v>58</v>
      </c>
      <c r="D545" s="7" t="s">
        <v>85</v>
      </c>
      <c r="E545" s="7" t="s">
        <v>1647</v>
      </c>
      <c r="F545" s="7"/>
      <c r="G545" s="14"/>
      <c r="H545" s="15"/>
      <c r="I545" s="15"/>
      <c r="J545" s="15"/>
      <c r="K545" s="15"/>
      <c r="L545" s="15"/>
      <c r="M545" s="15"/>
      <c r="N545" s="16"/>
      <c r="O545" s="16"/>
      <c r="P545" s="17">
        <f>IFERROR(G545/(G545+Priors!$H$3),0)</f>
        <v>0</v>
      </c>
      <c r="Q545" s="18">
        <f>IF(E545="Premier League",Priors!$H$4,IF(E545="Championship",Priors!$H$5,Priors!$H$8))</f>
        <v>0</v>
      </c>
      <c r="R545" s="19" t="b">
        <v>0</v>
      </c>
      <c r="S545" s="18">
        <f>IF(R545=TRUE,Priors!$H$6,1)</f>
        <v>1</v>
      </c>
      <c r="T545" s="19" t="b">
        <v>0</v>
      </c>
      <c r="U545" s="18">
        <f>IF(T545=TRUE,Priors!$H$7,1)</f>
        <v>1</v>
      </c>
      <c r="V545" s="18">
        <f t="shared" si="48"/>
        <v>0</v>
      </c>
      <c r="W545" s="20">
        <f>VLOOKUP(D545,Priors!$A$3:$C$6,2,FALSE)</f>
        <v>1.6719534964712218E-4</v>
      </c>
      <c r="X545" s="20">
        <f>VLOOKUP(D545,Priors!$A$3:$C$6,3,FALSE)</f>
        <v>1.379361634588758E-3</v>
      </c>
      <c r="Y545" s="20">
        <f t="shared" si="49"/>
        <v>1.6719534964712218E-4</v>
      </c>
      <c r="Z545" s="20">
        <f t="shared" si="50"/>
        <v>1.379361634588758E-3</v>
      </c>
      <c r="AA545" s="21">
        <v>1</v>
      </c>
      <c r="AB545" s="21">
        <v>1</v>
      </c>
      <c r="AC545" s="22">
        <f t="shared" si="51"/>
        <v>1.6719534964712218E-4</v>
      </c>
      <c r="AD545" s="22">
        <f t="shared" si="52"/>
        <v>1.379361634588758E-3</v>
      </c>
      <c r="AE545" s="22">
        <f t="shared" si="53"/>
        <v>1</v>
      </c>
      <c r="AF545" s="7" t="s">
        <v>1647</v>
      </c>
      <c r="AG545" s="7"/>
      <c r="AH545" s="7"/>
      <c r="AI545" s="7"/>
      <c r="AJ545" s="8" t="b">
        <v>1</v>
      </c>
      <c r="AK545" s="28" t="s">
        <v>1648</v>
      </c>
      <c r="AL545" s="28"/>
      <c r="AM545" s="28"/>
      <c r="AN545" s="7"/>
      <c r="AO545" s="7">
        <v>0</v>
      </c>
      <c r="AP545" s="8" t="b">
        <v>0</v>
      </c>
      <c r="AQ545" s="28" t="s">
        <v>1646</v>
      </c>
    </row>
    <row r="546" spans="1:43" ht="30">
      <c r="A546" s="7">
        <v>531</v>
      </c>
      <c r="B546" s="7" t="s">
        <v>1554</v>
      </c>
      <c r="C546" s="7" t="s">
        <v>58</v>
      </c>
      <c r="D546" s="7" t="s">
        <v>85</v>
      </c>
      <c r="E546" s="7" t="s">
        <v>1642</v>
      </c>
      <c r="F546" s="7" t="s">
        <v>58</v>
      </c>
      <c r="G546" s="14">
        <v>270</v>
      </c>
      <c r="H546" s="15">
        <v>0</v>
      </c>
      <c r="I546" s="15">
        <v>0.02</v>
      </c>
      <c r="J546" s="15">
        <v>0</v>
      </c>
      <c r="K546" s="15">
        <v>6.6666666666666671E-3</v>
      </c>
      <c r="L546" s="15">
        <v>38.9</v>
      </c>
      <c r="M546" s="15">
        <v>1.0236842105263158</v>
      </c>
      <c r="N546" s="16">
        <v>0</v>
      </c>
      <c r="O546" s="16">
        <v>6.5124250214224511E-3</v>
      </c>
      <c r="P546" s="17">
        <f>IFERROR(G546/(G546+Priors!$H$3),0)</f>
        <v>0.2125984251968504</v>
      </c>
      <c r="Q546" s="18">
        <f>IF(E546="Premier League",Priors!$H$4,IF(E546="Championship",Priors!$H$5,Priors!$H$8))</f>
        <v>1</v>
      </c>
      <c r="R546" s="19" t="b">
        <v>0</v>
      </c>
      <c r="S546" s="18">
        <f>IF(R546=TRUE,Priors!$H$6,1)</f>
        <v>1</v>
      </c>
      <c r="T546" s="19" t="b">
        <v>0</v>
      </c>
      <c r="U546" s="18">
        <f>IF(T546=TRUE,Priors!$H$7,1)</f>
        <v>1</v>
      </c>
      <c r="V546" s="18">
        <f t="shared" si="48"/>
        <v>0.2125984251968504</v>
      </c>
      <c r="W546" s="20">
        <f>VLOOKUP(D546,Priors!$A$3:$C$6,2,FALSE)</f>
        <v>1.6719534964712218E-4</v>
      </c>
      <c r="X546" s="20">
        <f>VLOOKUP(D546,Priors!$A$3:$C$6,3,FALSE)</f>
        <v>1.379361634588758E-3</v>
      </c>
      <c r="Y546" s="20">
        <f t="shared" si="49"/>
        <v>1.3164988161190722E-4</v>
      </c>
      <c r="Z546" s="20">
        <f t="shared" si="50"/>
        <v>2.4706428270652126E-3</v>
      </c>
      <c r="AA546" s="21">
        <v>1</v>
      </c>
      <c r="AB546" s="21">
        <v>1</v>
      </c>
      <c r="AC546" s="22">
        <f t="shared" si="51"/>
        <v>1.3164988161190722E-4</v>
      </c>
      <c r="AD546" s="22">
        <f t="shared" si="52"/>
        <v>2.4706428270652126E-3</v>
      </c>
      <c r="AE546" s="22">
        <f t="shared" si="53"/>
        <v>0.78740157480314954</v>
      </c>
      <c r="AF546" s="7" t="s">
        <v>1643</v>
      </c>
      <c r="AG546" s="7"/>
      <c r="AH546" s="7"/>
      <c r="AI546" s="7"/>
      <c r="AJ546" s="8" t="b">
        <v>1</v>
      </c>
      <c r="AK546" s="28" t="s">
        <v>1644</v>
      </c>
      <c r="AL546" s="28" t="s">
        <v>1645</v>
      </c>
      <c r="AM546" s="28"/>
      <c r="AN546" s="7"/>
      <c r="AO546" s="7">
        <v>0</v>
      </c>
      <c r="AP546" s="8" t="b">
        <v>0</v>
      </c>
      <c r="AQ546" s="28" t="s">
        <v>1646</v>
      </c>
    </row>
    <row r="547" spans="1:43" ht="30">
      <c r="A547" s="7">
        <v>532</v>
      </c>
      <c r="B547" s="7" t="s">
        <v>1557</v>
      </c>
      <c r="C547" s="7" t="s">
        <v>58</v>
      </c>
      <c r="D547" s="7" t="s">
        <v>99</v>
      </c>
      <c r="E547" s="7" t="s">
        <v>1642</v>
      </c>
      <c r="F547" s="7" t="s">
        <v>58</v>
      </c>
      <c r="G547" s="14">
        <v>2144</v>
      </c>
      <c r="H547" s="15">
        <v>2.46</v>
      </c>
      <c r="I547" s="15">
        <v>0.63</v>
      </c>
      <c r="J547" s="15">
        <v>0.10326492537313434</v>
      </c>
      <c r="K547" s="15">
        <v>2.644589552238806E-2</v>
      </c>
      <c r="L547" s="15">
        <v>38.9</v>
      </c>
      <c r="M547" s="15">
        <v>1.0236842105263158</v>
      </c>
      <c r="N547" s="16">
        <v>0.10087576257529833</v>
      </c>
      <c r="O547" s="16">
        <v>2.5834036757088594E-2</v>
      </c>
      <c r="P547" s="17">
        <f>IFERROR(G547/(G547+Priors!$H$3),0)</f>
        <v>0.68193384223918574</v>
      </c>
      <c r="Q547" s="18">
        <f>IF(E547="Premier League",Priors!$H$4,IF(E547="Championship",Priors!$H$5,Priors!$H$8))</f>
        <v>1</v>
      </c>
      <c r="R547" s="19" t="b">
        <v>0</v>
      </c>
      <c r="S547" s="18">
        <f>IF(R547=TRUE,Priors!$H$6,1)</f>
        <v>1</v>
      </c>
      <c r="T547" s="19" t="b">
        <v>0</v>
      </c>
      <c r="U547" s="18">
        <f>IF(T547=TRUE,Priors!$H$7,1)</f>
        <v>1</v>
      </c>
      <c r="V547" s="18">
        <f t="shared" si="48"/>
        <v>0.68193384223918574</v>
      </c>
      <c r="W547" s="20">
        <f>VLOOKUP(D547,Priors!$A$3:$C$6,2,FALSE)</f>
        <v>4.1142361271531161E-2</v>
      </c>
      <c r="X547" s="20">
        <f>VLOOKUP(D547,Priors!$A$3:$C$6,3,FALSE)</f>
        <v>4.0513079897554365E-2</v>
      </c>
      <c r="Y547" s="20">
        <f t="shared" si="49"/>
        <v>8.1876589132624286E-2</v>
      </c>
      <c r="Z547" s="20">
        <f t="shared" si="50"/>
        <v>3.050294360838178E-2</v>
      </c>
      <c r="AA547" s="21">
        <v>1</v>
      </c>
      <c r="AB547" s="21">
        <v>1</v>
      </c>
      <c r="AC547" s="22">
        <f t="shared" si="51"/>
        <v>8.1876589132624286E-2</v>
      </c>
      <c r="AD547" s="22">
        <f t="shared" si="52"/>
        <v>3.050294360838178E-2</v>
      </c>
      <c r="AE547" s="22">
        <f t="shared" si="53"/>
        <v>0.31806615776081426</v>
      </c>
      <c r="AF547" s="7" t="s">
        <v>1643</v>
      </c>
      <c r="AG547" s="7"/>
      <c r="AH547" s="7"/>
      <c r="AI547" s="7"/>
      <c r="AJ547" s="8" t="b">
        <v>0</v>
      </c>
      <c r="AK547" s="28" t="s">
        <v>1644</v>
      </c>
      <c r="AL547" s="28" t="s">
        <v>1645</v>
      </c>
      <c r="AM547" s="28"/>
      <c r="AN547" s="7"/>
      <c r="AO547" s="7">
        <v>0</v>
      </c>
      <c r="AP547" s="8" t="b">
        <v>0</v>
      </c>
      <c r="AQ547" s="28" t="s">
        <v>1646</v>
      </c>
    </row>
    <row r="548" spans="1:43" ht="30">
      <c r="A548" s="7">
        <v>533</v>
      </c>
      <c r="B548" s="7" t="s">
        <v>1559</v>
      </c>
      <c r="C548" s="7" t="s">
        <v>58</v>
      </c>
      <c r="D548" s="7" t="s">
        <v>99</v>
      </c>
      <c r="E548" s="7" t="s">
        <v>1642</v>
      </c>
      <c r="F548" s="7" t="s">
        <v>58</v>
      </c>
      <c r="G548" s="14">
        <v>2784</v>
      </c>
      <c r="H548" s="15">
        <v>1.62</v>
      </c>
      <c r="I548" s="15">
        <v>2.65</v>
      </c>
      <c r="J548" s="15">
        <v>5.2370689655172421E-2</v>
      </c>
      <c r="K548" s="15">
        <v>8.5668103448275856E-2</v>
      </c>
      <c r="L548" s="15">
        <v>38.9</v>
      </c>
      <c r="M548" s="15">
        <v>1.0236842105263158</v>
      </c>
      <c r="N548" s="16">
        <v>5.1159028454924219E-2</v>
      </c>
      <c r="O548" s="16">
        <v>8.3686065065153789E-2</v>
      </c>
      <c r="P548" s="17">
        <f>IFERROR(G548/(G548+Priors!$H$3),0)</f>
        <v>0.73572938689217759</v>
      </c>
      <c r="Q548" s="18">
        <f>IF(E548="Premier League",Priors!$H$4,IF(E548="Championship",Priors!$H$5,Priors!$H$8))</f>
        <v>1</v>
      </c>
      <c r="R548" s="19" t="b">
        <v>0</v>
      </c>
      <c r="S548" s="18">
        <f>IF(R548=TRUE,Priors!$H$6,1)</f>
        <v>1</v>
      </c>
      <c r="T548" s="19" t="b">
        <v>0</v>
      </c>
      <c r="U548" s="18">
        <f>IF(T548=TRUE,Priors!$H$7,1)</f>
        <v>1</v>
      </c>
      <c r="V548" s="18">
        <f t="shared" si="48"/>
        <v>0.73572938689217759</v>
      </c>
      <c r="W548" s="20">
        <f>VLOOKUP(D548,Priors!$A$3:$C$6,2,FALSE)</f>
        <v>4.1142361271531161E-2</v>
      </c>
      <c r="X548" s="20">
        <f>VLOOKUP(D548,Priors!$A$3:$C$6,3,FALSE)</f>
        <v>4.0513079897554365E-2</v>
      </c>
      <c r="Y548" s="20">
        <f t="shared" si="49"/>
        <v>4.8511917677071928E-2</v>
      </c>
      <c r="Z548" s="20">
        <f t="shared" si="50"/>
        <v>7.2276713805217357E-2</v>
      </c>
      <c r="AA548" s="21">
        <v>1</v>
      </c>
      <c r="AB548" s="21">
        <v>1</v>
      </c>
      <c r="AC548" s="22">
        <f t="shared" si="51"/>
        <v>4.8511917677071928E-2</v>
      </c>
      <c r="AD548" s="22">
        <f t="shared" si="52"/>
        <v>7.2276713805217357E-2</v>
      </c>
      <c r="AE548" s="22">
        <f t="shared" si="53"/>
        <v>0.26427061310782241</v>
      </c>
      <c r="AF548" s="7" t="s">
        <v>1643</v>
      </c>
      <c r="AG548" s="7"/>
      <c r="AH548" s="7"/>
      <c r="AI548" s="7"/>
      <c r="AJ548" s="8" t="b">
        <v>0</v>
      </c>
      <c r="AK548" s="28" t="s">
        <v>1644</v>
      </c>
      <c r="AL548" s="28" t="s">
        <v>1645</v>
      </c>
      <c r="AM548" s="28"/>
      <c r="AN548" s="7"/>
      <c r="AO548" s="7">
        <v>0</v>
      </c>
      <c r="AP548" s="8" t="b">
        <v>0</v>
      </c>
      <c r="AQ548" s="28" t="s">
        <v>1646</v>
      </c>
    </row>
    <row r="549" spans="1:43" ht="30">
      <c r="A549" s="7">
        <v>534</v>
      </c>
      <c r="B549" s="7" t="s">
        <v>1561</v>
      </c>
      <c r="C549" s="7" t="s">
        <v>58</v>
      </c>
      <c r="D549" s="7" t="s">
        <v>99</v>
      </c>
      <c r="E549" s="7" t="s">
        <v>1642</v>
      </c>
      <c r="F549" s="7" t="s">
        <v>58</v>
      </c>
      <c r="G549" s="14">
        <v>3032</v>
      </c>
      <c r="H549" s="15">
        <v>2.27</v>
      </c>
      <c r="I549" s="15">
        <v>2.0499999999999998</v>
      </c>
      <c r="J549" s="15">
        <v>6.7381266490765174E-2</v>
      </c>
      <c r="K549" s="15">
        <v>6.0850923482849595E-2</v>
      </c>
      <c r="L549" s="15">
        <v>38.9</v>
      </c>
      <c r="M549" s="15">
        <v>1.0236842105263158</v>
      </c>
      <c r="N549" s="16">
        <v>6.5822316880438991E-2</v>
      </c>
      <c r="O549" s="16">
        <v>5.9443061499955901E-2</v>
      </c>
      <c r="P549" s="17">
        <f>IFERROR(G549/(G549+Priors!$H$3),0)</f>
        <v>0.75198412698412698</v>
      </c>
      <c r="Q549" s="18">
        <f>IF(E549="Premier League",Priors!$H$4,IF(E549="Championship",Priors!$H$5,Priors!$H$8))</f>
        <v>1</v>
      </c>
      <c r="R549" s="19" t="b">
        <v>0</v>
      </c>
      <c r="S549" s="18">
        <f>IF(R549=TRUE,Priors!$H$6,1)</f>
        <v>1</v>
      </c>
      <c r="T549" s="19" t="b">
        <v>0</v>
      </c>
      <c r="U549" s="18">
        <f>IF(T549=TRUE,Priors!$H$7,1)</f>
        <v>1</v>
      </c>
      <c r="V549" s="18">
        <f t="shared" si="48"/>
        <v>0.75198412698412698</v>
      </c>
      <c r="W549" s="20">
        <f>VLOOKUP(D549,Priors!$A$3:$C$6,2,FALSE)</f>
        <v>4.1142361271531161E-2</v>
      </c>
      <c r="X549" s="20">
        <f>VLOOKUP(D549,Priors!$A$3:$C$6,3,FALSE)</f>
        <v>4.0513079897554365E-2</v>
      </c>
      <c r="Y549" s="20">
        <f t="shared" si="49"/>
        <v>5.9701296144102724E-2</v>
      </c>
      <c r="Z549" s="20">
        <f t="shared" si="50"/>
        <v>5.4748125586661874E-2</v>
      </c>
      <c r="AA549" s="21">
        <v>1</v>
      </c>
      <c r="AB549" s="21">
        <v>1</v>
      </c>
      <c r="AC549" s="22">
        <f t="shared" si="51"/>
        <v>5.9701296144102724E-2</v>
      </c>
      <c r="AD549" s="22">
        <f t="shared" si="52"/>
        <v>5.4748125586661874E-2</v>
      </c>
      <c r="AE549" s="22">
        <f t="shared" si="53"/>
        <v>0.24801587301587302</v>
      </c>
      <c r="AF549" s="7" t="s">
        <v>1643</v>
      </c>
      <c r="AG549" s="7"/>
      <c r="AH549" s="7"/>
      <c r="AI549" s="7">
        <v>5</v>
      </c>
      <c r="AJ549" s="8" t="b">
        <v>0</v>
      </c>
      <c r="AK549" s="28" t="s">
        <v>1644</v>
      </c>
      <c r="AL549" s="28" t="s">
        <v>1645</v>
      </c>
      <c r="AM549" s="28"/>
      <c r="AN549" s="7"/>
      <c r="AO549" s="7">
        <v>0</v>
      </c>
      <c r="AP549" s="8" t="b">
        <v>0</v>
      </c>
      <c r="AQ549" s="28" t="s">
        <v>1646</v>
      </c>
    </row>
    <row r="550" spans="1:43" ht="30">
      <c r="A550" s="7">
        <v>535</v>
      </c>
      <c r="B550" s="7" t="s">
        <v>1563</v>
      </c>
      <c r="C550" s="7" t="s">
        <v>58</v>
      </c>
      <c r="D550" s="7" t="s">
        <v>99</v>
      </c>
      <c r="E550" s="7" t="s">
        <v>1642</v>
      </c>
      <c r="F550" s="7" t="s">
        <v>58</v>
      </c>
      <c r="G550" s="14">
        <v>2797</v>
      </c>
      <c r="H550" s="15">
        <v>1.62</v>
      </c>
      <c r="I550" s="15">
        <v>0.91</v>
      </c>
      <c r="J550" s="15">
        <v>5.2127279227744017E-2</v>
      </c>
      <c r="K550" s="15">
        <v>2.9281372899535217E-2</v>
      </c>
      <c r="L550" s="15">
        <v>38.9</v>
      </c>
      <c r="M550" s="15">
        <v>1.0236842105263158</v>
      </c>
      <c r="N550" s="16">
        <v>5.0921249631215235E-2</v>
      </c>
      <c r="O550" s="16">
        <v>2.860391182988016E-2</v>
      </c>
      <c r="P550" s="17">
        <f>IFERROR(G550/(G550+Priors!$H$3),0)</f>
        <v>0.73663418488280219</v>
      </c>
      <c r="Q550" s="18">
        <f>IF(E550="Premier League",Priors!$H$4,IF(E550="Championship",Priors!$H$5,Priors!$H$8))</f>
        <v>1</v>
      </c>
      <c r="R550" s="19" t="b">
        <v>0</v>
      </c>
      <c r="S550" s="18">
        <f>IF(R550=TRUE,Priors!$H$6,1)</f>
        <v>1</v>
      </c>
      <c r="T550" s="19" t="b">
        <v>0</v>
      </c>
      <c r="U550" s="18">
        <f>IF(T550=TRUE,Priors!$H$7,1)</f>
        <v>1</v>
      </c>
      <c r="V550" s="18">
        <f t="shared" si="48"/>
        <v>0.73663418488280219</v>
      </c>
      <c r="W550" s="20">
        <f>VLOOKUP(D550,Priors!$A$3:$C$6,2,FALSE)</f>
        <v>4.1142361271531161E-2</v>
      </c>
      <c r="X550" s="20">
        <f>VLOOKUP(D550,Priors!$A$3:$C$6,3,FALSE)</f>
        <v>4.0513079897554365E-2</v>
      </c>
      <c r="Y550" s="20">
        <f t="shared" si="49"/>
        <v>4.8345824727426961E-2</v>
      </c>
      <c r="Z550" s="20">
        <f t="shared" si="50"/>
        <v>3.1740379585390881E-2</v>
      </c>
      <c r="AA550" s="21">
        <v>1</v>
      </c>
      <c r="AB550" s="21">
        <v>1</v>
      </c>
      <c r="AC550" s="22">
        <f t="shared" si="51"/>
        <v>4.8345824727426961E-2</v>
      </c>
      <c r="AD550" s="22">
        <f t="shared" si="52"/>
        <v>3.1740379585390881E-2</v>
      </c>
      <c r="AE550" s="22">
        <f t="shared" si="53"/>
        <v>0.26336581511719781</v>
      </c>
      <c r="AF550" s="7" t="s">
        <v>1643</v>
      </c>
      <c r="AG550" s="7"/>
      <c r="AH550" s="7"/>
      <c r="AI550" s="7"/>
      <c r="AJ550" s="8" t="b">
        <v>0</v>
      </c>
      <c r="AK550" s="28" t="s">
        <v>1644</v>
      </c>
      <c r="AL550" s="28" t="s">
        <v>1645</v>
      </c>
      <c r="AM550" s="28"/>
      <c r="AN550" s="7"/>
      <c r="AO550" s="7">
        <v>0</v>
      </c>
      <c r="AP550" s="8" t="b">
        <v>0</v>
      </c>
      <c r="AQ550" s="28" t="s">
        <v>1646</v>
      </c>
    </row>
    <row r="551" spans="1:43" ht="30">
      <c r="A551" s="7">
        <v>536</v>
      </c>
      <c r="B551" s="7" t="s">
        <v>1565</v>
      </c>
      <c r="C551" s="7" t="s">
        <v>58</v>
      </c>
      <c r="D551" s="7" t="s">
        <v>99</v>
      </c>
      <c r="E551" s="7" t="s">
        <v>1642</v>
      </c>
      <c r="F551" s="7" t="s">
        <v>58</v>
      </c>
      <c r="G551" s="14">
        <v>1966</v>
      </c>
      <c r="H551" s="15">
        <v>0.13</v>
      </c>
      <c r="I551" s="15">
        <v>0.62</v>
      </c>
      <c r="J551" s="15">
        <v>5.9511698880976606E-3</v>
      </c>
      <c r="K551" s="15">
        <v>2.8382502543234992E-2</v>
      </c>
      <c r="L551" s="15">
        <v>38.9</v>
      </c>
      <c r="M551" s="15">
        <v>1.0236842105263158</v>
      </c>
      <c r="N551" s="16">
        <v>5.8134821528974577E-3</v>
      </c>
      <c r="O551" s="16">
        <v>2.7725837959972487E-2</v>
      </c>
      <c r="P551" s="17">
        <f>IFERROR(G551/(G551+Priors!$H$3),0)</f>
        <v>0.66284558327714094</v>
      </c>
      <c r="Q551" s="18">
        <f>IF(E551="Premier League",Priors!$H$4,IF(E551="Championship",Priors!$H$5,Priors!$H$8))</f>
        <v>1</v>
      </c>
      <c r="R551" s="19" t="b">
        <v>0</v>
      </c>
      <c r="S551" s="18">
        <f>IF(R551=TRUE,Priors!$H$6,1)</f>
        <v>1</v>
      </c>
      <c r="T551" s="19" t="b">
        <v>0</v>
      </c>
      <c r="U551" s="18">
        <f>IF(T551=TRUE,Priors!$H$7,1)</f>
        <v>1</v>
      </c>
      <c r="V551" s="18">
        <f t="shared" si="48"/>
        <v>0.66284558327714094</v>
      </c>
      <c r="W551" s="20">
        <f>VLOOKUP(D551,Priors!$A$3:$C$6,2,FALSE)</f>
        <v>4.1142361271531161E-2</v>
      </c>
      <c r="X551" s="20">
        <f>VLOOKUP(D551,Priors!$A$3:$C$6,3,FALSE)</f>
        <v>4.0513079897554365E-2</v>
      </c>
      <c r="Y551" s="20">
        <f t="shared" si="49"/>
        <v>1.7724769785612798E-2</v>
      </c>
      <c r="Z551" s="20">
        <f t="shared" si="50"/>
        <v>3.2037113056931986E-2</v>
      </c>
      <c r="AA551" s="21">
        <v>1</v>
      </c>
      <c r="AB551" s="21">
        <v>1</v>
      </c>
      <c r="AC551" s="22">
        <f t="shared" si="51"/>
        <v>1.7724769785612798E-2</v>
      </c>
      <c r="AD551" s="22">
        <f t="shared" si="52"/>
        <v>3.2037113056931986E-2</v>
      </c>
      <c r="AE551" s="22">
        <f t="shared" si="53"/>
        <v>0.33715441672285906</v>
      </c>
      <c r="AF551" s="7" t="s">
        <v>1643</v>
      </c>
      <c r="AG551" s="7"/>
      <c r="AH551" s="7"/>
      <c r="AI551" s="7"/>
      <c r="AJ551" s="8" t="b">
        <v>0</v>
      </c>
      <c r="AK551" s="28" t="s">
        <v>1644</v>
      </c>
      <c r="AL551" s="28" t="s">
        <v>1645</v>
      </c>
      <c r="AM551" s="28"/>
      <c r="AN551" s="7"/>
      <c r="AO551" s="7">
        <v>0</v>
      </c>
      <c r="AP551" s="8" t="b">
        <v>0</v>
      </c>
      <c r="AQ551" s="28" t="s">
        <v>1646</v>
      </c>
    </row>
    <row r="552" spans="1:43" ht="30">
      <c r="A552" s="7">
        <v>537</v>
      </c>
      <c r="B552" s="7" t="s">
        <v>1567</v>
      </c>
      <c r="C552" s="7" t="s">
        <v>58</v>
      </c>
      <c r="D552" s="7" t="s">
        <v>99</v>
      </c>
      <c r="E552" s="7" t="s">
        <v>1642</v>
      </c>
      <c r="F552" s="7" t="s">
        <v>58</v>
      </c>
      <c r="G552" s="14">
        <v>133</v>
      </c>
      <c r="H552" s="15">
        <v>0</v>
      </c>
      <c r="I552" s="15">
        <v>0.01</v>
      </c>
      <c r="J552" s="15">
        <v>0</v>
      </c>
      <c r="K552" s="15">
        <v>6.7669172932330827E-3</v>
      </c>
      <c r="L552" s="15">
        <v>38.9</v>
      </c>
      <c r="M552" s="15">
        <v>1.0236842105263158</v>
      </c>
      <c r="N552" s="16">
        <v>0</v>
      </c>
      <c r="O552" s="16">
        <v>6.6103562247521123E-3</v>
      </c>
      <c r="P552" s="17">
        <f>IFERROR(G552/(G552+Priors!$H$3),0)</f>
        <v>0.11738746690203</v>
      </c>
      <c r="Q552" s="18">
        <f>IF(E552="Premier League",Priors!$H$4,IF(E552="Championship",Priors!$H$5,Priors!$H$8))</f>
        <v>1</v>
      </c>
      <c r="R552" s="19" t="b">
        <v>0</v>
      </c>
      <c r="S552" s="18">
        <f>IF(R552=TRUE,Priors!$H$6,1)</f>
        <v>1</v>
      </c>
      <c r="T552" s="19" t="b">
        <v>0</v>
      </c>
      <c r="U552" s="18">
        <f>IF(T552=TRUE,Priors!$H$7,1)</f>
        <v>1</v>
      </c>
      <c r="V552" s="18">
        <f t="shared" si="48"/>
        <v>0.11738746690203</v>
      </c>
      <c r="W552" s="20">
        <f>VLOOKUP(D552,Priors!$A$3:$C$6,2,FALSE)</f>
        <v>4.1142361271531161E-2</v>
      </c>
      <c r="X552" s="20">
        <f>VLOOKUP(D552,Priors!$A$3:$C$6,3,FALSE)</f>
        <v>4.0513079897554365E-2</v>
      </c>
      <c r="Y552" s="20">
        <f t="shared" si="49"/>
        <v>3.6312763699497937E-2</v>
      </c>
      <c r="Z552" s="20">
        <f t="shared" si="50"/>
        <v>3.6533325044524619E-2</v>
      </c>
      <c r="AA552" s="21">
        <v>1</v>
      </c>
      <c r="AB552" s="21">
        <v>1</v>
      </c>
      <c r="AC552" s="22">
        <f t="shared" si="51"/>
        <v>3.6312763699497937E-2</v>
      </c>
      <c r="AD552" s="22">
        <f t="shared" si="52"/>
        <v>3.6533325044524619E-2</v>
      </c>
      <c r="AE552" s="22">
        <f t="shared" si="53"/>
        <v>0.88261253309796994</v>
      </c>
      <c r="AF552" s="7" t="s">
        <v>1643</v>
      </c>
      <c r="AG552" s="7"/>
      <c r="AH552" s="7"/>
      <c r="AI552" s="7"/>
      <c r="AJ552" s="8" t="b">
        <v>1</v>
      </c>
      <c r="AK552" s="28" t="s">
        <v>1644</v>
      </c>
      <c r="AL552" s="28" t="s">
        <v>1645</v>
      </c>
      <c r="AM552" s="28"/>
      <c r="AN552" s="7"/>
      <c r="AO552" s="7">
        <v>0</v>
      </c>
      <c r="AP552" s="8" t="b">
        <v>0</v>
      </c>
      <c r="AQ552" s="28" t="s">
        <v>1646</v>
      </c>
    </row>
    <row r="553" spans="1:43" ht="15">
      <c r="A553" s="7">
        <v>538</v>
      </c>
      <c r="B553" s="7" t="s">
        <v>1569</v>
      </c>
      <c r="C553" s="7" t="s">
        <v>58</v>
      </c>
      <c r="D553" s="7" t="s">
        <v>99</v>
      </c>
      <c r="E553" s="7" t="s">
        <v>1647</v>
      </c>
      <c r="F553" s="7"/>
      <c r="G553" s="14"/>
      <c r="H553" s="15"/>
      <c r="I553" s="15"/>
      <c r="J553" s="15"/>
      <c r="K553" s="15"/>
      <c r="L553" s="15"/>
      <c r="M553" s="15"/>
      <c r="N553" s="16"/>
      <c r="O553" s="16"/>
      <c r="P553" s="17">
        <f>IFERROR(G553/(G553+Priors!$H$3),0)</f>
        <v>0</v>
      </c>
      <c r="Q553" s="18">
        <f>IF(E553="Premier League",Priors!$H$4,IF(E553="Championship",Priors!$H$5,Priors!$H$8))</f>
        <v>0</v>
      </c>
      <c r="R553" s="19" t="b">
        <v>0</v>
      </c>
      <c r="S553" s="18">
        <f>IF(R553=TRUE,Priors!$H$6,1)</f>
        <v>1</v>
      </c>
      <c r="T553" s="19" t="b">
        <v>0</v>
      </c>
      <c r="U553" s="18">
        <f>IF(T553=TRUE,Priors!$H$7,1)</f>
        <v>1</v>
      </c>
      <c r="V553" s="18">
        <f t="shared" si="48"/>
        <v>0</v>
      </c>
      <c r="W553" s="20">
        <f>VLOOKUP(D553,Priors!$A$3:$C$6,2,FALSE)</f>
        <v>4.1142361271531161E-2</v>
      </c>
      <c r="X553" s="20">
        <f>VLOOKUP(D553,Priors!$A$3:$C$6,3,FALSE)</f>
        <v>4.0513079897554365E-2</v>
      </c>
      <c r="Y553" s="20">
        <f t="shared" si="49"/>
        <v>4.1142361271531161E-2</v>
      </c>
      <c r="Z553" s="20">
        <f t="shared" si="50"/>
        <v>4.0513079897554365E-2</v>
      </c>
      <c r="AA553" s="21">
        <v>1</v>
      </c>
      <c r="AB553" s="21">
        <v>1</v>
      </c>
      <c r="AC553" s="22">
        <f t="shared" si="51"/>
        <v>4.1142361271531161E-2</v>
      </c>
      <c r="AD553" s="22">
        <f t="shared" si="52"/>
        <v>4.0513079897554365E-2</v>
      </c>
      <c r="AE553" s="22">
        <f t="shared" si="53"/>
        <v>1</v>
      </c>
      <c r="AF553" s="7" t="s">
        <v>1647</v>
      </c>
      <c r="AG553" s="7"/>
      <c r="AH553" s="7"/>
      <c r="AI553" s="7"/>
      <c r="AJ553" s="8" t="b">
        <v>1</v>
      </c>
      <c r="AK553" s="28" t="s">
        <v>1648</v>
      </c>
      <c r="AL553" s="28"/>
      <c r="AM553" s="28"/>
      <c r="AN553" s="7"/>
      <c r="AO553" s="7">
        <v>0</v>
      </c>
      <c r="AP553" s="8" t="b">
        <v>0</v>
      </c>
      <c r="AQ553" s="28" t="s">
        <v>1646</v>
      </c>
    </row>
    <row r="554" spans="1:43" ht="30">
      <c r="A554" s="7">
        <v>539</v>
      </c>
      <c r="B554" s="7" t="s">
        <v>1571</v>
      </c>
      <c r="C554" s="7" t="s">
        <v>58</v>
      </c>
      <c r="D554" s="7" t="s">
        <v>99</v>
      </c>
      <c r="E554" s="7" t="s">
        <v>1642</v>
      </c>
      <c r="F554" s="7" t="s">
        <v>58</v>
      </c>
      <c r="G554" s="14">
        <v>565</v>
      </c>
      <c r="H554" s="15">
        <v>0.15</v>
      </c>
      <c r="I554" s="15">
        <v>0.13</v>
      </c>
      <c r="J554" s="15">
        <v>2.3893805309734513E-2</v>
      </c>
      <c r="K554" s="15">
        <v>2.0707964601769914E-2</v>
      </c>
      <c r="L554" s="15">
        <v>38.9</v>
      </c>
      <c r="M554" s="15">
        <v>1.0236842105263158</v>
      </c>
      <c r="N554" s="16">
        <v>2.334099233341675E-2</v>
      </c>
      <c r="O554" s="16">
        <v>2.0228860022294518E-2</v>
      </c>
      <c r="P554" s="17">
        <f>IFERROR(G554/(G554+Priors!$H$3),0)</f>
        <v>0.36102236421725242</v>
      </c>
      <c r="Q554" s="18">
        <f>IF(E554="Premier League",Priors!$H$4,IF(E554="Championship",Priors!$H$5,Priors!$H$8))</f>
        <v>1</v>
      </c>
      <c r="R554" s="19" t="b">
        <v>0</v>
      </c>
      <c r="S554" s="18">
        <f>IF(R554=TRUE,Priors!$H$6,1)</f>
        <v>1</v>
      </c>
      <c r="T554" s="19" t="b">
        <v>0</v>
      </c>
      <c r="U554" s="18">
        <f>IF(T554=TRUE,Priors!$H$7,1)</f>
        <v>1</v>
      </c>
      <c r="V554" s="18">
        <f t="shared" si="48"/>
        <v>0.36102236421725242</v>
      </c>
      <c r="W554" s="20">
        <f>VLOOKUP(D554,Priors!$A$3:$C$6,2,FALSE)</f>
        <v>4.1142361271531161E-2</v>
      </c>
      <c r="X554" s="20">
        <f>VLOOKUP(D554,Priors!$A$3:$C$6,3,FALSE)</f>
        <v>4.0513079897554365E-2</v>
      </c>
      <c r="Y554" s="20">
        <f t="shared" si="49"/>
        <v>3.4715668971189537E-2</v>
      </c>
      <c r="Z554" s="20">
        <f t="shared" si="50"/>
        <v>3.3190022881885474E-2</v>
      </c>
      <c r="AA554" s="21">
        <v>1</v>
      </c>
      <c r="AB554" s="21">
        <v>1</v>
      </c>
      <c r="AC554" s="22">
        <f t="shared" si="51"/>
        <v>3.4715668971189537E-2</v>
      </c>
      <c r="AD554" s="22">
        <f t="shared" si="52"/>
        <v>3.3190022881885474E-2</v>
      </c>
      <c r="AE554" s="22">
        <f t="shared" si="53"/>
        <v>0.63897763578274758</v>
      </c>
      <c r="AF554" s="7" t="s">
        <v>1643</v>
      </c>
      <c r="AG554" s="7"/>
      <c r="AH554" s="7"/>
      <c r="AI554" s="7"/>
      <c r="AJ554" s="8" t="b">
        <v>1</v>
      </c>
      <c r="AK554" s="28" t="s">
        <v>1644</v>
      </c>
      <c r="AL554" s="28" t="s">
        <v>1645</v>
      </c>
      <c r="AM554" s="28"/>
      <c r="AN554" s="7"/>
      <c r="AO554" s="7">
        <v>0</v>
      </c>
      <c r="AP554" s="8" t="b">
        <v>0</v>
      </c>
      <c r="AQ554" s="28" t="s">
        <v>1646</v>
      </c>
    </row>
    <row r="555" spans="1:43" ht="30">
      <c r="A555" s="7">
        <v>540</v>
      </c>
      <c r="B555" s="7" t="s">
        <v>1574</v>
      </c>
      <c r="C555" s="7" t="s">
        <v>58</v>
      </c>
      <c r="D555" s="7" t="s">
        <v>99</v>
      </c>
      <c r="E555" s="7" t="s">
        <v>1642</v>
      </c>
      <c r="F555" s="7" t="s">
        <v>58</v>
      </c>
      <c r="G555" s="14">
        <v>125</v>
      </c>
      <c r="H555" s="15">
        <v>7.0000000000000007E-2</v>
      </c>
      <c r="I555" s="15">
        <v>0.08</v>
      </c>
      <c r="J555" s="15">
        <v>5.0400000000000007E-2</v>
      </c>
      <c r="K555" s="15">
        <v>5.7599999999999998E-2</v>
      </c>
      <c r="L555" s="15">
        <v>38.9</v>
      </c>
      <c r="M555" s="15">
        <v>1.0236842105263158</v>
      </c>
      <c r="N555" s="16">
        <v>4.9233933161953736E-2</v>
      </c>
      <c r="O555" s="16">
        <v>5.6267352185089978E-2</v>
      </c>
      <c r="P555" s="17">
        <f>IFERROR(G555/(G555+Priors!$H$3),0)</f>
        <v>0.1111111111111111</v>
      </c>
      <c r="Q555" s="18">
        <f>IF(E555="Premier League",Priors!$H$4,IF(E555="Championship",Priors!$H$5,Priors!$H$8))</f>
        <v>1</v>
      </c>
      <c r="R555" s="19" t="b">
        <v>0</v>
      </c>
      <c r="S555" s="18">
        <f>IF(R555=TRUE,Priors!$H$6,1)</f>
        <v>1</v>
      </c>
      <c r="T555" s="19" t="b">
        <v>0</v>
      </c>
      <c r="U555" s="18">
        <f>IF(T555=TRUE,Priors!$H$7,1)</f>
        <v>1</v>
      </c>
      <c r="V555" s="18">
        <f t="shared" si="48"/>
        <v>0.1111111111111111</v>
      </c>
      <c r="W555" s="20">
        <f>VLOOKUP(D555,Priors!$A$3:$C$6,2,FALSE)</f>
        <v>4.1142361271531161E-2</v>
      </c>
      <c r="X555" s="20">
        <f>VLOOKUP(D555,Priors!$A$3:$C$6,3,FALSE)</f>
        <v>4.0513079897554365E-2</v>
      </c>
      <c r="Y555" s="20">
        <f t="shared" si="49"/>
        <v>4.2041424814911445E-2</v>
      </c>
      <c r="Z555" s="20">
        <f t="shared" si="50"/>
        <v>4.2263554596169428E-2</v>
      </c>
      <c r="AA555" s="21">
        <v>1</v>
      </c>
      <c r="AB555" s="21">
        <v>1</v>
      </c>
      <c r="AC555" s="22">
        <f t="shared" si="51"/>
        <v>4.2041424814911445E-2</v>
      </c>
      <c r="AD555" s="22">
        <f t="shared" si="52"/>
        <v>4.2263554596169428E-2</v>
      </c>
      <c r="AE555" s="22">
        <f t="shared" si="53"/>
        <v>0.88888888888888884</v>
      </c>
      <c r="AF555" s="7" t="s">
        <v>1643</v>
      </c>
      <c r="AG555" s="7"/>
      <c r="AH555" s="7"/>
      <c r="AI555" s="7"/>
      <c r="AJ555" s="8" t="b">
        <v>1</v>
      </c>
      <c r="AK555" s="28" t="s">
        <v>1644</v>
      </c>
      <c r="AL555" s="28" t="s">
        <v>1645</v>
      </c>
      <c r="AM555" s="28"/>
      <c r="AN555" s="7"/>
      <c r="AO555" s="7"/>
      <c r="AP555" s="7"/>
      <c r="AQ555" s="28" t="s">
        <v>1650</v>
      </c>
    </row>
    <row r="556" spans="1:43" ht="15">
      <c r="A556" s="7">
        <v>541</v>
      </c>
      <c r="B556" s="7" t="s">
        <v>1577</v>
      </c>
      <c r="C556" s="7" t="s">
        <v>58</v>
      </c>
      <c r="D556" s="7" t="s">
        <v>99</v>
      </c>
      <c r="E556" s="7" t="s">
        <v>1647</v>
      </c>
      <c r="F556" s="7"/>
      <c r="G556" s="14"/>
      <c r="H556" s="15"/>
      <c r="I556" s="15"/>
      <c r="J556" s="15"/>
      <c r="K556" s="15"/>
      <c r="L556" s="15"/>
      <c r="M556" s="15"/>
      <c r="N556" s="16"/>
      <c r="O556" s="16"/>
      <c r="P556" s="17">
        <f>IFERROR(G556/(G556+Priors!$H$3),0)</f>
        <v>0</v>
      </c>
      <c r="Q556" s="18">
        <f>IF(E556="Premier League",Priors!$H$4,IF(E556="Championship",Priors!$H$5,Priors!$H$8))</f>
        <v>0</v>
      </c>
      <c r="R556" s="19" t="b">
        <v>0</v>
      </c>
      <c r="S556" s="18">
        <f>IF(R556=TRUE,Priors!$H$6,1)</f>
        <v>1</v>
      </c>
      <c r="T556" s="19" t="b">
        <v>0</v>
      </c>
      <c r="U556" s="18">
        <f>IF(T556=TRUE,Priors!$H$7,1)</f>
        <v>1</v>
      </c>
      <c r="V556" s="18">
        <f t="shared" si="48"/>
        <v>0</v>
      </c>
      <c r="W556" s="20">
        <f>VLOOKUP(D556,Priors!$A$3:$C$6,2,FALSE)</f>
        <v>4.1142361271531161E-2</v>
      </c>
      <c r="X556" s="20">
        <f>VLOOKUP(D556,Priors!$A$3:$C$6,3,FALSE)</f>
        <v>4.0513079897554365E-2</v>
      </c>
      <c r="Y556" s="20">
        <f t="shared" si="49"/>
        <v>4.1142361271531161E-2</v>
      </c>
      <c r="Z556" s="20">
        <f t="shared" si="50"/>
        <v>4.0513079897554365E-2</v>
      </c>
      <c r="AA556" s="21">
        <v>1</v>
      </c>
      <c r="AB556" s="21">
        <v>1</v>
      </c>
      <c r="AC556" s="22">
        <f t="shared" si="51"/>
        <v>4.1142361271531161E-2</v>
      </c>
      <c r="AD556" s="22">
        <f t="shared" si="52"/>
        <v>4.0513079897554365E-2</v>
      </c>
      <c r="AE556" s="22">
        <f t="shared" si="53"/>
        <v>1</v>
      </c>
      <c r="AF556" s="7" t="s">
        <v>1647</v>
      </c>
      <c r="AG556" s="7"/>
      <c r="AH556" s="7"/>
      <c r="AI556" s="7"/>
      <c r="AJ556" s="8" t="b">
        <v>1</v>
      </c>
      <c r="AK556" s="28" t="s">
        <v>1648</v>
      </c>
      <c r="AL556" s="28"/>
      <c r="AM556" s="28"/>
      <c r="AN556" s="7"/>
      <c r="AO556" s="7">
        <v>0</v>
      </c>
      <c r="AP556" s="8" t="b">
        <v>0</v>
      </c>
      <c r="AQ556" s="28" t="s">
        <v>1646</v>
      </c>
    </row>
    <row r="557" spans="1:43" ht="30">
      <c r="A557" s="7">
        <v>542</v>
      </c>
      <c r="B557" s="7" t="s">
        <v>1580</v>
      </c>
      <c r="C557" s="7" t="s">
        <v>58</v>
      </c>
      <c r="D557" s="7" t="s">
        <v>112</v>
      </c>
      <c r="E557" s="7" t="s">
        <v>1642</v>
      </c>
      <c r="F557" s="7" t="s">
        <v>58</v>
      </c>
      <c r="G557" s="14">
        <v>2930</v>
      </c>
      <c r="H557" s="15">
        <v>5.22</v>
      </c>
      <c r="I557" s="15">
        <v>5.95</v>
      </c>
      <c r="J557" s="15">
        <v>0.16034129692832763</v>
      </c>
      <c r="K557" s="15">
        <v>0.18276450511945391</v>
      </c>
      <c r="L557" s="15">
        <v>38.9</v>
      </c>
      <c r="M557" s="15">
        <v>1.0236842105263158</v>
      </c>
      <c r="N557" s="16">
        <v>0.15663160111250515</v>
      </c>
      <c r="O557" s="16">
        <v>0.1785360204251735</v>
      </c>
      <c r="P557" s="17">
        <f>IFERROR(G557/(G557+Priors!$H$3),0)</f>
        <v>0.74554707379134855</v>
      </c>
      <c r="Q557" s="18">
        <f>IF(E557="Premier League",Priors!$H$4,IF(E557="Championship",Priors!$H$5,Priors!$H$8))</f>
        <v>1</v>
      </c>
      <c r="R557" s="19" t="b">
        <v>0</v>
      </c>
      <c r="S557" s="18">
        <f>IF(R557=TRUE,Priors!$H$6,1)</f>
        <v>1</v>
      </c>
      <c r="T557" s="19" t="b">
        <v>0</v>
      </c>
      <c r="U557" s="18">
        <f>IF(T557=TRUE,Priors!$H$7,1)</f>
        <v>1</v>
      </c>
      <c r="V557" s="18">
        <f t="shared" si="48"/>
        <v>0.74554707379134855</v>
      </c>
      <c r="W557" s="20">
        <f>VLOOKUP(D557,Priors!$A$3:$C$6,2,FALSE)</f>
        <v>0.10751786102217777</v>
      </c>
      <c r="X557" s="20">
        <f>VLOOKUP(D557,Priors!$A$3:$C$6,3,FALSE)</f>
        <v>9.0240671969462088E-2</v>
      </c>
      <c r="Y557" s="20">
        <f t="shared" si="49"/>
        <v>0.14413446622947018</v>
      </c>
      <c r="Z557" s="20">
        <f t="shared" si="50"/>
        <v>0.1560690106400052</v>
      </c>
      <c r="AA557" s="21">
        <v>1</v>
      </c>
      <c r="AB557" s="21">
        <v>1</v>
      </c>
      <c r="AC557" s="22">
        <f t="shared" si="51"/>
        <v>0.14413446622947018</v>
      </c>
      <c r="AD557" s="22">
        <f t="shared" si="52"/>
        <v>0.1560690106400052</v>
      </c>
      <c r="AE557" s="22">
        <f t="shared" si="53"/>
        <v>0.25445292620865145</v>
      </c>
      <c r="AF557" s="7" t="s">
        <v>1643</v>
      </c>
      <c r="AG557" s="7">
        <v>2</v>
      </c>
      <c r="AH557" s="7">
        <v>2</v>
      </c>
      <c r="AI557" s="7">
        <v>6</v>
      </c>
      <c r="AJ557" s="8" t="b">
        <v>0</v>
      </c>
      <c r="AK557" s="28" t="s">
        <v>1644</v>
      </c>
      <c r="AL557" s="28" t="s">
        <v>1645</v>
      </c>
      <c r="AM557" s="28"/>
      <c r="AN557" s="7"/>
      <c r="AO557" s="7">
        <v>0</v>
      </c>
      <c r="AP557" s="8" t="b">
        <v>0</v>
      </c>
      <c r="AQ557" s="28" t="s">
        <v>1646</v>
      </c>
    </row>
    <row r="558" spans="1:43" ht="30">
      <c r="A558" s="7">
        <v>543</v>
      </c>
      <c r="B558" s="7" t="s">
        <v>1582</v>
      </c>
      <c r="C558" s="7" t="s">
        <v>58</v>
      </c>
      <c r="D558" s="7" t="s">
        <v>112</v>
      </c>
      <c r="E558" s="7" t="s">
        <v>1642</v>
      </c>
      <c r="F558" s="7" t="s">
        <v>58</v>
      </c>
      <c r="G558" s="14">
        <v>1403</v>
      </c>
      <c r="H558" s="15">
        <v>3.27</v>
      </c>
      <c r="I558" s="15">
        <v>0.85</v>
      </c>
      <c r="J558" s="15">
        <v>0.20976478973627941</v>
      </c>
      <c r="K558" s="15">
        <v>5.4526015680684249E-2</v>
      </c>
      <c r="L558" s="15">
        <v>38.9</v>
      </c>
      <c r="M558" s="15">
        <v>1.0236842105263158</v>
      </c>
      <c r="N558" s="16">
        <v>0.2049116197937948</v>
      </c>
      <c r="O558" s="16">
        <v>5.3264488325604153E-2</v>
      </c>
      <c r="P558" s="17">
        <f>IFERROR(G558/(G558+Priors!$H$3),0)</f>
        <v>0.58385351643778605</v>
      </c>
      <c r="Q558" s="18">
        <f>IF(E558="Premier League",Priors!$H$4,IF(E558="Championship",Priors!$H$5,Priors!$H$8))</f>
        <v>1</v>
      </c>
      <c r="R558" s="19" t="b">
        <v>0</v>
      </c>
      <c r="S558" s="18">
        <f>IF(R558=TRUE,Priors!$H$6,1)</f>
        <v>1</v>
      </c>
      <c r="T558" s="19" t="b">
        <v>0</v>
      </c>
      <c r="U558" s="18">
        <f>IF(T558=TRUE,Priors!$H$7,1)</f>
        <v>1</v>
      </c>
      <c r="V558" s="18">
        <f t="shared" si="48"/>
        <v>0.58385351643778605</v>
      </c>
      <c r="W558" s="20">
        <f>VLOOKUP(D558,Priors!$A$3:$C$6,2,FALSE)</f>
        <v>0.10751786102217777</v>
      </c>
      <c r="X558" s="20">
        <f>VLOOKUP(D558,Priors!$A$3:$C$6,3,FALSE)</f>
        <v>9.0240671969462088E-2</v>
      </c>
      <c r="Y558" s="20">
        <f t="shared" si="49"/>
        <v>0.16438154956007983</v>
      </c>
      <c r="Z558" s="20">
        <f t="shared" si="50"/>
        <v>6.8651997124546282E-2</v>
      </c>
      <c r="AA558" s="21">
        <v>1</v>
      </c>
      <c r="AB558" s="21">
        <v>1</v>
      </c>
      <c r="AC558" s="22">
        <f t="shared" si="51"/>
        <v>0.16438154956007983</v>
      </c>
      <c r="AD558" s="22">
        <f t="shared" si="52"/>
        <v>6.8651997124546282E-2</v>
      </c>
      <c r="AE558" s="22">
        <f t="shared" si="53"/>
        <v>0.41614648356221395</v>
      </c>
      <c r="AF558" s="7" t="s">
        <v>1643</v>
      </c>
      <c r="AG558" s="7">
        <v>1</v>
      </c>
      <c r="AH558" s="7"/>
      <c r="AI558" s="7"/>
      <c r="AJ558" s="8" t="b">
        <v>0</v>
      </c>
      <c r="AK558" s="28" t="s">
        <v>1644</v>
      </c>
      <c r="AL558" s="28" t="s">
        <v>1645</v>
      </c>
      <c r="AM558" s="28"/>
      <c r="AN558" s="7"/>
      <c r="AO558" s="7"/>
      <c r="AP558" s="7"/>
      <c r="AQ558" s="28" t="s">
        <v>1650</v>
      </c>
    </row>
    <row r="559" spans="1:43" ht="30">
      <c r="A559" s="7">
        <v>544</v>
      </c>
      <c r="B559" s="7" t="s">
        <v>1584</v>
      </c>
      <c r="C559" s="7" t="s">
        <v>58</v>
      </c>
      <c r="D559" s="7" t="s">
        <v>112</v>
      </c>
      <c r="E559" s="7" t="s">
        <v>1642</v>
      </c>
      <c r="F559" s="7" t="s">
        <v>58</v>
      </c>
      <c r="G559" s="14">
        <v>2901</v>
      </c>
      <c r="H559" s="15">
        <v>1.01</v>
      </c>
      <c r="I559" s="15">
        <v>3.73</v>
      </c>
      <c r="J559" s="15">
        <v>3.1334022750775598E-2</v>
      </c>
      <c r="K559" s="15">
        <v>0.11571871768355739</v>
      </c>
      <c r="L559" s="15">
        <v>38.9</v>
      </c>
      <c r="M559" s="15">
        <v>1.0236842105263158</v>
      </c>
      <c r="N559" s="16">
        <v>3.0609071067595701E-2</v>
      </c>
      <c r="O559" s="16">
        <v>0.11304142087339797</v>
      </c>
      <c r="P559" s="17">
        <f>IFERROR(G559/(G559+Priors!$H$3),0)</f>
        <v>0.74365547295565237</v>
      </c>
      <c r="Q559" s="18">
        <f>IF(E559="Premier League",Priors!$H$4,IF(E559="Championship",Priors!$H$5,Priors!$H$8))</f>
        <v>1</v>
      </c>
      <c r="R559" s="19" t="b">
        <v>0</v>
      </c>
      <c r="S559" s="18">
        <f>IF(R559=TRUE,Priors!$H$6,1)</f>
        <v>1</v>
      </c>
      <c r="T559" s="19" t="b">
        <v>0</v>
      </c>
      <c r="U559" s="18">
        <f>IF(T559=TRUE,Priors!$H$7,1)</f>
        <v>1</v>
      </c>
      <c r="V559" s="18">
        <f t="shared" si="48"/>
        <v>0.74365547295565237</v>
      </c>
      <c r="W559" s="20">
        <f>VLOOKUP(D559,Priors!$A$3:$C$6,2,FALSE)</f>
        <v>0.10751786102217777</v>
      </c>
      <c r="X559" s="20">
        <f>VLOOKUP(D559,Priors!$A$3:$C$6,3,FALSE)</f>
        <v>9.0240671969462088E-2</v>
      </c>
      <c r="Y559" s="20">
        <f t="shared" si="49"/>
        <v>5.0324218454056116E-2</v>
      </c>
      <c r="Z559" s="20">
        <f t="shared" si="50"/>
        <v>0.1071965736793616</v>
      </c>
      <c r="AA559" s="21">
        <v>1</v>
      </c>
      <c r="AB559" s="21">
        <v>1</v>
      </c>
      <c r="AC559" s="22">
        <f t="shared" si="51"/>
        <v>5.0324218454056116E-2</v>
      </c>
      <c r="AD559" s="22">
        <f t="shared" si="52"/>
        <v>0.1071965736793616</v>
      </c>
      <c r="AE559" s="22">
        <f t="shared" si="53"/>
        <v>0.25634452704434763</v>
      </c>
      <c r="AF559" s="7" t="s">
        <v>1643</v>
      </c>
      <c r="AG559" s="7"/>
      <c r="AH559" s="7">
        <v>1</v>
      </c>
      <c r="AI559" s="7">
        <v>4</v>
      </c>
      <c r="AJ559" s="8" t="b">
        <v>0</v>
      </c>
      <c r="AK559" s="28" t="s">
        <v>1644</v>
      </c>
      <c r="AL559" s="28" t="s">
        <v>1645</v>
      </c>
      <c r="AM559" s="28"/>
      <c r="AN559" s="7"/>
      <c r="AO559" s="7"/>
      <c r="AP559" s="7"/>
      <c r="AQ559" s="28" t="s">
        <v>1650</v>
      </c>
    </row>
    <row r="560" spans="1:43" ht="30">
      <c r="A560" s="7">
        <v>545</v>
      </c>
      <c r="B560" s="7" t="s">
        <v>1587</v>
      </c>
      <c r="C560" s="7" t="s">
        <v>58</v>
      </c>
      <c r="D560" s="7" t="s">
        <v>112</v>
      </c>
      <c r="E560" s="7" t="s">
        <v>1642</v>
      </c>
      <c r="F560" s="7" t="s">
        <v>58</v>
      </c>
      <c r="G560" s="14">
        <v>2891</v>
      </c>
      <c r="H560" s="15">
        <v>1.43</v>
      </c>
      <c r="I560" s="15">
        <v>1.46</v>
      </c>
      <c r="J560" s="15">
        <v>4.4517468004150809E-2</v>
      </c>
      <c r="K560" s="15">
        <v>4.5451400899342791E-2</v>
      </c>
      <c r="L560" s="15">
        <v>38.9</v>
      </c>
      <c r="M560" s="15">
        <v>1.0236842105263158</v>
      </c>
      <c r="N560" s="16">
        <v>4.3487500878090765E-2</v>
      </c>
      <c r="O560" s="16">
        <v>4.4399826071337432E-2</v>
      </c>
      <c r="P560" s="17">
        <f>IFERROR(G560/(G560+Priors!$H$3),0)</f>
        <v>0.74299665895656641</v>
      </c>
      <c r="Q560" s="18">
        <f>IF(E560="Premier League",Priors!$H$4,IF(E560="Championship",Priors!$H$5,Priors!$H$8))</f>
        <v>1</v>
      </c>
      <c r="R560" s="19" t="b">
        <v>0</v>
      </c>
      <c r="S560" s="18">
        <f>IF(R560=TRUE,Priors!$H$6,1)</f>
        <v>1</v>
      </c>
      <c r="T560" s="19" t="b">
        <v>0</v>
      </c>
      <c r="U560" s="18">
        <f>IF(T560=TRUE,Priors!$H$7,1)</f>
        <v>1</v>
      </c>
      <c r="V560" s="18">
        <f t="shared" si="48"/>
        <v>0.74299665895656641</v>
      </c>
      <c r="W560" s="20">
        <f>VLOOKUP(D560,Priors!$A$3:$C$6,2,FALSE)</f>
        <v>0.10751786102217777</v>
      </c>
      <c r="X560" s="20">
        <f>VLOOKUP(D560,Priors!$A$3:$C$6,3,FALSE)</f>
        <v>9.0240671969462088E-2</v>
      </c>
      <c r="Y560" s="20">
        <f t="shared" si="49"/>
        <v>5.9943517363335433E-2</v>
      </c>
      <c r="Z560" s="20">
        <f t="shared" si="50"/>
        <v>5.6181076623412651E-2</v>
      </c>
      <c r="AA560" s="21">
        <v>1</v>
      </c>
      <c r="AB560" s="21">
        <v>1</v>
      </c>
      <c r="AC560" s="22">
        <f t="shared" si="51"/>
        <v>5.9943517363335433E-2</v>
      </c>
      <c r="AD560" s="22">
        <f t="shared" si="52"/>
        <v>5.6181076623412651E-2</v>
      </c>
      <c r="AE560" s="22">
        <f t="shared" si="53"/>
        <v>0.25700334104343359</v>
      </c>
      <c r="AF560" s="7" t="s">
        <v>1643</v>
      </c>
      <c r="AG560" s="7"/>
      <c r="AH560" s="7"/>
      <c r="AI560" s="7"/>
      <c r="AJ560" s="8" t="b">
        <v>0</v>
      </c>
      <c r="AK560" s="28" t="s">
        <v>1644</v>
      </c>
      <c r="AL560" s="28" t="s">
        <v>1645</v>
      </c>
      <c r="AM560" s="28"/>
      <c r="AN560" s="7"/>
      <c r="AO560" s="7"/>
      <c r="AP560" s="7"/>
      <c r="AQ560" s="28" t="s">
        <v>1650</v>
      </c>
    </row>
    <row r="561" spans="1:43" ht="30">
      <c r="A561" s="7">
        <v>546</v>
      </c>
      <c r="B561" s="7" t="s">
        <v>1589</v>
      </c>
      <c r="C561" s="7" t="s">
        <v>58</v>
      </c>
      <c r="D561" s="7" t="s">
        <v>112</v>
      </c>
      <c r="E561" s="7" t="s">
        <v>1642</v>
      </c>
      <c r="F561" s="7" t="s">
        <v>58</v>
      </c>
      <c r="G561" s="14">
        <v>649</v>
      </c>
      <c r="H561" s="15">
        <v>0.35</v>
      </c>
      <c r="I561" s="15">
        <v>0.62</v>
      </c>
      <c r="J561" s="15">
        <v>4.8536209553158703E-2</v>
      </c>
      <c r="K561" s="15">
        <v>8.5978428351309699E-2</v>
      </c>
      <c r="L561" s="15">
        <v>38.9</v>
      </c>
      <c r="M561" s="15">
        <v>1.0236842105263158</v>
      </c>
      <c r="N561" s="16">
        <v>4.7413263830849123E-2</v>
      </c>
      <c r="O561" s="16">
        <v>8.3989210214647003E-2</v>
      </c>
      <c r="P561" s="17">
        <f>IFERROR(G561/(G561+Priors!$H$3),0)</f>
        <v>0.39357186173438446</v>
      </c>
      <c r="Q561" s="18">
        <f>IF(E561="Premier League",Priors!$H$4,IF(E561="Championship",Priors!$H$5,Priors!$H$8))</f>
        <v>1</v>
      </c>
      <c r="R561" s="19" t="b">
        <v>0</v>
      </c>
      <c r="S561" s="18">
        <f>IF(R561=TRUE,Priors!$H$6,1)</f>
        <v>1</v>
      </c>
      <c r="T561" s="19" t="b">
        <v>0</v>
      </c>
      <c r="U561" s="18">
        <f>IF(T561=TRUE,Priors!$H$7,1)</f>
        <v>1</v>
      </c>
      <c r="V561" s="18">
        <f t="shared" si="48"/>
        <v>0.39357186173438446</v>
      </c>
      <c r="W561" s="20">
        <f>VLOOKUP(D561,Priors!$A$3:$C$6,2,FALSE)</f>
        <v>0.10751786102217777</v>
      </c>
      <c r="X561" s="20">
        <f>VLOOKUP(D561,Priors!$A$3:$C$6,3,FALSE)</f>
        <v>9.0240671969462088E-2</v>
      </c>
      <c r="Y561" s="20">
        <f t="shared" si="49"/>
        <v>8.38623828067913E-2</v>
      </c>
      <c r="Z561" s="20">
        <f t="shared" si="50"/>
        <v>8.7780272528058215E-2</v>
      </c>
      <c r="AA561" s="21">
        <v>1</v>
      </c>
      <c r="AB561" s="21">
        <v>1</v>
      </c>
      <c r="AC561" s="22">
        <f t="shared" si="51"/>
        <v>8.38623828067913E-2</v>
      </c>
      <c r="AD561" s="22">
        <f t="shared" si="52"/>
        <v>8.7780272528058215E-2</v>
      </c>
      <c r="AE561" s="22">
        <f t="shared" si="53"/>
        <v>0.60642813826561559</v>
      </c>
      <c r="AF561" s="7" t="s">
        <v>1643</v>
      </c>
      <c r="AG561" s="7"/>
      <c r="AH561" s="7"/>
      <c r="AI561" s="7"/>
      <c r="AJ561" s="8" t="b">
        <v>1</v>
      </c>
      <c r="AK561" s="28" t="s">
        <v>1644</v>
      </c>
      <c r="AL561" s="28" t="s">
        <v>1645</v>
      </c>
      <c r="AM561" s="28"/>
      <c r="AN561" s="7"/>
      <c r="AO561" s="7">
        <v>0</v>
      </c>
      <c r="AP561" s="8" t="b">
        <v>0</v>
      </c>
      <c r="AQ561" s="28" t="s">
        <v>1646</v>
      </c>
    </row>
    <row r="562" spans="1:43" ht="30">
      <c r="A562" s="7">
        <v>547</v>
      </c>
      <c r="B562" s="7" t="s">
        <v>1591</v>
      </c>
      <c r="C562" s="7" t="s">
        <v>58</v>
      </c>
      <c r="D562" s="7" t="s">
        <v>112</v>
      </c>
      <c r="E562" s="7" t="s">
        <v>1642</v>
      </c>
      <c r="F562" s="7" t="s">
        <v>58</v>
      </c>
      <c r="G562" s="14">
        <v>399</v>
      </c>
      <c r="H562" s="15">
        <v>0.87</v>
      </c>
      <c r="I562" s="15">
        <v>0.48</v>
      </c>
      <c r="J562" s="15">
        <v>0.19624060150375938</v>
      </c>
      <c r="K562" s="15">
        <v>0.10827067669172931</v>
      </c>
      <c r="L562" s="15">
        <v>38.9</v>
      </c>
      <c r="M562" s="15">
        <v>1.0236842105263158</v>
      </c>
      <c r="N562" s="16">
        <v>0.19170033051781124</v>
      </c>
      <c r="O562" s="16">
        <v>0.10576569959603378</v>
      </c>
      <c r="P562" s="17">
        <f>IFERROR(G562/(G562+Priors!$H$3),0)</f>
        <v>0.28520371694067193</v>
      </c>
      <c r="Q562" s="18">
        <f>IF(E562="Premier League",Priors!$H$4,IF(E562="Championship",Priors!$H$5,Priors!$H$8))</f>
        <v>1</v>
      </c>
      <c r="R562" s="19" t="b">
        <v>0</v>
      </c>
      <c r="S562" s="18">
        <f>IF(R562=TRUE,Priors!$H$6,1)</f>
        <v>1</v>
      </c>
      <c r="T562" s="19" t="b">
        <v>0</v>
      </c>
      <c r="U562" s="18">
        <f>IF(T562=TRUE,Priors!$H$7,1)</f>
        <v>1</v>
      </c>
      <c r="V562" s="18">
        <f t="shared" si="48"/>
        <v>0.28520371694067193</v>
      </c>
      <c r="W562" s="20">
        <f>VLOOKUP(D562,Priors!$A$3:$C$6,2,FALSE)</f>
        <v>0.10751786102217777</v>
      </c>
      <c r="X562" s="20">
        <f>VLOOKUP(D562,Priors!$A$3:$C$6,3,FALSE)</f>
        <v>9.0240671969462088E-2</v>
      </c>
      <c r="Y562" s="20">
        <f t="shared" si="49"/>
        <v>0.13152701422357715</v>
      </c>
      <c r="Z562" s="20">
        <f t="shared" si="50"/>
        <v>9.4668467554166941E-2</v>
      </c>
      <c r="AA562" s="21">
        <v>1</v>
      </c>
      <c r="AB562" s="21">
        <v>1</v>
      </c>
      <c r="AC562" s="22">
        <f t="shared" si="51"/>
        <v>0.13152701422357715</v>
      </c>
      <c r="AD562" s="22">
        <f t="shared" si="52"/>
        <v>9.4668467554166941E-2</v>
      </c>
      <c r="AE562" s="22">
        <f t="shared" si="53"/>
        <v>0.71479628305932807</v>
      </c>
      <c r="AF562" s="7" t="s">
        <v>1643</v>
      </c>
      <c r="AG562" s="7"/>
      <c r="AH562" s="7"/>
      <c r="AI562" s="7"/>
      <c r="AJ562" s="8" t="b">
        <v>1</v>
      </c>
      <c r="AK562" s="28" t="s">
        <v>1644</v>
      </c>
      <c r="AL562" s="28" t="s">
        <v>1645</v>
      </c>
      <c r="AM562" s="28"/>
      <c r="AN562" s="7"/>
      <c r="AO562" s="7">
        <v>0</v>
      </c>
      <c r="AP562" s="8" t="b">
        <v>0</v>
      </c>
      <c r="AQ562" s="28" t="s">
        <v>1646</v>
      </c>
    </row>
    <row r="563" spans="1:43" ht="30">
      <c r="A563" s="7">
        <v>548</v>
      </c>
      <c r="B563" s="7" t="s">
        <v>1593</v>
      </c>
      <c r="C563" s="7" t="s">
        <v>58</v>
      </c>
      <c r="D563" s="7" t="s">
        <v>112</v>
      </c>
      <c r="E563" s="7" t="s">
        <v>1642</v>
      </c>
      <c r="F563" s="7" t="s">
        <v>58</v>
      </c>
      <c r="G563" s="14">
        <v>758</v>
      </c>
      <c r="H563" s="15">
        <v>0.86</v>
      </c>
      <c r="I563" s="15">
        <v>0.93</v>
      </c>
      <c r="J563" s="15">
        <v>0.10211081794195251</v>
      </c>
      <c r="K563" s="15">
        <v>0.11042216358839051</v>
      </c>
      <c r="L563" s="15">
        <v>38.9</v>
      </c>
      <c r="M563" s="15">
        <v>1.0236842105263158</v>
      </c>
      <c r="N563" s="16">
        <v>9.9748356858462603E-2</v>
      </c>
      <c r="O563" s="16">
        <v>0.10786740916089561</v>
      </c>
      <c r="P563" s="17">
        <f>IFERROR(G563/(G563+Priors!$H$3),0)</f>
        <v>0.43117178612059159</v>
      </c>
      <c r="Q563" s="18">
        <f>IF(E563="Premier League",Priors!$H$4,IF(E563="Championship",Priors!$H$5,Priors!$H$8))</f>
        <v>1</v>
      </c>
      <c r="R563" s="19" t="b">
        <v>0</v>
      </c>
      <c r="S563" s="18">
        <f>IF(R563=TRUE,Priors!$H$6,1)</f>
        <v>1</v>
      </c>
      <c r="T563" s="19" t="b">
        <v>0</v>
      </c>
      <c r="U563" s="18">
        <f>IF(T563=TRUE,Priors!$H$7,1)</f>
        <v>1</v>
      </c>
      <c r="V563" s="18">
        <f t="shared" si="48"/>
        <v>0.43117178612059159</v>
      </c>
      <c r="W563" s="20">
        <f>VLOOKUP(D563,Priors!$A$3:$C$6,2,FALSE)</f>
        <v>0.10751786102217777</v>
      </c>
      <c r="X563" s="20">
        <f>VLOOKUP(D563,Priors!$A$3:$C$6,3,FALSE)</f>
        <v>9.0240671969462088E-2</v>
      </c>
      <c r="Y563" s="20">
        <f t="shared" si="49"/>
        <v>0.10416787003463732</v>
      </c>
      <c r="Z563" s="20">
        <f t="shared" si="50"/>
        <v>9.784082372777074E-2</v>
      </c>
      <c r="AA563" s="21">
        <v>1</v>
      </c>
      <c r="AB563" s="21">
        <v>1</v>
      </c>
      <c r="AC563" s="22">
        <f t="shared" si="51"/>
        <v>0.10416787003463732</v>
      </c>
      <c r="AD563" s="22">
        <f t="shared" si="52"/>
        <v>9.784082372777074E-2</v>
      </c>
      <c r="AE563" s="22">
        <f t="shared" si="53"/>
        <v>0.56882821387940841</v>
      </c>
      <c r="AF563" s="7" t="s">
        <v>1643</v>
      </c>
      <c r="AG563" s="7"/>
      <c r="AH563" s="7"/>
      <c r="AI563" s="7"/>
      <c r="AJ563" s="8" t="b">
        <v>1</v>
      </c>
      <c r="AK563" s="28" t="s">
        <v>1644</v>
      </c>
      <c r="AL563" s="28" t="s">
        <v>1645</v>
      </c>
      <c r="AM563" s="28"/>
      <c r="AN563" s="7"/>
      <c r="AO563" s="7"/>
      <c r="AP563" s="7"/>
      <c r="AQ563" s="28" t="s">
        <v>1650</v>
      </c>
    </row>
    <row r="564" spans="1:43" ht="30">
      <c r="A564" s="7">
        <v>549</v>
      </c>
      <c r="B564" s="7" t="s">
        <v>1596</v>
      </c>
      <c r="C564" s="7" t="s">
        <v>58</v>
      </c>
      <c r="D564" s="7" t="s">
        <v>112</v>
      </c>
      <c r="E564" s="7" t="s">
        <v>1642</v>
      </c>
      <c r="F564" s="7" t="s">
        <v>58</v>
      </c>
      <c r="G564" s="14">
        <v>1553</v>
      </c>
      <c r="H564" s="15">
        <v>2.13</v>
      </c>
      <c r="I564" s="15">
        <v>1.18</v>
      </c>
      <c r="J564" s="15">
        <v>0.12343850611719252</v>
      </c>
      <c r="K564" s="15">
        <v>6.8383773341918863E-2</v>
      </c>
      <c r="L564" s="15">
        <v>38.9</v>
      </c>
      <c r="M564" s="15">
        <v>1.0236842105263158</v>
      </c>
      <c r="N564" s="16">
        <v>0.12058260237669192</v>
      </c>
      <c r="O564" s="16">
        <v>6.6801629485679095E-2</v>
      </c>
      <c r="P564" s="17">
        <f>IFERROR(G564/(G564+Priors!$H$3),0)</f>
        <v>0.60830395613004307</v>
      </c>
      <c r="Q564" s="18">
        <f>IF(E564="Premier League",Priors!$H$4,IF(E564="Championship",Priors!$H$5,Priors!$H$8))</f>
        <v>1</v>
      </c>
      <c r="R564" s="19" t="b">
        <v>0</v>
      </c>
      <c r="S564" s="18">
        <f>IF(R564=TRUE,Priors!$H$6,1)</f>
        <v>1</v>
      </c>
      <c r="T564" s="19" t="b">
        <v>0</v>
      </c>
      <c r="U564" s="18">
        <f>IF(T564=TRUE,Priors!$H$7,1)</f>
        <v>1</v>
      </c>
      <c r="V564" s="18">
        <f t="shared" si="48"/>
        <v>0.60830395613004307</v>
      </c>
      <c r="W564" s="20">
        <f>VLOOKUP(D564,Priors!$A$3:$C$6,2,FALSE)</f>
        <v>0.10751786102217777</v>
      </c>
      <c r="X564" s="20">
        <f>VLOOKUP(D564,Priors!$A$3:$C$6,3,FALSE)</f>
        <v>9.0240671969462088E-2</v>
      </c>
      <c r="Y564" s="20">
        <f t="shared" si="49"/>
        <v>0.11546519487394449</v>
      </c>
      <c r="Z564" s="20">
        <f t="shared" si="50"/>
        <v>7.5982609698676748E-2</v>
      </c>
      <c r="AA564" s="21">
        <v>1</v>
      </c>
      <c r="AB564" s="21">
        <v>1</v>
      </c>
      <c r="AC564" s="22">
        <f t="shared" si="51"/>
        <v>0.11546519487394449</v>
      </c>
      <c r="AD564" s="22">
        <f t="shared" si="52"/>
        <v>7.5982609698676748E-2</v>
      </c>
      <c r="AE564" s="22">
        <f t="shared" si="53"/>
        <v>0.39169604386995693</v>
      </c>
      <c r="AF564" s="7" t="s">
        <v>1643</v>
      </c>
      <c r="AG564" s="7"/>
      <c r="AH564" s="7"/>
      <c r="AI564" s="7"/>
      <c r="AJ564" s="8" t="b">
        <v>0</v>
      </c>
      <c r="AK564" s="28" t="s">
        <v>1644</v>
      </c>
      <c r="AL564" s="28" t="s">
        <v>1645</v>
      </c>
      <c r="AM564" s="28"/>
      <c r="AN564" s="7"/>
      <c r="AO564" s="7"/>
      <c r="AP564" s="7"/>
      <c r="AQ564" s="28" t="s">
        <v>1650</v>
      </c>
    </row>
    <row r="565" spans="1:43" ht="30">
      <c r="A565" s="7">
        <v>550</v>
      </c>
      <c r="B565" s="7" t="s">
        <v>1598</v>
      </c>
      <c r="C565" s="7" t="s">
        <v>58</v>
      </c>
      <c r="D565" s="7" t="s">
        <v>112</v>
      </c>
      <c r="E565" s="7" t="s">
        <v>1642</v>
      </c>
      <c r="F565" s="7" t="s">
        <v>58</v>
      </c>
      <c r="G565" s="14">
        <v>38</v>
      </c>
      <c r="H565" s="15">
        <v>0</v>
      </c>
      <c r="I565" s="15">
        <v>0.04</v>
      </c>
      <c r="J565" s="15">
        <v>0</v>
      </c>
      <c r="K565" s="15">
        <v>9.4736842105263161E-2</v>
      </c>
      <c r="L565" s="15">
        <v>38.9</v>
      </c>
      <c r="M565" s="15">
        <v>1.0236842105263158</v>
      </c>
      <c r="N565" s="16">
        <v>0</v>
      </c>
      <c r="O565" s="16">
        <v>9.2544987146529575E-2</v>
      </c>
      <c r="P565" s="17">
        <f>IFERROR(G565/(G565+Priors!$H$3),0)</f>
        <v>3.6608863198458574E-2</v>
      </c>
      <c r="Q565" s="18">
        <f>IF(E565="Premier League",Priors!$H$4,IF(E565="Championship",Priors!$H$5,Priors!$H$8))</f>
        <v>1</v>
      </c>
      <c r="R565" s="19" t="b">
        <v>0</v>
      </c>
      <c r="S565" s="18">
        <f>IF(R565=TRUE,Priors!$H$6,1)</f>
        <v>1</v>
      </c>
      <c r="T565" s="19" t="b">
        <v>0</v>
      </c>
      <c r="U565" s="18">
        <f>IF(T565=TRUE,Priors!$H$7,1)</f>
        <v>1</v>
      </c>
      <c r="V565" s="18">
        <f t="shared" si="48"/>
        <v>3.6608863198458574E-2</v>
      </c>
      <c r="W565" s="20">
        <f>VLOOKUP(D565,Priors!$A$3:$C$6,2,FALSE)</f>
        <v>0.10751786102217777</v>
      </c>
      <c r="X565" s="20">
        <f>VLOOKUP(D565,Priors!$A$3:$C$6,3,FALSE)</f>
        <v>9.0240671969462088E-2</v>
      </c>
      <c r="Y565" s="20">
        <f t="shared" si="49"/>
        <v>0.10358175435662598</v>
      </c>
      <c r="Z565" s="20">
        <f t="shared" si="50"/>
        <v>9.0325030328545483E-2</v>
      </c>
      <c r="AA565" s="21">
        <v>1</v>
      </c>
      <c r="AB565" s="21">
        <v>1</v>
      </c>
      <c r="AC565" s="22">
        <f t="shared" si="51"/>
        <v>0.10358175435662598</v>
      </c>
      <c r="AD565" s="22">
        <f t="shared" si="52"/>
        <v>9.0325030328545483E-2</v>
      </c>
      <c r="AE565" s="22">
        <f t="shared" si="53"/>
        <v>0.96339113680154143</v>
      </c>
      <c r="AF565" s="7" t="s">
        <v>1643</v>
      </c>
      <c r="AG565" s="7"/>
      <c r="AH565" s="7"/>
      <c r="AI565" s="7"/>
      <c r="AJ565" s="8" t="b">
        <v>1</v>
      </c>
      <c r="AK565" s="28" t="s">
        <v>1644</v>
      </c>
      <c r="AL565" s="28" t="s">
        <v>1645</v>
      </c>
      <c r="AM565" s="28"/>
      <c r="AN565" s="7"/>
      <c r="AO565" s="7">
        <v>0</v>
      </c>
      <c r="AP565" s="8" t="b">
        <v>0</v>
      </c>
      <c r="AQ565" s="28" t="s">
        <v>1646</v>
      </c>
    </row>
    <row r="566" spans="1:43" ht="30">
      <c r="A566" s="7">
        <v>551</v>
      </c>
      <c r="B566" s="7" t="s">
        <v>1601</v>
      </c>
      <c r="C566" s="7" t="s">
        <v>58</v>
      </c>
      <c r="D566" s="7" t="s">
        <v>112</v>
      </c>
      <c r="E566" s="7" t="s">
        <v>1642</v>
      </c>
      <c r="F566" s="7" t="s">
        <v>58</v>
      </c>
      <c r="G566" s="14">
        <v>401</v>
      </c>
      <c r="H566" s="15">
        <v>0.77</v>
      </c>
      <c r="I566" s="15">
        <v>0.12</v>
      </c>
      <c r="J566" s="15">
        <v>0.17281795511221945</v>
      </c>
      <c r="K566" s="15">
        <v>2.6932668329177054E-2</v>
      </c>
      <c r="L566" s="15">
        <v>38.9</v>
      </c>
      <c r="M566" s="15">
        <v>1.0236842105263158</v>
      </c>
      <c r="N566" s="16">
        <v>0.16881959625358198</v>
      </c>
      <c r="O566" s="16">
        <v>2.6309547468090697E-2</v>
      </c>
      <c r="P566" s="17">
        <f>IFERROR(G566/(G566+Priors!$H$3),0)</f>
        <v>0.2862241256245539</v>
      </c>
      <c r="Q566" s="18">
        <f>IF(E566="Premier League",Priors!$H$4,IF(E566="Championship",Priors!$H$5,Priors!$H$8))</f>
        <v>1</v>
      </c>
      <c r="R566" s="19" t="b">
        <v>0</v>
      </c>
      <c r="S566" s="18">
        <f>IF(R566=TRUE,Priors!$H$6,1)</f>
        <v>1</v>
      </c>
      <c r="T566" s="19" t="b">
        <v>0</v>
      </c>
      <c r="U566" s="18">
        <f>IF(T566=TRUE,Priors!$H$7,1)</f>
        <v>1</v>
      </c>
      <c r="V566" s="18">
        <f t="shared" si="48"/>
        <v>0.2862241256245539</v>
      </c>
      <c r="W566" s="20">
        <f>VLOOKUP(D566,Priors!$A$3:$C$6,2,FALSE)</f>
        <v>0.10751786102217777</v>
      </c>
      <c r="X566" s="20">
        <f>VLOOKUP(D566,Priors!$A$3:$C$6,3,FALSE)</f>
        <v>9.0240671969462088E-2</v>
      </c>
      <c r="Y566" s="20">
        <f t="shared" si="49"/>
        <v>0.12506389658805434</v>
      </c>
      <c r="Z566" s="20">
        <f t="shared" si="50"/>
        <v>7.1942041758862568E-2</v>
      </c>
      <c r="AA566" s="21">
        <v>1</v>
      </c>
      <c r="AB566" s="21">
        <v>1</v>
      </c>
      <c r="AC566" s="22">
        <f t="shared" si="51"/>
        <v>0.12506389658805434</v>
      </c>
      <c r="AD566" s="22">
        <f t="shared" si="52"/>
        <v>7.1942041758862568E-2</v>
      </c>
      <c r="AE566" s="22">
        <f t="shared" si="53"/>
        <v>0.7137758743754461</v>
      </c>
      <c r="AF566" s="7" t="s">
        <v>1643</v>
      </c>
      <c r="AG566" s="7"/>
      <c r="AH566" s="7"/>
      <c r="AI566" s="7"/>
      <c r="AJ566" s="8" t="b">
        <v>1</v>
      </c>
      <c r="AK566" s="28" t="s">
        <v>1644</v>
      </c>
      <c r="AL566" s="28" t="s">
        <v>1645</v>
      </c>
      <c r="AM566" s="28"/>
      <c r="AN566" s="7"/>
      <c r="AO566" s="7"/>
      <c r="AP566" s="7"/>
      <c r="AQ566" s="28" t="s">
        <v>1650</v>
      </c>
    </row>
    <row r="567" spans="1:43" ht="30">
      <c r="A567" s="7">
        <v>552</v>
      </c>
      <c r="B567" s="7" t="s">
        <v>1603</v>
      </c>
      <c r="C567" s="7" t="s">
        <v>58</v>
      </c>
      <c r="D567" s="7" t="s">
        <v>167</v>
      </c>
      <c r="E567" s="7" t="s">
        <v>1642</v>
      </c>
      <c r="F567" s="7" t="s">
        <v>58</v>
      </c>
      <c r="G567" s="14">
        <v>1920</v>
      </c>
      <c r="H567" s="15">
        <v>6.02</v>
      </c>
      <c r="I567" s="15">
        <v>0.67</v>
      </c>
      <c r="J567" s="15">
        <v>0.28218749999999998</v>
      </c>
      <c r="K567" s="15">
        <v>3.1406250000000004E-2</v>
      </c>
      <c r="L567" s="15">
        <v>38.9</v>
      </c>
      <c r="M567" s="15">
        <v>1.0236842105263158</v>
      </c>
      <c r="N567" s="16">
        <v>0.27565874035989718</v>
      </c>
      <c r="O567" s="16">
        <v>3.0679627249357331E-2</v>
      </c>
      <c r="P567" s="17">
        <f>IFERROR(G567/(G567+Priors!$H$3),0)</f>
        <v>0.65753424657534243</v>
      </c>
      <c r="Q567" s="18">
        <f>IF(E567="Premier League",Priors!$H$4,IF(E567="Championship",Priors!$H$5,Priors!$H$8))</f>
        <v>1</v>
      </c>
      <c r="R567" s="19" t="b">
        <v>0</v>
      </c>
      <c r="S567" s="18">
        <f>IF(R567=TRUE,Priors!$H$6,1)</f>
        <v>1</v>
      </c>
      <c r="T567" s="19" t="b">
        <v>0</v>
      </c>
      <c r="U567" s="18">
        <f>IF(T567=TRUE,Priors!$H$7,1)</f>
        <v>1</v>
      </c>
      <c r="V567" s="18">
        <f t="shared" si="48"/>
        <v>0.65753424657534243</v>
      </c>
      <c r="W567" s="20">
        <f>VLOOKUP(D567,Priors!$A$3:$C$6,2,FALSE)</f>
        <v>0.30461525508032317</v>
      </c>
      <c r="X567" s="20">
        <f>VLOOKUP(D567,Priors!$A$3:$C$6,3,FALSE)</f>
        <v>3.9258061548584466E-2</v>
      </c>
      <c r="Y567" s="20">
        <f t="shared" si="49"/>
        <v>0.28557535499018005</v>
      </c>
      <c r="Z567" s="20">
        <f t="shared" si="50"/>
        <v>3.3617447214846073E-2</v>
      </c>
      <c r="AA567" s="21">
        <v>1</v>
      </c>
      <c r="AB567" s="21">
        <v>1</v>
      </c>
      <c r="AC567" s="22">
        <f t="shared" si="51"/>
        <v>0.28557535499018005</v>
      </c>
      <c r="AD567" s="22">
        <f t="shared" si="52"/>
        <v>3.3617447214846073E-2</v>
      </c>
      <c r="AE567" s="22">
        <f t="shared" si="53"/>
        <v>0.34246575342465757</v>
      </c>
      <c r="AF567" s="7" t="s">
        <v>1643</v>
      </c>
      <c r="AG567" s="7"/>
      <c r="AH567" s="7"/>
      <c r="AI567" s="7"/>
      <c r="AJ567" s="8" t="b">
        <v>0</v>
      </c>
      <c r="AK567" s="28" t="s">
        <v>1644</v>
      </c>
      <c r="AL567" s="28" t="s">
        <v>1645</v>
      </c>
      <c r="AM567" s="28"/>
      <c r="AN567" s="7"/>
      <c r="AO567" s="7"/>
      <c r="AP567" s="7"/>
      <c r="AQ567" s="28" t="s">
        <v>1650</v>
      </c>
    </row>
    <row r="568" spans="1:43" ht="30">
      <c r="A568" s="7">
        <v>553</v>
      </c>
      <c r="B568" s="7" t="s">
        <v>1605</v>
      </c>
      <c r="C568" s="7" t="s">
        <v>58</v>
      </c>
      <c r="D568" s="7" t="s">
        <v>167</v>
      </c>
      <c r="E568" s="7" t="s">
        <v>1642</v>
      </c>
      <c r="F568" s="7" t="s">
        <v>58</v>
      </c>
      <c r="G568" s="14">
        <v>1148</v>
      </c>
      <c r="H568" s="15">
        <v>4.7</v>
      </c>
      <c r="I568" s="15">
        <v>0.38</v>
      </c>
      <c r="J568" s="15">
        <v>0.36846689895470386</v>
      </c>
      <c r="K568" s="15">
        <v>2.9790940766550526E-2</v>
      </c>
      <c r="L568" s="15">
        <v>38.9</v>
      </c>
      <c r="M568" s="15">
        <v>1.0236842105263158</v>
      </c>
      <c r="N568" s="16">
        <v>0.35994195784778271</v>
      </c>
      <c r="O568" s="16">
        <v>2.9101690208969667E-2</v>
      </c>
      <c r="P568" s="17">
        <f>IFERROR(G568/(G568+Priors!$H$3),0)</f>
        <v>0.53445065176908757</v>
      </c>
      <c r="Q568" s="18">
        <f>IF(E568="Premier League",Priors!$H$4,IF(E568="Championship",Priors!$H$5,Priors!$H$8))</f>
        <v>1</v>
      </c>
      <c r="R568" s="19" t="b">
        <v>0</v>
      </c>
      <c r="S568" s="18">
        <f>IF(R568=TRUE,Priors!$H$6,1)</f>
        <v>1</v>
      </c>
      <c r="T568" s="19" t="b">
        <v>0</v>
      </c>
      <c r="U568" s="18">
        <f>IF(T568=TRUE,Priors!$H$7,1)</f>
        <v>1</v>
      </c>
      <c r="V568" s="18">
        <f t="shared" si="48"/>
        <v>0.53445065176908757</v>
      </c>
      <c r="W568" s="20">
        <f>VLOOKUP(D568,Priors!$A$3:$C$6,2,FALSE)</f>
        <v>0.30461525508032317</v>
      </c>
      <c r="X568" s="20">
        <f>VLOOKUP(D568,Priors!$A$3:$C$6,3,FALSE)</f>
        <v>3.9258061548584466E-2</v>
      </c>
      <c r="Y568" s="20">
        <f t="shared" si="49"/>
        <v>0.3341846474346265</v>
      </c>
      <c r="Z568" s="20">
        <f t="shared" si="50"/>
        <v>3.3829982266518455E-2</v>
      </c>
      <c r="AA568" s="21">
        <v>1</v>
      </c>
      <c r="AB568" s="21">
        <v>1</v>
      </c>
      <c r="AC568" s="22">
        <f t="shared" si="51"/>
        <v>0.3341846474346265</v>
      </c>
      <c r="AD568" s="22">
        <f t="shared" si="52"/>
        <v>3.3829982266518455E-2</v>
      </c>
      <c r="AE568" s="22">
        <f t="shared" si="53"/>
        <v>0.46554934823091243</v>
      </c>
      <c r="AF568" s="7" t="s">
        <v>1643</v>
      </c>
      <c r="AG568" s="7"/>
      <c r="AH568" s="7"/>
      <c r="AI568" s="7"/>
      <c r="AJ568" s="8" t="b">
        <v>0</v>
      </c>
      <c r="AK568" s="28" t="s">
        <v>1644</v>
      </c>
      <c r="AL568" s="28" t="s">
        <v>1645</v>
      </c>
      <c r="AM568" s="28"/>
      <c r="AN568" s="7"/>
      <c r="AO568" s="7"/>
      <c r="AP568" s="7"/>
      <c r="AQ568" s="28" t="s">
        <v>1650</v>
      </c>
    </row>
  </sheetData>
  <conditionalFormatting sqref="V2:V568">
    <cfRule type="dataBar" priority="2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{22F25C47-C1B7-6BF6-320A-CA4F62668F57}</x14:id>
        </ext>
      </extLst>
    </cfRule>
  </conditionalFormatting>
  <conditionalFormatting sqref="AE2:AE5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:AP568">
    <cfRule type="expression" dxfId="1" priority="3">
      <formula>AP2=TRUE</formula>
    </cfRule>
  </conditionalFormatting>
  <dataValidations count="1">
    <dataValidation type="decimal" sqref="AA2:AB568" xr:uid="{00000000-0002-0000-0200-000000000000}">
      <formula1>0.25</formula1>
      <formula2>2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F25C47-C1B7-6BF6-320A-CA4F62668F57}">
            <x14:dataBar>
              <x14:cfvo type="min"/>
              <x14:cfvo type="max"/>
              <x14:negativeFillColor auto="1"/>
              <x14:axisColor auto="1"/>
            </x14:dataBar>
          </x14:cfRule>
          <xm:sqref>V2:V568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/>
  </sheetViews>
  <sheetFormatPr baseColWidth="10" defaultColWidth="8.83203125" defaultRowHeight="14"/>
  <cols>
    <col min="1" max="1" width="18" customWidth="1"/>
    <col min="2" max="2" width="16" customWidth="1"/>
    <col min="3" max="3" width="12" customWidth="1"/>
    <col min="4" max="5" width="15" customWidth="1"/>
    <col min="6" max="10" width="14" customWidth="1"/>
    <col min="11" max="11" width="21" customWidth="1"/>
    <col min="12" max="12" width="42" customWidth="1"/>
    <col min="13" max="13" width="40" customWidth="1"/>
  </cols>
  <sheetData>
    <row r="1" spans="1:13" ht="15">
      <c r="A1" s="3" t="s">
        <v>1608</v>
      </c>
      <c r="B1" s="3" t="s">
        <v>1607</v>
      </c>
      <c r="C1" s="3" t="s">
        <v>1658</v>
      </c>
      <c r="D1" s="3" t="s">
        <v>1659</v>
      </c>
      <c r="E1" s="3" t="s">
        <v>1660</v>
      </c>
      <c r="F1" s="3" t="s">
        <v>1661</v>
      </c>
      <c r="G1" s="3" t="s">
        <v>1662</v>
      </c>
      <c r="H1" s="3" t="s">
        <v>1663</v>
      </c>
      <c r="I1" s="3" t="s">
        <v>74</v>
      </c>
      <c r="J1" s="3" t="s">
        <v>75</v>
      </c>
      <c r="K1" s="3" t="s">
        <v>1664</v>
      </c>
      <c r="L1" s="3" t="s">
        <v>1637</v>
      </c>
      <c r="M1" s="3" t="s">
        <v>1636</v>
      </c>
    </row>
    <row r="2" spans="1:13" ht="45">
      <c r="A2" t="s">
        <v>53</v>
      </c>
      <c r="B2" t="s">
        <v>1642</v>
      </c>
      <c r="C2">
        <v>38</v>
      </c>
      <c r="D2" s="26">
        <v>71.599999999999994</v>
      </c>
      <c r="E2" s="26">
        <v>1.8842105263157893</v>
      </c>
      <c r="F2" s="1" t="b">
        <v>1</v>
      </c>
      <c r="G2" s="1" t="b">
        <v>0</v>
      </c>
      <c r="H2" t="s">
        <v>1171</v>
      </c>
      <c r="I2" t="s">
        <v>1172</v>
      </c>
      <c r="J2" s="1" t="b">
        <v>1</v>
      </c>
      <c r="K2" s="27"/>
      <c r="L2" s="31" t="s">
        <v>1665</v>
      </c>
      <c r="M2" s="31" t="s">
        <v>1666</v>
      </c>
    </row>
    <row r="3" spans="1:13" ht="45">
      <c r="A3" t="s">
        <v>44</v>
      </c>
      <c r="B3" t="s">
        <v>1642</v>
      </c>
      <c r="C3">
        <v>38</v>
      </c>
      <c r="D3" s="26">
        <v>66.5</v>
      </c>
      <c r="E3" s="26">
        <v>1.75</v>
      </c>
      <c r="F3" s="1" t="b">
        <v>1</v>
      </c>
      <c r="G3" s="1" t="b">
        <v>0</v>
      </c>
      <c r="H3" t="s">
        <v>509</v>
      </c>
      <c r="I3" t="s">
        <v>119</v>
      </c>
      <c r="J3" s="1" t="b">
        <v>1</v>
      </c>
      <c r="K3" s="27"/>
      <c r="L3" s="31" t="s">
        <v>1665</v>
      </c>
      <c r="M3" s="31" t="s">
        <v>1666</v>
      </c>
    </row>
    <row r="4" spans="1:13" ht="45">
      <c r="A4" t="s">
        <v>39</v>
      </c>
      <c r="B4" t="s">
        <v>1642</v>
      </c>
      <c r="C4">
        <v>38</v>
      </c>
      <c r="D4" s="26">
        <v>65.599999999999994</v>
      </c>
      <c r="E4" s="26">
        <v>1.726315789473684</v>
      </c>
      <c r="F4" s="1" t="b">
        <v>1</v>
      </c>
      <c r="G4" s="1" t="b">
        <v>0</v>
      </c>
      <c r="H4" t="s">
        <v>87</v>
      </c>
      <c r="I4" t="s">
        <v>88</v>
      </c>
      <c r="J4" s="1" t="b">
        <v>0</v>
      </c>
      <c r="K4" s="27"/>
      <c r="L4" s="31" t="s">
        <v>1665</v>
      </c>
      <c r="M4" s="31" t="s">
        <v>1666</v>
      </c>
    </row>
    <row r="5" spans="1:13" ht="45">
      <c r="A5" t="s">
        <v>54</v>
      </c>
      <c r="B5" t="s">
        <v>1642</v>
      </c>
      <c r="C5">
        <v>38</v>
      </c>
      <c r="D5" s="26">
        <v>65.3</v>
      </c>
      <c r="E5" s="26">
        <v>1.7184210526315788</v>
      </c>
      <c r="F5" s="1" t="b">
        <v>1</v>
      </c>
      <c r="G5" s="1" t="b">
        <v>0</v>
      </c>
      <c r="H5" t="s">
        <v>1246</v>
      </c>
      <c r="I5" t="s">
        <v>1247</v>
      </c>
      <c r="J5" s="1" t="b">
        <v>0</v>
      </c>
      <c r="K5" s="27"/>
      <c r="L5" s="31" t="s">
        <v>1665</v>
      </c>
      <c r="M5" s="31" t="s">
        <v>1666</v>
      </c>
    </row>
    <row r="6" spans="1:13" ht="45">
      <c r="A6" t="s">
        <v>41</v>
      </c>
      <c r="B6" t="s">
        <v>1642</v>
      </c>
      <c r="C6">
        <v>38</v>
      </c>
      <c r="D6" s="26">
        <v>61.9</v>
      </c>
      <c r="E6" s="26">
        <v>1.6289473684210527</v>
      </c>
      <c r="F6" s="1" t="b">
        <v>1</v>
      </c>
      <c r="G6" s="1" t="b">
        <v>0</v>
      </c>
      <c r="H6" t="s">
        <v>265</v>
      </c>
      <c r="I6" t="s">
        <v>266</v>
      </c>
      <c r="J6" s="1" t="b">
        <v>1</v>
      </c>
      <c r="K6" s="27"/>
      <c r="L6" s="31" t="s">
        <v>1665</v>
      </c>
      <c r="M6" s="31" t="s">
        <v>1666</v>
      </c>
    </row>
    <row r="7" spans="1:13" ht="45">
      <c r="A7" t="s">
        <v>52</v>
      </c>
      <c r="B7" t="s">
        <v>1642</v>
      </c>
      <c r="C7">
        <v>38</v>
      </c>
      <c r="D7" s="26">
        <v>61.3</v>
      </c>
      <c r="E7" s="26">
        <v>1.6131578947368421</v>
      </c>
      <c r="F7" s="1" t="b">
        <v>1</v>
      </c>
      <c r="G7" s="1" t="b">
        <v>0</v>
      </c>
      <c r="H7" t="s">
        <v>1081</v>
      </c>
      <c r="I7" t="s">
        <v>1082</v>
      </c>
      <c r="J7" s="1" t="b">
        <v>1</v>
      </c>
      <c r="K7" s="27"/>
      <c r="L7" s="31" t="s">
        <v>1665</v>
      </c>
      <c r="M7" s="31" t="s">
        <v>1666</v>
      </c>
    </row>
    <row r="8" spans="1:13" ht="45">
      <c r="A8" t="s">
        <v>42</v>
      </c>
      <c r="B8" t="s">
        <v>1642</v>
      </c>
      <c r="C8">
        <v>38</v>
      </c>
      <c r="D8" s="26">
        <v>60.3</v>
      </c>
      <c r="E8" s="26">
        <v>1.5868421052631578</v>
      </c>
      <c r="F8" s="1" t="b">
        <v>1</v>
      </c>
      <c r="G8" s="1" t="b">
        <v>0</v>
      </c>
      <c r="H8" t="s">
        <v>344</v>
      </c>
      <c r="I8" t="s">
        <v>345</v>
      </c>
      <c r="J8" s="1" t="b">
        <v>0</v>
      </c>
      <c r="K8" s="27"/>
      <c r="L8" s="31" t="s">
        <v>1665</v>
      </c>
      <c r="M8" s="31" t="s">
        <v>1666</v>
      </c>
    </row>
    <row r="9" spans="1:13" ht="45">
      <c r="A9" t="s">
        <v>46</v>
      </c>
      <c r="B9" t="s">
        <v>1642</v>
      </c>
      <c r="C9">
        <v>38</v>
      </c>
      <c r="D9" s="26">
        <v>58.2</v>
      </c>
      <c r="E9" s="26">
        <v>1.5315789473684212</v>
      </c>
      <c r="F9" s="1" t="b">
        <v>1</v>
      </c>
      <c r="G9" s="1" t="b">
        <v>0</v>
      </c>
      <c r="H9" t="s">
        <v>677</v>
      </c>
      <c r="I9" t="s">
        <v>377</v>
      </c>
      <c r="J9" s="1" t="b">
        <v>1</v>
      </c>
      <c r="K9" s="27"/>
      <c r="L9" s="31" t="s">
        <v>1665</v>
      </c>
      <c r="M9" s="31" t="s">
        <v>1666</v>
      </c>
    </row>
    <row r="10" spans="1:13" ht="45">
      <c r="A10" t="s">
        <v>43</v>
      </c>
      <c r="B10" t="s">
        <v>1642</v>
      </c>
      <c r="C10">
        <v>38</v>
      </c>
      <c r="D10" s="26">
        <v>57.9</v>
      </c>
      <c r="E10" s="26">
        <v>1.5236842105263158</v>
      </c>
      <c r="F10" s="1" t="b">
        <v>1</v>
      </c>
      <c r="G10" s="1" t="b">
        <v>0</v>
      </c>
      <c r="H10" t="s">
        <v>423</v>
      </c>
      <c r="I10" t="s">
        <v>424</v>
      </c>
      <c r="J10" s="1" t="b">
        <v>0</v>
      </c>
      <c r="K10" s="27"/>
      <c r="L10" s="31" t="s">
        <v>1665</v>
      </c>
      <c r="M10" s="31" t="s">
        <v>1666</v>
      </c>
    </row>
    <row r="11" spans="1:13" ht="45">
      <c r="A11" t="s">
        <v>55</v>
      </c>
      <c r="B11" t="s">
        <v>1642</v>
      </c>
      <c r="C11">
        <v>38</v>
      </c>
      <c r="D11" s="26">
        <v>57.1</v>
      </c>
      <c r="E11" s="26">
        <v>1.5026315789473685</v>
      </c>
      <c r="F11" s="1" t="b">
        <v>1</v>
      </c>
      <c r="G11" s="1" t="b">
        <v>0</v>
      </c>
      <c r="H11" t="s">
        <v>1333</v>
      </c>
      <c r="I11" t="s">
        <v>1334</v>
      </c>
      <c r="J11" s="1" t="b">
        <v>1</v>
      </c>
      <c r="K11" s="27"/>
      <c r="L11" s="31" t="s">
        <v>1665</v>
      </c>
      <c r="M11" s="31" t="s">
        <v>1666</v>
      </c>
    </row>
    <row r="12" spans="1:13" ht="45">
      <c r="A12" t="s">
        <v>51</v>
      </c>
      <c r="B12" t="s">
        <v>1642</v>
      </c>
      <c r="C12">
        <v>38</v>
      </c>
      <c r="D12" s="26">
        <v>54.2</v>
      </c>
      <c r="E12" s="26">
        <v>1.4263157894736842</v>
      </c>
      <c r="F12" s="1" t="b">
        <v>1</v>
      </c>
      <c r="G12" s="1" t="b">
        <v>0</v>
      </c>
      <c r="H12" t="s">
        <v>1021</v>
      </c>
      <c r="I12" t="s">
        <v>351</v>
      </c>
      <c r="J12" s="1" t="b">
        <v>0</v>
      </c>
      <c r="K12" s="27"/>
      <c r="L12" s="31" t="s">
        <v>1665</v>
      </c>
      <c r="M12" s="31" t="s">
        <v>1666</v>
      </c>
    </row>
    <row r="13" spans="1:13" ht="45">
      <c r="A13" t="s">
        <v>48</v>
      </c>
      <c r="B13" t="s">
        <v>1642</v>
      </c>
      <c r="C13">
        <v>38</v>
      </c>
      <c r="D13" s="26">
        <v>48.4</v>
      </c>
      <c r="E13" s="26">
        <v>1.2736842105263158</v>
      </c>
      <c r="F13" s="1" t="b">
        <v>1</v>
      </c>
      <c r="G13" s="1" t="b">
        <v>0</v>
      </c>
      <c r="H13" t="s">
        <v>817</v>
      </c>
      <c r="I13" t="s">
        <v>410</v>
      </c>
      <c r="J13" s="1" t="b">
        <v>1</v>
      </c>
      <c r="K13" s="27"/>
      <c r="L13" s="31" t="s">
        <v>1665</v>
      </c>
      <c r="M13" s="31" t="s">
        <v>1666</v>
      </c>
    </row>
    <row r="14" spans="1:13" ht="45">
      <c r="A14" t="s">
        <v>40</v>
      </c>
      <c r="B14" t="s">
        <v>1642</v>
      </c>
      <c r="C14">
        <v>38</v>
      </c>
      <c r="D14" s="26">
        <v>48.2</v>
      </c>
      <c r="E14" s="26">
        <v>1.2684210526315791</v>
      </c>
      <c r="F14" s="1" t="b">
        <v>1</v>
      </c>
      <c r="G14" s="1" t="b">
        <v>0</v>
      </c>
      <c r="H14" t="s">
        <v>181</v>
      </c>
      <c r="I14" t="s">
        <v>182</v>
      </c>
      <c r="J14" s="1" t="b">
        <v>0</v>
      </c>
      <c r="K14" s="27"/>
      <c r="L14" s="31" t="s">
        <v>1665</v>
      </c>
      <c r="M14" s="31" t="s">
        <v>1666</v>
      </c>
    </row>
    <row r="15" spans="1:13" ht="45">
      <c r="A15" t="s">
        <v>47</v>
      </c>
      <c r="B15" t="s">
        <v>1642</v>
      </c>
      <c r="C15">
        <v>38</v>
      </c>
      <c r="D15" s="26">
        <v>46.7</v>
      </c>
      <c r="E15" s="26">
        <v>1.2289473684210528</v>
      </c>
      <c r="F15" s="1" t="b">
        <v>1</v>
      </c>
      <c r="G15" s="1" t="b">
        <v>0</v>
      </c>
      <c r="H15" t="s">
        <v>752</v>
      </c>
      <c r="I15" t="s">
        <v>753</v>
      </c>
      <c r="J15" s="1" t="b">
        <v>0</v>
      </c>
      <c r="K15" s="27"/>
      <c r="L15" s="31" t="s">
        <v>1665</v>
      </c>
      <c r="M15" s="31" t="s">
        <v>1666</v>
      </c>
    </row>
    <row r="16" spans="1:13" ht="45">
      <c r="A16" t="s">
        <v>1653</v>
      </c>
      <c r="B16" t="s">
        <v>1642</v>
      </c>
      <c r="C16">
        <v>38</v>
      </c>
      <c r="D16" s="26">
        <v>46.1</v>
      </c>
      <c r="E16" s="26">
        <v>1.2131578947368422</v>
      </c>
      <c r="F16" s="1" t="b">
        <v>0</v>
      </c>
      <c r="G16" s="1" t="b">
        <v>0</v>
      </c>
      <c r="J16" s="1" t="b">
        <v>0</v>
      </c>
      <c r="K16" s="27"/>
      <c r="L16" s="31" t="s">
        <v>1665</v>
      </c>
      <c r="M16" s="31" t="s">
        <v>1666</v>
      </c>
    </row>
    <row r="17" spans="1:13" ht="45">
      <c r="A17" t="s">
        <v>56</v>
      </c>
      <c r="B17" t="s">
        <v>1642</v>
      </c>
      <c r="C17">
        <v>38</v>
      </c>
      <c r="D17" s="26">
        <v>46</v>
      </c>
      <c r="E17" s="26">
        <v>1.2105263157894737</v>
      </c>
      <c r="F17" s="1" t="b">
        <v>1</v>
      </c>
      <c r="G17" s="1" t="b">
        <v>0</v>
      </c>
      <c r="H17" t="s">
        <v>1405</v>
      </c>
      <c r="I17" t="s">
        <v>796</v>
      </c>
      <c r="J17" s="1" t="b">
        <v>1</v>
      </c>
      <c r="K17" s="27"/>
      <c r="L17" s="31" t="s">
        <v>1665</v>
      </c>
      <c r="M17" s="31" t="s">
        <v>1666</v>
      </c>
    </row>
    <row r="18" spans="1:13" ht="45">
      <c r="A18" t="s">
        <v>57</v>
      </c>
      <c r="B18" t="s">
        <v>1642</v>
      </c>
      <c r="C18">
        <v>38</v>
      </c>
      <c r="D18" s="26">
        <v>40</v>
      </c>
      <c r="E18" s="26">
        <v>1.0526315789473684</v>
      </c>
      <c r="F18" s="1" t="b">
        <v>1</v>
      </c>
      <c r="G18" s="1" t="b">
        <v>0</v>
      </c>
      <c r="H18" t="s">
        <v>1467</v>
      </c>
      <c r="I18" t="s">
        <v>1468</v>
      </c>
      <c r="J18" s="1" t="b">
        <v>0</v>
      </c>
      <c r="K18" s="27"/>
      <c r="L18" s="31" t="s">
        <v>1665</v>
      </c>
      <c r="M18" s="31" t="s">
        <v>1666</v>
      </c>
    </row>
    <row r="19" spans="1:13" ht="45">
      <c r="A19" t="s">
        <v>58</v>
      </c>
      <c r="B19" t="s">
        <v>1642</v>
      </c>
      <c r="C19">
        <v>38</v>
      </c>
      <c r="D19" s="26">
        <v>38.9</v>
      </c>
      <c r="E19" s="26">
        <v>1.0236842105263158</v>
      </c>
      <c r="F19" s="1" t="b">
        <v>1</v>
      </c>
      <c r="G19" s="1" t="b">
        <v>0</v>
      </c>
      <c r="H19" t="s">
        <v>1551</v>
      </c>
      <c r="I19" t="s">
        <v>229</v>
      </c>
      <c r="J19" s="1" t="b">
        <v>0</v>
      </c>
      <c r="K19" s="27"/>
      <c r="L19" s="31" t="s">
        <v>1665</v>
      </c>
      <c r="M19" s="31" t="s">
        <v>1666</v>
      </c>
    </row>
    <row r="20" spans="1:13" ht="45">
      <c r="A20" t="s">
        <v>1651</v>
      </c>
      <c r="B20" t="s">
        <v>1642</v>
      </c>
      <c r="C20">
        <v>38</v>
      </c>
      <c r="D20" s="26">
        <v>35.5</v>
      </c>
      <c r="E20" s="26">
        <v>0.93421052631578949</v>
      </c>
      <c r="F20" s="1" t="b">
        <v>0</v>
      </c>
      <c r="G20" s="1" t="b">
        <v>0</v>
      </c>
      <c r="J20" s="1" t="b">
        <v>0</v>
      </c>
      <c r="K20" s="27"/>
      <c r="L20" s="31" t="s">
        <v>1665</v>
      </c>
      <c r="M20" s="31" t="s">
        <v>1666</v>
      </c>
    </row>
    <row r="21" spans="1:13" ht="45">
      <c r="A21" t="s">
        <v>1652</v>
      </c>
      <c r="B21" t="s">
        <v>1642</v>
      </c>
      <c r="C21">
        <v>38</v>
      </c>
      <c r="D21" s="26">
        <v>32.5</v>
      </c>
      <c r="E21" s="26">
        <v>0.85526315789473684</v>
      </c>
      <c r="F21" s="1" t="b">
        <v>0</v>
      </c>
      <c r="G21" s="1" t="b">
        <v>0</v>
      </c>
      <c r="J21" s="1" t="b">
        <v>0</v>
      </c>
      <c r="K21" s="27"/>
      <c r="L21" s="31" t="s">
        <v>1665</v>
      </c>
      <c r="M21" s="31" t="s">
        <v>1666</v>
      </c>
    </row>
    <row r="22" spans="1:13" ht="45">
      <c r="A22" t="s">
        <v>45</v>
      </c>
      <c r="B22" t="s">
        <v>1654</v>
      </c>
      <c r="C22">
        <v>46</v>
      </c>
      <c r="D22" s="26">
        <v>87.3</v>
      </c>
      <c r="E22" s="26">
        <v>1.8978260869565218</v>
      </c>
      <c r="F22" s="1" t="b">
        <v>1</v>
      </c>
      <c r="G22" s="1" t="b">
        <v>1</v>
      </c>
      <c r="H22" t="s">
        <v>603</v>
      </c>
      <c r="I22" t="s">
        <v>604</v>
      </c>
      <c r="J22" s="1" t="b">
        <v>0</v>
      </c>
      <c r="K22" s="27"/>
      <c r="L22" s="31" t="s">
        <v>1665</v>
      </c>
      <c r="M22" s="31" t="s">
        <v>1667</v>
      </c>
    </row>
    <row r="23" spans="1:13" ht="45">
      <c r="A23" t="s">
        <v>50</v>
      </c>
      <c r="B23" t="s">
        <v>1654</v>
      </c>
      <c r="C23">
        <v>46</v>
      </c>
      <c r="D23" s="26">
        <v>79.2</v>
      </c>
      <c r="E23" s="26">
        <v>1.7217391304347827</v>
      </c>
      <c r="F23" s="1" t="b">
        <v>1</v>
      </c>
      <c r="G23" s="1" t="b">
        <v>1</v>
      </c>
      <c r="H23" t="s">
        <v>945</v>
      </c>
      <c r="I23" t="s">
        <v>946</v>
      </c>
      <c r="J23" s="1" t="b">
        <v>1</v>
      </c>
      <c r="K23" s="27"/>
      <c r="L23" s="31" t="s">
        <v>1665</v>
      </c>
      <c r="M23" s="31" t="s">
        <v>1667</v>
      </c>
    </row>
    <row r="24" spans="1:13" ht="45">
      <c r="A24" t="s">
        <v>49</v>
      </c>
      <c r="B24" t="s">
        <v>1654</v>
      </c>
      <c r="C24">
        <v>46</v>
      </c>
      <c r="D24" s="26">
        <v>59.7</v>
      </c>
      <c r="E24" s="26">
        <v>1.2978260869565219</v>
      </c>
      <c r="F24" s="1" t="b">
        <v>1</v>
      </c>
      <c r="G24" s="1" t="b">
        <v>1</v>
      </c>
      <c r="H24" t="s">
        <v>871</v>
      </c>
      <c r="I24" t="s">
        <v>872</v>
      </c>
      <c r="J24" s="1" t="b">
        <v>0</v>
      </c>
      <c r="K24" s="27"/>
      <c r="L24" s="31" t="s">
        <v>1665</v>
      </c>
      <c r="M24" s="31" t="s">
        <v>1667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/>
  </sheetViews>
  <sheetFormatPr baseColWidth="10" defaultColWidth="8.83203125" defaultRowHeight="14"/>
  <cols>
    <col min="1" max="1" width="14" customWidth="1"/>
    <col min="2" max="3" width="17" customWidth="1"/>
    <col min="4" max="5" width="14" customWidth="1"/>
    <col min="7" max="7" width="34" customWidth="1"/>
    <col min="8" max="8" width="14" customWidth="1"/>
    <col min="10" max="10" width="72" customWidth="1"/>
    <col min="11" max="11" width="62" customWidth="1"/>
  </cols>
  <sheetData>
    <row r="1" spans="1:11" ht="16">
      <c r="A1" s="3" t="s">
        <v>1668</v>
      </c>
      <c r="B1" s="3"/>
      <c r="C1" s="3"/>
      <c r="D1" s="3"/>
      <c r="E1" s="3"/>
      <c r="G1" s="3" t="s">
        <v>1669</v>
      </c>
      <c r="H1" s="3"/>
      <c r="J1" s="32" t="s">
        <v>1670</v>
      </c>
    </row>
    <row r="2" spans="1:11" ht="16">
      <c r="A2" s="4" t="s">
        <v>1671</v>
      </c>
      <c r="B2" s="4" t="s">
        <v>1626</v>
      </c>
      <c r="C2" s="4" t="s">
        <v>1627</v>
      </c>
      <c r="D2" s="4" t="s">
        <v>1672</v>
      </c>
      <c r="E2" s="4" t="s">
        <v>1673</v>
      </c>
      <c r="G2" s="4" t="s">
        <v>1674</v>
      </c>
      <c r="H2" s="4" t="s">
        <v>1675</v>
      </c>
      <c r="J2" s="43" t="s">
        <v>1670</v>
      </c>
    </row>
    <row r="3" spans="1:11" ht="15">
      <c r="A3" t="s">
        <v>85</v>
      </c>
      <c r="B3" s="23">
        <v>1.6719534964712218E-4</v>
      </c>
      <c r="C3" s="23">
        <v>1.379361634588758E-3</v>
      </c>
      <c r="D3">
        <v>31</v>
      </c>
      <c r="E3" s="24">
        <v>59967</v>
      </c>
      <c r="G3" t="s">
        <v>1676</v>
      </c>
      <c r="H3" s="10">
        <v>1000</v>
      </c>
      <c r="J3" s="31" t="s">
        <v>1677</v>
      </c>
    </row>
    <row r="4" spans="1:11" ht="30">
      <c r="A4" t="s">
        <v>99</v>
      </c>
      <c r="B4" s="23">
        <v>4.1142361271531161E-2</v>
      </c>
      <c r="C4" s="23">
        <v>4.0513079897554365E-2</v>
      </c>
      <c r="D4">
        <v>135</v>
      </c>
      <c r="E4" s="24">
        <v>223882</v>
      </c>
      <c r="G4" t="s">
        <v>1678</v>
      </c>
      <c r="H4" s="25">
        <v>1</v>
      </c>
      <c r="J4" s="31" t="s">
        <v>1679</v>
      </c>
    </row>
    <row r="5" spans="1:11" ht="15">
      <c r="A5" t="s">
        <v>112</v>
      </c>
      <c r="B5" s="23">
        <v>0.10751786102217777</v>
      </c>
      <c r="C5" s="23">
        <v>9.0240671969462088E-2</v>
      </c>
      <c r="D5">
        <v>190</v>
      </c>
      <c r="E5" s="24">
        <v>268280</v>
      </c>
      <c r="G5" t="s">
        <v>1680</v>
      </c>
      <c r="H5" s="25">
        <v>0.8</v>
      </c>
      <c r="J5" s="31" t="s">
        <v>1681</v>
      </c>
    </row>
    <row r="6" spans="1:11" ht="30">
      <c r="A6" t="s">
        <v>167</v>
      </c>
      <c r="B6" s="23">
        <v>0.30461525508032317</v>
      </c>
      <c r="C6" s="23">
        <v>3.9258061548584466E-2</v>
      </c>
      <c r="D6">
        <v>48</v>
      </c>
      <c r="E6" s="24">
        <v>57305</v>
      </c>
      <c r="G6" t="s">
        <v>1682</v>
      </c>
      <c r="H6" s="25">
        <v>0.85</v>
      </c>
      <c r="J6" s="31" t="s">
        <v>1683</v>
      </c>
    </row>
    <row r="7" spans="1:11" ht="30">
      <c r="G7" t="s">
        <v>1684</v>
      </c>
      <c r="H7" s="25">
        <v>0.9</v>
      </c>
      <c r="J7" s="31" t="s">
        <v>1685</v>
      </c>
    </row>
    <row r="8" spans="1:11" ht="15">
      <c r="G8" t="s">
        <v>1686</v>
      </c>
      <c r="H8" s="25">
        <v>0</v>
      </c>
      <c r="J8" s="31" t="s">
        <v>1687</v>
      </c>
    </row>
    <row r="9" spans="1:11" ht="30">
      <c r="J9" s="31" t="s">
        <v>1688</v>
      </c>
    </row>
    <row r="10" spans="1:11" ht="15">
      <c r="J10" s="31" t="s">
        <v>1689</v>
      </c>
    </row>
    <row r="11" spans="1:11" ht="30">
      <c r="J11" s="31" t="s">
        <v>1690</v>
      </c>
    </row>
    <row r="12" spans="1:11" ht="15">
      <c r="J12" s="31" t="s">
        <v>1691</v>
      </c>
    </row>
    <row r="13" spans="1:11" ht="15">
      <c r="J13" s="31" t="s">
        <v>1692</v>
      </c>
    </row>
    <row r="16" spans="1:11" ht="15">
      <c r="A16" s="34" t="s">
        <v>1693</v>
      </c>
      <c r="B16" s="34"/>
      <c r="C16" s="34"/>
      <c r="D16" s="34"/>
      <c r="E16" s="34"/>
      <c r="G16" s="34" t="s">
        <v>1694</v>
      </c>
      <c r="H16" s="34"/>
      <c r="J16" s="34" t="s">
        <v>1695</v>
      </c>
      <c r="K16" s="34"/>
    </row>
    <row r="17" spans="1:11" ht="15">
      <c r="A17" s="41" t="s">
        <v>1671</v>
      </c>
      <c r="B17" s="41" t="s">
        <v>1696</v>
      </c>
      <c r="C17" s="41" t="s">
        <v>1697</v>
      </c>
      <c r="D17" s="41" t="s">
        <v>1673</v>
      </c>
      <c r="E17" s="41" t="s">
        <v>1698</v>
      </c>
      <c r="G17" s="41" t="s">
        <v>1674</v>
      </c>
      <c r="H17" s="41" t="s">
        <v>1675</v>
      </c>
      <c r="J17" s="41" t="s">
        <v>1699</v>
      </c>
      <c r="K17" s="41" t="s">
        <v>1675</v>
      </c>
    </row>
    <row r="18" spans="1:11">
      <c r="A18" t="s">
        <v>85</v>
      </c>
      <c r="B18" s="26">
        <f>IFERROR(SUMIFS(Def_Priors!$H$2:$H$568,Def_Priors!$D$2:$D$568,A18,Def_Priors!$E$2:$E$568,"Premier League")*90/SUMIFS(Def_Priors!$G$2:$G$568,Def_Priors!$D$2:$D$568,A18,Def_Priors!$E$2:$E$568,"Premier League"),0)</f>
        <v>2.6414527990394716</v>
      </c>
      <c r="C18">
        <f>COUNTIFS(Def_Priors!$D$2:$D$568,A18,Def_Priors!$E$2:$E$568,"Premier League",Def_Priors!$G$2:$G$568,"&gt;0")</f>
        <v>31</v>
      </c>
      <c r="D18">
        <f>SUMIFS(Def_Priors!$G$2:$G$568,Def_Priors!$D$2:$D$568,A18,Def_Priors!$E$2:$E$568,"Premier League")</f>
        <v>59967</v>
      </c>
      <c r="G18" t="s">
        <v>1700</v>
      </c>
      <c r="H18" s="36">
        <v>1000</v>
      </c>
      <c r="J18" t="s">
        <v>1701</v>
      </c>
      <c r="K18" s="26">
        <f>IFERROR(SUMIFS(Def_Priors!$J$2:$J$568,Def_Priors!$D$2:$D$568,"GK",Def_Priors!$E$2:$E$568,"Premier League")*90/SUMIFS(Def_Priors!$G$2:$G$568,Def_Priors!$D$2:$D$568,"GK",Def_Priors!$E$2:$E$568,"Premier League"),0)</f>
        <v>2.7435089299114512</v>
      </c>
    </row>
    <row r="19" spans="1:11">
      <c r="A19" t="s">
        <v>99</v>
      </c>
      <c r="B19" s="26">
        <f>IFERROR(SUMIFS(Def_Priors!$H$2:$H$568,Def_Priors!$D$2:$D$568,A19,Def_Priors!$E$2:$E$568,"Premier League")*90/SUMIFS(Def_Priors!$G$2:$G$568,Def_Priors!$D$2:$D$568,A19,Def_Priors!$E$2:$E$568,"Premier League"),0)</f>
        <v>8.7398272304160223</v>
      </c>
      <c r="C19">
        <f>COUNTIFS(Def_Priors!$D$2:$D$568,A19,Def_Priors!$E$2:$E$568,"Premier League",Def_Priors!$G$2:$G$568,"&gt;0")</f>
        <v>135</v>
      </c>
      <c r="D19">
        <f>SUMIFS(Def_Priors!$G$2:$G$568,Def_Priors!$D$2:$D$568,A19,Def_Priors!$E$2:$E$568,"Premier League")</f>
        <v>223882</v>
      </c>
      <c r="E19">
        <v>10</v>
      </c>
      <c r="G19" t="s">
        <v>1702</v>
      </c>
      <c r="H19" s="36">
        <v>1</v>
      </c>
      <c r="J19" t="s">
        <v>1703</v>
      </c>
      <c r="K19" s="26">
        <f>IFERROR(SUMIFS(Def_Priors!$J$2:$J$568,Def_Priors!$D$2:$D$568,"GK",Def_Priors!$E$2:$E$568,"Premier League")/(SUMIFS(Def_Priors!$J$2:$J$568,Def_Priors!$D$2:$D$568,"GK",Def_Priors!$E$2:$E$568,"Premier League")+SUMIFS(Def_Priors!$L$2:$L$568,Def_Priors!$D$2:$D$568,"GK",Def_Priors!$E$2:$E$568,"Premier League")),0)</f>
        <v>0.67280088332719912</v>
      </c>
    </row>
    <row r="20" spans="1:11">
      <c r="A20" t="s">
        <v>112</v>
      </c>
      <c r="B20" s="26">
        <f>IFERROR(SUMIFS(Def_Priors!$H$2:$H$568,Def_Priors!$D$2:$D$568,A20,Def_Priors!$E$2:$E$568,"Premier League")*90/SUMIFS(Def_Priors!$G$2:$G$568,Def_Priors!$D$2:$D$568,A20,Def_Priors!$E$2:$E$568,"Premier League"),0)</f>
        <v>8.4555315342179806</v>
      </c>
      <c r="C20">
        <f>COUNTIFS(Def_Priors!$D$2:$D$568,A20,Def_Priors!$E$2:$E$568,"Premier League",Def_Priors!$G$2:$G$568,"&gt;0")</f>
        <v>190</v>
      </c>
      <c r="D20">
        <f>SUMIFS(Def_Priors!$G$2:$G$568,Def_Priors!$D$2:$D$568,A20,Def_Priors!$E$2:$E$568,"Premier League")</f>
        <v>268280</v>
      </c>
      <c r="E20">
        <v>12</v>
      </c>
      <c r="G20" t="s">
        <v>1704</v>
      </c>
      <c r="H20" s="36">
        <v>0.85</v>
      </c>
      <c r="J20" t="s">
        <v>1705</v>
      </c>
      <c r="K20" t="s">
        <v>1706</v>
      </c>
    </row>
    <row r="21" spans="1:11">
      <c r="A21" t="s">
        <v>167</v>
      </c>
      <c r="B21" s="26">
        <f>IFERROR(SUMIFS(Def_Priors!$H$2:$H$568,Def_Priors!$D$2:$D$568,A21,Def_Priors!$E$2:$E$568,"Premier League")*90/SUMIFS(Def_Priors!$G$2:$G$568,Def_Priors!$D$2:$D$568,A21,Def_Priors!$E$2:$E$568,"Premier League"),0)</f>
        <v>4.5137422563476139</v>
      </c>
      <c r="C21">
        <f>COUNTIFS(Def_Priors!$D$2:$D$568,A21,Def_Priors!$E$2:$E$568,"Premier League",Def_Priors!$G$2:$G$568,"&gt;0")</f>
        <v>48</v>
      </c>
      <c r="D21">
        <f>SUMIFS(Def_Priors!$G$2:$G$568,Def_Priors!$D$2:$D$568,A21,Def_Priors!$E$2:$E$568,"Premier League")</f>
        <v>57305</v>
      </c>
      <c r="E21">
        <v>12</v>
      </c>
      <c r="G21" t="s">
        <v>1707</v>
      </c>
      <c r="H21" s="36">
        <v>0.9</v>
      </c>
    </row>
    <row r="22" spans="1:11">
      <c r="G22" t="s">
        <v>1708</v>
      </c>
      <c r="H22" t="s">
        <v>1709</v>
      </c>
    </row>
    <row r="25" spans="1:11" ht="16">
      <c r="G25" s="44" t="s">
        <v>1710</v>
      </c>
      <c r="H25" s="44"/>
      <c r="J25" s="49" t="s">
        <v>1711</v>
      </c>
      <c r="K25" s="49"/>
    </row>
    <row r="26" spans="1:11" ht="16">
      <c r="G26" s="48" t="s">
        <v>1674</v>
      </c>
      <c r="H26" s="48" t="s">
        <v>1675</v>
      </c>
      <c r="J26" s="50" t="s">
        <v>1712</v>
      </c>
      <c r="K26" s="50" t="s">
        <v>1713</v>
      </c>
    </row>
    <row r="27" spans="1:11" ht="15">
      <c r="G27" t="s">
        <v>1714</v>
      </c>
      <c r="H27" s="45">
        <v>1.3976315789473683</v>
      </c>
      <c r="J27" s="31" t="s">
        <v>1715</v>
      </c>
      <c r="K27" s="31" t="s">
        <v>1716</v>
      </c>
    </row>
    <row r="28" spans="1:11" ht="15">
      <c r="G28" t="s">
        <v>1717</v>
      </c>
      <c r="H28" s="45">
        <v>1.1000000000000001</v>
      </c>
      <c r="J28" s="31" t="s">
        <v>1718</v>
      </c>
      <c r="K28" s="31" t="s">
        <v>1719</v>
      </c>
    </row>
    <row r="29" spans="1:11" ht="15">
      <c r="G29" t="s">
        <v>1720</v>
      </c>
      <c r="H29" s="45">
        <v>0.9</v>
      </c>
      <c r="J29" s="31" t="s">
        <v>1721</v>
      </c>
      <c r="K29" s="31" t="s">
        <v>1722</v>
      </c>
    </row>
    <row r="30" spans="1:11" ht="15">
      <c r="G30" t="s">
        <v>1723</v>
      </c>
      <c r="H30" s="45">
        <v>1</v>
      </c>
      <c r="J30" s="31" t="s">
        <v>1724</v>
      </c>
      <c r="K30" s="31" t="s">
        <v>1722</v>
      </c>
    </row>
    <row r="31" spans="1:11" ht="15">
      <c r="G31" t="s">
        <v>1725</v>
      </c>
      <c r="H31" t="s">
        <v>1726</v>
      </c>
      <c r="J31" s="31" t="s">
        <v>1727</v>
      </c>
      <c r="K31" s="31" t="s">
        <v>1728</v>
      </c>
    </row>
    <row r="32" spans="1:11" ht="15">
      <c r="J32" s="31" t="s">
        <v>1729</v>
      </c>
      <c r="K32" s="31" t="s">
        <v>1730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61"/>
  <sheetViews>
    <sheetView workbookViewId="0"/>
  </sheetViews>
  <sheetFormatPr baseColWidth="10" defaultColWidth="8.83203125" defaultRowHeight="14"/>
  <cols>
    <col min="1" max="1" width="7" customWidth="1"/>
    <col min="2" max="2" width="10" customWidth="1"/>
    <col min="3" max="3" width="20" customWidth="1"/>
    <col min="4" max="5" width="18" customWidth="1"/>
    <col min="6" max="6" width="7" customWidth="1"/>
    <col min="7" max="7" width="11" customWidth="1"/>
    <col min="8" max="12" width="14" customWidth="1"/>
    <col min="13" max="13" width="30" customWidth="1"/>
    <col min="14" max="14" width="34" customWidth="1"/>
  </cols>
  <sheetData>
    <row r="1" spans="1:14" ht="15">
      <c r="A1" s="3" t="s">
        <v>1731</v>
      </c>
      <c r="B1" s="3" t="s">
        <v>1732</v>
      </c>
      <c r="C1" s="3" t="s">
        <v>1733</v>
      </c>
      <c r="D1" s="3" t="s">
        <v>33</v>
      </c>
      <c r="E1" s="3" t="s">
        <v>1734</v>
      </c>
      <c r="F1" s="3" t="s">
        <v>1735</v>
      </c>
      <c r="G1" s="3" t="s">
        <v>1736</v>
      </c>
      <c r="H1" s="3" t="s">
        <v>1737</v>
      </c>
      <c r="I1" s="3" t="s">
        <v>1738</v>
      </c>
      <c r="J1" s="3" t="s">
        <v>1739</v>
      </c>
      <c r="K1" s="3" t="s">
        <v>1740</v>
      </c>
      <c r="L1" s="3" t="s">
        <v>1741</v>
      </c>
      <c r="M1" s="3" t="s">
        <v>1637</v>
      </c>
      <c r="N1" s="3" t="s">
        <v>1636</v>
      </c>
    </row>
    <row r="2" spans="1:14">
      <c r="A2">
        <v>1</v>
      </c>
      <c r="B2">
        <v>1</v>
      </c>
      <c r="C2">
        <v>46255.791666666664</v>
      </c>
      <c r="D2" t="s">
        <v>45</v>
      </c>
      <c r="E2" t="s">
        <v>39</v>
      </c>
      <c r="F2" t="s">
        <v>1742</v>
      </c>
      <c r="G2">
        <v>5</v>
      </c>
      <c r="H2" s="27"/>
      <c r="I2" s="27"/>
      <c r="J2" s="26" t="str">
        <f t="shared" ref="J2:J65" si="0">IF(I2="","",EXP(-I2))</f>
        <v/>
      </c>
      <c r="K2" s="27">
        <v>1</v>
      </c>
      <c r="L2" s="27">
        <v>1</v>
      </c>
      <c r="N2" t="s">
        <v>90</v>
      </c>
    </row>
    <row r="3" spans="1:14">
      <c r="A3">
        <v>1</v>
      </c>
      <c r="B3">
        <v>1</v>
      </c>
      <c r="C3">
        <v>46255.791666666664</v>
      </c>
      <c r="D3" t="s">
        <v>39</v>
      </c>
      <c r="E3" t="s">
        <v>45</v>
      </c>
      <c r="F3" t="s">
        <v>1743</v>
      </c>
      <c r="G3">
        <v>2</v>
      </c>
      <c r="H3" s="27"/>
      <c r="I3" s="27"/>
      <c r="J3" s="26" t="str">
        <f t="shared" si="0"/>
        <v/>
      </c>
      <c r="K3" s="27">
        <v>1</v>
      </c>
      <c r="L3" s="27">
        <v>1</v>
      </c>
      <c r="N3" t="s">
        <v>90</v>
      </c>
    </row>
    <row r="4" spans="1:14">
      <c r="A4">
        <v>1</v>
      </c>
      <c r="B4">
        <v>2</v>
      </c>
      <c r="C4">
        <v>46256.6875</v>
      </c>
      <c r="D4" t="s">
        <v>57</v>
      </c>
      <c r="E4" t="s">
        <v>42</v>
      </c>
      <c r="F4" t="s">
        <v>1742</v>
      </c>
      <c r="G4">
        <v>3</v>
      </c>
      <c r="H4" s="27"/>
      <c r="I4" s="27"/>
      <c r="J4" s="26" t="str">
        <f t="shared" si="0"/>
        <v/>
      </c>
      <c r="K4" s="27">
        <v>1</v>
      </c>
      <c r="L4" s="27">
        <v>1</v>
      </c>
      <c r="N4" t="s">
        <v>90</v>
      </c>
    </row>
    <row r="5" spans="1:14">
      <c r="A5">
        <v>1</v>
      </c>
      <c r="B5">
        <v>2</v>
      </c>
      <c r="C5">
        <v>46256.6875</v>
      </c>
      <c r="D5" t="s">
        <v>42</v>
      </c>
      <c r="E5" t="s">
        <v>57</v>
      </c>
      <c r="F5" t="s">
        <v>1743</v>
      </c>
      <c r="G5">
        <v>3</v>
      </c>
      <c r="H5" s="27"/>
      <c r="I5" s="27"/>
      <c r="J5" s="26" t="str">
        <f t="shared" si="0"/>
        <v/>
      </c>
      <c r="K5" s="27">
        <v>1</v>
      </c>
      <c r="L5" s="27">
        <v>1</v>
      </c>
      <c r="N5" t="s">
        <v>90</v>
      </c>
    </row>
    <row r="6" spans="1:14">
      <c r="A6">
        <v>1</v>
      </c>
      <c r="B6">
        <v>3</v>
      </c>
      <c r="C6">
        <v>46256.583333333336</v>
      </c>
      <c r="D6" t="s">
        <v>46</v>
      </c>
      <c r="E6" t="s">
        <v>47</v>
      </c>
      <c r="F6" t="s">
        <v>1742</v>
      </c>
      <c r="G6">
        <v>3</v>
      </c>
      <c r="H6" s="27"/>
      <c r="I6" s="27"/>
      <c r="J6" s="26" t="str">
        <f t="shared" si="0"/>
        <v/>
      </c>
      <c r="K6" s="27">
        <v>1</v>
      </c>
      <c r="L6" s="27">
        <v>1</v>
      </c>
      <c r="N6" t="s">
        <v>90</v>
      </c>
    </row>
    <row r="7" spans="1:14">
      <c r="A7">
        <v>1</v>
      </c>
      <c r="B7">
        <v>3</v>
      </c>
      <c r="C7">
        <v>46256.583333333336</v>
      </c>
      <c r="D7" t="s">
        <v>47</v>
      </c>
      <c r="E7" t="s">
        <v>46</v>
      </c>
      <c r="F7" t="s">
        <v>1743</v>
      </c>
      <c r="G7">
        <v>3</v>
      </c>
      <c r="H7" s="27"/>
      <c r="I7" s="27"/>
      <c r="J7" s="26" t="str">
        <f t="shared" si="0"/>
        <v/>
      </c>
      <c r="K7" s="27">
        <v>1</v>
      </c>
      <c r="L7" s="27">
        <v>1</v>
      </c>
      <c r="N7" t="s">
        <v>90</v>
      </c>
    </row>
    <row r="8" spans="1:14">
      <c r="A8">
        <v>1</v>
      </c>
      <c r="B8">
        <v>4</v>
      </c>
      <c r="C8">
        <v>46256.479166666664</v>
      </c>
      <c r="D8" t="s">
        <v>54</v>
      </c>
      <c r="E8" t="s">
        <v>49</v>
      </c>
      <c r="F8" t="s">
        <v>1742</v>
      </c>
      <c r="G8">
        <v>2</v>
      </c>
      <c r="H8" s="27"/>
      <c r="I8" s="27"/>
      <c r="J8" s="26" t="str">
        <f t="shared" si="0"/>
        <v/>
      </c>
      <c r="K8" s="27">
        <v>1</v>
      </c>
      <c r="L8" s="27">
        <v>1</v>
      </c>
      <c r="N8" t="s">
        <v>90</v>
      </c>
    </row>
    <row r="9" spans="1:14">
      <c r="A9">
        <v>1</v>
      </c>
      <c r="B9">
        <v>4</v>
      </c>
      <c r="C9">
        <v>46256.479166666664</v>
      </c>
      <c r="D9" t="s">
        <v>49</v>
      </c>
      <c r="E9" t="s">
        <v>54</v>
      </c>
      <c r="F9" t="s">
        <v>1743</v>
      </c>
      <c r="G9">
        <v>4</v>
      </c>
      <c r="H9" s="27"/>
      <c r="I9" s="27"/>
      <c r="J9" s="26" t="str">
        <f t="shared" si="0"/>
        <v/>
      </c>
      <c r="K9" s="27">
        <v>1</v>
      </c>
      <c r="L9" s="27">
        <v>1</v>
      </c>
      <c r="N9" t="s">
        <v>90</v>
      </c>
    </row>
    <row r="10" spans="1:14">
      <c r="A10">
        <v>1</v>
      </c>
      <c r="B10">
        <v>5</v>
      </c>
      <c r="C10">
        <v>46256.583333333336</v>
      </c>
      <c r="D10" t="s">
        <v>58</v>
      </c>
      <c r="E10" t="s">
        <v>50</v>
      </c>
      <c r="F10" t="s">
        <v>1742</v>
      </c>
      <c r="G10">
        <v>2</v>
      </c>
      <c r="H10" s="27"/>
      <c r="I10" s="27"/>
      <c r="J10" s="26" t="str">
        <f t="shared" si="0"/>
        <v/>
      </c>
      <c r="K10" s="27">
        <v>1</v>
      </c>
      <c r="L10" s="27">
        <v>1</v>
      </c>
      <c r="N10" t="s">
        <v>90</v>
      </c>
    </row>
    <row r="11" spans="1:14">
      <c r="A11">
        <v>1</v>
      </c>
      <c r="B11">
        <v>5</v>
      </c>
      <c r="C11">
        <v>46256.583333333336</v>
      </c>
      <c r="D11" t="s">
        <v>50</v>
      </c>
      <c r="E11" t="s">
        <v>58</v>
      </c>
      <c r="F11" t="s">
        <v>1743</v>
      </c>
      <c r="G11">
        <v>2</v>
      </c>
      <c r="H11" s="27"/>
      <c r="I11" s="27"/>
      <c r="J11" s="26" t="str">
        <f t="shared" si="0"/>
        <v/>
      </c>
      <c r="K11" s="27">
        <v>1</v>
      </c>
      <c r="L11" s="27">
        <v>1</v>
      </c>
      <c r="N11" t="s">
        <v>90</v>
      </c>
    </row>
    <row r="12" spans="1:14">
      <c r="A12">
        <v>1</v>
      </c>
      <c r="B12">
        <v>6</v>
      </c>
      <c r="C12">
        <v>46256.583333333336</v>
      </c>
      <c r="D12" t="s">
        <v>51</v>
      </c>
      <c r="E12" t="s">
        <v>56</v>
      </c>
      <c r="F12" t="s">
        <v>1742</v>
      </c>
      <c r="G12">
        <v>3</v>
      </c>
      <c r="H12" s="27"/>
      <c r="I12" s="27"/>
      <c r="J12" s="26" t="str">
        <f t="shared" si="0"/>
        <v/>
      </c>
      <c r="K12" s="27">
        <v>1</v>
      </c>
      <c r="L12" s="27">
        <v>1</v>
      </c>
      <c r="N12" t="s">
        <v>90</v>
      </c>
    </row>
    <row r="13" spans="1:14">
      <c r="A13">
        <v>1</v>
      </c>
      <c r="B13">
        <v>6</v>
      </c>
      <c r="C13">
        <v>46256.583333333336</v>
      </c>
      <c r="D13" t="s">
        <v>56</v>
      </c>
      <c r="E13" t="s">
        <v>51</v>
      </c>
      <c r="F13" t="s">
        <v>1743</v>
      </c>
      <c r="G13">
        <v>2</v>
      </c>
      <c r="H13" s="27"/>
      <c r="I13" s="27"/>
      <c r="J13" s="26" t="str">
        <f t="shared" si="0"/>
        <v/>
      </c>
      <c r="K13" s="27">
        <v>1</v>
      </c>
      <c r="L13" s="27">
        <v>1</v>
      </c>
      <c r="N13" t="s">
        <v>90</v>
      </c>
    </row>
    <row r="14" spans="1:14">
      <c r="A14">
        <v>1</v>
      </c>
      <c r="B14">
        <v>7</v>
      </c>
      <c r="C14">
        <v>46257.541666666664</v>
      </c>
      <c r="D14" t="s">
        <v>40</v>
      </c>
      <c r="E14" t="s">
        <v>43</v>
      </c>
      <c r="F14" t="s">
        <v>1742</v>
      </c>
      <c r="G14">
        <v>3</v>
      </c>
      <c r="H14" s="27"/>
      <c r="I14" s="27"/>
      <c r="J14" s="26" t="str">
        <f t="shared" si="0"/>
        <v/>
      </c>
      <c r="K14" s="27">
        <v>1</v>
      </c>
      <c r="L14" s="27">
        <v>1</v>
      </c>
      <c r="N14" t="s">
        <v>90</v>
      </c>
    </row>
    <row r="15" spans="1:14">
      <c r="A15">
        <v>1</v>
      </c>
      <c r="B15">
        <v>7</v>
      </c>
      <c r="C15">
        <v>46257.541666666664</v>
      </c>
      <c r="D15" t="s">
        <v>43</v>
      </c>
      <c r="E15" t="s">
        <v>40</v>
      </c>
      <c r="F15" t="s">
        <v>1743</v>
      </c>
      <c r="G15">
        <v>3</v>
      </c>
      <c r="H15" s="27"/>
      <c r="I15" s="27"/>
      <c r="J15" s="26" t="str">
        <f t="shared" si="0"/>
        <v/>
      </c>
      <c r="K15" s="27">
        <v>1</v>
      </c>
      <c r="L15" s="27">
        <v>1</v>
      </c>
      <c r="N15" t="s">
        <v>90</v>
      </c>
    </row>
    <row r="16" spans="1:14">
      <c r="A16">
        <v>1</v>
      </c>
      <c r="B16">
        <v>8</v>
      </c>
      <c r="C16">
        <v>46257.541666666664</v>
      </c>
      <c r="D16" t="s">
        <v>41</v>
      </c>
      <c r="E16" t="s">
        <v>53</v>
      </c>
      <c r="F16" t="s">
        <v>1742</v>
      </c>
      <c r="G16">
        <v>5</v>
      </c>
      <c r="H16" s="27"/>
      <c r="I16" s="27"/>
      <c r="J16" s="26" t="str">
        <f t="shared" si="0"/>
        <v/>
      </c>
      <c r="K16" s="27">
        <v>1</v>
      </c>
      <c r="L16" s="27">
        <v>1</v>
      </c>
      <c r="N16" t="s">
        <v>90</v>
      </c>
    </row>
    <row r="17" spans="1:14">
      <c r="A17">
        <v>1</v>
      </c>
      <c r="B17">
        <v>8</v>
      </c>
      <c r="C17">
        <v>46257.541666666664</v>
      </c>
      <c r="D17" t="s">
        <v>53</v>
      </c>
      <c r="E17" t="s">
        <v>41</v>
      </c>
      <c r="F17" t="s">
        <v>1743</v>
      </c>
      <c r="G17">
        <v>3</v>
      </c>
      <c r="H17" s="27"/>
      <c r="I17" s="27"/>
      <c r="J17" s="26" t="str">
        <f t="shared" si="0"/>
        <v/>
      </c>
      <c r="K17" s="27">
        <v>1</v>
      </c>
      <c r="L17" s="27">
        <v>1</v>
      </c>
      <c r="N17" t="s">
        <v>90</v>
      </c>
    </row>
    <row r="18" spans="1:14">
      <c r="A18">
        <v>1</v>
      </c>
      <c r="B18">
        <v>9</v>
      </c>
      <c r="C18">
        <v>46257.645833333336</v>
      </c>
      <c r="D18" t="s">
        <v>52</v>
      </c>
      <c r="E18" t="s">
        <v>55</v>
      </c>
      <c r="F18" t="s">
        <v>1742</v>
      </c>
      <c r="G18">
        <v>3</v>
      </c>
      <c r="H18" s="27"/>
      <c r="I18" s="27"/>
      <c r="J18" s="26" t="str">
        <f t="shared" si="0"/>
        <v/>
      </c>
      <c r="K18" s="27">
        <v>1</v>
      </c>
      <c r="L18" s="27">
        <v>1</v>
      </c>
      <c r="N18" t="s">
        <v>90</v>
      </c>
    </row>
    <row r="19" spans="1:14">
      <c r="A19">
        <v>1</v>
      </c>
      <c r="B19">
        <v>9</v>
      </c>
      <c r="C19">
        <v>46257.645833333336</v>
      </c>
      <c r="D19" t="s">
        <v>55</v>
      </c>
      <c r="E19" t="s">
        <v>52</v>
      </c>
      <c r="F19" t="s">
        <v>1743</v>
      </c>
      <c r="G19">
        <v>4</v>
      </c>
      <c r="H19" s="27"/>
      <c r="I19" s="27"/>
      <c r="J19" s="26" t="str">
        <f t="shared" si="0"/>
        <v/>
      </c>
      <c r="K19" s="27">
        <v>1</v>
      </c>
      <c r="L19" s="27">
        <v>1</v>
      </c>
      <c r="N19" t="s">
        <v>90</v>
      </c>
    </row>
    <row r="20" spans="1:14">
      <c r="A20">
        <v>1</v>
      </c>
      <c r="B20">
        <v>10</v>
      </c>
      <c r="C20">
        <v>46258.791666666664</v>
      </c>
      <c r="D20" t="s">
        <v>44</v>
      </c>
      <c r="E20" t="s">
        <v>48</v>
      </c>
      <c r="F20" t="s">
        <v>1742</v>
      </c>
      <c r="G20">
        <v>3</v>
      </c>
      <c r="H20" s="27"/>
      <c r="I20" s="27"/>
      <c r="J20" s="26" t="str">
        <f t="shared" si="0"/>
        <v/>
      </c>
      <c r="K20" s="27">
        <v>1</v>
      </c>
      <c r="L20" s="27">
        <v>1</v>
      </c>
      <c r="N20" t="s">
        <v>90</v>
      </c>
    </row>
    <row r="21" spans="1:14">
      <c r="A21">
        <v>1</v>
      </c>
      <c r="B21">
        <v>10</v>
      </c>
      <c r="C21">
        <v>46258.791666666664</v>
      </c>
      <c r="D21" t="s">
        <v>48</v>
      </c>
      <c r="E21" t="s">
        <v>44</v>
      </c>
      <c r="F21" t="s">
        <v>1743</v>
      </c>
      <c r="G21">
        <v>4</v>
      </c>
      <c r="H21" s="27"/>
      <c r="I21" s="27"/>
      <c r="J21" s="26" t="str">
        <f t="shared" si="0"/>
        <v/>
      </c>
      <c r="K21" s="27">
        <v>1</v>
      </c>
      <c r="L21" s="27">
        <v>1</v>
      </c>
      <c r="N21" t="s">
        <v>90</v>
      </c>
    </row>
    <row r="22" spans="1:14">
      <c r="A22">
        <v>2</v>
      </c>
      <c r="B22">
        <v>11</v>
      </c>
      <c r="C22">
        <v>46262.791666666664</v>
      </c>
      <c r="D22" t="s">
        <v>53</v>
      </c>
      <c r="E22" t="s">
        <v>46</v>
      </c>
      <c r="F22" t="s">
        <v>1742</v>
      </c>
      <c r="G22">
        <v>3</v>
      </c>
      <c r="H22" s="27"/>
      <c r="I22" s="27"/>
      <c r="J22" s="26" t="str">
        <f t="shared" si="0"/>
        <v/>
      </c>
      <c r="K22" s="27">
        <v>1</v>
      </c>
      <c r="L22" s="27">
        <v>1</v>
      </c>
      <c r="N22" t="s">
        <v>90</v>
      </c>
    </row>
    <row r="23" spans="1:14">
      <c r="A23">
        <v>2</v>
      </c>
      <c r="B23">
        <v>11</v>
      </c>
      <c r="C23">
        <v>46262.791666666664</v>
      </c>
      <c r="D23" t="s">
        <v>46</v>
      </c>
      <c r="E23" t="s">
        <v>53</v>
      </c>
      <c r="F23" t="s">
        <v>1743</v>
      </c>
      <c r="G23">
        <v>4</v>
      </c>
      <c r="H23" s="27"/>
      <c r="I23" s="27"/>
      <c r="J23" s="26" t="str">
        <f t="shared" si="0"/>
        <v/>
      </c>
      <c r="K23" s="27">
        <v>1</v>
      </c>
      <c r="L23" s="27">
        <v>1</v>
      </c>
      <c r="N23" t="s">
        <v>90</v>
      </c>
    </row>
    <row r="24" spans="1:14">
      <c r="A24">
        <v>2</v>
      </c>
      <c r="B24">
        <v>12</v>
      </c>
      <c r="C24">
        <v>46263.583333333336</v>
      </c>
      <c r="D24" t="s">
        <v>47</v>
      </c>
      <c r="E24" t="s">
        <v>41</v>
      </c>
      <c r="F24" t="s">
        <v>1742</v>
      </c>
      <c r="G24">
        <v>3</v>
      </c>
      <c r="H24" s="27"/>
      <c r="I24" s="27"/>
      <c r="J24" s="26" t="str">
        <f t="shared" si="0"/>
        <v/>
      </c>
      <c r="K24" s="27">
        <v>1</v>
      </c>
      <c r="L24" s="27">
        <v>1</v>
      </c>
      <c r="N24" t="s">
        <v>90</v>
      </c>
    </row>
    <row r="25" spans="1:14">
      <c r="A25">
        <v>2</v>
      </c>
      <c r="B25">
        <v>12</v>
      </c>
      <c r="C25">
        <v>46263.583333333336</v>
      </c>
      <c r="D25" t="s">
        <v>41</v>
      </c>
      <c r="E25" t="s">
        <v>47</v>
      </c>
      <c r="F25" t="s">
        <v>1743</v>
      </c>
      <c r="G25">
        <v>3</v>
      </c>
      <c r="H25" s="27"/>
      <c r="I25" s="27"/>
      <c r="J25" s="26" t="str">
        <f t="shared" si="0"/>
        <v/>
      </c>
      <c r="K25" s="27">
        <v>1</v>
      </c>
      <c r="L25" s="27">
        <v>1</v>
      </c>
      <c r="N25" t="s">
        <v>90</v>
      </c>
    </row>
    <row r="26" spans="1:14">
      <c r="A26">
        <v>2</v>
      </c>
      <c r="B26">
        <v>13</v>
      </c>
      <c r="C26">
        <v>46263.583333333336</v>
      </c>
      <c r="D26" t="s">
        <v>49</v>
      </c>
      <c r="E26" t="s">
        <v>45</v>
      </c>
      <c r="F26" t="s">
        <v>1742</v>
      </c>
      <c r="G26">
        <v>2</v>
      </c>
      <c r="H26" s="27"/>
      <c r="I26" s="27"/>
      <c r="J26" s="26" t="str">
        <f t="shared" si="0"/>
        <v/>
      </c>
      <c r="K26" s="27">
        <v>1</v>
      </c>
      <c r="L26" s="27">
        <v>1</v>
      </c>
      <c r="N26" t="s">
        <v>90</v>
      </c>
    </row>
    <row r="27" spans="1:14">
      <c r="A27">
        <v>2</v>
      </c>
      <c r="B27">
        <v>13</v>
      </c>
      <c r="C27">
        <v>46263.583333333336</v>
      </c>
      <c r="D27" t="s">
        <v>45</v>
      </c>
      <c r="E27" t="s">
        <v>49</v>
      </c>
      <c r="F27" t="s">
        <v>1743</v>
      </c>
      <c r="G27">
        <v>2</v>
      </c>
      <c r="H27" s="27"/>
      <c r="I27" s="27"/>
      <c r="J27" s="26" t="str">
        <f t="shared" si="0"/>
        <v/>
      </c>
      <c r="K27" s="27">
        <v>1</v>
      </c>
      <c r="L27" s="27">
        <v>1</v>
      </c>
      <c r="N27" t="s">
        <v>90</v>
      </c>
    </row>
    <row r="28" spans="1:14">
      <c r="A28">
        <v>2</v>
      </c>
      <c r="B28">
        <v>14</v>
      </c>
      <c r="C28">
        <v>46263.479166666664</v>
      </c>
      <c r="D28" t="s">
        <v>56</v>
      </c>
      <c r="E28" t="s">
        <v>52</v>
      </c>
      <c r="F28" t="s">
        <v>1742</v>
      </c>
      <c r="G28">
        <v>4</v>
      </c>
      <c r="H28" s="27"/>
      <c r="I28" s="27"/>
      <c r="J28" s="26" t="str">
        <f t="shared" si="0"/>
        <v/>
      </c>
      <c r="K28" s="27">
        <v>1</v>
      </c>
      <c r="L28" s="27">
        <v>1</v>
      </c>
      <c r="N28" t="s">
        <v>90</v>
      </c>
    </row>
    <row r="29" spans="1:14">
      <c r="A29">
        <v>2</v>
      </c>
      <c r="B29">
        <v>14</v>
      </c>
      <c r="C29">
        <v>46263.479166666664</v>
      </c>
      <c r="D29" t="s">
        <v>52</v>
      </c>
      <c r="E29" t="s">
        <v>56</v>
      </c>
      <c r="F29" t="s">
        <v>1743</v>
      </c>
      <c r="G29">
        <v>3</v>
      </c>
      <c r="H29" s="27"/>
      <c r="I29" s="27"/>
      <c r="J29" s="26" t="str">
        <f t="shared" si="0"/>
        <v/>
      </c>
      <c r="K29" s="27">
        <v>1</v>
      </c>
      <c r="L29" s="27">
        <v>1</v>
      </c>
      <c r="N29" t="s">
        <v>90</v>
      </c>
    </row>
    <row r="30" spans="1:14">
      <c r="A30">
        <v>2</v>
      </c>
      <c r="B30">
        <v>15</v>
      </c>
      <c r="C30">
        <v>46263.6875</v>
      </c>
      <c r="D30" t="s">
        <v>55</v>
      </c>
      <c r="E30" t="s">
        <v>57</v>
      </c>
      <c r="F30" t="s">
        <v>1742</v>
      </c>
      <c r="G30">
        <v>3</v>
      </c>
      <c r="H30" s="27"/>
      <c r="I30" s="27"/>
      <c r="J30" s="26" t="str">
        <f t="shared" si="0"/>
        <v/>
      </c>
      <c r="K30" s="27">
        <v>1</v>
      </c>
      <c r="L30" s="27">
        <v>1</v>
      </c>
      <c r="N30" t="s">
        <v>90</v>
      </c>
    </row>
    <row r="31" spans="1:14">
      <c r="A31">
        <v>2</v>
      </c>
      <c r="B31">
        <v>15</v>
      </c>
      <c r="C31">
        <v>46263.6875</v>
      </c>
      <c r="D31" t="s">
        <v>57</v>
      </c>
      <c r="E31" t="s">
        <v>55</v>
      </c>
      <c r="F31" t="s">
        <v>1743</v>
      </c>
      <c r="G31">
        <v>2</v>
      </c>
      <c r="H31" s="27"/>
      <c r="I31" s="27"/>
      <c r="J31" s="26" t="str">
        <f t="shared" si="0"/>
        <v/>
      </c>
      <c r="K31" s="27">
        <v>1</v>
      </c>
      <c r="L31" s="27">
        <v>1</v>
      </c>
      <c r="N31" t="s">
        <v>90</v>
      </c>
    </row>
    <row r="32" spans="1:14">
      <c r="A32">
        <v>2</v>
      </c>
      <c r="B32">
        <v>16</v>
      </c>
      <c r="C32">
        <v>46264.541666666664</v>
      </c>
      <c r="D32" t="s">
        <v>43</v>
      </c>
      <c r="E32" t="s">
        <v>44</v>
      </c>
      <c r="F32" t="s">
        <v>1742</v>
      </c>
      <c r="G32">
        <v>4</v>
      </c>
      <c r="H32" s="27"/>
      <c r="I32" s="27"/>
      <c r="J32" s="26" t="str">
        <f t="shared" si="0"/>
        <v/>
      </c>
      <c r="K32" s="27">
        <v>1</v>
      </c>
      <c r="L32" s="27">
        <v>1</v>
      </c>
      <c r="N32" t="s">
        <v>90</v>
      </c>
    </row>
    <row r="33" spans="1:14">
      <c r="A33">
        <v>2</v>
      </c>
      <c r="B33">
        <v>16</v>
      </c>
      <c r="C33">
        <v>46264.541666666664</v>
      </c>
      <c r="D33" t="s">
        <v>44</v>
      </c>
      <c r="E33" t="s">
        <v>43</v>
      </c>
      <c r="F33" t="s">
        <v>1743</v>
      </c>
      <c r="G33">
        <v>2</v>
      </c>
      <c r="H33" s="27"/>
      <c r="I33" s="27"/>
      <c r="J33" s="26" t="str">
        <f t="shared" si="0"/>
        <v/>
      </c>
      <c r="K33" s="27">
        <v>1</v>
      </c>
      <c r="L33" s="27">
        <v>1</v>
      </c>
      <c r="N33" t="s">
        <v>90</v>
      </c>
    </row>
    <row r="34" spans="1:14">
      <c r="A34">
        <v>2</v>
      </c>
      <c r="B34">
        <v>17</v>
      </c>
      <c r="C34">
        <v>46264.541666666664</v>
      </c>
      <c r="D34" t="s">
        <v>42</v>
      </c>
      <c r="E34" t="s">
        <v>51</v>
      </c>
      <c r="F34" t="s">
        <v>1742</v>
      </c>
      <c r="G34">
        <v>3</v>
      </c>
      <c r="H34" s="27"/>
      <c r="I34" s="27"/>
      <c r="J34" s="26" t="str">
        <f t="shared" si="0"/>
        <v/>
      </c>
      <c r="K34" s="27">
        <v>1</v>
      </c>
      <c r="L34" s="27">
        <v>1</v>
      </c>
      <c r="N34" t="s">
        <v>90</v>
      </c>
    </row>
    <row r="35" spans="1:14">
      <c r="A35">
        <v>2</v>
      </c>
      <c r="B35">
        <v>17</v>
      </c>
      <c r="C35">
        <v>46264.541666666664</v>
      </c>
      <c r="D35" t="s">
        <v>51</v>
      </c>
      <c r="E35" t="s">
        <v>42</v>
      </c>
      <c r="F35" t="s">
        <v>1743</v>
      </c>
      <c r="G35">
        <v>3</v>
      </c>
      <c r="H35" s="27"/>
      <c r="I35" s="27"/>
      <c r="J35" s="26" t="str">
        <f t="shared" si="0"/>
        <v/>
      </c>
      <c r="K35" s="27">
        <v>1</v>
      </c>
      <c r="L35" s="27">
        <v>1</v>
      </c>
      <c r="N35" t="s">
        <v>90</v>
      </c>
    </row>
    <row r="36" spans="1:14">
      <c r="A36">
        <v>2</v>
      </c>
      <c r="B36">
        <v>18</v>
      </c>
      <c r="C36">
        <v>46264.645833333336</v>
      </c>
      <c r="D36" t="s">
        <v>50</v>
      </c>
      <c r="E36" t="s">
        <v>54</v>
      </c>
      <c r="F36" t="s">
        <v>1742</v>
      </c>
      <c r="G36">
        <v>4</v>
      </c>
      <c r="H36" s="27"/>
      <c r="I36" s="27"/>
      <c r="J36" s="26" t="str">
        <f t="shared" si="0"/>
        <v/>
      </c>
      <c r="K36" s="27">
        <v>1</v>
      </c>
      <c r="L36" s="27">
        <v>1</v>
      </c>
      <c r="N36" t="s">
        <v>90</v>
      </c>
    </row>
    <row r="37" spans="1:14">
      <c r="A37">
        <v>2</v>
      </c>
      <c r="B37">
        <v>18</v>
      </c>
      <c r="C37">
        <v>46264.645833333336</v>
      </c>
      <c r="D37" t="s">
        <v>54</v>
      </c>
      <c r="E37" t="s">
        <v>50</v>
      </c>
      <c r="F37" t="s">
        <v>1743</v>
      </c>
      <c r="G37">
        <v>2</v>
      </c>
      <c r="H37" s="27"/>
      <c r="I37" s="27"/>
      <c r="J37" s="26" t="str">
        <f t="shared" si="0"/>
        <v/>
      </c>
      <c r="K37" s="27">
        <v>1</v>
      </c>
      <c r="L37" s="27">
        <v>1</v>
      </c>
      <c r="N37" t="s">
        <v>90</v>
      </c>
    </row>
    <row r="38" spans="1:14">
      <c r="A38">
        <v>2</v>
      </c>
      <c r="B38">
        <v>19</v>
      </c>
      <c r="C38">
        <v>46264.541666666664</v>
      </c>
      <c r="D38" t="s">
        <v>48</v>
      </c>
      <c r="E38" t="s">
        <v>58</v>
      </c>
      <c r="F38" t="s">
        <v>1742</v>
      </c>
      <c r="G38">
        <v>3</v>
      </c>
      <c r="H38" s="27"/>
      <c r="I38" s="27"/>
      <c r="J38" s="26" t="str">
        <f t="shared" si="0"/>
        <v/>
      </c>
      <c r="K38" s="27">
        <v>1</v>
      </c>
      <c r="L38" s="27">
        <v>1</v>
      </c>
      <c r="N38" t="s">
        <v>90</v>
      </c>
    </row>
    <row r="39" spans="1:14">
      <c r="A39">
        <v>2</v>
      </c>
      <c r="B39">
        <v>19</v>
      </c>
      <c r="C39">
        <v>46264.541666666664</v>
      </c>
      <c r="D39" t="s">
        <v>58</v>
      </c>
      <c r="E39" t="s">
        <v>48</v>
      </c>
      <c r="F39" t="s">
        <v>1743</v>
      </c>
      <c r="G39">
        <v>2</v>
      </c>
      <c r="H39" s="27"/>
      <c r="I39" s="27"/>
      <c r="J39" s="26" t="str">
        <f t="shared" si="0"/>
        <v/>
      </c>
      <c r="K39" s="27">
        <v>1</v>
      </c>
      <c r="L39" s="27">
        <v>1</v>
      </c>
      <c r="N39" t="s">
        <v>90</v>
      </c>
    </row>
    <row r="40" spans="1:14">
      <c r="A40">
        <v>2</v>
      </c>
      <c r="B40">
        <v>20</v>
      </c>
      <c r="C40">
        <v>46265.791666666664</v>
      </c>
      <c r="D40" t="s">
        <v>39</v>
      </c>
      <c r="E40" t="s">
        <v>40</v>
      </c>
      <c r="F40" t="s">
        <v>1742</v>
      </c>
      <c r="G40">
        <v>4</v>
      </c>
      <c r="H40" s="27"/>
      <c r="I40" s="27"/>
      <c r="J40" s="26" t="str">
        <f t="shared" si="0"/>
        <v/>
      </c>
      <c r="K40" s="27">
        <v>1</v>
      </c>
      <c r="L40" s="27">
        <v>1</v>
      </c>
      <c r="N40" t="s">
        <v>90</v>
      </c>
    </row>
    <row r="41" spans="1:14">
      <c r="A41">
        <v>2</v>
      </c>
      <c r="B41">
        <v>20</v>
      </c>
      <c r="C41">
        <v>46265.791666666664</v>
      </c>
      <c r="D41" t="s">
        <v>40</v>
      </c>
      <c r="E41" t="s">
        <v>39</v>
      </c>
      <c r="F41" t="s">
        <v>1743</v>
      </c>
      <c r="G41">
        <v>4</v>
      </c>
      <c r="H41" s="27"/>
      <c r="I41" s="27"/>
      <c r="J41" s="26" t="str">
        <f t="shared" si="0"/>
        <v/>
      </c>
      <c r="K41" s="27">
        <v>1</v>
      </c>
      <c r="L41" s="27">
        <v>1</v>
      </c>
      <c r="N41" t="s">
        <v>90</v>
      </c>
    </row>
    <row r="42" spans="1:14">
      <c r="A42">
        <v>3</v>
      </c>
      <c r="B42">
        <v>21</v>
      </c>
      <c r="C42">
        <v>46269.791666666664</v>
      </c>
      <c r="D42" t="s">
        <v>52</v>
      </c>
      <c r="E42" t="s">
        <v>50</v>
      </c>
      <c r="F42" t="s">
        <v>1742</v>
      </c>
      <c r="G42">
        <v>2</v>
      </c>
      <c r="H42" s="27"/>
      <c r="I42" s="27"/>
      <c r="J42" s="26" t="str">
        <f t="shared" si="0"/>
        <v/>
      </c>
      <c r="K42" s="27">
        <v>1</v>
      </c>
      <c r="L42" s="27">
        <v>1</v>
      </c>
      <c r="N42" t="s">
        <v>90</v>
      </c>
    </row>
    <row r="43" spans="1:14">
      <c r="A43">
        <v>3</v>
      </c>
      <c r="B43">
        <v>21</v>
      </c>
      <c r="C43">
        <v>46269.791666666664</v>
      </c>
      <c r="D43" t="s">
        <v>50</v>
      </c>
      <c r="E43" t="s">
        <v>52</v>
      </c>
      <c r="F43" t="s">
        <v>1743</v>
      </c>
      <c r="G43">
        <v>4</v>
      </c>
      <c r="H43" s="27"/>
      <c r="I43" s="27"/>
      <c r="J43" s="26" t="str">
        <f t="shared" si="0"/>
        <v/>
      </c>
      <c r="K43" s="27">
        <v>1</v>
      </c>
      <c r="L43" s="27">
        <v>1</v>
      </c>
      <c r="N43" t="s">
        <v>90</v>
      </c>
    </row>
    <row r="44" spans="1:14">
      <c r="A44">
        <v>3</v>
      </c>
      <c r="B44">
        <v>22</v>
      </c>
      <c r="C44">
        <v>46270.583333333336</v>
      </c>
      <c r="D44" t="s">
        <v>58</v>
      </c>
      <c r="E44" t="s">
        <v>42</v>
      </c>
      <c r="F44" t="s">
        <v>1742</v>
      </c>
      <c r="G44">
        <v>3</v>
      </c>
      <c r="H44" s="27"/>
      <c r="I44" s="27"/>
      <c r="J44" s="26" t="str">
        <f t="shared" si="0"/>
        <v/>
      </c>
      <c r="K44" s="27">
        <v>1</v>
      </c>
      <c r="L44" s="27">
        <v>1</v>
      </c>
      <c r="N44" t="s">
        <v>90</v>
      </c>
    </row>
    <row r="45" spans="1:14">
      <c r="A45">
        <v>3</v>
      </c>
      <c r="B45">
        <v>22</v>
      </c>
      <c r="C45">
        <v>46270.583333333336</v>
      </c>
      <c r="D45" t="s">
        <v>42</v>
      </c>
      <c r="E45" t="s">
        <v>58</v>
      </c>
      <c r="F45" t="s">
        <v>1743</v>
      </c>
      <c r="G45">
        <v>2</v>
      </c>
      <c r="H45" s="27"/>
      <c r="I45" s="27"/>
      <c r="J45" s="26" t="str">
        <f t="shared" si="0"/>
        <v/>
      </c>
      <c r="K45" s="27">
        <v>1</v>
      </c>
      <c r="L45" s="27">
        <v>1</v>
      </c>
      <c r="N45" t="s">
        <v>90</v>
      </c>
    </row>
    <row r="46" spans="1:14">
      <c r="A46">
        <v>3</v>
      </c>
      <c r="B46">
        <v>23</v>
      </c>
      <c r="C46">
        <v>46270.583333333336</v>
      </c>
      <c r="D46" t="s">
        <v>51</v>
      </c>
      <c r="E46" t="s">
        <v>43</v>
      </c>
      <c r="F46" t="s">
        <v>1742</v>
      </c>
      <c r="G46">
        <v>3</v>
      </c>
      <c r="H46" s="27"/>
      <c r="I46" s="27"/>
      <c r="J46" s="26" t="str">
        <f t="shared" si="0"/>
        <v/>
      </c>
      <c r="K46" s="27">
        <v>1</v>
      </c>
      <c r="L46" s="27">
        <v>1</v>
      </c>
      <c r="N46" t="s">
        <v>90</v>
      </c>
    </row>
    <row r="47" spans="1:14">
      <c r="A47">
        <v>3</v>
      </c>
      <c r="B47">
        <v>23</v>
      </c>
      <c r="C47">
        <v>46270.583333333336</v>
      </c>
      <c r="D47" t="s">
        <v>43</v>
      </c>
      <c r="E47" t="s">
        <v>51</v>
      </c>
      <c r="F47" t="s">
        <v>1743</v>
      </c>
      <c r="G47">
        <v>2</v>
      </c>
      <c r="H47" s="27"/>
      <c r="I47" s="27"/>
      <c r="J47" s="26" t="str">
        <f t="shared" si="0"/>
        <v/>
      </c>
      <c r="K47" s="27">
        <v>1</v>
      </c>
      <c r="L47" s="27">
        <v>1</v>
      </c>
      <c r="N47" t="s">
        <v>90</v>
      </c>
    </row>
    <row r="48" spans="1:14">
      <c r="A48">
        <v>3</v>
      </c>
      <c r="B48">
        <v>24</v>
      </c>
      <c r="C48">
        <v>46270.583333333336</v>
      </c>
      <c r="D48" t="s">
        <v>46</v>
      </c>
      <c r="E48" t="s">
        <v>48</v>
      </c>
      <c r="F48" t="s">
        <v>1742</v>
      </c>
      <c r="G48">
        <v>3</v>
      </c>
      <c r="H48" s="27"/>
      <c r="I48" s="27"/>
      <c r="J48" s="26" t="str">
        <f t="shared" si="0"/>
        <v/>
      </c>
      <c r="K48" s="27">
        <v>1</v>
      </c>
      <c r="L48" s="27">
        <v>1</v>
      </c>
      <c r="N48" t="s">
        <v>90</v>
      </c>
    </row>
    <row r="49" spans="1:14">
      <c r="A49">
        <v>3</v>
      </c>
      <c r="B49">
        <v>24</v>
      </c>
      <c r="C49">
        <v>46270.583333333336</v>
      </c>
      <c r="D49" t="s">
        <v>48</v>
      </c>
      <c r="E49" t="s">
        <v>46</v>
      </c>
      <c r="F49" t="s">
        <v>1743</v>
      </c>
      <c r="G49">
        <v>3</v>
      </c>
      <c r="H49" s="27"/>
      <c r="I49" s="27"/>
      <c r="J49" s="26" t="str">
        <f t="shared" si="0"/>
        <v/>
      </c>
      <c r="K49" s="27">
        <v>1</v>
      </c>
      <c r="L49" s="27">
        <v>1</v>
      </c>
      <c r="N49" t="s">
        <v>90</v>
      </c>
    </row>
    <row r="50" spans="1:14">
      <c r="A50">
        <v>3</v>
      </c>
      <c r="B50">
        <v>25</v>
      </c>
      <c r="C50">
        <v>46270.6875</v>
      </c>
      <c r="D50" t="s">
        <v>40</v>
      </c>
      <c r="E50" t="s">
        <v>49</v>
      </c>
      <c r="F50" t="s">
        <v>1742</v>
      </c>
      <c r="G50">
        <v>2</v>
      </c>
      <c r="H50" s="27"/>
      <c r="I50" s="27"/>
      <c r="J50" s="26" t="str">
        <f t="shared" si="0"/>
        <v/>
      </c>
      <c r="K50" s="27">
        <v>1</v>
      </c>
      <c r="L50" s="27">
        <v>1</v>
      </c>
      <c r="N50" t="s">
        <v>90</v>
      </c>
    </row>
    <row r="51" spans="1:14">
      <c r="A51">
        <v>3</v>
      </c>
      <c r="B51">
        <v>25</v>
      </c>
      <c r="C51">
        <v>46270.6875</v>
      </c>
      <c r="D51" t="s">
        <v>49</v>
      </c>
      <c r="E51" t="s">
        <v>40</v>
      </c>
      <c r="F51" t="s">
        <v>1743</v>
      </c>
      <c r="G51">
        <v>3</v>
      </c>
      <c r="H51" s="27"/>
      <c r="I51" s="27"/>
      <c r="J51" s="26" t="str">
        <f t="shared" si="0"/>
        <v/>
      </c>
      <c r="K51" s="27">
        <v>1</v>
      </c>
      <c r="L51" s="27">
        <v>1</v>
      </c>
      <c r="N51" t="s">
        <v>90</v>
      </c>
    </row>
    <row r="52" spans="1:14">
      <c r="A52">
        <v>3</v>
      </c>
      <c r="B52">
        <v>26</v>
      </c>
      <c r="C52">
        <v>46270.583333333336</v>
      </c>
      <c r="D52" t="s">
        <v>45</v>
      </c>
      <c r="E52" t="s">
        <v>53</v>
      </c>
      <c r="F52" t="s">
        <v>1742</v>
      </c>
      <c r="G52">
        <v>5</v>
      </c>
      <c r="H52" s="27"/>
      <c r="I52" s="27"/>
      <c r="J52" s="26" t="str">
        <f t="shared" si="0"/>
        <v/>
      </c>
      <c r="K52" s="27">
        <v>1</v>
      </c>
      <c r="L52" s="27">
        <v>1</v>
      </c>
      <c r="N52" t="s">
        <v>90</v>
      </c>
    </row>
    <row r="53" spans="1:14">
      <c r="A53">
        <v>3</v>
      </c>
      <c r="B53">
        <v>26</v>
      </c>
      <c r="C53">
        <v>46270.583333333336</v>
      </c>
      <c r="D53" t="s">
        <v>53</v>
      </c>
      <c r="E53" t="s">
        <v>45</v>
      </c>
      <c r="F53" t="s">
        <v>1743</v>
      </c>
      <c r="G53">
        <v>2</v>
      </c>
      <c r="H53" s="27"/>
      <c r="I53" s="27"/>
      <c r="J53" s="26" t="str">
        <f t="shared" si="0"/>
        <v/>
      </c>
      <c r="K53" s="27">
        <v>1</v>
      </c>
      <c r="L53" s="27">
        <v>1</v>
      </c>
      <c r="N53" t="s">
        <v>90</v>
      </c>
    </row>
    <row r="54" spans="1:14">
      <c r="A54">
        <v>3</v>
      </c>
      <c r="B54">
        <v>27</v>
      </c>
      <c r="C54">
        <v>46270.479166666664</v>
      </c>
      <c r="D54" t="s">
        <v>41</v>
      </c>
      <c r="E54" t="s">
        <v>55</v>
      </c>
      <c r="F54" t="s">
        <v>1742</v>
      </c>
      <c r="G54">
        <v>3</v>
      </c>
      <c r="H54" s="27"/>
      <c r="I54" s="27"/>
      <c r="J54" s="26" t="str">
        <f t="shared" si="0"/>
        <v/>
      </c>
      <c r="K54" s="27">
        <v>1</v>
      </c>
      <c r="L54" s="27">
        <v>1</v>
      </c>
      <c r="N54" t="s">
        <v>90</v>
      </c>
    </row>
    <row r="55" spans="1:14">
      <c r="A55">
        <v>3</v>
      </c>
      <c r="B55">
        <v>27</v>
      </c>
      <c r="C55">
        <v>46270.479166666664</v>
      </c>
      <c r="D55" t="s">
        <v>55</v>
      </c>
      <c r="E55" t="s">
        <v>41</v>
      </c>
      <c r="F55" t="s">
        <v>1743</v>
      </c>
      <c r="G55">
        <v>3</v>
      </c>
      <c r="H55" s="27"/>
      <c r="I55" s="27"/>
      <c r="J55" s="26" t="str">
        <f t="shared" si="0"/>
        <v/>
      </c>
      <c r="K55" s="27">
        <v>1</v>
      </c>
      <c r="L55" s="27">
        <v>1</v>
      </c>
      <c r="N55" t="s">
        <v>90</v>
      </c>
    </row>
    <row r="56" spans="1:14">
      <c r="A56">
        <v>3</v>
      </c>
      <c r="B56">
        <v>28</v>
      </c>
      <c r="C56">
        <v>46270.583333333336</v>
      </c>
      <c r="D56" t="s">
        <v>57</v>
      </c>
      <c r="E56" t="s">
        <v>56</v>
      </c>
      <c r="F56" t="s">
        <v>1742</v>
      </c>
      <c r="G56">
        <v>3</v>
      </c>
      <c r="H56" s="27"/>
      <c r="I56" s="27"/>
      <c r="J56" s="26" t="str">
        <f t="shared" si="0"/>
        <v/>
      </c>
      <c r="K56" s="27">
        <v>1</v>
      </c>
      <c r="L56" s="27">
        <v>1</v>
      </c>
      <c r="N56" t="s">
        <v>90</v>
      </c>
    </row>
    <row r="57" spans="1:14">
      <c r="A57">
        <v>3</v>
      </c>
      <c r="B57">
        <v>28</v>
      </c>
      <c r="C57">
        <v>46270.583333333336</v>
      </c>
      <c r="D57" t="s">
        <v>56</v>
      </c>
      <c r="E57" t="s">
        <v>57</v>
      </c>
      <c r="F57" t="s">
        <v>1743</v>
      </c>
      <c r="G57">
        <v>3</v>
      </c>
      <c r="H57" s="27"/>
      <c r="I57" s="27"/>
      <c r="J57" s="26" t="str">
        <f t="shared" si="0"/>
        <v/>
      </c>
      <c r="K57" s="27">
        <v>1</v>
      </c>
      <c r="L57" s="27">
        <v>1</v>
      </c>
      <c r="N57" t="s">
        <v>90</v>
      </c>
    </row>
    <row r="58" spans="1:14">
      <c r="A58">
        <v>3</v>
      </c>
      <c r="B58">
        <v>29</v>
      </c>
      <c r="C58">
        <v>46271.645833333336</v>
      </c>
      <c r="D58" t="s">
        <v>44</v>
      </c>
      <c r="E58" t="s">
        <v>39</v>
      </c>
      <c r="F58" t="s">
        <v>1742</v>
      </c>
      <c r="G58">
        <v>5</v>
      </c>
      <c r="H58" s="27"/>
      <c r="I58" s="27"/>
      <c r="J58" s="26" t="str">
        <f t="shared" si="0"/>
        <v/>
      </c>
      <c r="K58" s="27">
        <v>1</v>
      </c>
      <c r="L58" s="27">
        <v>1</v>
      </c>
      <c r="N58" t="s">
        <v>90</v>
      </c>
    </row>
    <row r="59" spans="1:14">
      <c r="A59">
        <v>3</v>
      </c>
      <c r="B59">
        <v>29</v>
      </c>
      <c r="C59">
        <v>46271.645833333336</v>
      </c>
      <c r="D59" t="s">
        <v>39</v>
      </c>
      <c r="E59" t="s">
        <v>44</v>
      </c>
      <c r="F59" t="s">
        <v>1743</v>
      </c>
      <c r="G59">
        <v>4</v>
      </c>
      <c r="H59" s="27"/>
      <c r="I59" s="27"/>
      <c r="J59" s="26" t="str">
        <f t="shared" si="0"/>
        <v/>
      </c>
      <c r="K59" s="27">
        <v>1</v>
      </c>
      <c r="L59" s="27">
        <v>1</v>
      </c>
      <c r="N59" t="s">
        <v>90</v>
      </c>
    </row>
    <row r="60" spans="1:14">
      <c r="A60">
        <v>3</v>
      </c>
      <c r="B60">
        <v>30</v>
      </c>
      <c r="C60">
        <v>46271.541666666664</v>
      </c>
      <c r="D60" t="s">
        <v>54</v>
      </c>
      <c r="E60" t="s">
        <v>47</v>
      </c>
      <c r="F60" t="s">
        <v>1742</v>
      </c>
      <c r="G60">
        <v>3</v>
      </c>
      <c r="H60" s="27"/>
      <c r="I60" s="27"/>
      <c r="J60" s="26" t="str">
        <f t="shared" si="0"/>
        <v/>
      </c>
      <c r="K60" s="27">
        <v>1</v>
      </c>
      <c r="L60" s="27">
        <v>1</v>
      </c>
      <c r="N60" t="s">
        <v>90</v>
      </c>
    </row>
    <row r="61" spans="1:14">
      <c r="A61">
        <v>3</v>
      </c>
      <c r="B61">
        <v>30</v>
      </c>
      <c r="C61">
        <v>46271.541666666664</v>
      </c>
      <c r="D61" t="s">
        <v>47</v>
      </c>
      <c r="E61" t="s">
        <v>54</v>
      </c>
      <c r="F61" t="s">
        <v>1743</v>
      </c>
      <c r="G61">
        <v>4</v>
      </c>
      <c r="H61" s="27"/>
      <c r="I61" s="27"/>
      <c r="J61" s="26" t="str">
        <f t="shared" si="0"/>
        <v/>
      </c>
      <c r="K61" s="27">
        <v>1</v>
      </c>
      <c r="L61" s="27">
        <v>1</v>
      </c>
      <c r="N61" t="s">
        <v>90</v>
      </c>
    </row>
    <row r="62" spans="1:14">
      <c r="A62">
        <v>4</v>
      </c>
      <c r="B62">
        <v>31</v>
      </c>
      <c r="C62">
        <v>46277.583333333336</v>
      </c>
      <c r="D62" t="s">
        <v>56</v>
      </c>
      <c r="E62" t="s">
        <v>40</v>
      </c>
      <c r="F62" t="s">
        <v>1742</v>
      </c>
      <c r="G62">
        <v>4</v>
      </c>
      <c r="H62" s="27"/>
      <c r="I62" s="27"/>
      <c r="J62" s="26" t="str">
        <f t="shared" si="0"/>
        <v/>
      </c>
      <c r="K62" s="27">
        <v>1</v>
      </c>
      <c r="L62" s="27">
        <v>1</v>
      </c>
      <c r="N62" t="s">
        <v>90</v>
      </c>
    </row>
    <row r="63" spans="1:14">
      <c r="A63">
        <v>4</v>
      </c>
      <c r="B63">
        <v>31</v>
      </c>
      <c r="C63">
        <v>46277.583333333336</v>
      </c>
      <c r="D63" t="s">
        <v>40</v>
      </c>
      <c r="E63" t="s">
        <v>56</v>
      </c>
      <c r="F63" t="s">
        <v>1743</v>
      </c>
      <c r="G63">
        <v>3</v>
      </c>
      <c r="H63" s="27"/>
      <c r="I63" s="27"/>
      <c r="J63" s="26" t="str">
        <f t="shared" si="0"/>
        <v/>
      </c>
      <c r="K63" s="27">
        <v>1</v>
      </c>
      <c r="L63" s="27">
        <v>1</v>
      </c>
      <c r="N63" t="s">
        <v>90</v>
      </c>
    </row>
    <row r="64" spans="1:14">
      <c r="A64">
        <v>4</v>
      </c>
      <c r="B64">
        <v>32</v>
      </c>
      <c r="C64">
        <v>46277.583333333336</v>
      </c>
      <c r="D64" t="s">
        <v>42</v>
      </c>
      <c r="E64" t="s">
        <v>41</v>
      </c>
      <c r="F64" t="s">
        <v>1742</v>
      </c>
      <c r="G64">
        <v>3</v>
      </c>
      <c r="H64" s="27"/>
      <c r="I64" s="27"/>
      <c r="J64" s="26" t="str">
        <f t="shared" si="0"/>
        <v/>
      </c>
      <c r="K64" s="27">
        <v>1</v>
      </c>
      <c r="L64" s="27">
        <v>1</v>
      </c>
      <c r="N64" t="s">
        <v>90</v>
      </c>
    </row>
    <row r="65" spans="1:14">
      <c r="A65">
        <v>4</v>
      </c>
      <c r="B65">
        <v>32</v>
      </c>
      <c r="C65">
        <v>46277.583333333336</v>
      </c>
      <c r="D65" t="s">
        <v>41</v>
      </c>
      <c r="E65" t="s">
        <v>42</v>
      </c>
      <c r="F65" t="s">
        <v>1743</v>
      </c>
      <c r="G65">
        <v>3</v>
      </c>
      <c r="H65" s="27"/>
      <c r="I65" s="27"/>
      <c r="J65" s="26" t="str">
        <f t="shared" si="0"/>
        <v/>
      </c>
      <c r="K65" s="27">
        <v>1</v>
      </c>
      <c r="L65" s="27">
        <v>1</v>
      </c>
      <c r="N65" t="s">
        <v>90</v>
      </c>
    </row>
    <row r="66" spans="1:14">
      <c r="A66">
        <v>4</v>
      </c>
      <c r="B66">
        <v>33</v>
      </c>
      <c r="C66">
        <v>46277.583333333336</v>
      </c>
      <c r="D66" t="s">
        <v>49</v>
      </c>
      <c r="E66" t="s">
        <v>44</v>
      </c>
      <c r="F66" t="s">
        <v>1742</v>
      </c>
      <c r="G66">
        <v>4</v>
      </c>
      <c r="H66" s="27"/>
      <c r="I66" s="27"/>
      <c r="J66" s="26" t="str">
        <f t="shared" ref="J66:J129" si="1">IF(I66="","",EXP(-I66))</f>
        <v/>
      </c>
      <c r="K66" s="27">
        <v>1</v>
      </c>
      <c r="L66" s="27">
        <v>1</v>
      </c>
      <c r="N66" t="s">
        <v>90</v>
      </c>
    </row>
    <row r="67" spans="1:14">
      <c r="A67">
        <v>4</v>
      </c>
      <c r="B67">
        <v>33</v>
      </c>
      <c r="C67">
        <v>46277.583333333336</v>
      </c>
      <c r="D67" t="s">
        <v>44</v>
      </c>
      <c r="E67" t="s">
        <v>49</v>
      </c>
      <c r="F67" t="s">
        <v>1743</v>
      </c>
      <c r="G67">
        <v>2</v>
      </c>
      <c r="H67" s="27"/>
      <c r="I67" s="27"/>
      <c r="J67" s="26" t="str">
        <f t="shared" si="1"/>
        <v/>
      </c>
      <c r="K67" s="27">
        <v>1</v>
      </c>
      <c r="L67" s="27">
        <v>1</v>
      </c>
      <c r="N67" t="s">
        <v>90</v>
      </c>
    </row>
    <row r="68" spans="1:14">
      <c r="A68">
        <v>4</v>
      </c>
      <c r="B68">
        <v>34</v>
      </c>
      <c r="C68">
        <v>46277.583333333336</v>
      </c>
      <c r="D68" t="s">
        <v>50</v>
      </c>
      <c r="E68" t="s">
        <v>46</v>
      </c>
      <c r="F68" t="s">
        <v>1742</v>
      </c>
      <c r="G68">
        <v>3</v>
      </c>
      <c r="H68" s="27"/>
      <c r="I68" s="27"/>
      <c r="J68" s="26" t="str">
        <f t="shared" si="1"/>
        <v/>
      </c>
      <c r="K68" s="27">
        <v>1</v>
      </c>
      <c r="L68" s="27">
        <v>1</v>
      </c>
      <c r="N68" t="s">
        <v>90</v>
      </c>
    </row>
    <row r="69" spans="1:14">
      <c r="A69">
        <v>4</v>
      </c>
      <c r="B69">
        <v>34</v>
      </c>
      <c r="C69">
        <v>46277.583333333336</v>
      </c>
      <c r="D69" t="s">
        <v>46</v>
      </c>
      <c r="E69" t="s">
        <v>50</v>
      </c>
      <c r="F69" t="s">
        <v>1743</v>
      </c>
      <c r="G69">
        <v>2</v>
      </c>
      <c r="H69" s="27"/>
      <c r="I69" s="27"/>
      <c r="J69" s="26" t="str">
        <f t="shared" si="1"/>
        <v/>
      </c>
      <c r="K69" s="27">
        <v>1</v>
      </c>
      <c r="L69" s="27">
        <v>1</v>
      </c>
      <c r="N69" t="s">
        <v>90</v>
      </c>
    </row>
    <row r="70" spans="1:14">
      <c r="A70">
        <v>4</v>
      </c>
      <c r="B70">
        <v>35</v>
      </c>
      <c r="C70">
        <v>46277.583333333336</v>
      </c>
      <c r="D70" t="s">
        <v>48</v>
      </c>
      <c r="E70" t="s">
        <v>52</v>
      </c>
      <c r="F70" t="s">
        <v>1742</v>
      </c>
      <c r="G70">
        <v>4</v>
      </c>
      <c r="H70" s="27"/>
      <c r="I70" s="27"/>
      <c r="J70" s="26" t="str">
        <f t="shared" si="1"/>
        <v/>
      </c>
      <c r="K70" s="27">
        <v>1</v>
      </c>
      <c r="L70" s="27">
        <v>1</v>
      </c>
      <c r="N70" t="s">
        <v>90</v>
      </c>
    </row>
    <row r="71" spans="1:14">
      <c r="A71">
        <v>4</v>
      </c>
      <c r="B71">
        <v>35</v>
      </c>
      <c r="C71">
        <v>46277.583333333336</v>
      </c>
      <c r="D71" t="s">
        <v>52</v>
      </c>
      <c r="E71" t="s">
        <v>48</v>
      </c>
      <c r="F71" t="s">
        <v>1743</v>
      </c>
      <c r="G71">
        <v>2</v>
      </c>
      <c r="H71" s="27"/>
      <c r="I71" s="27"/>
      <c r="J71" s="26" t="str">
        <f t="shared" si="1"/>
        <v/>
      </c>
      <c r="K71" s="27">
        <v>1</v>
      </c>
      <c r="L71" s="27">
        <v>1</v>
      </c>
      <c r="N71" t="s">
        <v>90</v>
      </c>
    </row>
    <row r="72" spans="1:14">
      <c r="A72">
        <v>4</v>
      </c>
      <c r="B72">
        <v>36</v>
      </c>
      <c r="C72">
        <v>46277.791666666664</v>
      </c>
      <c r="D72" t="s">
        <v>39</v>
      </c>
      <c r="E72" t="s">
        <v>58</v>
      </c>
      <c r="F72" t="s">
        <v>1742</v>
      </c>
      <c r="G72">
        <v>3</v>
      </c>
      <c r="H72" s="27"/>
      <c r="I72" s="27"/>
      <c r="J72" s="26" t="str">
        <f t="shared" si="1"/>
        <v/>
      </c>
      <c r="K72" s="27">
        <v>1</v>
      </c>
      <c r="L72" s="27">
        <v>1</v>
      </c>
      <c r="N72" t="s">
        <v>90</v>
      </c>
    </row>
    <row r="73" spans="1:14">
      <c r="A73">
        <v>4</v>
      </c>
      <c r="B73">
        <v>36</v>
      </c>
      <c r="C73">
        <v>46277.791666666664</v>
      </c>
      <c r="D73" t="s">
        <v>58</v>
      </c>
      <c r="E73" t="s">
        <v>39</v>
      </c>
      <c r="F73" t="s">
        <v>1743</v>
      </c>
      <c r="G73">
        <v>4</v>
      </c>
      <c r="H73" s="27"/>
      <c r="I73" s="27"/>
      <c r="J73" s="26" t="str">
        <f t="shared" si="1"/>
        <v/>
      </c>
      <c r="K73" s="27">
        <v>1</v>
      </c>
      <c r="L73" s="27">
        <v>1</v>
      </c>
      <c r="N73" t="s">
        <v>90</v>
      </c>
    </row>
    <row r="74" spans="1:14">
      <c r="A74">
        <v>4</v>
      </c>
      <c r="B74">
        <v>37</v>
      </c>
      <c r="C74">
        <v>46277.6875</v>
      </c>
      <c r="D74" t="s">
        <v>47</v>
      </c>
      <c r="E74" t="s">
        <v>57</v>
      </c>
      <c r="F74" t="s">
        <v>1742</v>
      </c>
      <c r="G74">
        <v>3</v>
      </c>
      <c r="H74" s="27"/>
      <c r="I74" s="27"/>
      <c r="J74" s="26" t="str">
        <f t="shared" si="1"/>
        <v/>
      </c>
      <c r="K74" s="27">
        <v>1</v>
      </c>
      <c r="L74" s="27">
        <v>1</v>
      </c>
      <c r="N74" t="s">
        <v>90</v>
      </c>
    </row>
    <row r="75" spans="1:14">
      <c r="A75">
        <v>4</v>
      </c>
      <c r="B75">
        <v>37</v>
      </c>
      <c r="C75">
        <v>46277.6875</v>
      </c>
      <c r="D75" t="s">
        <v>57</v>
      </c>
      <c r="E75" t="s">
        <v>47</v>
      </c>
      <c r="F75" t="s">
        <v>1743</v>
      </c>
      <c r="G75">
        <v>3</v>
      </c>
      <c r="H75" s="27"/>
      <c r="I75" s="27"/>
      <c r="J75" s="26" t="str">
        <f t="shared" si="1"/>
        <v/>
      </c>
      <c r="K75" s="27">
        <v>1</v>
      </c>
      <c r="L75" s="27">
        <v>1</v>
      </c>
      <c r="N75" t="s">
        <v>90</v>
      </c>
    </row>
    <row r="76" spans="1:14">
      <c r="A76">
        <v>4</v>
      </c>
      <c r="B76">
        <v>38</v>
      </c>
      <c r="C76">
        <v>46278.541666666664</v>
      </c>
      <c r="D76" t="s">
        <v>43</v>
      </c>
      <c r="E76" t="s">
        <v>45</v>
      </c>
      <c r="F76" t="s">
        <v>1742</v>
      </c>
      <c r="G76">
        <v>2</v>
      </c>
      <c r="H76" s="27"/>
      <c r="I76" s="27"/>
      <c r="J76" s="26" t="str">
        <f t="shared" si="1"/>
        <v/>
      </c>
      <c r="K76" s="27">
        <v>1</v>
      </c>
      <c r="L76" s="27">
        <v>1</v>
      </c>
      <c r="N76" t="s">
        <v>90</v>
      </c>
    </row>
    <row r="77" spans="1:14">
      <c r="A77">
        <v>4</v>
      </c>
      <c r="B77">
        <v>38</v>
      </c>
      <c r="C77">
        <v>46278.541666666664</v>
      </c>
      <c r="D77" t="s">
        <v>45</v>
      </c>
      <c r="E77" t="s">
        <v>43</v>
      </c>
      <c r="F77" t="s">
        <v>1743</v>
      </c>
      <c r="G77">
        <v>2</v>
      </c>
      <c r="H77" s="27"/>
      <c r="I77" s="27"/>
      <c r="J77" s="26" t="str">
        <f t="shared" si="1"/>
        <v/>
      </c>
      <c r="K77" s="27">
        <v>1</v>
      </c>
      <c r="L77" s="27">
        <v>1</v>
      </c>
      <c r="N77" t="s">
        <v>90</v>
      </c>
    </row>
    <row r="78" spans="1:14">
      <c r="A78">
        <v>4</v>
      </c>
      <c r="B78">
        <v>39</v>
      </c>
      <c r="C78">
        <v>46278.645833333336</v>
      </c>
      <c r="D78" t="s">
        <v>53</v>
      </c>
      <c r="E78" t="s">
        <v>54</v>
      </c>
      <c r="F78" t="s">
        <v>1742</v>
      </c>
      <c r="G78">
        <v>4</v>
      </c>
      <c r="H78" s="27"/>
      <c r="I78" s="27"/>
      <c r="J78" s="26" t="str">
        <f t="shared" si="1"/>
        <v/>
      </c>
      <c r="K78" s="27">
        <v>1</v>
      </c>
      <c r="L78" s="27">
        <v>1</v>
      </c>
      <c r="N78" t="s">
        <v>90</v>
      </c>
    </row>
    <row r="79" spans="1:14">
      <c r="A79">
        <v>4</v>
      </c>
      <c r="B79">
        <v>39</v>
      </c>
      <c r="C79">
        <v>46278.645833333336</v>
      </c>
      <c r="D79" t="s">
        <v>54</v>
      </c>
      <c r="E79" t="s">
        <v>53</v>
      </c>
      <c r="F79" t="s">
        <v>1743</v>
      </c>
      <c r="G79">
        <v>4</v>
      </c>
      <c r="H79" s="27"/>
      <c r="I79" s="27"/>
      <c r="J79" s="26" t="str">
        <f t="shared" si="1"/>
        <v/>
      </c>
      <c r="K79" s="27">
        <v>1</v>
      </c>
      <c r="L79" s="27">
        <v>1</v>
      </c>
      <c r="N79" t="s">
        <v>90</v>
      </c>
    </row>
    <row r="80" spans="1:14">
      <c r="A80">
        <v>4</v>
      </c>
      <c r="B80">
        <v>40</v>
      </c>
      <c r="C80">
        <v>46279.791666666664</v>
      </c>
      <c r="D80" t="s">
        <v>55</v>
      </c>
      <c r="E80" t="s">
        <v>51</v>
      </c>
      <c r="F80" t="s">
        <v>1742</v>
      </c>
      <c r="G80">
        <v>3</v>
      </c>
      <c r="H80" s="27"/>
      <c r="I80" s="27"/>
      <c r="J80" s="26" t="str">
        <f t="shared" si="1"/>
        <v/>
      </c>
      <c r="K80" s="27">
        <v>1</v>
      </c>
      <c r="L80" s="27">
        <v>1</v>
      </c>
      <c r="N80" t="s">
        <v>90</v>
      </c>
    </row>
    <row r="81" spans="1:14">
      <c r="A81">
        <v>4</v>
      </c>
      <c r="B81">
        <v>40</v>
      </c>
      <c r="C81">
        <v>46279.791666666664</v>
      </c>
      <c r="D81" t="s">
        <v>51</v>
      </c>
      <c r="E81" t="s">
        <v>55</v>
      </c>
      <c r="F81" t="s">
        <v>1743</v>
      </c>
      <c r="G81">
        <v>2</v>
      </c>
      <c r="H81" s="27"/>
      <c r="I81" s="27"/>
      <c r="J81" s="26" t="str">
        <f t="shared" si="1"/>
        <v/>
      </c>
      <c r="K81" s="27">
        <v>1</v>
      </c>
      <c r="L81" s="27">
        <v>1</v>
      </c>
      <c r="N81" t="s">
        <v>90</v>
      </c>
    </row>
    <row r="82" spans="1:14">
      <c r="A82">
        <v>5</v>
      </c>
      <c r="B82">
        <v>41</v>
      </c>
      <c r="C82">
        <v>46283.791666666664</v>
      </c>
      <c r="D82" t="s">
        <v>44</v>
      </c>
      <c r="E82" t="s">
        <v>42</v>
      </c>
      <c r="F82" t="s">
        <v>1742</v>
      </c>
      <c r="G82">
        <v>3</v>
      </c>
      <c r="H82" s="27"/>
      <c r="I82" s="27"/>
      <c r="J82" s="26" t="str">
        <f t="shared" si="1"/>
        <v/>
      </c>
      <c r="K82" s="27">
        <v>1</v>
      </c>
      <c r="L82" s="27">
        <v>1</v>
      </c>
      <c r="N82" t="s">
        <v>90</v>
      </c>
    </row>
    <row r="83" spans="1:14">
      <c r="A83">
        <v>5</v>
      </c>
      <c r="B83">
        <v>41</v>
      </c>
      <c r="C83">
        <v>46283.791666666664</v>
      </c>
      <c r="D83" t="s">
        <v>42</v>
      </c>
      <c r="E83" t="s">
        <v>44</v>
      </c>
      <c r="F83" t="s">
        <v>1743</v>
      </c>
      <c r="G83">
        <v>4</v>
      </c>
      <c r="H83" s="27"/>
      <c r="I83" s="27"/>
      <c r="J83" s="26" t="str">
        <f t="shared" si="1"/>
        <v/>
      </c>
      <c r="K83" s="27">
        <v>1</v>
      </c>
      <c r="L83" s="27">
        <v>1</v>
      </c>
      <c r="N83" t="s">
        <v>90</v>
      </c>
    </row>
    <row r="84" spans="1:14">
      <c r="A84">
        <v>5</v>
      </c>
      <c r="B84">
        <v>42</v>
      </c>
      <c r="C84">
        <v>46284.583333333336</v>
      </c>
      <c r="D84" t="s">
        <v>39</v>
      </c>
      <c r="E84" t="s">
        <v>43</v>
      </c>
      <c r="F84" t="s">
        <v>1742</v>
      </c>
      <c r="G84">
        <v>3</v>
      </c>
      <c r="H84" s="27"/>
      <c r="I84" s="27"/>
      <c r="J84" s="26" t="str">
        <f t="shared" si="1"/>
        <v/>
      </c>
      <c r="K84" s="27">
        <v>1</v>
      </c>
      <c r="L84" s="27">
        <v>1</v>
      </c>
      <c r="N84" t="s">
        <v>90</v>
      </c>
    </row>
    <row r="85" spans="1:14">
      <c r="A85">
        <v>5</v>
      </c>
      <c r="B85">
        <v>42</v>
      </c>
      <c r="C85">
        <v>46284.583333333336</v>
      </c>
      <c r="D85" t="s">
        <v>43</v>
      </c>
      <c r="E85" t="s">
        <v>39</v>
      </c>
      <c r="F85" t="s">
        <v>1743</v>
      </c>
      <c r="G85">
        <v>4</v>
      </c>
      <c r="H85" s="27"/>
      <c r="I85" s="27"/>
      <c r="J85" s="26" t="str">
        <f t="shared" si="1"/>
        <v/>
      </c>
      <c r="K85" s="27">
        <v>1</v>
      </c>
      <c r="L85" s="27">
        <v>1</v>
      </c>
      <c r="N85" t="s">
        <v>90</v>
      </c>
    </row>
    <row r="86" spans="1:14">
      <c r="A86">
        <v>5</v>
      </c>
      <c r="B86">
        <v>43</v>
      </c>
      <c r="C86">
        <v>46284.583333333336</v>
      </c>
      <c r="D86" t="s">
        <v>50</v>
      </c>
      <c r="E86" t="s">
        <v>47</v>
      </c>
      <c r="F86" t="s">
        <v>1742</v>
      </c>
      <c r="G86">
        <v>3</v>
      </c>
      <c r="H86" s="27"/>
      <c r="I86" s="27"/>
      <c r="J86" s="26" t="str">
        <f t="shared" si="1"/>
        <v/>
      </c>
      <c r="K86" s="27">
        <v>1</v>
      </c>
      <c r="L86" s="27">
        <v>1</v>
      </c>
      <c r="N86" t="s">
        <v>90</v>
      </c>
    </row>
    <row r="87" spans="1:14">
      <c r="A87">
        <v>5</v>
      </c>
      <c r="B87">
        <v>43</v>
      </c>
      <c r="C87">
        <v>46284.583333333336</v>
      </c>
      <c r="D87" t="s">
        <v>47</v>
      </c>
      <c r="E87" t="s">
        <v>50</v>
      </c>
      <c r="F87" t="s">
        <v>1743</v>
      </c>
      <c r="G87">
        <v>2</v>
      </c>
      <c r="H87" s="27"/>
      <c r="I87" s="27"/>
      <c r="J87" s="26" t="str">
        <f t="shared" si="1"/>
        <v/>
      </c>
      <c r="K87" s="27">
        <v>1</v>
      </c>
      <c r="L87" s="27">
        <v>1</v>
      </c>
      <c r="N87" t="s">
        <v>90</v>
      </c>
    </row>
    <row r="88" spans="1:14">
      <c r="A88">
        <v>5</v>
      </c>
      <c r="B88">
        <v>44</v>
      </c>
      <c r="C88">
        <v>46284.583333333336</v>
      </c>
      <c r="D88" t="s">
        <v>46</v>
      </c>
      <c r="E88" t="s">
        <v>51</v>
      </c>
      <c r="F88" t="s">
        <v>1742</v>
      </c>
      <c r="G88">
        <v>3</v>
      </c>
      <c r="H88" s="27"/>
      <c r="I88" s="27"/>
      <c r="J88" s="26" t="str">
        <f t="shared" si="1"/>
        <v/>
      </c>
      <c r="K88" s="27">
        <v>1</v>
      </c>
      <c r="L88" s="27">
        <v>1</v>
      </c>
      <c r="N88" t="s">
        <v>90</v>
      </c>
    </row>
    <row r="89" spans="1:14">
      <c r="A89">
        <v>5</v>
      </c>
      <c r="B89">
        <v>44</v>
      </c>
      <c r="C89">
        <v>46284.583333333336</v>
      </c>
      <c r="D89" t="s">
        <v>51</v>
      </c>
      <c r="E89" t="s">
        <v>46</v>
      </c>
      <c r="F89" t="s">
        <v>1743</v>
      </c>
      <c r="G89">
        <v>3</v>
      </c>
      <c r="H89" s="27"/>
      <c r="I89" s="27"/>
      <c r="J89" s="26" t="str">
        <f t="shared" si="1"/>
        <v/>
      </c>
      <c r="K89" s="27">
        <v>1</v>
      </c>
      <c r="L89" s="27">
        <v>1</v>
      </c>
      <c r="N89" t="s">
        <v>90</v>
      </c>
    </row>
    <row r="90" spans="1:14">
      <c r="A90">
        <v>5</v>
      </c>
      <c r="B90">
        <v>45</v>
      </c>
      <c r="C90">
        <v>46284.583333333336</v>
      </c>
      <c r="D90" t="s">
        <v>58</v>
      </c>
      <c r="E90" t="s">
        <v>53</v>
      </c>
      <c r="F90" t="s">
        <v>1742</v>
      </c>
      <c r="G90">
        <v>5</v>
      </c>
      <c r="H90" s="27"/>
      <c r="I90" s="27"/>
      <c r="J90" s="26" t="str">
        <f t="shared" si="1"/>
        <v/>
      </c>
      <c r="K90" s="27">
        <v>1</v>
      </c>
      <c r="L90" s="27">
        <v>1</v>
      </c>
      <c r="N90" t="s">
        <v>90</v>
      </c>
    </row>
    <row r="91" spans="1:14">
      <c r="A91">
        <v>5</v>
      </c>
      <c r="B91">
        <v>45</v>
      </c>
      <c r="C91">
        <v>46284.583333333336</v>
      </c>
      <c r="D91" t="s">
        <v>53</v>
      </c>
      <c r="E91" t="s">
        <v>58</v>
      </c>
      <c r="F91" t="s">
        <v>1743</v>
      </c>
      <c r="G91">
        <v>2</v>
      </c>
      <c r="H91" s="27"/>
      <c r="I91" s="27"/>
      <c r="J91" s="26" t="str">
        <f t="shared" si="1"/>
        <v/>
      </c>
      <c r="K91" s="27">
        <v>1</v>
      </c>
      <c r="L91" s="27">
        <v>1</v>
      </c>
      <c r="N91" t="s">
        <v>90</v>
      </c>
    </row>
    <row r="92" spans="1:14">
      <c r="A92">
        <v>5</v>
      </c>
      <c r="B92">
        <v>46</v>
      </c>
      <c r="C92">
        <v>46284.583333333336</v>
      </c>
      <c r="D92" t="s">
        <v>49</v>
      </c>
      <c r="E92" t="s">
        <v>55</v>
      </c>
      <c r="F92" t="s">
        <v>1742</v>
      </c>
      <c r="G92">
        <v>3</v>
      </c>
      <c r="H92" s="27"/>
      <c r="I92" s="27"/>
      <c r="J92" s="26" t="str">
        <f t="shared" si="1"/>
        <v/>
      </c>
      <c r="K92" s="27">
        <v>1</v>
      </c>
      <c r="L92" s="27">
        <v>1</v>
      </c>
      <c r="N92" t="s">
        <v>90</v>
      </c>
    </row>
    <row r="93" spans="1:14">
      <c r="A93">
        <v>5</v>
      </c>
      <c r="B93">
        <v>46</v>
      </c>
      <c r="C93">
        <v>46284.583333333336</v>
      </c>
      <c r="D93" t="s">
        <v>55</v>
      </c>
      <c r="E93" t="s">
        <v>49</v>
      </c>
      <c r="F93" t="s">
        <v>1743</v>
      </c>
      <c r="G93">
        <v>2</v>
      </c>
      <c r="H93" s="27"/>
      <c r="I93" s="27"/>
      <c r="J93" s="26" t="str">
        <f t="shared" si="1"/>
        <v/>
      </c>
      <c r="K93" s="27">
        <v>1</v>
      </c>
      <c r="L93" s="27">
        <v>1</v>
      </c>
      <c r="N93" t="s">
        <v>90</v>
      </c>
    </row>
    <row r="94" spans="1:14">
      <c r="A94">
        <v>5</v>
      </c>
      <c r="B94">
        <v>47</v>
      </c>
      <c r="C94">
        <v>46284.6875</v>
      </c>
      <c r="D94" t="s">
        <v>45</v>
      </c>
      <c r="E94" t="s">
        <v>56</v>
      </c>
      <c r="F94" t="s">
        <v>1742</v>
      </c>
      <c r="G94">
        <v>3</v>
      </c>
      <c r="H94" s="27"/>
      <c r="I94" s="27"/>
      <c r="J94" s="26" t="str">
        <f t="shared" si="1"/>
        <v/>
      </c>
      <c r="K94" s="27">
        <v>1</v>
      </c>
      <c r="L94" s="27">
        <v>1</v>
      </c>
      <c r="N94" t="s">
        <v>90</v>
      </c>
    </row>
    <row r="95" spans="1:14">
      <c r="A95">
        <v>5</v>
      </c>
      <c r="B95">
        <v>47</v>
      </c>
      <c r="C95">
        <v>46284.6875</v>
      </c>
      <c r="D95" t="s">
        <v>56</v>
      </c>
      <c r="E95" t="s">
        <v>45</v>
      </c>
      <c r="F95" t="s">
        <v>1743</v>
      </c>
      <c r="G95">
        <v>2</v>
      </c>
      <c r="H95" s="27"/>
      <c r="I95" s="27"/>
      <c r="J95" s="26" t="str">
        <f t="shared" si="1"/>
        <v/>
      </c>
      <c r="K95" s="27">
        <v>1</v>
      </c>
      <c r="L95" s="27">
        <v>1</v>
      </c>
      <c r="N95" t="s">
        <v>90</v>
      </c>
    </row>
    <row r="96" spans="1:14">
      <c r="A96">
        <v>5</v>
      </c>
      <c r="B96">
        <v>48</v>
      </c>
      <c r="C96">
        <v>46284.479166666664</v>
      </c>
      <c r="D96" t="s">
        <v>40</v>
      </c>
      <c r="E96" t="s">
        <v>57</v>
      </c>
      <c r="F96" t="s">
        <v>1742</v>
      </c>
      <c r="G96">
        <v>3</v>
      </c>
      <c r="H96" s="27"/>
      <c r="I96" s="27"/>
      <c r="J96" s="26" t="str">
        <f t="shared" si="1"/>
        <v/>
      </c>
      <c r="K96" s="27">
        <v>1</v>
      </c>
      <c r="L96" s="27">
        <v>1</v>
      </c>
      <c r="N96" t="s">
        <v>90</v>
      </c>
    </row>
    <row r="97" spans="1:14">
      <c r="A97">
        <v>5</v>
      </c>
      <c r="B97">
        <v>48</v>
      </c>
      <c r="C97">
        <v>46284.479166666664</v>
      </c>
      <c r="D97" t="s">
        <v>57</v>
      </c>
      <c r="E97" t="s">
        <v>40</v>
      </c>
      <c r="F97" t="s">
        <v>1743</v>
      </c>
      <c r="G97">
        <v>3</v>
      </c>
      <c r="H97" s="27"/>
      <c r="I97" s="27"/>
      <c r="J97" s="26" t="str">
        <f t="shared" si="1"/>
        <v/>
      </c>
      <c r="K97" s="27">
        <v>1</v>
      </c>
      <c r="L97" s="27">
        <v>1</v>
      </c>
      <c r="N97" t="s">
        <v>90</v>
      </c>
    </row>
    <row r="98" spans="1:14">
      <c r="A98">
        <v>5</v>
      </c>
      <c r="B98">
        <v>49</v>
      </c>
      <c r="C98">
        <v>46285.541666666664</v>
      </c>
      <c r="D98" t="s">
        <v>52</v>
      </c>
      <c r="E98" t="s">
        <v>41</v>
      </c>
      <c r="F98" t="s">
        <v>1742</v>
      </c>
      <c r="G98">
        <v>3</v>
      </c>
      <c r="H98" s="27"/>
      <c r="I98" s="27"/>
      <c r="J98" s="26" t="str">
        <f t="shared" si="1"/>
        <v/>
      </c>
      <c r="K98" s="27">
        <v>1</v>
      </c>
      <c r="L98" s="27">
        <v>1</v>
      </c>
      <c r="N98" t="s">
        <v>90</v>
      </c>
    </row>
    <row r="99" spans="1:14">
      <c r="A99">
        <v>5</v>
      </c>
      <c r="B99">
        <v>49</v>
      </c>
      <c r="C99">
        <v>46285.541666666664</v>
      </c>
      <c r="D99" t="s">
        <v>41</v>
      </c>
      <c r="E99" t="s">
        <v>52</v>
      </c>
      <c r="F99" t="s">
        <v>1743</v>
      </c>
      <c r="G99">
        <v>4</v>
      </c>
      <c r="H99" s="27"/>
      <c r="I99" s="27"/>
      <c r="J99" s="26" t="str">
        <f t="shared" si="1"/>
        <v/>
      </c>
      <c r="K99" s="27">
        <v>1</v>
      </c>
      <c r="L99" s="27">
        <v>1</v>
      </c>
      <c r="N99" t="s">
        <v>90</v>
      </c>
    </row>
    <row r="100" spans="1:14">
      <c r="A100">
        <v>5</v>
      </c>
      <c r="B100">
        <v>50</v>
      </c>
      <c r="C100">
        <v>46285.645833333336</v>
      </c>
      <c r="D100" t="s">
        <v>54</v>
      </c>
      <c r="E100" t="s">
        <v>48</v>
      </c>
      <c r="F100" t="s">
        <v>1742</v>
      </c>
      <c r="G100">
        <v>3</v>
      </c>
      <c r="H100" s="27"/>
      <c r="I100" s="27"/>
      <c r="J100" s="26" t="str">
        <f t="shared" si="1"/>
        <v/>
      </c>
      <c r="K100" s="27">
        <v>1</v>
      </c>
      <c r="L100" s="27">
        <v>1</v>
      </c>
      <c r="N100" t="s">
        <v>90</v>
      </c>
    </row>
    <row r="101" spans="1:14">
      <c r="A101">
        <v>5</v>
      </c>
      <c r="B101">
        <v>50</v>
      </c>
      <c r="C101">
        <v>46285.645833333336</v>
      </c>
      <c r="D101" t="s">
        <v>48</v>
      </c>
      <c r="E101" t="s">
        <v>54</v>
      </c>
      <c r="F101" t="s">
        <v>1743</v>
      </c>
      <c r="G101">
        <v>4</v>
      </c>
      <c r="H101" s="27"/>
      <c r="I101" s="27"/>
      <c r="J101" s="26" t="str">
        <f t="shared" si="1"/>
        <v/>
      </c>
      <c r="K101" s="27">
        <v>1</v>
      </c>
      <c r="L101" s="27">
        <v>1</v>
      </c>
      <c r="N101" t="s">
        <v>90</v>
      </c>
    </row>
    <row r="102" spans="1:14">
      <c r="A102">
        <v>6</v>
      </c>
      <c r="B102">
        <v>51</v>
      </c>
      <c r="C102">
        <v>46305.583333333336</v>
      </c>
      <c r="D102" t="s">
        <v>51</v>
      </c>
      <c r="E102" t="s">
        <v>39</v>
      </c>
      <c r="F102" t="s">
        <v>1742</v>
      </c>
      <c r="G102">
        <v>5</v>
      </c>
      <c r="H102" s="27"/>
      <c r="I102" s="27"/>
      <c r="J102" s="26" t="str">
        <f t="shared" si="1"/>
        <v/>
      </c>
      <c r="K102" s="27">
        <v>1</v>
      </c>
      <c r="L102" s="27">
        <v>1</v>
      </c>
      <c r="N102" t="s">
        <v>90</v>
      </c>
    </row>
    <row r="103" spans="1:14">
      <c r="A103">
        <v>6</v>
      </c>
      <c r="B103">
        <v>51</v>
      </c>
      <c r="C103">
        <v>46305.583333333336</v>
      </c>
      <c r="D103" t="s">
        <v>39</v>
      </c>
      <c r="E103" t="s">
        <v>51</v>
      </c>
      <c r="F103" t="s">
        <v>1743</v>
      </c>
      <c r="G103">
        <v>2</v>
      </c>
      <c r="H103" s="27"/>
      <c r="I103" s="27"/>
      <c r="J103" s="26" t="str">
        <f t="shared" si="1"/>
        <v/>
      </c>
      <c r="K103" s="27">
        <v>1</v>
      </c>
      <c r="L103" s="27">
        <v>1</v>
      </c>
      <c r="N103" t="s">
        <v>90</v>
      </c>
    </row>
    <row r="104" spans="1:14">
      <c r="A104">
        <v>6</v>
      </c>
      <c r="B104">
        <v>52</v>
      </c>
      <c r="C104">
        <v>46305.583333333336</v>
      </c>
      <c r="D104" t="s">
        <v>42</v>
      </c>
      <c r="E104" t="s">
        <v>40</v>
      </c>
      <c r="F104" t="s">
        <v>1742</v>
      </c>
      <c r="G104">
        <v>4</v>
      </c>
      <c r="H104" s="27"/>
      <c r="I104" s="27"/>
      <c r="J104" s="26" t="str">
        <f t="shared" si="1"/>
        <v/>
      </c>
      <c r="K104" s="27">
        <v>1</v>
      </c>
      <c r="L104" s="27">
        <v>1</v>
      </c>
      <c r="N104" t="s">
        <v>90</v>
      </c>
    </row>
    <row r="105" spans="1:14">
      <c r="A105">
        <v>6</v>
      </c>
      <c r="B105">
        <v>52</v>
      </c>
      <c r="C105">
        <v>46305.583333333336</v>
      </c>
      <c r="D105" t="s">
        <v>40</v>
      </c>
      <c r="E105" t="s">
        <v>42</v>
      </c>
      <c r="F105" t="s">
        <v>1743</v>
      </c>
      <c r="G105">
        <v>3</v>
      </c>
      <c r="H105" s="27"/>
      <c r="I105" s="27"/>
      <c r="J105" s="26" t="str">
        <f t="shared" si="1"/>
        <v/>
      </c>
      <c r="K105" s="27">
        <v>1</v>
      </c>
      <c r="L105" s="27">
        <v>1</v>
      </c>
      <c r="N105" t="s">
        <v>90</v>
      </c>
    </row>
    <row r="106" spans="1:14">
      <c r="A106">
        <v>6</v>
      </c>
      <c r="B106">
        <v>53</v>
      </c>
      <c r="C106">
        <v>46305.583333333336</v>
      </c>
      <c r="D106" t="s">
        <v>41</v>
      </c>
      <c r="E106" t="s">
        <v>44</v>
      </c>
      <c r="F106" t="s">
        <v>1742</v>
      </c>
      <c r="G106">
        <v>4</v>
      </c>
      <c r="H106" s="27"/>
      <c r="I106" s="27"/>
      <c r="J106" s="26" t="str">
        <f t="shared" si="1"/>
        <v/>
      </c>
      <c r="K106" s="27">
        <v>1</v>
      </c>
      <c r="L106" s="27">
        <v>1</v>
      </c>
      <c r="N106" t="s">
        <v>90</v>
      </c>
    </row>
    <row r="107" spans="1:14">
      <c r="A107">
        <v>6</v>
      </c>
      <c r="B107">
        <v>53</v>
      </c>
      <c r="C107">
        <v>46305.583333333336</v>
      </c>
      <c r="D107" t="s">
        <v>44</v>
      </c>
      <c r="E107" t="s">
        <v>41</v>
      </c>
      <c r="F107" t="s">
        <v>1743</v>
      </c>
      <c r="G107">
        <v>3</v>
      </c>
      <c r="H107" s="27"/>
      <c r="I107" s="27"/>
      <c r="J107" s="26" t="str">
        <f t="shared" si="1"/>
        <v/>
      </c>
      <c r="K107" s="27">
        <v>1</v>
      </c>
      <c r="L107" s="27">
        <v>1</v>
      </c>
      <c r="N107" t="s">
        <v>90</v>
      </c>
    </row>
    <row r="108" spans="1:14">
      <c r="A108">
        <v>6</v>
      </c>
      <c r="B108">
        <v>54</v>
      </c>
      <c r="C108">
        <v>46305.583333333336</v>
      </c>
      <c r="D108" t="s">
        <v>55</v>
      </c>
      <c r="E108" t="s">
        <v>45</v>
      </c>
      <c r="F108" t="s">
        <v>1742</v>
      </c>
      <c r="G108">
        <v>2</v>
      </c>
      <c r="H108" s="27"/>
      <c r="I108" s="27"/>
      <c r="J108" s="26" t="str">
        <f t="shared" si="1"/>
        <v/>
      </c>
      <c r="K108" s="27">
        <v>1</v>
      </c>
      <c r="L108" s="27">
        <v>1</v>
      </c>
      <c r="N108" t="s">
        <v>90</v>
      </c>
    </row>
    <row r="109" spans="1:14">
      <c r="A109">
        <v>6</v>
      </c>
      <c r="B109">
        <v>54</v>
      </c>
      <c r="C109">
        <v>46305.583333333336</v>
      </c>
      <c r="D109" t="s">
        <v>45</v>
      </c>
      <c r="E109" t="s">
        <v>55</v>
      </c>
      <c r="F109" t="s">
        <v>1743</v>
      </c>
      <c r="G109">
        <v>2</v>
      </c>
      <c r="H109" s="27"/>
      <c r="I109" s="27"/>
      <c r="J109" s="26" t="str">
        <f t="shared" si="1"/>
        <v/>
      </c>
      <c r="K109" s="27">
        <v>1</v>
      </c>
      <c r="L109" s="27">
        <v>1</v>
      </c>
      <c r="N109" t="s">
        <v>90</v>
      </c>
    </row>
    <row r="110" spans="1:14">
      <c r="A110">
        <v>6</v>
      </c>
      <c r="B110">
        <v>55</v>
      </c>
      <c r="C110">
        <v>46305.583333333336</v>
      </c>
      <c r="D110" t="s">
        <v>56</v>
      </c>
      <c r="E110" t="s">
        <v>46</v>
      </c>
      <c r="F110" t="s">
        <v>1742</v>
      </c>
      <c r="G110">
        <v>3</v>
      </c>
      <c r="H110" s="27"/>
      <c r="I110" s="27"/>
      <c r="J110" s="26" t="str">
        <f t="shared" si="1"/>
        <v/>
      </c>
      <c r="K110" s="27">
        <v>1</v>
      </c>
      <c r="L110" s="27">
        <v>1</v>
      </c>
      <c r="N110" t="s">
        <v>90</v>
      </c>
    </row>
    <row r="111" spans="1:14">
      <c r="A111">
        <v>6</v>
      </c>
      <c r="B111">
        <v>55</v>
      </c>
      <c r="C111">
        <v>46305.583333333336</v>
      </c>
      <c r="D111" t="s">
        <v>46</v>
      </c>
      <c r="E111" t="s">
        <v>56</v>
      </c>
      <c r="F111" t="s">
        <v>1743</v>
      </c>
      <c r="G111">
        <v>3</v>
      </c>
      <c r="H111" s="27"/>
      <c r="I111" s="27"/>
      <c r="J111" s="26" t="str">
        <f t="shared" si="1"/>
        <v/>
      </c>
      <c r="K111" s="27">
        <v>1</v>
      </c>
      <c r="L111" s="27">
        <v>1</v>
      </c>
      <c r="N111" t="s">
        <v>90</v>
      </c>
    </row>
    <row r="112" spans="1:14">
      <c r="A112">
        <v>6</v>
      </c>
      <c r="B112">
        <v>56</v>
      </c>
      <c r="C112">
        <v>46305.583333333336</v>
      </c>
      <c r="D112" t="s">
        <v>47</v>
      </c>
      <c r="E112" t="s">
        <v>49</v>
      </c>
      <c r="F112" t="s">
        <v>1742</v>
      </c>
      <c r="G112">
        <v>2</v>
      </c>
      <c r="H112" s="27"/>
      <c r="I112" s="27"/>
      <c r="J112" s="26" t="str">
        <f t="shared" si="1"/>
        <v/>
      </c>
      <c r="K112" s="27">
        <v>1</v>
      </c>
      <c r="L112" s="27">
        <v>1</v>
      </c>
      <c r="N112" t="s">
        <v>90</v>
      </c>
    </row>
    <row r="113" spans="1:14">
      <c r="A113">
        <v>6</v>
      </c>
      <c r="B113">
        <v>56</v>
      </c>
      <c r="C113">
        <v>46305.583333333336</v>
      </c>
      <c r="D113" t="s">
        <v>49</v>
      </c>
      <c r="E113" t="s">
        <v>47</v>
      </c>
      <c r="F113" t="s">
        <v>1743</v>
      </c>
      <c r="G113">
        <v>3</v>
      </c>
      <c r="H113" s="27"/>
      <c r="I113" s="27"/>
      <c r="J113" s="26" t="str">
        <f t="shared" si="1"/>
        <v/>
      </c>
      <c r="K113" s="27">
        <v>1</v>
      </c>
      <c r="L113" s="27">
        <v>1</v>
      </c>
      <c r="N113" t="s">
        <v>90</v>
      </c>
    </row>
    <row r="114" spans="1:14">
      <c r="A114">
        <v>6</v>
      </c>
      <c r="B114">
        <v>57</v>
      </c>
      <c r="C114">
        <v>46305.583333333336</v>
      </c>
      <c r="D114" t="s">
        <v>48</v>
      </c>
      <c r="E114" t="s">
        <v>50</v>
      </c>
      <c r="F114" t="s">
        <v>1742</v>
      </c>
      <c r="G114">
        <v>2</v>
      </c>
      <c r="H114" s="27"/>
      <c r="I114" s="27"/>
      <c r="J114" s="26" t="str">
        <f t="shared" si="1"/>
        <v/>
      </c>
      <c r="K114" s="27">
        <v>1</v>
      </c>
      <c r="L114" s="27">
        <v>1</v>
      </c>
      <c r="N114" t="s">
        <v>90</v>
      </c>
    </row>
    <row r="115" spans="1:14">
      <c r="A115">
        <v>6</v>
      </c>
      <c r="B115">
        <v>57</v>
      </c>
      <c r="C115">
        <v>46305.583333333336</v>
      </c>
      <c r="D115" t="s">
        <v>50</v>
      </c>
      <c r="E115" t="s">
        <v>48</v>
      </c>
      <c r="F115" t="s">
        <v>1743</v>
      </c>
      <c r="G115">
        <v>2</v>
      </c>
      <c r="H115" s="27"/>
      <c r="I115" s="27"/>
      <c r="J115" s="26" t="str">
        <f t="shared" si="1"/>
        <v/>
      </c>
      <c r="K115" s="27">
        <v>1</v>
      </c>
      <c r="L115" s="27">
        <v>1</v>
      </c>
      <c r="N115" t="s">
        <v>90</v>
      </c>
    </row>
    <row r="116" spans="1:14">
      <c r="A116">
        <v>6</v>
      </c>
      <c r="B116">
        <v>58</v>
      </c>
      <c r="C116">
        <v>46305.583333333336</v>
      </c>
      <c r="D116" t="s">
        <v>53</v>
      </c>
      <c r="E116" t="s">
        <v>52</v>
      </c>
      <c r="F116" t="s">
        <v>1742</v>
      </c>
      <c r="G116">
        <v>4</v>
      </c>
      <c r="H116" s="27"/>
      <c r="I116" s="27"/>
      <c r="J116" s="26" t="str">
        <f t="shared" si="1"/>
        <v/>
      </c>
      <c r="K116" s="27">
        <v>1</v>
      </c>
      <c r="L116" s="27">
        <v>1</v>
      </c>
      <c r="N116" t="s">
        <v>90</v>
      </c>
    </row>
    <row r="117" spans="1:14">
      <c r="A117">
        <v>6</v>
      </c>
      <c r="B117">
        <v>58</v>
      </c>
      <c r="C117">
        <v>46305.583333333336</v>
      </c>
      <c r="D117" t="s">
        <v>52</v>
      </c>
      <c r="E117" t="s">
        <v>53</v>
      </c>
      <c r="F117" t="s">
        <v>1743</v>
      </c>
      <c r="G117">
        <v>4</v>
      </c>
      <c r="H117" s="27"/>
      <c r="I117" s="27"/>
      <c r="J117" s="26" t="str">
        <f t="shared" si="1"/>
        <v/>
      </c>
      <c r="K117" s="27">
        <v>1</v>
      </c>
      <c r="L117" s="27">
        <v>1</v>
      </c>
      <c r="N117" t="s">
        <v>90</v>
      </c>
    </row>
    <row r="118" spans="1:14">
      <c r="A118">
        <v>6</v>
      </c>
      <c r="B118">
        <v>59</v>
      </c>
      <c r="C118">
        <v>46305.583333333336</v>
      </c>
      <c r="D118" t="s">
        <v>57</v>
      </c>
      <c r="E118" t="s">
        <v>54</v>
      </c>
      <c r="F118" t="s">
        <v>1742</v>
      </c>
      <c r="G118">
        <v>4</v>
      </c>
      <c r="H118" s="27"/>
      <c r="I118" s="27"/>
      <c r="J118" s="26" t="str">
        <f t="shared" si="1"/>
        <v/>
      </c>
      <c r="K118" s="27">
        <v>1</v>
      </c>
      <c r="L118" s="27">
        <v>1</v>
      </c>
      <c r="N118" t="s">
        <v>90</v>
      </c>
    </row>
    <row r="119" spans="1:14">
      <c r="A119">
        <v>6</v>
      </c>
      <c r="B119">
        <v>59</v>
      </c>
      <c r="C119">
        <v>46305.583333333336</v>
      </c>
      <c r="D119" t="s">
        <v>54</v>
      </c>
      <c r="E119" t="s">
        <v>57</v>
      </c>
      <c r="F119" t="s">
        <v>1743</v>
      </c>
      <c r="G119">
        <v>3</v>
      </c>
      <c r="H119" s="27"/>
      <c r="I119" s="27"/>
      <c r="J119" s="26" t="str">
        <f t="shared" si="1"/>
        <v/>
      </c>
      <c r="K119" s="27">
        <v>1</v>
      </c>
      <c r="L119" s="27">
        <v>1</v>
      </c>
      <c r="N119" t="s">
        <v>90</v>
      </c>
    </row>
    <row r="120" spans="1:14">
      <c r="A120">
        <v>6</v>
      </c>
      <c r="B120">
        <v>60</v>
      </c>
      <c r="C120">
        <v>46305.583333333336</v>
      </c>
      <c r="D120" t="s">
        <v>43</v>
      </c>
      <c r="E120" t="s">
        <v>58</v>
      </c>
      <c r="F120" t="s">
        <v>1742</v>
      </c>
      <c r="G120">
        <v>3</v>
      </c>
      <c r="H120" s="27"/>
      <c r="I120" s="27"/>
      <c r="J120" s="26" t="str">
        <f t="shared" si="1"/>
        <v/>
      </c>
      <c r="K120" s="27">
        <v>1</v>
      </c>
      <c r="L120" s="27">
        <v>1</v>
      </c>
      <c r="N120" t="s">
        <v>90</v>
      </c>
    </row>
    <row r="121" spans="1:14">
      <c r="A121">
        <v>6</v>
      </c>
      <c r="B121">
        <v>60</v>
      </c>
      <c r="C121">
        <v>46305.583333333336</v>
      </c>
      <c r="D121" t="s">
        <v>58</v>
      </c>
      <c r="E121" t="s">
        <v>43</v>
      </c>
      <c r="F121" t="s">
        <v>1743</v>
      </c>
      <c r="G121">
        <v>2</v>
      </c>
      <c r="H121" s="27"/>
      <c r="I121" s="27"/>
      <c r="J121" s="26" t="str">
        <f t="shared" si="1"/>
        <v/>
      </c>
      <c r="K121" s="27">
        <v>1</v>
      </c>
      <c r="L121" s="27">
        <v>1</v>
      </c>
      <c r="N121" t="s">
        <v>90</v>
      </c>
    </row>
    <row r="122" spans="1:14">
      <c r="A122">
        <v>7</v>
      </c>
      <c r="B122">
        <v>61</v>
      </c>
      <c r="C122">
        <v>46312.583333333336</v>
      </c>
      <c r="D122" t="s">
        <v>58</v>
      </c>
      <c r="E122" t="s">
        <v>41</v>
      </c>
      <c r="F122" t="s">
        <v>1742</v>
      </c>
      <c r="G122">
        <v>3</v>
      </c>
      <c r="H122" s="27"/>
      <c r="I122" s="27"/>
      <c r="J122" s="26" t="str">
        <f t="shared" si="1"/>
        <v/>
      </c>
      <c r="K122" s="27">
        <v>1</v>
      </c>
      <c r="L122" s="27">
        <v>1</v>
      </c>
      <c r="N122" t="s">
        <v>90</v>
      </c>
    </row>
    <row r="123" spans="1:14">
      <c r="A123">
        <v>7</v>
      </c>
      <c r="B123">
        <v>61</v>
      </c>
      <c r="C123">
        <v>46312.583333333336</v>
      </c>
      <c r="D123" t="s">
        <v>41</v>
      </c>
      <c r="E123" t="s">
        <v>58</v>
      </c>
      <c r="F123" t="s">
        <v>1743</v>
      </c>
      <c r="G123">
        <v>2</v>
      </c>
      <c r="H123" s="27"/>
      <c r="I123" s="27"/>
      <c r="J123" s="26" t="str">
        <f t="shared" si="1"/>
        <v/>
      </c>
      <c r="K123" s="27">
        <v>1</v>
      </c>
      <c r="L123" s="27">
        <v>1</v>
      </c>
      <c r="N123" t="s">
        <v>90</v>
      </c>
    </row>
    <row r="124" spans="1:14">
      <c r="A124">
        <v>7</v>
      </c>
      <c r="B124">
        <v>62</v>
      </c>
      <c r="C124">
        <v>46312.583333333336</v>
      </c>
      <c r="D124" t="s">
        <v>52</v>
      </c>
      <c r="E124" t="s">
        <v>42</v>
      </c>
      <c r="F124" t="s">
        <v>1742</v>
      </c>
      <c r="G124">
        <v>3</v>
      </c>
      <c r="H124" s="27"/>
      <c r="I124" s="27"/>
      <c r="J124" s="26" t="str">
        <f t="shared" si="1"/>
        <v/>
      </c>
      <c r="K124" s="27">
        <v>1</v>
      </c>
      <c r="L124" s="27">
        <v>1</v>
      </c>
      <c r="N124" t="s">
        <v>90</v>
      </c>
    </row>
    <row r="125" spans="1:14">
      <c r="A125">
        <v>7</v>
      </c>
      <c r="B125">
        <v>62</v>
      </c>
      <c r="C125">
        <v>46312.583333333336</v>
      </c>
      <c r="D125" t="s">
        <v>42</v>
      </c>
      <c r="E125" t="s">
        <v>52</v>
      </c>
      <c r="F125" t="s">
        <v>1743</v>
      </c>
      <c r="G125">
        <v>4</v>
      </c>
      <c r="H125" s="27"/>
      <c r="I125" s="27"/>
      <c r="J125" s="26" t="str">
        <f t="shared" si="1"/>
        <v/>
      </c>
      <c r="K125" s="27">
        <v>1</v>
      </c>
      <c r="L125" s="27">
        <v>1</v>
      </c>
      <c r="N125" t="s">
        <v>90</v>
      </c>
    </row>
    <row r="126" spans="1:14">
      <c r="A126">
        <v>7</v>
      </c>
      <c r="B126">
        <v>63</v>
      </c>
      <c r="C126">
        <v>46312.583333333336</v>
      </c>
      <c r="D126" t="s">
        <v>46</v>
      </c>
      <c r="E126" t="s">
        <v>43</v>
      </c>
      <c r="F126" t="s">
        <v>1742</v>
      </c>
      <c r="G126">
        <v>3</v>
      </c>
      <c r="H126" s="27"/>
      <c r="I126" s="27"/>
      <c r="J126" s="26" t="str">
        <f t="shared" si="1"/>
        <v/>
      </c>
      <c r="K126" s="27">
        <v>1</v>
      </c>
      <c r="L126" s="27">
        <v>1</v>
      </c>
      <c r="N126" t="s">
        <v>90</v>
      </c>
    </row>
    <row r="127" spans="1:14">
      <c r="A127">
        <v>7</v>
      </c>
      <c r="B127">
        <v>63</v>
      </c>
      <c r="C127">
        <v>46312.583333333336</v>
      </c>
      <c r="D127" t="s">
        <v>43</v>
      </c>
      <c r="E127" t="s">
        <v>46</v>
      </c>
      <c r="F127" t="s">
        <v>1743</v>
      </c>
      <c r="G127">
        <v>3</v>
      </c>
      <c r="H127" s="27"/>
      <c r="I127" s="27"/>
      <c r="J127" s="26" t="str">
        <f t="shared" si="1"/>
        <v/>
      </c>
      <c r="K127" s="27">
        <v>1</v>
      </c>
      <c r="L127" s="27">
        <v>1</v>
      </c>
      <c r="N127" t="s">
        <v>90</v>
      </c>
    </row>
    <row r="128" spans="1:14">
      <c r="A128">
        <v>7</v>
      </c>
      <c r="B128">
        <v>64</v>
      </c>
      <c r="C128">
        <v>46312.583333333336</v>
      </c>
      <c r="D128" t="s">
        <v>44</v>
      </c>
      <c r="E128" t="s">
        <v>47</v>
      </c>
      <c r="F128" t="s">
        <v>1742</v>
      </c>
      <c r="G128">
        <v>3</v>
      </c>
      <c r="H128" s="27"/>
      <c r="I128" s="27"/>
      <c r="J128" s="26" t="str">
        <f t="shared" si="1"/>
        <v/>
      </c>
      <c r="K128" s="27">
        <v>1</v>
      </c>
      <c r="L128" s="27">
        <v>1</v>
      </c>
      <c r="N128" t="s">
        <v>90</v>
      </c>
    </row>
    <row r="129" spans="1:14">
      <c r="A129">
        <v>7</v>
      </c>
      <c r="B129">
        <v>64</v>
      </c>
      <c r="C129">
        <v>46312.583333333336</v>
      </c>
      <c r="D129" t="s">
        <v>47</v>
      </c>
      <c r="E129" t="s">
        <v>44</v>
      </c>
      <c r="F129" t="s">
        <v>1743</v>
      </c>
      <c r="G129">
        <v>4</v>
      </c>
      <c r="H129" s="27"/>
      <c r="I129" s="27"/>
      <c r="J129" s="26" t="str">
        <f t="shared" si="1"/>
        <v/>
      </c>
      <c r="K129" s="27">
        <v>1</v>
      </c>
      <c r="L129" s="27">
        <v>1</v>
      </c>
      <c r="N129" t="s">
        <v>90</v>
      </c>
    </row>
    <row r="130" spans="1:14">
      <c r="A130">
        <v>7</v>
      </c>
      <c r="B130">
        <v>65</v>
      </c>
      <c r="C130">
        <v>46312.583333333336</v>
      </c>
      <c r="D130" t="s">
        <v>49</v>
      </c>
      <c r="E130" t="s">
        <v>48</v>
      </c>
      <c r="F130" t="s">
        <v>1742</v>
      </c>
      <c r="G130">
        <v>3</v>
      </c>
      <c r="H130" s="27"/>
      <c r="I130" s="27"/>
      <c r="J130" s="26" t="str">
        <f t="shared" ref="J130:J193" si="2">IF(I130="","",EXP(-I130))</f>
        <v/>
      </c>
      <c r="K130" s="27">
        <v>1</v>
      </c>
      <c r="L130" s="27">
        <v>1</v>
      </c>
      <c r="N130" t="s">
        <v>90</v>
      </c>
    </row>
    <row r="131" spans="1:14">
      <c r="A131">
        <v>7</v>
      </c>
      <c r="B131">
        <v>65</v>
      </c>
      <c r="C131">
        <v>46312.583333333336</v>
      </c>
      <c r="D131" t="s">
        <v>48</v>
      </c>
      <c r="E131" t="s">
        <v>49</v>
      </c>
      <c r="F131" t="s">
        <v>1743</v>
      </c>
      <c r="G131">
        <v>2</v>
      </c>
      <c r="H131" s="27"/>
      <c r="I131" s="27"/>
      <c r="J131" s="26" t="str">
        <f t="shared" si="2"/>
        <v/>
      </c>
      <c r="K131" s="27">
        <v>1</v>
      </c>
      <c r="L131" s="27">
        <v>1</v>
      </c>
      <c r="N131" t="s">
        <v>90</v>
      </c>
    </row>
    <row r="132" spans="1:14">
      <c r="A132">
        <v>7</v>
      </c>
      <c r="B132">
        <v>66</v>
      </c>
      <c r="C132">
        <v>46312.583333333336</v>
      </c>
      <c r="D132" t="s">
        <v>54</v>
      </c>
      <c r="E132" t="s">
        <v>51</v>
      </c>
      <c r="F132" t="s">
        <v>1742</v>
      </c>
      <c r="G132">
        <v>3</v>
      </c>
      <c r="H132" s="27"/>
      <c r="I132" s="27"/>
      <c r="J132" s="26" t="str">
        <f t="shared" si="2"/>
        <v/>
      </c>
      <c r="K132" s="27">
        <v>1</v>
      </c>
      <c r="L132" s="27">
        <v>1</v>
      </c>
      <c r="N132" t="s">
        <v>90</v>
      </c>
    </row>
    <row r="133" spans="1:14">
      <c r="A133">
        <v>7</v>
      </c>
      <c r="B133">
        <v>66</v>
      </c>
      <c r="C133">
        <v>46312.583333333336</v>
      </c>
      <c r="D133" t="s">
        <v>51</v>
      </c>
      <c r="E133" t="s">
        <v>54</v>
      </c>
      <c r="F133" t="s">
        <v>1743</v>
      </c>
      <c r="G133">
        <v>4</v>
      </c>
      <c r="H133" s="27"/>
      <c r="I133" s="27"/>
      <c r="J133" s="26" t="str">
        <f t="shared" si="2"/>
        <v/>
      </c>
      <c r="K133" s="27">
        <v>1</v>
      </c>
      <c r="L133" s="27">
        <v>1</v>
      </c>
      <c r="N133" t="s">
        <v>90</v>
      </c>
    </row>
    <row r="134" spans="1:14">
      <c r="A134">
        <v>7</v>
      </c>
      <c r="B134">
        <v>67</v>
      </c>
      <c r="C134">
        <v>46312.583333333336</v>
      </c>
      <c r="D134" t="s">
        <v>50</v>
      </c>
      <c r="E134" t="s">
        <v>53</v>
      </c>
      <c r="F134" t="s">
        <v>1742</v>
      </c>
      <c r="G134">
        <v>5</v>
      </c>
      <c r="H134" s="27"/>
      <c r="I134" s="27"/>
      <c r="J134" s="26" t="str">
        <f t="shared" si="2"/>
        <v/>
      </c>
      <c r="K134" s="27">
        <v>1</v>
      </c>
      <c r="L134" s="27">
        <v>1</v>
      </c>
      <c r="N134" t="s">
        <v>90</v>
      </c>
    </row>
    <row r="135" spans="1:14">
      <c r="A135">
        <v>7</v>
      </c>
      <c r="B135">
        <v>67</v>
      </c>
      <c r="C135">
        <v>46312.583333333336</v>
      </c>
      <c r="D135" t="s">
        <v>53</v>
      </c>
      <c r="E135" t="s">
        <v>50</v>
      </c>
      <c r="F135" t="s">
        <v>1743</v>
      </c>
      <c r="G135">
        <v>2</v>
      </c>
      <c r="H135" s="27"/>
      <c r="I135" s="27"/>
      <c r="J135" s="26" t="str">
        <f t="shared" si="2"/>
        <v/>
      </c>
      <c r="K135" s="27">
        <v>1</v>
      </c>
      <c r="L135" s="27">
        <v>1</v>
      </c>
      <c r="N135" t="s">
        <v>90</v>
      </c>
    </row>
    <row r="136" spans="1:14">
      <c r="A136">
        <v>7</v>
      </c>
      <c r="B136">
        <v>68</v>
      </c>
      <c r="C136">
        <v>46312.583333333336</v>
      </c>
      <c r="D136" t="s">
        <v>40</v>
      </c>
      <c r="E136" t="s">
        <v>55</v>
      </c>
      <c r="F136" t="s">
        <v>1742</v>
      </c>
      <c r="G136">
        <v>3</v>
      </c>
      <c r="H136" s="27"/>
      <c r="I136" s="27"/>
      <c r="J136" s="26" t="str">
        <f t="shared" si="2"/>
        <v/>
      </c>
      <c r="K136" s="27">
        <v>1</v>
      </c>
      <c r="L136" s="27">
        <v>1</v>
      </c>
      <c r="N136" t="s">
        <v>90</v>
      </c>
    </row>
    <row r="137" spans="1:14">
      <c r="A137">
        <v>7</v>
      </c>
      <c r="B137">
        <v>68</v>
      </c>
      <c r="C137">
        <v>46312.583333333336</v>
      </c>
      <c r="D137" t="s">
        <v>55</v>
      </c>
      <c r="E137" t="s">
        <v>40</v>
      </c>
      <c r="F137" t="s">
        <v>1743</v>
      </c>
      <c r="G137">
        <v>3</v>
      </c>
      <c r="H137" s="27"/>
      <c r="I137" s="27"/>
      <c r="J137" s="26" t="str">
        <f t="shared" si="2"/>
        <v/>
      </c>
      <c r="K137" s="27">
        <v>1</v>
      </c>
      <c r="L137" s="27">
        <v>1</v>
      </c>
      <c r="N137" t="s">
        <v>90</v>
      </c>
    </row>
    <row r="138" spans="1:14">
      <c r="A138">
        <v>7</v>
      </c>
      <c r="B138">
        <v>69</v>
      </c>
      <c r="C138">
        <v>46312.583333333336</v>
      </c>
      <c r="D138" t="s">
        <v>39</v>
      </c>
      <c r="E138" t="s">
        <v>56</v>
      </c>
      <c r="F138" t="s">
        <v>1742</v>
      </c>
      <c r="G138">
        <v>3</v>
      </c>
      <c r="H138" s="27"/>
      <c r="I138" s="27"/>
      <c r="J138" s="26" t="str">
        <f t="shared" si="2"/>
        <v/>
      </c>
      <c r="K138" s="27">
        <v>1</v>
      </c>
      <c r="L138" s="27">
        <v>1</v>
      </c>
      <c r="N138" t="s">
        <v>90</v>
      </c>
    </row>
    <row r="139" spans="1:14">
      <c r="A139">
        <v>7</v>
      </c>
      <c r="B139">
        <v>69</v>
      </c>
      <c r="C139">
        <v>46312.583333333336</v>
      </c>
      <c r="D139" t="s">
        <v>56</v>
      </c>
      <c r="E139" t="s">
        <v>39</v>
      </c>
      <c r="F139" t="s">
        <v>1743</v>
      </c>
      <c r="G139">
        <v>4</v>
      </c>
      <c r="H139" s="27"/>
      <c r="I139" s="27"/>
      <c r="J139" s="26" t="str">
        <f t="shared" si="2"/>
        <v/>
      </c>
      <c r="K139" s="27">
        <v>1</v>
      </c>
      <c r="L139" s="27">
        <v>1</v>
      </c>
      <c r="N139" t="s">
        <v>90</v>
      </c>
    </row>
    <row r="140" spans="1:14">
      <c r="A140">
        <v>7</v>
      </c>
      <c r="B140">
        <v>70</v>
      </c>
      <c r="C140">
        <v>46312.583333333336</v>
      </c>
      <c r="D140" t="s">
        <v>45</v>
      </c>
      <c r="E140" t="s">
        <v>57</v>
      </c>
      <c r="F140" t="s">
        <v>1742</v>
      </c>
      <c r="G140">
        <v>3</v>
      </c>
      <c r="H140" s="27"/>
      <c r="I140" s="27"/>
      <c r="J140" s="26" t="str">
        <f t="shared" si="2"/>
        <v/>
      </c>
      <c r="K140" s="27">
        <v>1</v>
      </c>
      <c r="L140" s="27">
        <v>1</v>
      </c>
      <c r="N140" t="s">
        <v>90</v>
      </c>
    </row>
    <row r="141" spans="1:14">
      <c r="A141">
        <v>7</v>
      </c>
      <c r="B141">
        <v>70</v>
      </c>
      <c r="C141">
        <v>46312.583333333336</v>
      </c>
      <c r="D141" t="s">
        <v>57</v>
      </c>
      <c r="E141" t="s">
        <v>45</v>
      </c>
      <c r="F141" t="s">
        <v>1743</v>
      </c>
      <c r="G141">
        <v>2</v>
      </c>
      <c r="H141" s="27"/>
      <c r="I141" s="27"/>
      <c r="J141" s="26" t="str">
        <f t="shared" si="2"/>
        <v/>
      </c>
      <c r="K141" s="27">
        <v>1</v>
      </c>
      <c r="L141" s="27">
        <v>1</v>
      </c>
      <c r="N141" t="s">
        <v>90</v>
      </c>
    </row>
    <row r="142" spans="1:14">
      <c r="A142">
        <v>8</v>
      </c>
      <c r="B142">
        <v>71</v>
      </c>
      <c r="C142">
        <v>46319.583333333336</v>
      </c>
      <c r="D142" t="s">
        <v>47</v>
      </c>
      <c r="E142" t="s">
        <v>39</v>
      </c>
      <c r="F142" t="s">
        <v>1742</v>
      </c>
      <c r="G142">
        <v>5</v>
      </c>
      <c r="H142" s="27"/>
      <c r="I142" s="27"/>
      <c r="J142" s="26" t="str">
        <f t="shared" si="2"/>
        <v/>
      </c>
      <c r="K142" s="27">
        <v>1</v>
      </c>
      <c r="L142" s="27">
        <v>1</v>
      </c>
      <c r="N142" t="s">
        <v>90</v>
      </c>
    </row>
    <row r="143" spans="1:14">
      <c r="A143">
        <v>8</v>
      </c>
      <c r="B143">
        <v>71</v>
      </c>
      <c r="C143">
        <v>46319.583333333336</v>
      </c>
      <c r="D143" t="s">
        <v>39</v>
      </c>
      <c r="E143" t="s">
        <v>47</v>
      </c>
      <c r="F143" t="s">
        <v>1743</v>
      </c>
      <c r="G143">
        <v>3</v>
      </c>
      <c r="H143" s="27"/>
      <c r="I143" s="27"/>
      <c r="J143" s="26" t="str">
        <f t="shared" si="2"/>
        <v/>
      </c>
      <c r="K143" s="27">
        <v>1</v>
      </c>
      <c r="L143" s="27">
        <v>1</v>
      </c>
      <c r="N143" t="s">
        <v>90</v>
      </c>
    </row>
    <row r="144" spans="1:14">
      <c r="A144">
        <v>8</v>
      </c>
      <c r="B144">
        <v>72</v>
      </c>
      <c r="C144">
        <v>46319.583333333336</v>
      </c>
      <c r="D144" t="s">
        <v>53</v>
      </c>
      <c r="E144" t="s">
        <v>40</v>
      </c>
      <c r="F144" t="s">
        <v>1742</v>
      </c>
      <c r="G144">
        <v>4</v>
      </c>
      <c r="H144" s="27"/>
      <c r="I144" s="27"/>
      <c r="J144" s="26" t="str">
        <f t="shared" si="2"/>
        <v/>
      </c>
      <c r="K144" s="27">
        <v>1</v>
      </c>
      <c r="L144" s="27">
        <v>1</v>
      </c>
      <c r="N144" t="s">
        <v>90</v>
      </c>
    </row>
    <row r="145" spans="1:14">
      <c r="A145">
        <v>8</v>
      </c>
      <c r="B145">
        <v>72</v>
      </c>
      <c r="C145">
        <v>46319.583333333336</v>
      </c>
      <c r="D145" t="s">
        <v>40</v>
      </c>
      <c r="E145" t="s">
        <v>53</v>
      </c>
      <c r="F145" t="s">
        <v>1743</v>
      </c>
      <c r="G145">
        <v>4</v>
      </c>
      <c r="H145" s="27"/>
      <c r="I145" s="27"/>
      <c r="J145" s="26" t="str">
        <f t="shared" si="2"/>
        <v/>
      </c>
      <c r="K145" s="27">
        <v>1</v>
      </c>
      <c r="L145" s="27">
        <v>1</v>
      </c>
      <c r="N145" t="s">
        <v>90</v>
      </c>
    </row>
    <row r="146" spans="1:14">
      <c r="A146">
        <v>8</v>
      </c>
      <c r="B146">
        <v>73</v>
      </c>
      <c r="C146">
        <v>46319.583333333336</v>
      </c>
      <c r="D146" t="s">
        <v>57</v>
      </c>
      <c r="E146" t="s">
        <v>44</v>
      </c>
      <c r="F146" t="s">
        <v>1742</v>
      </c>
      <c r="G146">
        <v>4</v>
      </c>
      <c r="H146" s="27"/>
      <c r="I146" s="27"/>
      <c r="J146" s="26" t="str">
        <f t="shared" si="2"/>
        <v/>
      </c>
      <c r="K146" s="27">
        <v>1</v>
      </c>
      <c r="L146" s="27">
        <v>1</v>
      </c>
      <c r="N146" t="s">
        <v>90</v>
      </c>
    </row>
    <row r="147" spans="1:14">
      <c r="A147">
        <v>8</v>
      </c>
      <c r="B147">
        <v>73</v>
      </c>
      <c r="C147">
        <v>46319.583333333336</v>
      </c>
      <c r="D147" t="s">
        <v>44</v>
      </c>
      <c r="E147" t="s">
        <v>57</v>
      </c>
      <c r="F147" t="s">
        <v>1743</v>
      </c>
      <c r="G147">
        <v>3</v>
      </c>
      <c r="H147" s="27"/>
      <c r="I147" s="27"/>
      <c r="J147" s="26" t="str">
        <f t="shared" si="2"/>
        <v/>
      </c>
      <c r="K147" s="27">
        <v>1</v>
      </c>
      <c r="L147" s="27">
        <v>1</v>
      </c>
      <c r="N147" t="s">
        <v>90</v>
      </c>
    </row>
    <row r="148" spans="1:14">
      <c r="A148">
        <v>8</v>
      </c>
      <c r="B148">
        <v>74</v>
      </c>
      <c r="C148">
        <v>46319.583333333336</v>
      </c>
      <c r="D148" t="s">
        <v>48</v>
      </c>
      <c r="E148" t="s">
        <v>45</v>
      </c>
      <c r="F148" t="s">
        <v>1742</v>
      </c>
      <c r="G148">
        <v>2</v>
      </c>
      <c r="H148" s="27"/>
      <c r="I148" s="27"/>
      <c r="J148" s="26" t="str">
        <f t="shared" si="2"/>
        <v/>
      </c>
      <c r="K148" s="27">
        <v>1</v>
      </c>
      <c r="L148" s="27">
        <v>1</v>
      </c>
      <c r="N148" t="s">
        <v>90</v>
      </c>
    </row>
    <row r="149" spans="1:14">
      <c r="A149">
        <v>8</v>
      </c>
      <c r="B149">
        <v>74</v>
      </c>
      <c r="C149">
        <v>46319.583333333336</v>
      </c>
      <c r="D149" t="s">
        <v>45</v>
      </c>
      <c r="E149" t="s">
        <v>48</v>
      </c>
      <c r="F149" t="s">
        <v>1743</v>
      </c>
      <c r="G149">
        <v>2</v>
      </c>
      <c r="H149" s="27"/>
      <c r="I149" s="27"/>
      <c r="J149" s="26" t="str">
        <f t="shared" si="2"/>
        <v/>
      </c>
      <c r="K149" s="27">
        <v>1</v>
      </c>
      <c r="L149" s="27">
        <v>1</v>
      </c>
      <c r="N149" t="s">
        <v>90</v>
      </c>
    </row>
    <row r="150" spans="1:14">
      <c r="A150">
        <v>8</v>
      </c>
      <c r="B150">
        <v>75</v>
      </c>
      <c r="C150">
        <v>46319.583333333336</v>
      </c>
      <c r="D150" t="s">
        <v>55</v>
      </c>
      <c r="E150" t="s">
        <v>46</v>
      </c>
      <c r="F150" t="s">
        <v>1742</v>
      </c>
      <c r="G150">
        <v>3</v>
      </c>
      <c r="H150" s="27"/>
      <c r="I150" s="27"/>
      <c r="J150" s="26" t="str">
        <f t="shared" si="2"/>
        <v/>
      </c>
      <c r="K150" s="27">
        <v>1</v>
      </c>
      <c r="L150" s="27">
        <v>1</v>
      </c>
      <c r="N150" t="s">
        <v>90</v>
      </c>
    </row>
    <row r="151" spans="1:14">
      <c r="A151">
        <v>8</v>
      </c>
      <c r="B151">
        <v>75</v>
      </c>
      <c r="C151">
        <v>46319.583333333336</v>
      </c>
      <c r="D151" t="s">
        <v>46</v>
      </c>
      <c r="E151" t="s">
        <v>55</v>
      </c>
      <c r="F151" t="s">
        <v>1743</v>
      </c>
      <c r="G151">
        <v>2</v>
      </c>
      <c r="H151" s="27"/>
      <c r="I151" s="27"/>
      <c r="J151" s="26" t="str">
        <f t="shared" si="2"/>
        <v/>
      </c>
      <c r="K151" s="27">
        <v>1</v>
      </c>
      <c r="L151" s="27">
        <v>1</v>
      </c>
      <c r="N151" t="s">
        <v>90</v>
      </c>
    </row>
    <row r="152" spans="1:14">
      <c r="A152">
        <v>8</v>
      </c>
      <c r="B152">
        <v>76</v>
      </c>
      <c r="C152">
        <v>46319.583333333336</v>
      </c>
      <c r="D152" t="s">
        <v>42</v>
      </c>
      <c r="E152" t="s">
        <v>49</v>
      </c>
      <c r="F152" t="s">
        <v>1742</v>
      </c>
      <c r="G152">
        <v>2</v>
      </c>
      <c r="H152" s="27"/>
      <c r="I152" s="27"/>
      <c r="J152" s="26" t="str">
        <f t="shared" si="2"/>
        <v/>
      </c>
      <c r="K152" s="27">
        <v>1</v>
      </c>
      <c r="L152" s="27">
        <v>1</v>
      </c>
      <c r="N152" t="s">
        <v>90</v>
      </c>
    </row>
    <row r="153" spans="1:14">
      <c r="A153">
        <v>8</v>
      </c>
      <c r="B153">
        <v>76</v>
      </c>
      <c r="C153">
        <v>46319.583333333336</v>
      </c>
      <c r="D153" t="s">
        <v>49</v>
      </c>
      <c r="E153" t="s">
        <v>42</v>
      </c>
      <c r="F153" t="s">
        <v>1743</v>
      </c>
      <c r="G153">
        <v>3</v>
      </c>
      <c r="H153" s="27"/>
      <c r="I153" s="27"/>
      <c r="J153" s="26" t="str">
        <f t="shared" si="2"/>
        <v/>
      </c>
      <c r="K153" s="27">
        <v>1</v>
      </c>
      <c r="L153" s="27">
        <v>1</v>
      </c>
      <c r="N153" t="s">
        <v>90</v>
      </c>
    </row>
    <row r="154" spans="1:14">
      <c r="A154">
        <v>8</v>
      </c>
      <c r="B154">
        <v>77</v>
      </c>
      <c r="C154">
        <v>46319.583333333336</v>
      </c>
      <c r="D154" t="s">
        <v>56</v>
      </c>
      <c r="E154" t="s">
        <v>50</v>
      </c>
      <c r="F154" t="s">
        <v>1742</v>
      </c>
      <c r="G154">
        <v>2</v>
      </c>
      <c r="H154" s="27"/>
      <c r="I154" s="27"/>
      <c r="J154" s="26" t="str">
        <f t="shared" si="2"/>
        <v/>
      </c>
      <c r="K154" s="27">
        <v>1</v>
      </c>
      <c r="L154" s="27">
        <v>1</v>
      </c>
      <c r="N154" t="s">
        <v>90</v>
      </c>
    </row>
    <row r="155" spans="1:14">
      <c r="A155">
        <v>8</v>
      </c>
      <c r="B155">
        <v>77</v>
      </c>
      <c r="C155">
        <v>46319.583333333336</v>
      </c>
      <c r="D155" t="s">
        <v>50</v>
      </c>
      <c r="E155" t="s">
        <v>56</v>
      </c>
      <c r="F155" t="s">
        <v>1743</v>
      </c>
      <c r="G155">
        <v>3</v>
      </c>
      <c r="H155" s="27"/>
      <c r="I155" s="27"/>
      <c r="J155" s="26" t="str">
        <f t="shared" si="2"/>
        <v/>
      </c>
      <c r="K155" s="27">
        <v>1</v>
      </c>
      <c r="L155" s="27">
        <v>1</v>
      </c>
      <c r="N155" t="s">
        <v>90</v>
      </c>
    </row>
    <row r="156" spans="1:14">
      <c r="A156">
        <v>8</v>
      </c>
      <c r="B156">
        <v>78</v>
      </c>
      <c r="C156">
        <v>46319.583333333336</v>
      </c>
      <c r="D156" t="s">
        <v>43</v>
      </c>
      <c r="E156" t="s">
        <v>52</v>
      </c>
      <c r="F156" t="s">
        <v>1742</v>
      </c>
      <c r="G156">
        <v>4</v>
      </c>
      <c r="H156" s="27"/>
      <c r="I156" s="27"/>
      <c r="J156" s="26" t="str">
        <f t="shared" si="2"/>
        <v/>
      </c>
      <c r="K156" s="27">
        <v>1</v>
      </c>
      <c r="L156" s="27">
        <v>1</v>
      </c>
      <c r="N156" t="s">
        <v>90</v>
      </c>
    </row>
    <row r="157" spans="1:14">
      <c r="A157">
        <v>8</v>
      </c>
      <c r="B157">
        <v>78</v>
      </c>
      <c r="C157">
        <v>46319.583333333336</v>
      </c>
      <c r="D157" t="s">
        <v>52</v>
      </c>
      <c r="E157" t="s">
        <v>43</v>
      </c>
      <c r="F157" t="s">
        <v>1743</v>
      </c>
      <c r="G157">
        <v>2</v>
      </c>
      <c r="H157" s="27"/>
      <c r="I157" s="27"/>
      <c r="J157" s="26" t="str">
        <f t="shared" si="2"/>
        <v/>
      </c>
      <c r="K157" s="27">
        <v>1</v>
      </c>
      <c r="L157" s="27">
        <v>1</v>
      </c>
      <c r="N157" t="s">
        <v>90</v>
      </c>
    </row>
    <row r="158" spans="1:14">
      <c r="A158">
        <v>8</v>
      </c>
      <c r="B158">
        <v>79</v>
      </c>
      <c r="C158">
        <v>46319.583333333336</v>
      </c>
      <c r="D158" t="s">
        <v>41</v>
      </c>
      <c r="E158" t="s">
        <v>54</v>
      </c>
      <c r="F158" t="s">
        <v>1742</v>
      </c>
      <c r="G158">
        <v>4</v>
      </c>
      <c r="H158" s="27"/>
      <c r="I158" s="27"/>
      <c r="J158" s="26" t="str">
        <f t="shared" si="2"/>
        <v/>
      </c>
      <c r="K158" s="27">
        <v>1</v>
      </c>
      <c r="L158" s="27">
        <v>1</v>
      </c>
      <c r="N158" t="s">
        <v>90</v>
      </c>
    </row>
    <row r="159" spans="1:14">
      <c r="A159">
        <v>8</v>
      </c>
      <c r="B159">
        <v>79</v>
      </c>
      <c r="C159">
        <v>46319.583333333336</v>
      </c>
      <c r="D159" t="s">
        <v>54</v>
      </c>
      <c r="E159" t="s">
        <v>41</v>
      </c>
      <c r="F159" t="s">
        <v>1743</v>
      </c>
      <c r="G159">
        <v>3</v>
      </c>
      <c r="H159" s="27"/>
      <c r="I159" s="27"/>
      <c r="J159" s="26" t="str">
        <f t="shared" si="2"/>
        <v/>
      </c>
      <c r="K159" s="27">
        <v>1</v>
      </c>
      <c r="L159" s="27">
        <v>1</v>
      </c>
      <c r="N159" t="s">
        <v>90</v>
      </c>
    </row>
    <row r="160" spans="1:14">
      <c r="A160">
        <v>8</v>
      </c>
      <c r="B160">
        <v>80</v>
      </c>
      <c r="C160">
        <v>46319.583333333336</v>
      </c>
      <c r="D160" t="s">
        <v>51</v>
      </c>
      <c r="E160" t="s">
        <v>58</v>
      </c>
      <c r="F160" t="s">
        <v>1742</v>
      </c>
      <c r="G160">
        <v>3</v>
      </c>
      <c r="H160" s="27"/>
      <c r="I160" s="27"/>
      <c r="J160" s="26" t="str">
        <f t="shared" si="2"/>
        <v/>
      </c>
      <c r="K160" s="27">
        <v>1</v>
      </c>
      <c r="L160" s="27">
        <v>1</v>
      </c>
      <c r="N160" t="s">
        <v>90</v>
      </c>
    </row>
    <row r="161" spans="1:14">
      <c r="A161">
        <v>8</v>
      </c>
      <c r="B161">
        <v>80</v>
      </c>
      <c r="C161">
        <v>46319.583333333336</v>
      </c>
      <c r="D161" t="s">
        <v>58</v>
      </c>
      <c r="E161" t="s">
        <v>51</v>
      </c>
      <c r="F161" t="s">
        <v>1743</v>
      </c>
      <c r="G161">
        <v>2</v>
      </c>
      <c r="H161" s="27"/>
      <c r="I161" s="27"/>
      <c r="J161" s="26" t="str">
        <f t="shared" si="2"/>
        <v/>
      </c>
      <c r="K161" s="27">
        <v>1</v>
      </c>
      <c r="L161" s="27">
        <v>1</v>
      </c>
      <c r="N161" t="s">
        <v>90</v>
      </c>
    </row>
    <row r="162" spans="1:14">
      <c r="A162">
        <v>9</v>
      </c>
      <c r="B162">
        <v>81</v>
      </c>
      <c r="C162">
        <v>46326.625</v>
      </c>
      <c r="D162" t="s">
        <v>48</v>
      </c>
      <c r="E162" t="s">
        <v>40</v>
      </c>
      <c r="F162" t="s">
        <v>1742</v>
      </c>
      <c r="G162">
        <v>4</v>
      </c>
      <c r="H162" s="27"/>
      <c r="I162" s="27"/>
      <c r="J162" s="26" t="str">
        <f t="shared" si="2"/>
        <v/>
      </c>
      <c r="K162" s="27">
        <v>1</v>
      </c>
      <c r="L162" s="27">
        <v>1</v>
      </c>
      <c r="N162" t="s">
        <v>90</v>
      </c>
    </row>
    <row r="163" spans="1:14">
      <c r="A163">
        <v>9</v>
      </c>
      <c r="B163">
        <v>81</v>
      </c>
      <c r="C163">
        <v>46326.625</v>
      </c>
      <c r="D163" t="s">
        <v>40</v>
      </c>
      <c r="E163" t="s">
        <v>48</v>
      </c>
      <c r="F163" t="s">
        <v>1743</v>
      </c>
      <c r="G163">
        <v>2</v>
      </c>
      <c r="H163" s="27"/>
      <c r="I163" s="27"/>
      <c r="J163" s="26" t="str">
        <f t="shared" si="2"/>
        <v/>
      </c>
      <c r="K163" s="27">
        <v>1</v>
      </c>
      <c r="L163" s="27">
        <v>1</v>
      </c>
      <c r="N163" t="s">
        <v>90</v>
      </c>
    </row>
    <row r="164" spans="1:14">
      <c r="A164">
        <v>9</v>
      </c>
      <c r="B164">
        <v>82</v>
      </c>
      <c r="C164">
        <v>46326.625</v>
      </c>
      <c r="D164" t="s">
        <v>51</v>
      </c>
      <c r="E164" t="s">
        <v>41</v>
      </c>
      <c r="F164" t="s">
        <v>1742</v>
      </c>
      <c r="G164">
        <v>3</v>
      </c>
      <c r="H164" s="27"/>
      <c r="I164" s="27"/>
      <c r="J164" s="26" t="str">
        <f t="shared" si="2"/>
        <v/>
      </c>
      <c r="K164" s="27">
        <v>1</v>
      </c>
      <c r="L164" s="27">
        <v>1</v>
      </c>
      <c r="N164" t="s">
        <v>90</v>
      </c>
    </row>
    <row r="165" spans="1:14">
      <c r="A165">
        <v>9</v>
      </c>
      <c r="B165">
        <v>82</v>
      </c>
      <c r="C165">
        <v>46326.625</v>
      </c>
      <c r="D165" t="s">
        <v>41</v>
      </c>
      <c r="E165" t="s">
        <v>51</v>
      </c>
      <c r="F165" t="s">
        <v>1743</v>
      </c>
      <c r="G165">
        <v>2</v>
      </c>
      <c r="H165" s="27"/>
      <c r="I165" s="27"/>
      <c r="J165" s="26" t="str">
        <f t="shared" si="2"/>
        <v/>
      </c>
      <c r="K165" s="27">
        <v>1</v>
      </c>
      <c r="L165" s="27">
        <v>1</v>
      </c>
      <c r="N165" t="s">
        <v>90</v>
      </c>
    </row>
    <row r="166" spans="1:14">
      <c r="A166">
        <v>9</v>
      </c>
      <c r="B166">
        <v>83</v>
      </c>
      <c r="C166">
        <v>46326.625</v>
      </c>
      <c r="D166" t="s">
        <v>56</v>
      </c>
      <c r="E166" t="s">
        <v>42</v>
      </c>
      <c r="F166" t="s">
        <v>1742</v>
      </c>
      <c r="G166">
        <v>3</v>
      </c>
      <c r="H166" s="27"/>
      <c r="I166" s="27"/>
      <c r="J166" s="26" t="str">
        <f t="shared" si="2"/>
        <v/>
      </c>
      <c r="K166" s="27">
        <v>1</v>
      </c>
      <c r="L166" s="27">
        <v>1</v>
      </c>
      <c r="N166" t="s">
        <v>90</v>
      </c>
    </row>
    <row r="167" spans="1:14">
      <c r="A167">
        <v>9</v>
      </c>
      <c r="B167">
        <v>83</v>
      </c>
      <c r="C167">
        <v>46326.625</v>
      </c>
      <c r="D167" t="s">
        <v>42</v>
      </c>
      <c r="E167" t="s">
        <v>56</v>
      </c>
      <c r="F167" t="s">
        <v>1743</v>
      </c>
      <c r="G167">
        <v>3</v>
      </c>
      <c r="H167" s="27"/>
      <c r="I167" s="27"/>
      <c r="J167" s="26" t="str">
        <f t="shared" si="2"/>
        <v/>
      </c>
      <c r="K167" s="27">
        <v>1</v>
      </c>
      <c r="L167" s="27">
        <v>1</v>
      </c>
      <c r="N167" t="s">
        <v>90</v>
      </c>
    </row>
    <row r="168" spans="1:14">
      <c r="A168">
        <v>9</v>
      </c>
      <c r="B168">
        <v>84</v>
      </c>
      <c r="C168">
        <v>46326.625</v>
      </c>
      <c r="D168" t="s">
        <v>54</v>
      </c>
      <c r="E168" t="s">
        <v>44</v>
      </c>
      <c r="F168" t="s">
        <v>1742</v>
      </c>
      <c r="G168">
        <v>4</v>
      </c>
      <c r="H168" s="27"/>
      <c r="I168" s="27"/>
      <c r="J168" s="26" t="str">
        <f t="shared" si="2"/>
        <v/>
      </c>
      <c r="K168" s="27">
        <v>1</v>
      </c>
      <c r="L168" s="27">
        <v>1</v>
      </c>
      <c r="N168" t="s">
        <v>90</v>
      </c>
    </row>
    <row r="169" spans="1:14">
      <c r="A169">
        <v>9</v>
      </c>
      <c r="B169">
        <v>84</v>
      </c>
      <c r="C169">
        <v>46326.625</v>
      </c>
      <c r="D169" t="s">
        <v>44</v>
      </c>
      <c r="E169" t="s">
        <v>54</v>
      </c>
      <c r="F169" t="s">
        <v>1743</v>
      </c>
      <c r="G169">
        <v>4</v>
      </c>
      <c r="H169" s="27"/>
      <c r="I169" s="27"/>
      <c r="J169" s="26" t="str">
        <f t="shared" si="2"/>
        <v/>
      </c>
      <c r="K169" s="27">
        <v>1</v>
      </c>
      <c r="L169" s="27">
        <v>1</v>
      </c>
      <c r="N169" t="s">
        <v>90</v>
      </c>
    </row>
    <row r="170" spans="1:14">
      <c r="A170">
        <v>9</v>
      </c>
      <c r="B170">
        <v>85</v>
      </c>
      <c r="C170">
        <v>46326.625</v>
      </c>
      <c r="D170" t="s">
        <v>58</v>
      </c>
      <c r="E170" t="s">
        <v>45</v>
      </c>
      <c r="F170" t="s">
        <v>1742</v>
      </c>
      <c r="G170">
        <v>2</v>
      </c>
      <c r="H170" s="27"/>
      <c r="I170" s="27"/>
      <c r="J170" s="26" t="str">
        <f t="shared" si="2"/>
        <v/>
      </c>
      <c r="K170" s="27">
        <v>1</v>
      </c>
      <c r="L170" s="27">
        <v>1</v>
      </c>
      <c r="N170" t="s">
        <v>90</v>
      </c>
    </row>
    <row r="171" spans="1:14">
      <c r="A171">
        <v>9</v>
      </c>
      <c r="B171">
        <v>85</v>
      </c>
      <c r="C171">
        <v>46326.625</v>
      </c>
      <c r="D171" t="s">
        <v>45</v>
      </c>
      <c r="E171" t="s">
        <v>58</v>
      </c>
      <c r="F171" t="s">
        <v>1743</v>
      </c>
      <c r="G171">
        <v>2</v>
      </c>
      <c r="H171" s="27"/>
      <c r="I171" s="27"/>
      <c r="J171" s="26" t="str">
        <f t="shared" si="2"/>
        <v/>
      </c>
      <c r="K171" s="27">
        <v>1</v>
      </c>
      <c r="L171" s="27">
        <v>1</v>
      </c>
      <c r="N171" t="s">
        <v>90</v>
      </c>
    </row>
    <row r="172" spans="1:14">
      <c r="A172">
        <v>9</v>
      </c>
      <c r="B172">
        <v>86</v>
      </c>
      <c r="C172">
        <v>46326.625</v>
      </c>
      <c r="D172" t="s">
        <v>50</v>
      </c>
      <c r="E172" t="s">
        <v>49</v>
      </c>
      <c r="F172" t="s">
        <v>1742</v>
      </c>
      <c r="G172">
        <v>2</v>
      </c>
      <c r="H172" s="27"/>
      <c r="I172" s="27"/>
      <c r="J172" s="26" t="str">
        <f t="shared" si="2"/>
        <v/>
      </c>
      <c r="K172" s="27">
        <v>1</v>
      </c>
      <c r="L172" s="27">
        <v>1</v>
      </c>
      <c r="N172" t="s">
        <v>90</v>
      </c>
    </row>
    <row r="173" spans="1:14">
      <c r="A173">
        <v>9</v>
      </c>
      <c r="B173">
        <v>86</v>
      </c>
      <c r="C173">
        <v>46326.625</v>
      </c>
      <c r="D173" t="s">
        <v>49</v>
      </c>
      <c r="E173" t="s">
        <v>50</v>
      </c>
      <c r="F173" t="s">
        <v>1743</v>
      </c>
      <c r="G173">
        <v>2</v>
      </c>
      <c r="H173" s="27"/>
      <c r="I173" s="27"/>
      <c r="J173" s="26" t="str">
        <f t="shared" si="2"/>
        <v/>
      </c>
      <c r="K173" s="27">
        <v>1</v>
      </c>
      <c r="L173" s="27">
        <v>1</v>
      </c>
      <c r="N173" t="s">
        <v>90</v>
      </c>
    </row>
    <row r="174" spans="1:14">
      <c r="A174">
        <v>9</v>
      </c>
      <c r="B174">
        <v>87</v>
      </c>
      <c r="C174">
        <v>46326.625</v>
      </c>
      <c r="D174" t="s">
        <v>39</v>
      </c>
      <c r="E174" t="s">
        <v>52</v>
      </c>
      <c r="F174" t="s">
        <v>1742</v>
      </c>
      <c r="G174">
        <v>4</v>
      </c>
      <c r="H174" s="27"/>
      <c r="I174" s="27"/>
      <c r="J174" s="26" t="str">
        <f t="shared" si="2"/>
        <v/>
      </c>
      <c r="K174" s="27">
        <v>1</v>
      </c>
      <c r="L174" s="27">
        <v>1</v>
      </c>
      <c r="N174" t="s">
        <v>90</v>
      </c>
    </row>
    <row r="175" spans="1:14">
      <c r="A175">
        <v>9</v>
      </c>
      <c r="B175">
        <v>87</v>
      </c>
      <c r="C175">
        <v>46326.625</v>
      </c>
      <c r="D175" t="s">
        <v>52</v>
      </c>
      <c r="E175" t="s">
        <v>39</v>
      </c>
      <c r="F175" t="s">
        <v>1743</v>
      </c>
      <c r="G175">
        <v>4</v>
      </c>
      <c r="H175" s="27"/>
      <c r="I175" s="27"/>
      <c r="J175" s="26" t="str">
        <f t="shared" si="2"/>
        <v/>
      </c>
      <c r="K175" s="27">
        <v>1</v>
      </c>
      <c r="L175" s="27">
        <v>1</v>
      </c>
      <c r="N175" t="s">
        <v>90</v>
      </c>
    </row>
    <row r="176" spans="1:14">
      <c r="A176">
        <v>9</v>
      </c>
      <c r="B176">
        <v>88</v>
      </c>
      <c r="C176">
        <v>46326.625</v>
      </c>
      <c r="D176" t="s">
        <v>43</v>
      </c>
      <c r="E176" t="s">
        <v>53</v>
      </c>
      <c r="F176" t="s">
        <v>1742</v>
      </c>
      <c r="G176">
        <v>5</v>
      </c>
      <c r="H176" s="27"/>
      <c r="I176" s="27"/>
      <c r="J176" s="26" t="str">
        <f t="shared" si="2"/>
        <v/>
      </c>
      <c r="K176" s="27">
        <v>1</v>
      </c>
      <c r="L176" s="27">
        <v>1</v>
      </c>
      <c r="N176" t="s">
        <v>90</v>
      </c>
    </row>
    <row r="177" spans="1:14">
      <c r="A177">
        <v>9</v>
      </c>
      <c r="B177">
        <v>88</v>
      </c>
      <c r="C177">
        <v>46326.625</v>
      </c>
      <c r="D177" t="s">
        <v>53</v>
      </c>
      <c r="E177" t="s">
        <v>43</v>
      </c>
      <c r="F177" t="s">
        <v>1743</v>
      </c>
      <c r="G177">
        <v>2</v>
      </c>
      <c r="H177" s="27"/>
      <c r="I177" s="27"/>
      <c r="J177" s="26" t="str">
        <f t="shared" si="2"/>
        <v/>
      </c>
      <c r="K177" s="27">
        <v>1</v>
      </c>
      <c r="L177" s="27">
        <v>1</v>
      </c>
      <c r="N177" t="s">
        <v>90</v>
      </c>
    </row>
    <row r="178" spans="1:14">
      <c r="A178">
        <v>9</v>
      </c>
      <c r="B178">
        <v>89</v>
      </c>
      <c r="C178">
        <v>46326.625</v>
      </c>
      <c r="D178" t="s">
        <v>47</v>
      </c>
      <c r="E178" t="s">
        <v>55</v>
      </c>
      <c r="F178" t="s">
        <v>1742</v>
      </c>
      <c r="G178">
        <v>3</v>
      </c>
      <c r="H178" s="27"/>
      <c r="I178" s="27"/>
      <c r="J178" s="26" t="str">
        <f t="shared" si="2"/>
        <v/>
      </c>
      <c r="K178" s="27">
        <v>1</v>
      </c>
      <c r="L178" s="27">
        <v>1</v>
      </c>
      <c r="N178" t="s">
        <v>90</v>
      </c>
    </row>
    <row r="179" spans="1:14">
      <c r="A179">
        <v>9</v>
      </c>
      <c r="B179">
        <v>89</v>
      </c>
      <c r="C179">
        <v>46326.625</v>
      </c>
      <c r="D179" t="s">
        <v>55</v>
      </c>
      <c r="E179" t="s">
        <v>47</v>
      </c>
      <c r="F179" t="s">
        <v>1743</v>
      </c>
      <c r="G179">
        <v>3</v>
      </c>
      <c r="H179" s="27"/>
      <c r="I179" s="27"/>
      <c r="J179" s="26" t="str">
        <f t="shared" si="2"/>
        <v/>
      </c>
      <c r="K179" s="27">
        <v>1</v>
      </c>
      <c r="L179" s="27">
        <v>1</v>
      </c>
      <c r="N179" t="s">
        <v>90</v>
      </c>
    </row>
    <row r="180" spans="1:14">
      <c r="A180">
        <v>9</v>
      </c>
      <c r="B180">
        <v>90</v>
      </c>
      <c r="C180">
        <v>46326.625</v>
      </c>
      <c r="D180" t="s">
        <v>46</v>
      </c>
      <c r="E180" t="s">
        <v>57</v>
      </c>
      <c r="F180" t="s">
        <v>1742</v>
      </c>
      <c r="G180">
        <v>3</v>
      </c>
      <c r="H180" s="27"/>
      <c r="I180" s="27"/>
      <c r="J180" s="26" t="str">
        <f t="shared" si="2"/>
        <v/>
      </c>
      <c r="K180" s="27">
        <v>1</v>
      </c>
      <c r="L180" s="27">
        <v>1</v>
      </c>
      <c r="N180" t="s">
        <v>90</v>
      </c>
    </row>
    <row r="181" spans="1:14">
      <c r="A181">
        <v>9</v>
      </c>
      <c r="B181">
        <v>90</v>
      </c>
      <c r="C181">
        <v>46326.625</v>
      </c>
      <c r="D181" t="s">
        <v>57</v>
      </c>
      <c r="E181" t="s">
        <v>46</v>
      </c>
      <c r="F181" t="s">
        <v>1743</v>
      </c>
      <c r="G181">
        <v>3</v>
      </c>
      <c r="H181" s="27"/>
      <c r="I181" s="27"/>
      <c r="J181" s="26" t="str">
        <f t="shared" si="2"/>
        <v/>
      </c>
      <c r="K181" s="27">
        <v>1</v>
      </c>
      <c r="L181" s="27">
        <v>1</v>
      </c>
      <c r="N181" t="s">
        <v>90</v>
      </c>
    </row>
    <row r="182" spans="1:14">
      <c r="A182">
        <v>10</v>
      </c>
      <c r="B182">
        <v>91</v>
      </c>
      <c r="C182">
        <v>46333.625</v>
      </c>
      <c r="D182" t="s">
        <v>49</v>
      </c>
      <c r="E182" t="s">
        <v>39</v>
      </c>
      <c r="F182" t="s">
        <v>1742</v>
      </c>
      <c r="G182">
        <v>5</v>
      </c>
      <c r="H182" s="27"/>
      <c r="I182" s="27"/>
      <c r="J182" s="26" t="str">
        <f t="shared" si="2"/>
        <v/>
      </c>
      <c r="K182" s="27">
        <v>1</v>
      </c>
      <c r="L182" s="27">
        <v>1</v>
      </c>
      <c r="N182" t="s">
        <v>90</v>
      </c>
    </row>
    <row r="183" spans="1:14">
      <c r="A183">
        <v>10</v>
      </c>
      <c r="B183">
        <v>91</v>
      </c>
      <c r="C183">
        <v>46333.625</v>
      </c>
      <c r="D183" t="s">
        <v>39</v>
      </c>
      <c r="E183" t="s">
        <v>49</v>
      </c>
      <c r="F183" t="s">
        <v>1743</v>
      </c>
      <c r="G183">
        <v>2</v>
      </c>
      <c r="H183" s="27"/>
      <c r="I183" s="27"/>
      <c r="J183" s="26" t="str">
        <f t="shared" si="2"/>
        <v/>
      </c>
      <c r="K183" s="27">
        <v>1</v>
      </c>
      <c r="L183" s="27">
        <v>1</v>
      </c>
      <c r="N183" t="s">
        <v>90</v>
      </c>
    </row>
    <row r="184" spans="1:14">
      <c r="A184">
        <v>10</v>
      </c>
      <c r="B184">
        <v>92</v>
      </c>
      <c r="C184">
        <v>46333.625</v>
      </c>
      <c r="D184" t="s">
        <v>42</v>
      </c>
      <c r="E184" t="s">
        <v>43</v>
      </c>
      <c r="F184" t="s">
        <v>1742</v>
      </c>
      <c r="G184">
        <v>3</v>
      </c>
      <c r="H184" s="27"/>
      <c r="I184" s="27"/>
      <c r="J184" s="26" t="str">
        <f t="shared" si="2"/>
        <v/>
      </c>
      <c r="K184" s="27">
        <v>1</v>
      </c>
      <c r="L184" s="27">
        <v>1</v>
      </c>
      <c r="N184" t="s">
        <v>90</v>
      </c>
    </row>
    <row r="185" spans="1:14">
      <c r="A185">
        <v>10</v>
      </c>
      <c r="B185">
        <v>92</v>
      </c>
      <c r="C185">
        <v>46333.625</v>
      </c>
      <c r="D185" t="s">
        <v>43</v>
      </c>
      <c r="E185" t="s">
        <v>42</v>
      </c>
      <c r="F185" t="s">
        <v>1743</v>
      </c>
      <c r="G185">
        <v>3</v>
      </c>
      <c r="H185" s="27"/>
      <c r="I185" s="27"/>
      <c r="J185" s="26" t="str">
        <f t="shared" si="2"/>
        <v/>
      </c>
      <c r="K185" s="27">
        <v>1</v>
      </c>
      <c r="L185" s="27">
        <v>1</v>
      </c>
      <c r="N185" t="s">
        <v>90</v>
      </c>
    </row>
    <row r="186" spans="1:14">
      <c r="A186">
        <v>10</v>
      </c>
      <c r="B186">
        <v>93</v>
      </c>
      <c r="C186">
        <v>46333.625</v>
      </c>
      <c r="D186" t="s">
        <v>52</v>
      </c>
      <c r="E186" t="s">
        <v>46</v>
      </c>
      <c r="F186" t="s">
        <v>1742</v>
      </c>
      <c r="G186">
        <v>3</v>
      </c>
      <c r="H186" s="27"/>
      <c r="I186" s="27"/>
      <c r="J186" s="26" t="str">
        <f t="shared" si="2"/>
        <v/>
      </c>
      <c r="K186" s="27">
        <v>1</v>
      </c>
      <c r="L186" s="27">
        <v>1</v>
      </c>
      <c r="N186" t="s">
        <v>90</v>
      </c>
    </row>
    <row r="187" spans="1:14">
      <c r="A187">
        <v>10</v>
      </c>
      <c r="B187">
        <v>93</v>
      </c>
      <c r="C187">
        <v>46333.625</v>
      </c>
      <c r="D187" t="s">
        <v>46</v>
      </c>
      <c r="E187" t="s">
        <v>52</v>
      </c>
      <c r="F187" t="s">
        <v>1743</v>
      </c>
      <c r="G187">
        <v>4</v>
      </c>
      <c r="H187" s="27"/>
      <c r="I187" s="27"/>
      <c r="J187" s="26" t="str">
        <f t="shared" si="2"/>
        <v/>
      </c>
      <c r="K187" s="27">
        <v>1</v>
      </c>
      <c r="L187" s="27">
        <v>1</v>
      </c>
      <c r="N187" t="s">
        <v>90</v>
      </c>
    </row>
    <row r="188" spans="1:14">
      <c r="A188">
        <v>10</v>
      </c>
      <c r="B188">
        <v>94</v>
      </c>
      <c r="C188">
        <v>46333.625</v>
      </c>
      <c r="D188" t="s">
        <v>45</v>
      </c>
      <c r="E188" t="s">
        <v>47</v>
      </c>
      <c r="F188" t="s">
        <v>1742</v>
      </c>
      <c r="G188">
        <v>3</v>
      </c>
      <c r="H188" s="27"/>
      <c r="I188" s="27"/>
      <c r="J188" s="26" t="str">
        <f t="shared" si="2"/>
        <v/>
      </c>
      <c r="K188" s="27">
        <v>1</v>
      </c>
      <c r="L188" s="27">
        <v>1</v>
      </c>
      <c r="N188" t="s">
        <v>90</v>
      </c>
    </row>
    <row r="189" spans="1:14">
      <c r="A189">
        <v>10</v>
      </c>
      <c r="B189">
        <v>94</v>
      </c>
      <c r="C189">
        <v>46333.625</v>
      </c>
      <c r="D189" t="s">
        <v>47</v>
      </c>
      <c r="E189" t="s">
        <v>45</v>
      </c>
      <c r="F189" t="s">
        <v>1743</v>
      </c>
      <c r="G189">
        <v>2</v>
      </c>
      <c r="H189" s="27"/>
      <c r="I189" s="27"/>
      <c r="J189" s="26" t="str">
        <f t="shared" si="2"/>
        <v/>
      </c>
      <c r="K189" s="27">
        <v>1</v>
      </c>
      <c r="L189" s="27">
        <v>1</v>
      </c>
      <c r="N189" t="s">
        <v>90</v>
      </c>
    </row>
    <row r="190" spans="1:14">
      <c r="A190">
        <v>10</v>
      </c>
      <c r="B190">
        <v>95</v>
      </c>
      <c r="C190">
        <v>46333.625</v>
      </c>
      <c r="D190" t="s">
        <v>55</v>
      </c>
      <c r="E190" t="s">
        <v>48</v>
      </c>
      <c r="F190" t="s">
        <v>1742</v>
      </c>
      <c r="G190">
        <v>3</v>
      </c>
      <c r="H190" s="27"/>
      <c r="I190" s="27"/>
      <c r="J190" s="26" t="str">
        <f t="shared" si="2"/>
        <v/>
      </c>
      <c r="K190" s="27">
        <v>1</v>
      </c>
      <c r="L190" s="27">
        <v>1</v>
      </c>
      <c r="N190" t="s">
        <v>90</v>
      </c>
    </row>
    <row r="191" spans="1:14">
      <c r="A191">
        <v>10</v>
      </c>
      <c r="B191">
        <v>95</v>
      </c>
      <c r="C191">
        <v>46333.625</v>
      </c>
      <c r="D191" t="s">
        <v>48</v>
      </c>
      <c r="E191" t="s">
        <v>55</v>
      </c>
      <c r="F191" t="s">
        <v>1743</v>
      </c>
      <c r="G191">
        <v>2</v>
      </c>
      <c r="H191" s="27"/>
      <c r="I191" s="27"/>
      <c r="J191" s="26" t="str">
        <f t="shared" si="2"/>
        <v/>
      </c>
      <c r="K191" s="27">
        <v>1</v>
      </c>
      <c r="L191" s="27">
        <v>1</v>
      </c>
      <c r="N191" t="s">
        <v>90</v>
      </c>
    </row>
    <row r="192" spans="1:14">
      <c r="A192">
        <v>10</v>
      </c>
      <c r="B192">
        <v>96</v>
      </c>
      <c r="C192">
        <v>46333.625</v>
      </c>
      <c r="D192" t="s">
        <v>41</v>
      </c>
      <c r="E192" t="s">
        <v>50</v>
      </c>
      <c r="F192" t="s">
        <v>1742</v>
      </c>
      <c r="G192">
        <v>2</v>
      </c>
      <c r="H192" s="27"/>
      <c r="I192" s="27"/>
      <c r="J192" s="26" t="str">
        <f t="shared" si="2"/>
        <v/>
      </c>
      <c r="K192" s="27">
        <v>1</v>
      </c>
      <c r="L192" s="27">
        <v>1</v>
      </c>
      <c r="N192" t="s">
        <v>90</v>
      </c>
    </row>
    <row r="193" spans="1:14">
      <c r="A193">
        <v>10</v>
      </c>
      <c r="B193">
        <v>96</v>
      </c>
      <c r="C193">
        <v>46333.625</v>
      </c>
      <c r="D193" t="s">
        <v>50</v>
      </c>
      <c r="E193" t="s">
        <v>41</v>
      </c>
      <c r="F193" t="s">
        <v>1743</v>
      </c>
      <c r="G193">
        <v>3</v>
      </c>
      <c r="H193" s="27"/>
      <c r="I193" s="27"/>
      <c r="J193" s="26" t="str">
        <f t="shared" si="2"/>
        <v/>
      </c>
      <c r="K193" s="27">
        <v>1</v>
      </c>
      <c r="L193" s="27">
        <v>1</v>
      </c>
      <c r="N193" t="s">
        <v>90</v>
      </c>
    </row>
    <row r="194" spans="1:14">
      <c r="A194">
        <v>10</v>
      </c>
      <c r="B194">
        <v>97</v>
      </c>
      <c r="C194">
        <v>46333.625</v>
      </c>
      <c r="D194" t="s">
        <v>57</v>
      </c>
      <c r="E194" t="s">
        <v>51</v>
      </c>
      <c r="F194" t="s">
        <v>1742</v>
      </c>
      <c r="G194">
        <v>3</v>
      </c>
      <c r="H194" s="27"/>
      <c r="I194" s="27"/>
      <c r="J194" s="26" t="str">
        <f t="shared" ref="J194:J257" si="3">IF(I194="","",EXP(-I194))</f>
        <v/>
      </c>
      <c r="K194" s="27">
        <v>1</v>
      </c>
      <c r="L194" s="27">
        <v>1</v>
      </c>
      <c r="N194" t="s">
        <v>90</v>
      </c>
    </row>
    <row r="195" spans="1:14">
      <c r="A195">
        <v>10</v>
      </c>
      <c r="B195">
        <v>97</v>
      </c>
      <c r="C195">
        <v>46333.625</v>
      </c>
      <c r="D195" t="s">
        <v>51</v>
      </c>
      <c r="E195" t="s">
        <v>57</v>
      </c>
      <c r="F195" t="s">
        <v>1743</v>
      </c>
      <c r="G195">
        <v>3</v>
      </c>
      <c r="H195" s="27"/>
      <c r="I195" s="27"/>
      <c r="J195" s="26" t="str">
        <f t="shared" si="3"/>
        <v/>
      </c>
      <c r="K195" s="27">
        <v>1</v>
      </c>
      <c r="L195" s="27">
        <v>1</v>
      </c>
      <c r="N195" t="s">
        <v>90</v>
      </c>
    </row>
    <row r="196" spans="1:14">
      <c r="A196">
        <v>10</v>
      </c>
      <c r="B196">
        <v>98</v>
      </c>
      <c r="C196">
        <v>46333.625</v>
      </c>
      <c r="D196" t="s">
        <v>40</v>
      </c>
      <c r="E196" t="s">
        <v>54</v>
      </c>
      <c r="F196" t="s">
        <v>1742</v>
      </c>
      <c r="G196">
        <v>4</v>
      </c>
      <c r="H196" s="27"/>
      <c r="I196" s="27"/>
      <c r="J196" s="26" t="str">
        <f t="shared" si="3"/>
        <v/>
      </c>
      <c r="K196" s="27">
        <v>1</v>
      </c>
      <c r="L196" s="27">
        <v>1</v>
      </c>
      <c r="N196" t="s">
        <v>90</v>
      </c>
    </row>
    <row r="197" spans="1:14">
      <c r="A197">
        <v>10</v>
      </c>
      <c r="B197">
        <v>98</v>
      </c>
      <c r="C197">
        <v>46333.625</v>
      </c>
      <c r="D197" t="s">
        <v>54</v>
      </c>
      <c r="E197" t="s">
        <v>40</v>
      </c>
      <c r="F197" t="s">
        <v>1743</v>
      </c>
      <c r="G197">
        <v>3</v>
      </c>
      <c r="H197" s="27"/>
      <c r="I197" s="27"/>
      <c r="J197" s="26" t="str">
        <f t="shared" si="3"/>
        <v/>
      </c>
      <c r="K197" s="27">
        <v>1</v>
      </c>
      <c r="L197" s="27">
        <v>1</v>
      </c>
      <c r="N197" t="s">
        <v>90</v>
      </c>
    </row>
    <row r="198" spans="1:14">
      <c r="A198">
        <v>10</v>
      </c>
      <c r="B198">
        <v>99</v>
      </c>
      <c r="C198">
        <v>46333.625</v>
      </c>
      <c r="D198" t="s">
        <v>53</v>
      </c>
      <c r="E198" t="s">
        <v>56</v>
      </c>
      <c r="F198" t="s">
        <v>1742</v>
      </c>
      <c r="G198">
        <v>3</v>
      </c>
      <c r="H198" s="27"/>
      <c r="I198" s="27"/>
      <c r="J198" s="26" t="str">
        <f t="shared" si="3"/>
        <v/>
      </c>
      <c r="K198" s="27">
        <v>1</v>
      </c>
      <c r="L198" s="27">
        <v>1</v>
      </c>
      <c r="N198" t="s">
        <v>90</v>
      </c>
    </row>
    <row r="199" spans="1:14">
      <c r="A199">
        <v>10</v>
      </c>
      <c r="B199">
        <v>99</v>
      </c>
      <c r="C199">
        <v>46333.625</v>
      </c>
      <c r="D199" t="s">
        <v>56</v>
      </c>
      <c r="E199" t="s">
        <v>53</v>
      </c>
      <c r="F199" t="s">
        <v>1743</v>
      </c>
      <c r="G199">
        <v>4</v>
      </c>
      <c r="H199" s="27"/>
      <c r="I199" s="27"/>
      <c r="J199" s="26" t="str">
        <f t="shared" si="3"/>
        <v/>
      </c>
      <c r="K199" s="27">
        <v>1</v>
      </c>
      <c r="L199" s="27">
        <v>1</v>
      </c>
      <c r="N199" t="s">
        <v>90</v>
      </c>
    </row>
    <row r="200" spans="1:14">
      <c r="A200">
        <v>10</v>
      </c>
      <c r="B200">
        <v>100</v>
      </c>
      <c r="C200">
        <v>46333.625</v>
      </c>
      <c r="D200" t="s">
        <v>44</v>
      </c>
      <c r="E200" t="s">
        <v>58</v>
      </c>
      <c r="F200" t="s">
        <v>1742</v>
      </c>
      <c r="G200">
        <v>3</v>
      </c>
      <c r="H200" s="27"/>
      <c r="I200" s="27"/>
      <c r="J200" s="26" t="str">
        <f t="shared" si="3"/>
        <v/>
      </c>
      <c r="K200" s="27">
        <v>1</v>
      </c>
      <c r="L200" s="27">
        <v>1</v>
      </c>
      <c r="N200" t="s">
        <v>90</v>
      </c>
    </row>
    <row r="201" spans="1:14">
      <c r="A201">
        <v>10</v>
      </c>
      <c r="B201">
        <v>100</v>
      </c>
      <c r="C201">
        <v>46333.625</v>
      </c>
      <c r="D201" t="s">
        <v>58</v>
      </c>
      <c r="E201" t="s">
        <v>44</v>
      </c>
      <c r="F201" t="s">
        <v>1743</v>
      </c>
      <c r="G201">
        <v>4</v>
      </c>
      <c r="H201" s="27"/>
      <c r="I201" s="27"/>
      <c r="J201" s="26" t="str">
        <f t="shared" si="3"/>
        <v/>
      </c>
      <c r="K201" s="27">
        <v>1</v>
      </c>
      <c r="L201" s="27">
        <v>1</v>
      </c>
      <c r="N201" t="s">
        <v>90</v>
      </c>
    </row>
    <row r="202" spans="1:14">
      <c r="A202">
        <v>11</v>
      </c>
      <c r="B202">
        <v>101</v>
      </c>
      <c r="C202">
        <v>46347.625</v>
      </c>
      <c r="D202" t="s">
        <v>58</v>
      </c>
      <c r="E202" t="s">
        <v>40</v>
      </c>
      <c r="F202" t="s">
        <v>1742</v>
      </c>
      <c r="G202">
        <v>4</v>
      </c>
      <c r="H202" s="27"/>
      <c r="I202" s="27"/>
      <c r="J202" s="26" t="str">
        <f t="shared" si="3"/>
        <v/>
      </c>
      <c r="K202" s="27">
        <v>1</v>
      </c>
      <c r="L202" s="27">
        <v>1</v>
      </c>
      <c r="N202" t="s">
        <v>90</v>
      </c>
    </row>
    <row r="203" spans="1:14">
      <c r="A203">
        <v>11</v>
      </c>
      <c r="B203">
        <v>101</v>
      </c>
      <c r="C203">
        <v>46347.625</v>
      </c>
      <c r="D203" t="s">
        <v>40</v>
      </c>
      <c r="E203" t="s">
        <v>58</v>
      </c>
      <c r="F203" t="s">
        <v>1743</v>
      </c>
      <c r="G203">
        <v>2</v>
      </c>
      <c r="H203" s="27"/>
      <c r="I203" s="27"/>
      <c r="J203" s="26" t="str">
        <f t="shared" si="3"/>
        <v/>
      </c>
      <c r="K203" s="27">
        <v>1</v>
      </c>
      <c r="L203" s="27">
        <v>1</v>
      </c>
      <c r="N203" t="s">
        <v>90</v>
      </c>
    </row>
    <row r="204" spans="1:14">
      <c r="A204">
        <v>11</v>
      </c>
      <c r="B204">
        <v>102</v>
      </c>
      <c r="C204">
        <v>46347.625</v>
      </c>
      <c r="D204" t="s">
        <v>56</v>
      </c>
      <c r="E204" t="s">
        <v>41</v>
      </c>
      <c r="F204" t="s">
        <v>1742</v>
      </c>
      <c r="G204">
        <v>3</v>
      </c>
      <c r="H204" s="27"/>
      <c r="I204" s="27"/>
      <c r="J204" s="26" t="str">
        <f t="shared" si="3"/>
        <v/>
      </c>
      <c r="K204" s="27">
        <v>1</v>
      </c>
      <c r="L204" s="27">
        <v>1</v>
      </c>
      <c r="N204" t="s">
        <v>90</v>
      </c>
    </row>
    <row r="205" spans="1:14">
      <c r="A205">
        <v>11</v>
      </c>
      <c r="B205">
        <v>102</v>
      </c>
      <c r="C205">
        <v>46347.625</v>
      </c>
      <c r="D205" t="s">
        <v>41</v>
      </c>
      <c r="E205" t="s">
        <v>56</v>
      </c>
      <c r="F205" t="s">
        <v>1743</v>
      </c>
      <c r="G205">
        <v>3</v>
      </c>
      <c r="H205" s="27"/>
      <c r="I205" s="27"/>
      <c r="J205" s="26" t="str">
        <f t="shared" si="3"/>
        <v/>
      </c>
      <c r="K205" s="27">
        <v>1</v>
      </c>
      <c r="L205" s="27">
        <v>1</v>
      </c>
      <c r="N205" t="s">
        <v>90</v>
      </c>
    </row>
    <row r="206" spans="1:14">
      <c r="A206">
        <v>11</v>
      </c>
      <c r="B206">
        <v>103</v>
      </c>
      <c r="C206">
        <v>46347.625</v>
      </c>
      <c r="D206" t="s">
        <v>47</v>
      </c>
      <c r="E206" t="s">
        <v>42</v>
      </c>
      <c r="F206" t="s">
        <v>1742</v>
      </c>
      <c r="G206">
        <v>3</v>
      </c>
      <c r="H206" s="27"/>
      <c r="I206" s="27"/>
      <c r="J206" s="26" t="str">
        <f t="shared" si="3"/>
        <v/>
      </c>
      <c r="K206" s="27">
        <v>1</v>
      </c>
      <c r="L206" s="27">
        <v>1</v>
      </c>
      <c r="N206" t="s">
        <v>90</v>
      </c>
    </row>
    <row r="207" spans="1:14">
      <c r="A207">
        <v>11</v>
      </c>
      <c r="B207">
        <v>103</v>
      </c>
      <c r="C207">
        <v>46347.625</v>
      </c>
      <c r="D207" t="s">
        <v>42</v>
      </c>
      <c r="E207" t="s">
        <v>47</v>
      </c>
      <c r="F207" t="s">
        <v>1743</v>
      </c>
      <c r="G207">
        <v>3</v>
      </c>
      <c r="H207" s="27"/>
      <c r="I207" s="27"/>
      <c r="J207" s="26" t="str">
        <f t="shared" si="3"/>
        <v/>
      </c>
      <c r="K207" s="27">
        <v>1</v>
      </c>
      <c r="L207" s="27">
        <v>1</v>
      </c>
      <c r="N207" t="s">
        <v>90</v>
      </c>
    </row>
    <row r="208" spans="1:14">
      <c r="A208">
        <v>11</v>
      </c>
      <c r="B208">
        <v>104</v>
      </c>
      <c r="C208">
        <v>46347.625</v>
      </c>
      <c r="D208" t="s">
        <v>51</v>
      </c>
      <c r="E208" t="s">
        <v>44</v>
      </c>
      <c r="F208" t="s">
        <v>1742</v>
      </c>
      <c r="G208">
        <v>4</v>
      </c>
      <c r="H208" s="27"/>
      <c r="I208" s="27"/>
      <c r="J208" s="26" t="str">
        <f t="shared" si="3"/>
        <v/>
      </c>
      <c r="K208" s="27">
        <v>1</v>
      </c>
      <c r="L208" s="27">
        <v>1</v>
      </c>
      <c r="N208" t="s">
        <v>90</v>
      </c>
    </row>
    <row r="209" spans="1:14">
      <c r="A209">
        <v>11</v>
      </c>
      <c r="B209">
        <v>104</v>
      </c>
      <c r="C209">
        <v>46347.625</v>
      </c>
      <c r="D209" t="s">
        <v>44</v>
      </c>
      <c r="E209" t="s">
        <v>51</v>
      </c>
      <c r="F209" t="s">
        <v>1743</v>
      </c>
      <c r="G209">
        <v>2</v>
      </c>
      <c r="H209" s="27"/>
      <c r="I209" s="27"/>
      <c r="J209" s="26" t="str">
        <f t="shared" si="3"/>
        <v/>
      </c>
      <c r="K209" s="27">
        <v>1</v>
      </c>
      <c r="L209" s="27">
        <v>1</v>
      </c>
      <c r="N209" t="s">
        <v>90</v>
      </c>
    </row>
    <row r="210" spans="1:14">
      <c r="A210">
        <v>11</v>
      </c>
      <c r="B210">
        <v>105</v>
      </c>
      <c r="C210">
        <v>46347.625</v>
      </c>
      <c r="D210" t="s">
        <v>46</v>
      </c>
      <c r="E210" t="s">
        <v>45</v>
      </c>
      <c r="F210" t="s">
        <v>1742</v>
      </c>
      <c r="G210">
        <v>2</v>
      </c>
      <c r="H210" s="27"/>
      <c r="I210" s="27"/>
      <c r="J210" s="26" t="str">
        <f t="shared" si="3"/>
        <v/>
      </c>
      <c r="K210" s="27">
        <v>1</v>
      </c>
      <c r="L210" s="27">
        <v>1</v>
      </c>
      <c r="N210" t="s">
        <v>90</v>
      </c>
    </row>
    <row r="211" spans="1:14">
      <c r="A211">
        <v>11</v>
      </c>
      <c r="B211">
        <v>105</v>
      </c>
      <c r="C211">
        <v>46347.625</v>
      </c>
      <c r="D211" t="s">
        <v>45</v>
      </c>
      <c r="E211" t="s">
        <v>46</v>
      </c>
      <c r="F211" t="s">
        <v>1743</v>
      </c>
      <c r="G211">
        <v>3</v>
      </c>
      <c r="H211" s="27"/>
      <c r="I211" s="27"/>
      <c r="J211" s="26" t="str">
        <f t="shared" si="3"/>
        <v/>
      </c>
      <c r="K211" s="27">
        <v>1</v>
      </c>
      <c r="L211" s="27">
        <v>1</v>
      </c>
      <c r="N211" t="s">
        <v>90</v>
      </c>
    </row>
    <row r="212" spans="1:14">
      <c r="A212">
        <v>11</v>
      </c>
      <c r="B212">
        <v>106</v>
      </c>
      <c r="C212">
        <v>46347.625</v>
      </c>
      <c r="D212" t="s">
        <v>43</v>
      </c>
      <c r="E212" t="s">
        <v>49</v>
      </c>
      <c r="F212" t="s">
        <v>1742</v>
      </c>
      <c r="G212">
        <v>2</v>
      </c>
      <c r="H212" s="27"/>
      <c r="I212" s="27"/>
      <c r="J212" s="26" t="str">
        <f t="shared" si="3"/>
        <v/>
      </c>
      <c r="K212" s="27">
        <v>1</v>
      </c>
      <c r="L212" s="27">
        <v>1</v>
      </c>
      <c r="N212" t="s">
        <v>90</v>
      </c>
    </row>
    <row r="213" spans="1:14">
      <c r="A213">
        <v>11</v>
      </c>
      <c r="B213">
        <v>106</v>
      </c>
      <c r="C213">
        <v>46347.625</v>
      </c>
      <c r="D213" t="s">
        <v>49</v>
      </c>
      <c r="E213" t="s">
        <v>43</v>
      </c>
      <c r="F213" t="s">
        <v>1743</v>
      </c>
      <c r="G213">
        <v>2</v>
      </c>
      <c r="H213" s="27"/>
      <c r="I213" s="27"/>
      <c r="J213" s="26" t="str">
        <f t="shared" si="3"/>
        <v/>
      </c>
      <c r="K213" s="27">
        <v>1</v>
      </c>
      <c r="L213" s="27">
        <v>1</v>
      </c>
      <c r="N213" t="s">
        <v>90</v>
      </c>
    </row>
    <row r="214" spans="1:14">
      <c r="A214">
        <v>11</v>
      </c>
      <c r="B214">
        <v>107</v>
      </c>
      <c r="C214">
        <v>46347.625</v>
      </c>
      <c r="D214" t="s">
        <v>54</v>
      </c>
      <c r="E214" t="s">
        <v>52</v>
      </c>
      <c r="F214" t="s">
        <v>1742</v>
      </c>
      <c r="G214">
        <v>4</v>
      </c>
      <c r="H214" s="27"/>
      <c r="I214" s="27"/>
      <c r="J214" s="26" t="str">
        <f t="shared" si="3"/>
        <v/>
      </c>
      <c r="K214" s="27">
        <v>1</v>
      </c>
      <c r="L214" s="27">
        <v>1</v>
      </c>
      <c r="N214" t="s">
        <v>90</v>
      </c>
    </row>
    <row r="215" spans="1:14">
      <c r="A215">
        <v>11</v>
      </c>
      <c r="B215">
        <v>107</v>
      </c>
      <c r="C215">
        <v>46347.625</v>
      </c>
      <c r="D215" t="s">
        <v>52</v>
      </c>
      <c r="E215" t="s">
        <v>54</v>
      </c>
      <c r="F215" t="s">
        <v>1743</v>
      </c>
      <c r="G215">
        <v>4</v>
      </c>
      <c r="H215" s="27"/>
      <c r="I215" s="27"/>
      <c r="J215" s="26" t="str">
        <f t="shared" si="3"/>
        <v/>
      </c>
      <c r="K215" s="27">
        <v>1</v>
      </c>
      <c r="L215" s="27">
        <v>1</v>
      </c>
      <c r="N215" t="s">
        <v>90</v>
      </c>
    </row>
    <row r="216" spans="1:14">
      <c r="A216">
        <v>11</v>
      </c>
      <c r="B216">
        <v>108</v>
      </c>
      <c r="C216">
        <v>46347.625</v>
      </c>
      <c r="D216" t="s">
        <v>48</v>
      </c>
      <c r="E216" t="s">
        <v>53</v>
      </c>
      <c r="F216" t="s">
        <v>1742</v>
      </c>
      <c r="G216">
        <v>5</v>
      </c>
      <c r="H216" s="27"/>
      <c r="I216" s="27"/>
      <c r="J216" s="26" t="str">
        <f t="shared" si="3"/>
        <v/>
      </c>
      <c r="K216" s="27">
        <v>1</v>
      </c>
      <c r="L216" s="27">
        <v>1</v>
      </c>
      <c r="N216" t="s">
        <v>90</v>
      </c>
    </row>
    <row r="217" spans="1:14">
      <c r="A217">
        <v>11</v>
      </c>
      <c r="B217">
        <v>108</v>
      </c>
      <c r="C217">
        <v>46347.625</v>
      </c>
      <c r="D217" t="s">
        <v>53</v>
      </c>
      <c r="E217" t="s">
        <v>48</v>
      </c>
      <c r="F217" t="s">
        <v>1743</v>
      </c>
      <c r="G217">
        <v>2</v>
      </c>
      <c r="H217" s="27"/>
      <c r="I217" s="27"/>
      <c r="J217" s="26" t="str">
        <f t="shared" si="3"/>
        <v/>
      </c>
      <c r="K217" s="27">
        <v>1</v>
      </c>
      <c r="L217" s="27">
        <v>1</v>
      </c>
      <c r="N217" t="s">
        <v>90</v>
      </c>
    </row>
    <row r="218" spans="1:14">
      <c r="A218">
        <v>11</v>
      </c>
      <c r="B218">
        <v>109</v>
      </c>
      <c r="C218">
        <v>46347.625</v>
      </c>
      <c r="D218" t="s">
        <v>39</v>
      </c>
      <c r="E218" t="s">
        <v>55</v>
      </c>
      <c r="F218" t="s">
        <v>1742</v>
      </c>
      <c r="G218">
        <v>3</v>
      </c>
      <c r="H218" s="27"/>
      <c r="I218" s="27"/>
      <c r="J218" s="26" t="str">
        <f t="shared" si="3"/>
        <v/>
      </c>
      <c r="K218" s="27">
        <v>1</v>
      </c>
      <c r="L218" s="27">
        <v>1</v>
      </c>
      <c r="N218" t="s">
        <v>90</v>
      </c>
    </row>
    <row r="219" spans="1:14">
      <c r="A219">
        <v>11</v>
      </c>
      <c r="B219">
        <v>109</v>
      </c>
      <c r="C219">
        <v>46347.625</v>
      </c>
      <c r="D219" t="s">
        <v>55</v>
      </c>
      <c r="E219" t="s">
        <v>39</v>
      </c>
      <c r="F219" t="s">
        <v>1743</v>
      </c>
      <c r="G219">
        <v>4</v>
      </c>
      <c r="H219" s="27"/>
      <c r="I219" s="27"/>
      <c r="J219" s="26" t="str">
        <f t="shared" si="3"/>
        <v/>
      </c>
      <c r="K219" s="27">
        <v>1</v>
      </c>
      <c r="L219" s="27">
        <v>1</v>
      </c>
      <c r="N219" t="s">
        <v>90</v>
      </c>
    </row>
    <row r="220" spans="1:14">
      <c r="A220">
        <v>11</v>
      </c>
      <c r="B220">
        <v>110</v>
      </c>
      <c r="C220">
        <v>46347.625</v>
      </c>
      <c r="D220" t="s">
        <v>50</v>
      </c>
      <c r="E220" t="s">
        <v>57</v>
      </c>
      <c r="F220" t="s">
        <v>1742</v>
      </c>
      <c r="G220">
        <v>3</v>
      </c>
      <c r="H220" s="27"/>
      <c r="I220" s="27"/>
      <c r="J220" s="26" t="str">
        <f t="shared" si="3"/>
        <v/>
      </c>
      <c r="K220" s="27">
        <v>1</v>
      </c>
      <c r="L220" s="27">
        <v>1</v>
      </c>
      <c r="N220" t="s">
        <v>90</v>
      </c>
    </row>
    <row r="221" spans="1:14">
      <c r="A221">
        <v>11</v>
      </c>
      <c r="B221">
        <v>110</v>
      </c>
      <c r="C221">
        <v>46347.625</v>
      </c>
      <c r="D221" t="s">
        <v>57</v>
      </c>
      <c r="E221" t="s">
        <v>50</v>
      </c>
      <c r="F221" t="s">
        <v>1743</v>
      </c>
      <c r="G221">
        <v>2</v>
      </c>
      <c r="H221" s="27"/>
      <c r="I221" s="27"/>
      <c r="J221" s="26" t="str">
        <f t="shared" si="3"/>
        <v/>
      </c>
      <c r="K221" s="27">
        <v>1</v>
      </c>
      <c r="L221" s="27">
        <v>1</v>
      </c>
      <c r="N221" t="s">
        <v>90</v>
      </c>
    </row>
    <row r="222" spans="1:14">
      <c r="A222">
        <v>12</v>
      </c>
      <c r="B222">
        <v>111</v>
      </c>
      <c r="C222">
        <v>46354.625</v>
      </c>
      <c r="D222" t="s">
        <v>53</v>
      </c>
      <c r="E222" t="s">
        <v>39</v>
      </c>
      <c r="F222" t="s">
        <v>1742</v>
      </c>
      <c r="G222">
        <v>5</v>
      </c>
      <c r="H222" s="27"/>
      <c r="I222" s="27"/>
      <c r="J222" s="26" t="str">
        <f t="shared" si="3"/>
        <v/>
      </c>
      <c r="K222" s="27">
        <v>1</v>
      </c>
      <c r="L222" s="27">
        <v>1</v>
      </c>
      <c r="N222" t="s">
        <v>90</v>
      </c>
    </row>
    <row r="223" spans="1:14">
      <c r="A223">
        <v>12</v>
      </c>
      <c r="B223">
        <v>111</v>
      </c>
      <c r="C223">
        <v>46354.625</v>
      </c>
      <c r="D223" t="s">
        <v>39</v>
      </c>
      <c r="E223" t="s">
        <v>53</v>
      </c>
      <c r="F223" t="s">
        <v>1743</v>
      </c>
      <c r="G223">
        <v>4</v>
      </c>
      <c r="H223" s="27"/>
      <c r="I223" s="27"/>
      <c r="J223" s="26" t="str">
        <f t="shared" si="3"/>
        <v/>
      </c>
      <c r="K223" s="27">
        <v>1</v>
      </c>
      <c r="L223" s="27">
        <v>1</v>
      </c>
      <c r="N223" t="s">
        <v>90</v>
      </c>
    </row>
    <row r="224" spans="1:14">
      <c r="A224">
        <v>12</v>
      </c>
      <c r="B224">
        <v>112</v>
      </c>
      <c r="C224">
        <v>46354.625</v>
      </c>
      <c r="D224" t="s">
        <v>55</v>
      </c>
      <c r="E224" t="s">
        <v>43</v>
      </c>
      <c r="F224" t="s">
        <v>1742</v>
      </c>
      <c r="G224">
        <v>3</v>
      </c>
      <c r="H224" s="27"/>
      <c r="I224" s="27"/>
      <c r="J224" s="26" t="str">
        <f t="shared" si="3"/>
        <v/>
      </c>
      <c r="K224" s="27">
        <v>1</v>
      </c>
      <c r="L224" s="27">
        <v>1</v>
      </c>
      <c r="N224" t="s">
        <v>90</v>
      </c>
    </row>
    <row r="225" spans="1:14">
      <c r="A225">
        <v>12</v>
      </c>
      <c r="B225">
        <v>112</v>
      </c>
      <c r="C225">
        <v>46354.625</v>
      </c>
      <c r="D225" t="s">
        <v>43</v>
      </c>
      <c r="E225" t="s">
        <v>55</v>
      </c>
      <c r="F225" t="s">
        <v>1743</v>
      </c>
      <c r="G225">
        <v>2</v>
      </c>
      <c r="H225" s="27"/>
      <c r="I225" s="27"/>
      <c r="J225" s="26" t="str">
        <f t="shared" si="3"/>
        <v/>
      </c>
      <c r="K225" s="27">
        <v>1</v>
      </c>
      <c r="L225" s="27">
        <v>1</v>
      </c>
      <c r="N225" t="s">
        <v>90</v>
      </c>
    </row>
    <row r="226" spans="1:14">
      <c r="A226">
        <v>12</v>
      </c>
      <c r="B226">
        <v>113</v>
      </c>
      <c r="C226">
        <v>46354.625</v>
      </c>
      <c r="D226" t="s">
        <v>49</v>
      </c>
      <c r="E226" t="s">
        <v>46</v>
      </c>
      <c r="F226" t="s">
        <v>1742</v>
      </c>
      <c r="G226">
        <v>3</v>
      </c>
      <c r="H226" s="27"/>
      <c r="I226" s="27"/>
      <c r="J226" s="26" t="str">
        <f t="shared" si="3"/>
        <v/>
      </c>
      <c r="K226" s="27">
        <v>1</v>
      </c>
      <c r="L226" s="27">
        <v>1</v>
      </c>
      <c r="N226" t="s">
        <v>90</v>
      </c>
    </row>
    <row r="227" spans="1:14">
      <c r="A227">
        <v>12</v>
      </c>
      <c r="B227">
        <v>113</v>
      </c>
      <c r="C227">
        <v>46354.625</v>
      </c>
      <c r="D227" t="s">
        <v>46</v>
      </c>
      <c r="E227" t="s">
        <v>49</v>
      </c>
      <c r="F227" t="s">
        <v>1743</v>
      </c>
      <c r="G227">
        <v>2</v>
      </c>
      <c r="H227" s="27"/>
      <c r="I227" s="27"/>
      <c r="J227" s="26" t="str">
        <f t="shared" si="3"/>
        <v/>
      </c>
      <c r="K227" s="27">
        <v>1</v>
      </c>
      <c r="L227" s="27">
        <v>1</v>
      </c>
      <c r="N227" t="s">
        <v>90</v>
      </c>
    </row>
    <row r="228" spans="1:14">
      <c r="A228">
        <v>12</v>
      </c>
      <c r="B228">
        <v>114</v>
      </c>
      <c r="C228">
        <v>46354.625</v>
      </c>
      <c r="D228" t="s">
        <v>52</v>
      </c>
      <c r="E228" t="s">
        <v>47</v>
      </c>
      <c r="F228" t="s">
        <v>1742</v>
      </c>
      <c r="G228">
        <v>3</v>
      </c>
      <c r="H228" s="27"/>
      <c r="I228" s="27"/>
      <c r="J228" s="26" t="str">
        <f t="shared" si="3"/>
        <v/>
      </c>
      <c r="K228" s="27">
        <v>1</v>
      </c>
      <c r="L228" s="27">
        <v>1</v>
      </c>
      <c r="N228" t="s">
        <v>90</v>
      </c>
    </row>
    <row r="229" spans="1:14">
      <c r="A229">
        <v>12</v>
      </c>
      <c r="B229">
        <v>114</v>
      </c>
      <c r="C229">
        <v>46354.625</v>
      </c>
      <c r="D229" t="s">
        <v>47</v>
      </c>
      <c r="E229" t="s">
        <v>52</v>
      </c>
      <c r="F229" t="s">
        <v>1743</v>
      </c>
      <c r="G229">
        <v>4</v>
      </c>
      <c r="H229" s="27"/>
      <c r="I229" s="27"/>
      <c r="J229" s="26" t="str">
        <f t="shared" si="3"/>
        <v/>
      </c>
      <c r="K229" s="27">
        <v>1</v>
      </c>
      <c r="L229" s="27">
        <v>1</v>
      </c>
      <c r="N229" t="s">
        <v>90</v>
      </c>
    </row>
    <row r="230" spans="1:14">
      <c r="A230">
        <v>12</v>
      </c>
      <c r="B230">
        <v>115</v>
      </c>
      <c r="C230">
        <v>46354.625</v>
      </c>
      <c r="D230" t="s">
        <v>41</v>
      </c>
      <c r="E230" t="s">
        <v>48</v>
      </c>
      <c r="F230" t="s">
        <v>1742</v>
      </c>
      <c r="G230">
        <v>3</v>
      </c>
      <c r="H230" s="27"/>
      <c r="I230" s="27"/>
      <c r="J230" s="26" t="str">
        <f t="shared" si="3"/>
        <v/>
      </c>
      <c r="K230" s="27">
        <v>1</v>
      </c>
      <c r="L230" s="27">
        <v>1</v>
      </c>
      <c r="N230" t="s">
        <v>90</v>
      </c>
    </row>
    <row r="231" spans="1:14">
      <c r="A231">
        <v>12</v>
      </c>
      <c r="B231">
        <v>115</v>
      </c>
      <c r="C231">
        <v>46354.625</v>
      </c>
      <c r="D231" t="s">
        <v>48</v>
      </c>
      <c r="E231" t="s">
        <v>41</v>
      </c>
      <c r="F231" t="s">
        <v>1743</v>
      </c>
      <c r="G231">
        <v>3</v>
      </c>
      <c r="H231" s="27"/>
      <c r="I231" s="27"/>
      <c r="J231" s="26" t="str">
        <f t="shared" si="3"/>
        <v/>
      </c>
      <c r="K231" s="27">
        <v>1</v>
      </c>
      <c r="L231" s="27">
        <v>1</v>
      </c>
      <c r="N231" t="s">
        <v>90</v>
      </c>
    </row>
    <row r="232" spans="1:14">
      <c r="A232">
        <v>12</v>
      </c>
      <c r="B232">
        <v>116</v>
      </c>
      <c r="C232">
        <v>46354.625</v>
      </c>
      <c r="D232" t="s">
        <v>40</v>
      </c>
      <c r="E232" t="s">
        <v>50</v>
      </c>
      <c r="F232" t="s">
        <v>1742</v>
      </c>
      <c r="G232">
        <v>2</v>
      </c>
      <c r="H232" s="27"/>
      <c r="I232" s="27"/>
      <c r="J232" s="26" t="str">
        <f t="shared" si="3"/>
        <v/>
      </c>
      <c r="K232" s="27">
        <v>1</v>
      </c>
      <c r="L232" s="27">
        <v>1</v>
      </c>
      <c r="N232" t="s">
        <v>90</v>
      </c>
    </row>
    <row r="233" spans="1:14">
      <c r="A233">
        <v>12</v>
      </c>
      <c r="B233">
        <v>116</v>
      </c>
      <c r="C233">
        <v>46354.625</v>
      </c>
      <c r="D233" t="s">
        <v>50</v>
      </c>
      <c r="E233" t="s">
        <v>40</v>
      </c>
      <c r="F233" t="s">
        <v>1743</v>
      </c>
      <c r="G233">
        <v>3</v>
      </c>
      <c r="H233" s="27"/>
      <c r="I233" s="27"/>
      <c r="J233" s="26" t="str">
        <f t="shared" si="3"/>
        <v/>
      </c>
      <c r="K233" s="27">
        <v>1</v>
      </c>
      <c r="L233" s="27">
        <v>1</v>
      </c>
      <c r="N233" t="s">
        <v>90</v>
      </c>
    </row>
    <row r="234" spans="1:14">
      <c r="A234">
        <v>12</v>
      </c>
      <c r="B234">
        <v>117</v>
      </c>
      <c r="C234">
        <v>46354.625</v>
      </c>
      <c r="D234" t="s">
        <v>45</v>
      </c>
      <c r="E234" t="s">
        <v>51</v>
      </c>
      <c r="F234" t="s">
        <v>1742</v>
      </c>
      <c r="G234">
        <v>3</v>
      </c>
      <c r="H234" s="27"/>
      <c r="I234" s="27"/>
      <c r="J234" s="26" t="str">
        <f t="shared" si="3"/>
        <v/>
      </c>
      <c r="K234" s="27">
        <v>1</v>
      </c>
      <c r="L234" s="27">
        <v>1</v>
      </c>
      <c r="N234" t="s">
        <v>90</v>
      </c>
    </row>
    <row r="235" spans="1:14">
      <c r="A235">
        <v>12</v>
      </c>
      <c r="B235">
        <v>117</v>
      </c>
      <c r="C235">
        <v>46354.625</v>
      </c>
      <c r="D235" t="s">
        <v>51</v>
      </c>
      <c r="E235" t="s">
        <v>45</v>
      </c>
      <c r="F235" t="s">
        <v>1743</v>
      </c>
      <c r="G235">
        <v>2</v>
      </c>
      <c r="H235" s="27"/>
      <c r="I235" s="27"/>
      <c r="J235" s="26" t="str">
        <f t="shared" si="3"/>
        <v/>
      </c>
      <c r="K235" s="27">
        <v>1</v>
      </c>
      <c r="L235" s="27">
        <v>1</v>
      </c>
      <c r="N235" t="s">
        <v>90</v>
      </c>
    </row>
    <row r="236" spans="1:14">
      <c r="A236">
        <v>12</v>
      </c>
      <c r="B236">
        <v>118</v>
      </c>
      <c r="C236">
        <v>46354.625</v>
      </c>
      <c r="D236" t="s">
        <v>42</v>
      </c>
      <c r="E236" t="s">
        <v>54</v>
      </c>
      <c r="F236" t="s">
        <v>1742</v>
      </c>
      <c r="G236">
        <v>4</v>
      </c>
      <c r="H236" s="27"/>
      <c r="I236" s="27"/>
      <c r="J236" s="26" t="str">
        <f t="shared" si="3"/>
        <v/>
      </c>
      <c r="K236" s="27">
        <v>1</v>
      </c>
      <c r="L236" s="27">
        <v>1</v>
      </c>
      <c r="N236" t="s">
        <v>90</v>
      </c>
    </row>
    <row r="237" spans="1:14">
      <c r="A237">
        <v>12</v>
      </c>
      <c r="B237">
        <v>118</v>
      </c>
      <c r="C237">
        <v>46354.625</v>
      </c>
      <c r="D237" t="s">
        <v>54</v>
      </c>
      <c r="E237" t="s">
        <v>42</v>
      </c>
      <c r="F237" t="s">
        <v>1743</v>
      </c>
      <c r="G237">
        <v>3</v>
      </c>
      <c r="H237" s="27"/>
      <c r="I237" s="27"/>
      <c r="J237" s="26" t="str">
        <f t="shared" si="3"/>
        <v/>
      </c>
      <c r="K237" s="27">
        <v>1</v>
      </c>
      <c r="L237" s="27">
        <v>1</v>
      </c>
      <c r="N237" t="s">
        <v>90</v>
      </c>
    </row>
    <row r="238" spans="1:14">
      <c r="A238">
        <v>12</v>
      </c>
      <c r="B238">
        <v>119</v>
      </c>
      <c r="C238">
        <v>46354.625</v>
      </c>
      <c r="D238" t="s">
        <v>44</v>
      </c>
      <c r="E238" t="s">
        <v>56</v>
      </c>
      <c r="F238" t="s">
        <v>1742</v>
      </c>
      <c r="G238">
        <v>3</v>
      </c>
      <c r="H238" s="27"/>
      <c r="I238" s="27"/>
      <c r="J238" s="26" t="str">
        <f t="shared" si="3"/>
        <v/>
      </c>
      <c r="K238" s="27">
        <v>1</v>
      </c>
      <c r="L238" s="27">
        <v>1</v>
      </c>
      <c r="N238" t="s">
        <v>90</v>
      </c>
    </row>
    <row r="239" spans="1:14">
      <c r="A239">
        <v>12</v>
      </c>
      <c r="B239">
        <v>119</v>
      </c>
      <c r="C239">
        <v>46354.625</v>
      </c>
      <c r="D239" t="s">
        <v>56</v>
      </c>
      <c r="E239" t="s">
        <v>44</v>
      </c>
      <c r="F239" t="s">
        <v>1743</v>
      </c>
      <c r="G239">
        <v>4</v>
      </c>
      <c r="H239" s="27"/>
      <c r="I239" s="27"/>
      <c r="J239" s="26" t="str">
        <f t="shared" si="3"/>
        <v/>
      </c>
      <c r="K239" s="27">
        <v>1</v>
      </c>
      <c r="L239" s="27">
        <v>1</v>
      </c>
      <c r="N239" t="s">
        <v>90</v>
      </c>
    </row>
    <row r="240" spans="1:14">
      <c r="A240">
        <v>12</v>
      </c>
      <c r="B240">
        <v>120</v>
      </c>
      <c r="C240">
        <v>46354.625</v>
      </c>
      <c r="D240" t="s">
        <v>57</v>
      </c>
      <c r="E240" t="s">
        <v>58</v>
      </c>
      <c r="F240" t="s">
        <v>1742</v>
      </c>
      <c r="G240">
        <v>3</v>
      </c>
      <c r="H240" s="27"/>
      <c r="I240" s="27"/>
      <c r="J240" s="26" t="str">
        <f t="shared" si="3"/>
        <v/>
      </c>
      <c r="K240" s="27">
        <v>1</v>
      </c>
      <c r="L240" s="27">
        <v>1</v>
      </c>
      <c r="N240" t="s">
        <v>90</v>
      </c>
    </row>
    <row r="241" spans="1:14">
      <c r="A241">
        <v>12</v>
      </c>
      <c r="B241">
        <v>120</v>
      </c>
      <c r="C241">
        <v>46354.625</v>
      </c>
      <c r="D241" t="s">
        <v>58</v>
      </c>
      <c r="E241" t="s">
        <v>57</v>
      </c>
      <c r="F241" t="s">
        <v>1743</v>
      </c>
      <c r="G241">
        <v>3</v>
      </c>
      <c r="H241" s="27"/>
      <c r="I241" s="27"/>
      <c r="J241" s="26" t="str">
        <f t="shared" si="3"/>
        <v/>
      </c>
      <c r="K241" s="27">
        <v>1</v>
      </c>
      <c r="L241" s="27">
        <v>1</v>
      </c>
      <c r="N241" t="s">
        <v>90</v>
      </c>
    </row>
    <row r="242" spans="1:14">
      <c r="A242">
        <v>13</v>
      </c>
      <c r="B242">
        <v>121</v>
      </c>
      <c r="C242">
        <v>46358.833333333336</v>
      </c>
      <c r="D242" t="s">
        <v>47</v>
      </c>
      <c r="E242" t="s">
        <v>40</v>
      </c>
      <c r="F242" t="s">
        <v>1742</v>
      </c>
      <c r="G242">
        <v>4</v>
      </c>
      <c r="H242" s="27"/>
      <c r="I242" s="27"/>
      <c r="J242" s="26" t="str">
        <f t="shared" si="3"/>
        <v/>
      </c>
      <c r="K242" s="27">
        <v>1</v>
      </c>
      <c r="L242" s="27">
        <v>1</v>
      </c>
      <c r="N242" t="s">
        <v>90</v>
      </c>
    </row>
    <row r="243" spans="1:14">
      <c r="A243">
        <v>13</v>
      </c>
      <c r="B243">
        <v>121</v>
      </c>
      <c r="C243">
        <v>46358.833333333336</v>
      </c>
      <c r="D243" t="s">
        <v>40</v>
      </c>
      <c r="E243" t="s">
        <v>47</v>
      </c>
      <c r="F243" t="s">
        <v>1743</v>
      </c>
      <c r="G243">
        <v>3</v>
      </c>
      <c r="H243" s="27"/>
      <c r="I243" s="27"/>
      <c r="J243" s="26" t="str">
        <f t="shared" si="3"/>
        <v/>
      </c>
      <c r="K243" s="27">
        <v>1</v>
      </c>
      <c r="L243" s="27">
        <v>1</v>
      </c>
      <c r="N243" t="s">
        <v>90</v>
      </c>
    </row>
    <row r="244" spans="1:14">
      <c r="A244">
        <v>13</v>
      </c>
      <c r="B244">
        <v>122</v>
      </c>
      <c r="C244">
        <v>46358.833333333336</v>
      </c>
      <c r="D244" t="s">
        <v>43</v>
      </c>
      <c r="E244" t="s">
        <v>41</v>
      </c>
      <c r="F244" t="s">
        <v>1742</v>
      </c>
      <c r="G244">
        <v>3</v>
      </c>
      <c r="H244" s="27"/>
      <c r="I244" s="27"/>
      <c r="J244" s="26" t="str">
        <f t="shared" si="3"/>
        <v/>
      </c>
      <c r="K244" s="27">
        <v>1</v>
      </c>
      <c r="L244" s="27">
        <v>1</v>
      </c>
      <c r="N244" t="s">
        <v>90</v>
      </c>
    </row>
    <row r="245" spans="1:14">
      <c r="A245">
        <v>13</v>
      </c>
      <c r="B245">
        <v>122</v>
      </c>
      <c r="C245">
        <v>46358.833333333336</v>
      </c>
      <c r="D245" t="s">
        <v>41</v>
      </c>
      <c r="E245" t="s">
        <v>43</v>
      </c>
      <c r="F245" t="s">
        <v>1743</v>
      </c>
      <c r="G245">
        <v>2</v>
      </c>
      <c r="H245" s="27"/>
      <c r="I245" s="27"/>
      <c r="J245" s="26" t="str">
        <f t="shared" si="3"/>
        <v/>
      </c>
      <c r="K245" s="27">
        <v>1</v>
      </c>
      <c r="L245" s="27">
        <v>1</v>
      </c>
      <c r="N245" t="s">
        <v>90</v>
      </c>
    </row>
    <row r="246" spans="1:14">
      <c r="A246">
        <v>13</v>
      </c>
      <c r="B246">
        <v>123</v>
      </c>
      <c r="C246">
        <v>46358.833333333336</v>
      </c>
      <c r="D246" t="s">
        <v>39</v>
      </c>
      <c r="E246" t="s">
        <v>42</v>
      </c>
      <c r="F246" t="s">
        <v>1742</v>
      </c>
      <c r="G246">
        <v>3</v>
      </c>
      <c r="H246" s="27"/>
      <c r="I246" s="27"/>
      <c r="J246" s="26" t="str">
        <f t="shared" si="3"/>
        <v/>
      </c>
      <c r="K246" s="27">
        <v>1</v>
      </c>
      <c r="L246" s="27">
        <v>1</v>
      </c>
      <c r="N246" t="s">
        <v>90</v>
      </c>
    </row>
    <row r="247" spans="1:14">
      <c r="A247">
        <v>13</v>
      </c>
      <c r="B247">
        <v>123</v>
      </c>
      <c r="C247">
        <v>46358.833333333336</v>
      </c>
      <c r="D247" t="s">
        <v>42</v>
      </c>
      <c r="E247" t="s">
        <v>39</v>
      </c>
      <c r="F247" t="s">
        <v>1743</v>
      </c>
      <c r="G247">
        <v>4</v>
      </c>
      <c r="H247" s="27"/>
      <c r="I247" s="27"/>
      <c r="J247" s="26" t="str">
        <f t="shared" si="3"/>
        <v/>
      </c>
      <c r="K247" s="27">
        <v>1</v>
      </c>
      <c r="L247" s="27">
        <v>1</v>
      </c>
      <c r="N247" t="s">
        <v>90</v>
      </c>
    </row>
    <row r="248" spans="1:14">
      <c r="A248">
        <v>13</v>
      </c>
      <c r="B248">
        <v>124</v>
      </c>
      <c r="C248">
        <v>46358.833333333336</v>
      </c>
      <c r="D248" t="s">
        <v>46</v>
      </c>
      <c r="E248" t="s">
        <v>44</v>
      </c>
      <c r="F248" t="s">
        <v>1742</v>
      </c>
      <c r="G248">
        <v>4</v>
      </c>
      <c r="H248" s="27"/>
      <c r="I248" s="27"/>
      <c r="J248" s="26" t="str">
        <f t="shared" si="3"/>
        <v/>
      </c>
      <c r="K248" s="27">
        <v>1</v>
      </c>
      <c r="L248" s="27">
        <v>1</v>
      </c>
      <c r="N248" t="s">
        <v>90</v>
      </c>
    </row>
    <row r="249" spans="1:14">
      <c r="A249">
        <v>13</v>
      </c>
      <c r="B249">
        <v>124</v>
      </c>
      <c r="C249">
        <v>46358.833333333336</v>
      </c>
      <c r="D249" t="s">
        <v>44</v>
      </c>
      <c r="E249" t="s">
        <v>46</v>
      </c>
      <c r="F249" t="s">
        <v>1743</v>
      </c>
      <c r="G249">
        <v>3</v>
      </c>
      <c r="H249" s="27"/>
      <c r="I249" s="27"/>
      <c r="J249" s="26" t="str">
        <f t="shared" si="3"/>
        <v/>
      </c>
      <c r="K249" s="27">
        <v>1</v>
      </c>
      <c r="L249" s="27">
        <v>1</v>
      </c>
      <c r="N249" t="s">
        <v>90</v>
      </c>
    </row>
    <row r="250" spans="1:14">
      <c r="A250">
        <v>13</v>
      </c>
      <c r="B250">
        <v>125</v>
      </c>
      <c r="C250">
        <v>46358.833333333336</v>
      </c>
      <c r="D250" t="s">
        <v>50</v>
      </c>
      <c r="E250" t="s">
        <v>45</v>
      </c>
      <c r="F250" t="s">
        <v>1742</v>
      </c>
      <c r="G250">
        <v>2</v>
      </c>
      <c r="H250" s="27"/>
      <c r="I250" s="27"/>
      <c r="J250" s="26" t="str">
        <f t="shared" si="3"/>
        <v/>
      </c>
      <c r="K250" s="27">
        <v>1</v>
      </c>
      <c r="L250" s="27">
        <v>1</v>
      </c>
      <c r="N250" t="s">
        <v>90</v>
      </c>
    </row>
    <row r="251" spans="1:14">
      <c r="A251">
        <v>13</v>
      </c>
      <c r="B251">
        <v>125</v>
      </c>
      <c r="C251">
        <v>46358.833333333336</v>
      </c>
      <c r="D251" t="s">
        <v>45</v>
      </c>
      <c r="E251" t="s">
        <v>50</v>
      </c>
      <c r="F251" t="s">
        <v>1743</v>
      </c>
      <c r="G251">
        <v>2</v>
      </c>
      <c r="H251" s="27"/>
      <c r="I251" s="27"/>
      <c r="J251" s="26" t="str">
        <f t="shared" si="3"/>
        <v/>
      </c>
      <c r="K251" s="27">
        <v>1</v>
      </c>
      <c r="L251" s="27">
        <v>1</v>
      </c>
      <c r="N251" t="s">
        <v>90</v>
      </c>
    </row>
    <row r="252" spans="1:14">
      <c r="A252">
        <v>13</v>
      </c>
      <c r="B252">
        <v>126</v>
      </c>
      <c r="C252">
        <v>46358.833333333336</v>
      </c>
      <c r="D252" t="s">
        <v>56</v>
      </c>
      <c r="E252" t="s">
        <v>49</v>
      </c>
      <c r="F252" t="s">
        <v>1742</v>
      </c>
      <c r="G252">
        <v>2</v>
      </c>
      <c r="H252" s="27"/>
      <c r="I252" s="27"/>
      <c r="J252" s="26" t="str">
        <f t="shared" si="3"/>
        <v/>
      </c>
      <c r="K252" s="27">
        <v>1</v>
      </c>
      <c r="L252" s="27">
        <v>1</v>
      </c>
      <c r="N252" t="s">
        <v>90</v>
      </c>
    </row>
    <row r="253" spans="1:14">
      <c r="A253">
        <v>13</v>
      </c>
      <c r="B253">
        <v>126</v>
      </c>
      <c r="C253">
        <v>46358.833333333336</v>
      </c>
      <c r="D253" t="s">
        <v>49</v>
      </c>
      <c r="E253" t="s">
        <v>56</v>
      </c>
      <c r="F253" t="s">
        <v>1743</v>
      </c>
      <c r="G253">
        <v>3</v>
      </c>
      <c r="H253" s="27"/>
      <c r="I253" s="27"/>
      <c r="J253" s="26" t="str">
        <f t="shared" si="3"/>
        <v/>
      </c>
      <c r="K253" s="27">
        <v>1</v>
      </c>
      <c r="L253" s="27">
        <v>1</v>
      </c>
      <c r="N253" t="s">
        <v>90</v>
      </c>
    </row>
    <row r="254" spans="1:14">
      <c r="A254">
        <v>13</v>
      </c>
      <c r="B254">
        <v>127</v>
      </c>
      <c r="C254">
        <v>46358.833333333336</v>
      </c>
      <c r="D254" t="s">
        <v>58</v>
      </c>
      <c r="E254" t="s">
        <v>52</v>
      </c>
      <c r="F254" t="s">
        <v>1742</v>
      </c>
      <c r="G254">
        <v>4</v>
      </c>
      <c r="H254" s="27"/>
      <c r="I254" s="27"/>
      <c r="J254" s="26" t="str">
        <f t="shared" si="3"/>
        <v/>
      </c>
      <c r="K254" s="27">
        <v>1</v>
      </c>
      <c r="L254" s="27">
        <v>1</v>
      </c>
      <c r="N254" t="s">
        <v>90</v>
      </c>
    </row>
    <row r="255" spans="1:14">
      <c r="A255">
        <v>13</v>
      </c>
      <c r="B255">
        <v>127</v>
      </c>
      <c r="C255">
        <v>46358.833333333336</v>
      </c>
      <c r="D255" t="s">
        <v>52</v>
      </c>
      <c r="E255" t="s">
        <v>58</v>
      </c>
      <c r="F255" t="s">
        <v>1743</v>
      </c>
      <c r="G255">
        <v>2</v>
      </c>
      <c r="H255" s="27"/>
      <c r="I255" s="27"/>
      <c r="J255" s="26" t="str">
        <f t="shared" si="3"/>
        <v/>
      </c>
      <c r="K255" s="27">
        <v>1</v>
      </c>
      <c r="L255" s="27">
        <v>1</v>
      </c>
      <c r="N255" t="s">
        <v>90</v>
      </c>
    </row>
    <row r="256" spans="1:14">
      <c r="A256">
        <v>13</v>
      </c>
      <c r="B256">
        <v>128</v>
      </c>
      <c r="C256">
        <v>46358.833333333336</v>
      </c>
      <c r="D256" t="s">
        <v>51</v>
      </c>
      <c r="E256" t="s">
        <v>53</v>
      </c>
      <c r="F256" t="s">
        <v>1742</v>
      </c>
      <c r="G256">
        <v>5</v>
      </c>
      <c r="H256" s="27"/>
      <c r="I256" s="27"/>
      <c r="J256" s="26" t="str">
        <f t="shared" si="3"/>
        <v/>
      </c>
      <c r="K256" s="27">
        <v>1</v>
      </c>
      <c r="L256" s="27">
        <v>1</v>
      </c>
      <c r="N256" t="s">
        <v>90</v>
      </c>
    </row>
    <row r="257" spans="1:14">
      <c r="A257">
        <v>13</v>
      </c>
      <c r="B257">
        <v>128</v>
      </c>
      <c r="C257">
        <v>46358.833333333336</v>
      </c>
      <c r="D257" t="s">
        <v>53</v>
      </c>
      <c r="E257" t="s">
        <v>51</v>
      </c>
      <c r="F257" t="s">
        <v>1743</v>
      </c>
      <c r="G257">
        <v>2</v>
      </c>
      <c r="H257" s="27"/>
      <c r="I257" s="27"/>
      <c r="J257" s="26" t="str">
        <f t="shared" si="3"/>
        <v/>
      </c>
      <c r="K257" s="27">
        <v>1</v>
      </c>
      <c r="L257" s="27">
        <v>1</v>
      </c>
      <c r="N257" t="s">
        <v>90</v>
      </c>
    </row>
    <row r="258" spans="1:14">
      <c r="A258">
        <v>13</v>
      </c>
      <c r="B258">
        <v>129</v>
      </c>
      <c r="C258">
        <v>46358.833333333336</v>
      </c>
      <c r="D258" t="s">
        <v>54</v>
      </c>
      <c r="E258" t="s">
        <v>55</v>
      </c>
      <c r="F258" t="s">
        <v>1742</v>
      </c>
      <c r="G258">
        <v>3</v>
      </c>
      <c r="H258" s="27"/>
      <c r="I258" s="27"/>
      <c r="J258" s="26" t="str">
        <f t="shared" ref="J258:J321" si="4">IF(I258="","",EXP(-I258))</f>
        <v/>
      </c>
      <c r="K258" s="27">
        <v>1</v>
      </c>
      <c r="L258" s="27">
        <v>1</v>
      </c>
      <c r="N258" t="s">
        <v>90</v>
      </c>
    </row>
    <row r="259" spans="1:14">
      <c r="A259">
        <v>13</v>
      </c>
      <c r="B259">
        <v>129</v>
      </c>
      <c r="C259">
        <v>46358.833333333336</v>
      </c>
      <c r="D259" t="s">
        <v>55</v>
      </c>
      <c r="E259" t="s">
        <v>54</v>
      </c>
      <c r="F259" t="s">
        <v>1743</v>
      </c>
      <c r="G259">
        <v>4</v>
      </c>
      <c r="H259" s="27"/>
      <c r="I259" s="27"/>
      <c r="J259" s="26" t="str">
        <f t="shared" si="4"/>
        <v/>
      </c>
      <c r="K259" s="27">
        <v>1</v>
      </c>
      <c r="L259" s="27">
        <v>1</v>
      </c>
      <c r="N259" t="s">
        <v>90</v>
      </c>
    </row>
    <row r="260" spans="1:14">
      <c r="A260">
        <v>13</v>
      </c>
      <c r="B260">
        <v>130</v>
      </c>
      <c r="C260">
        <v>46358.833333333336</v>
      </c>
      <c r="D260" t="s">
        <v>48</v>
      </c>
      <c r="E260" t="s">
        <v>57</v>
      </c>
      <c r="F260" t="s">
        <v>1742</v>
      </c>
      <c r="G260">
        <v>3</v>
      </c>
      <c r="H260" s="27"/>
      <c r="I260" s="27"/>
      <c r="J260" s="26" t="str">
        <f t="shared" si="4"/>
        <v/>
      </c>
      <c r="K260" s="27">
        <v>1</v>
      </c>
      <c r="L260" s="27">
        <v>1</v>
      </c>
      <c r="N260" t="s">
        <v>90</v>
      </c>
    </row>
    <row r="261" spans="1:14">
      <c r="A261">
        <v>13</v>
      </c>
      <c r="B261">
        <v>130</v>
      </c>
      <c r="C261">
        <v>46358.833333333336</v>
      </c>
      <c r="D261" t="s">
        <v>57</v>
      </c>
      <c r="E261" t="s">
        <v>48</v>
      </c>
      <c r="F261" t="s">
        <v>1743</v>
      </c>
      <c r="G261">
        <v>2</v>
      </c>
      <c r="H261" s="27"/>
      <c r="I261" s="27"/>
      <c r="J261" s="26" t="str">
        <f t="shared" si="4"/>
        <v/>
      </c>
      <c r="K261" s="27">
        <v>1</v>
      </c>
      <c r="L261" s="27">
        <v>1</v>
      </c>
      <c r="N261" t="s">
        <v>90</v>
      </c>
    </row>
    <row r="262" spans="1:14">
      <c r="A262">
        <v>14</v>
      </c>
      <c r="B262">
        <v>131</v>
      </c>
      <c r="C262">
        <v>46361.625</v>
      </c>
      <c r="D262" t="s">
        <v>46</v>
      </c>
      <c r="E262" t="s">
        <v>40</v>
      </c>
      <c r="F262" t="s">
        <v>1742</v>
      </c>
      <c r="G262">
        <v>4</v>
      </c>
      <c r="H262" s="27"/>
      <c r="I262" s="27"/>
      <c r="J262" s="26" t="str">
        <f t="shared" si="4"/>
        <v/>
      </c>
      <c r="K262" s="27">
        <v>1</v>
      </c>
      <c r="L262" s="27">
        <v>1</v>
      </c>
      <c r="N262" t="s">
        <v>90</v>
      </c>
    </row>
    <row r="263" spans="1:14">
      <c r="A263">
        <v>14</v>
      </c>
      <c r="B263">
        <v>131</v>
      </c>
      <c r="C263">
        <v>46361.625</v>
      </c>
      <c r="D263" t="s">
        <v>40</v>
      </c>
      <c r="E263" t="s">
        <v>46</v>
      </c>
      <c r="F263" t="s">
        <v>1743</v>
      </c>
      <c r="G263">
        <v>3</v>
      </c>
      <c r="H263" s="27"/>
      <c r="I263" s="27"/>
      <c r="J263" s="26" t="str">
        <f t="shared" si="4"/>
        <v/>
      </c>
      <c r="K263" s="27">
        <v>1</v>
      </c>
      <c r="L263" s="27">
        <v>1</v>
      </c>
      <c r="N263" t="s">
        <v>90</v>
      </c>
    </row>
    <row r="264" spans="1:14">
      <c r="A264">
        <v>14</v>
      </c>
      <c r="B264">
        <v>132</v>
      </c>
      <c r="C264">
        <v>46361.625</v>
      </c>
      <c r="D264" t="s">
        <v>49</v>
      </c>
      <c r="E264" t="s">
        <v>41</v>
      </c>
      <c r="F264" t="s">
        <v>1742</v>
      </c>
      <c r="G264">
        <v>3</v>
      </c>
      <c r="H264" s="27"/>
      <c r="I264" s="27"/>
      <c r="J264" s="26" t="str">
        <f t="shared" si="4"/>
        <v/>
      </c>
      <c r="K264" s="27">
        <v>1</v>
      </c>
      <c r="L264" s="27">
        <v>1</v>
      </c>
      <c r="N264" t="s">
        <v>90</v>
      </c>
    </row>
    <row r="265" spans="1:14">
      <c r="A265">
        <v>14</v>
      </c>
      <c r="B265">
        <v>132</v>
      </c>
      <c r="C265">
        <v>46361.625</v>
      </c>
      <c r="D265" t="s">
        <v>41</v>
      </c>
      <c r="E265" t="s">
        <v>49</v>
      </c>
      <c r="F265" t="s">
        <v>1743</v>
      </c>
      <c r="G265">
        <v>2</v>
      </c>
      <c r="H265" s="27"/>
      <c r="I265" s="27"/>
      <c r="J265" s="26" t="str">
        <f t="shared" si="4"/>
        <v/>
      </c>
      <c r="K265" s="27">
        <v>1</v>
      </c>
      <c r="L265" s="27">
        <v>1</v>
      </c>
      <c r="N265" t="s">
        <v>90</v>
      </c>
    </row>
    <row r="266" spans="1:14">
      <c r="A266">
        <v>14</v>
      </c>
      <c r="B266">
        <v>133</v>
      </c>
      <c r="C266">
        <v>46361.625</v>
      </c>
      <c r="D266" t="s">
        <v>53</v>
      </c>
      <c r="E266" t="s">
        <v>42</v>
      </c>
      <c r="F266" t="s">
        <v>1742</v>
      </c>
      <c r="G266">
        <v>3</v>
      </c>
      <c r="H266" s="27"/>
      <c r="I266" s="27"/>
      <c r="J266" s="26" t="str">
        <f t="shared" si="4"/>
        <v/>
      </c>
      <c r="K266" s="27">
        <v>1</v>
      </c>
      <c r="L266" s="27">
        <v>1</v>
      </c>
      <c r="N266" t="s">
        <v>90</v>
      </c>
    </row>
    <row r="267" spans="1:14">
      <c r="A267">
        <v>14</v>
      </c>
      <c r="B267">
        <v>133</v>
      </c>
      <c r="C267">
        <v>46361.625</v>
      </c>
      <c r="D267" t="s">
        <v>42</v>
      </c>
      <c r="E267" t="s">
        <v>53</v>
      </c>
      <c r="F267" t="s">
        <v>1743</v>
      </c>
      <c r="G267">
        <v>4</v>
      </c>
      <c r="H267" s="27"/>
      <c r="I267" s="27"/>
      <c r="J267" s="26" t="str">
        <f t="shared" si="4"/>
        <v/>
      </c>
      <c r="K267" s="27">
        <v>1</v>
      </c>
      <c r="L267" s="27">
        <v>1</v>
      </c>
      <c r="N267" t="s">
        <v>90</v>
      </c>
    </row>
    <row r="268" spans="1:14">
      <c r="A268">
        <v>14</v>
      </c>
      <c r="B268">
        <v>134</v>
      </c>
      <c r="C268">
        <v>46361.625</v>
      </c>
      <c r="D268" t="s">
        <v>52</v>
      </c>
      <c r="E268" t="s">
        <v>44</v>
      </c>
      <c r="F268" t="s">
        <v>1742</v>
      </c>
      <c r="G268">
        <v>4</v>
      </c>
      <c r="H268" s="27"/>
      <c r="I268" s="27"/>
      <c r="J268" s="26" t="str">
        <f t="shared" si="4"/>
        <v/>
      </c>
      <c r="K268" s="27">
        <v>1</v>
      </c>
      <c r="L268" s="27">
        <v>1</v>
      </c>
      <c r="N268" t="s">
        <v>90</v>
      </c>
    </row>
    <row r="269" spans="1:14">
      <c r="A269">
        <v>14</v>
      </c>
      <c r="B269">
        <v>134</v>
      </c>
      <c r="C269">
        <v>46361.625</v>
      </c>
      <c r="D269" t="s">
        <v>44</v>
      </c>
      <c r="E269" t="s">
        <v>52</v>
      </c>
      <c r="F269" t="s">
        <v>1743</v>
      </c>
      <c r="G269">
        <v>4</v>
      </c>
      <c r="H269" s="27"/>
      <c r="I269" s="27"/>
      <c r="J269" s="26" t="str">
        <f t="shared" si="4"/>
        <v/>
      </c>
      <c r="K269" s="27">
        <v>1</v>
      </c>
      <c r="L269" s="27">
        <v>1</v>
      </c>
      <c r="N269" t="s">
        <v>90</v>
      </c>
    </row>
    <row r="270" spans="1:14">
      <c r="A270">
        <v>14</v>
      </c>
      <c r="B270">
        <v>135</v>
      </c>
      <c r="C270">
        <v>46361.625</v>
      </c>
      <c r="D270" t="s">
        <v>48</v>
      </c>
      <c r="E270" t="s">
        <v>47</v>
      </c>
      <c r="F270" t="s">
        <v>1742</v>
      </c>
      <c r="G270">
        <v>3</v>
      </c>
      <c r="H270" s="27"/>
      <c r="I270" s="27"/>
      <c r="J270" s="26" t="str">
        <f t="shared" si="4"/>
        <v/>
      </c>
      <c r="K270" s="27">
        <v>1</v>
      </c>
      <c r="L270" s="27">
        <v>1</v>
      </c>
      <c r="N270" t="s">
        <v>90</v>
      </c>
    </row>
    <row r="271" spans="1:14">
      <c r="A271">
        <v>14</v>
      </c>
      <c r="B271">
        <v>135</v>
      </c>
      <c r="C271">
        <v>46361.625</v>
      </c>
      <c r="D271" t="s">
        <v>47</v>
      </c>
      <c r="E271" t="s">
        <v>48</v>
      </c>
      <c r="F271" t="s">
        <v>1743</v>
      </c>
      <c r="G271">
        <v>2</v>
      </c>
      <c r="H271" s="27"/>
      <c r="I271" s="27"/>
      <c r="J271" s="26" t="str">
        <f t="shared" si="4"/>
        <v/>
      </c>
      <c r="K271" s="27">
        <v>1</v>
      </c>
      <c r="L271" s="27">
        <v>1</v>
      </c>
      <c r="N271" t="s">
        <v>90</v>
      </c>
    </row>
    <row r="272" spans="1:14">
      <c r="A272">
        <v>14</v>
      </c>
      <c r="B272">
        <v>136</v>
      </c>
      <c r="C272">
        <v>46361.625</v>
      </c>
      <c r="D272" t="s">
        <v>50</v>
      </c>
      <c r="E272" t="s">
        <v>51</v>
      </c>
      <c r="F272" t="s">
        <v>1742</v>
      </c>
      <c r="G272">
        <v>3</v>
      </c>
      <c r="H272" s="27"/>
      <c r="I272" s="27"/>
      <c r="J272" s="26" t="str">
        <f t="shared" si="4"/>
        <v/>
      </c>
      <c r="K272" s="27">
        <v>1</v>
      </c>
      <c r="L272" s="27">
        <v>1</v>
      </c>
      <c r="N272" t="s">
        <v>90</v>
      </c>
    </row>
    <row r="273" spans="1:14">
      <c r="A273">
        <v>14</v>
      </c>
      <c r="B273">
        <v>136</v>
      </c>
      <c r="C273">
        <v>46361.625</v>
      </c>
      <c r="D273" t="s">
        <v>51</v>
      </c>
      <c r="E273" t="s">
        <v>50</v>
      </c>
      <c r="F273" t="s">
        <v>1743</v>
      </c>
      <c r="G273">
        <v>2</v>
      </c>
      <c r="H273" s="27"/>
      <c r="I273" s="27"/>
      <c r="J273" s="26" t="str">
        <f t="shared" si="4"/>
        <v/>
      </c>
      <c r="K273" s="27">
        <v>1</v>
      </c>
      <c r="L273" s="27">
        <v>1</v>
      </c>
      <c r="N273" t="s">
        <v>90</v>
      </c>
    </row>
    <row r="274" spans="1:14">
      <c r="A274">
        <v>14</v>
      </c>
      <c r="B274">
        <v>137</v>
      </c>
      <c r="C274">
        <v>46361.625</v>
      </c>
      <c r="D274" t="s">
        <v>45</v>
      </c>
      <c r="E274" t="s">
        <v>54</v>
      </c>
      <c r="F274" t="s">
        <v>1742</v>
      </c>
      <c r="G274">
        <v>4</v>
      </c>
      <c r="H274" s="27"/>
      <c r="I274" s="27"/>
      <c r="J274" s="26" t="str">
        <f t="shared" si="4"/>
        <v/>
      </c>
      <c r="K274" s="27">
        <v>1</v>
      </c>
      <c r="L274" s="27">
        <v>1</v>
      </c>
      <c r="N274" t="s">
        <v>90</v>
      </c>
    </row>
    <row r="275" spans="1:14">
      <c r="A275">
        <v>14</v>
      </c>
      <c r="B275">
        <v>137</v>
      </c>
      <c r="C275">
        <v>46361.625</v>
      </c>
      <c r="D275" t="s">
        <v>54</v>
      </c>
      <c r="E275" t="s">
        <v>45</v>
      </c>
      <c r="F275" t="s">
        <v>1743</v>
      </c>
      <c r="G275">
        <v>2</v>
      </c>
      <c r="H275" s="27"/>
      <c r="I275" s="27"/>
      <c r="J275" s="26" t="str">
        <f t="shared" si="4"/>
        <v/>
      </c>
      <c r="K275" s="27">
        <v>1</v>
      </c>
      <c r="L275" s="27">
        <v>1</v>
      </c>
      <c r="N275" t="s">
        <v>90</v>
      </c>
    </row>
    <row r="276" spans="1:14">
      <c r="A276">
        <v>14</v>
      </c>
      <c r="B276">
        <v>138</v>
      </c>
      <c r="C276">
        <v>46361.625</v>
      </c>
      <c r="D276" t="s">
        <v>58</v>
      </c>
      <c r="E276" t="s">
        <v>55</v>
      </c>
      <c r="F276" t="s">
        <v>1742</v>
      </c>
      <c r="G276">
        <v>3</v>
      </c>
      <c r="H276" s="27"/>
      <c r="I276" s="27"/>
      <c r="J276" s="26" t="str">
        <f t="shared" si="4"/>
        <v/>
      </c>
      <c r="K276" s="27">
        <v>1</v>
      </c>
      <c r="L276" s="27">
        <v>1</v>
      </c>
      <c r="N276" t="s">
        <v>90</v>
      </c>
    </row>
    <row r="277" spans="1:14">
      <c r="A277">
        <v>14</v>
      </c>
      <c r="B277">
        <v>138</v>
      </c>
      <c r="C277">
        <v>46361.625</v>
      </c>
      <c r="D277" t="s">
        <v>55</v>
      </c>
      <c r="E277" t="s">
        <v>58</v>
      </c>
      <c r="F277" t="s">
        <v>1743</v>
      </c>
      <c r="G277">
        <v>2</v>
      </c>
      <c r="H277" s="27"/>
      <c r="I277" s="27"/>
      <c r="J277" s="26" t="str">
        <f t="shared" si="4"/>
        <v/>
      </c>
      <c r="K277" s="27">
        <v>1</v>
      </c>
      <c r="L277" s="27">
        <v>1</v>
      </c>
      <c r="N277" t="s">
        <v>90</v>
      </c>
    </row>
    <row r="278" spans="1:14">
      <c r="A278">
        <v>14</v>
      </c>
      <c r="B278">
        <v>139</v>
      </c>
      <c r="C278">
        <v>46361.625</v>
      </c>
      <c r="D278" t="s">
        <v>43</v>
      </c>
      <c r="E278" t="s">
        <v>56</v>
      </c>
      <c r="F278" t="s">
        <v>1742</v>
      </c>
      <c r="G278">
        <v>3</v>
      </c>
      <c r="H278" s="27"/>
      <c r="I278" s="27"/>
      <c r="J278" s="26" t="str">
        <f t="shared" si="4"/>
        <v/>
      </c>
      <c r="K278" s="27">
        <v>1</v>
      </c>
      <c r="L278" s="27">
        <v>1</v>
      </c>
      <c r="N278" t="s">
        <v>90</v>
      </c>
    </row>
    <row r="279" spans="1:14">
      <c r="A279">
        <v>14</v>
      </c>
      <c r="B279">
        <v>139</v>
      </c>
      <c r="C279">
        <v>46361.625</v>
      </c>
      <c r="D279" t="s">
        <v>56</v>
      </c>
      <c r="E279" t="s">
        <v>43</v>
      </c>
      <c r="F279" t="s">
        <v>1743</v>
      </c>
      <c r="G279">
        <v>2</v>
      </c>
      <c r="H279" s="27"/>
      <c r="I279" s="27"/>
      <c r="J279" s="26" t="str">
        <f t="shared" si="4"/>
        <v/>
      </c>
      <c r="K279" s="27">
        <v>1</v>
      </c>
      <c r="L279" s="27">
        <v>1</v>
      </c>
      <c r="N279" t="s">
        <v>90</v>
      </c>
    </row>
    <row r="280" spans="1:14">
      <c r="A280">
        <v>14</v>
      </c>
      <c r="B280">
        <v>140</v>
      </c>
      <c r="C280">
        <v>46361.625</v>
      </c>
      <c r="D280" t="s">
        <v>39</v>
      </c>
      <c r="E280" t="s">
        <v>57</v>
      </c>
      <c r="F280" t="s">
        <v>1742</v>
      </c>
      <c r="G280">
        <v>3</v>
      </c>
      <c r="H280" s="27"/>
      <c r="I280" s="27"/>
      <c r="J280" s="26" t="str">
        <f t="shared" si="4"/>
        <v/>
      </c>
      <c r="K280" s="27">
        <v>1</v>
      </c>
      <c r="L280" s="27">
        <v>1</v>
      </c>
      <c r="N280" t="s">
        <v>90</v>
      </c>
    </row>
    <row r="281" spans="1:14">
      <c r="A281">
        <v>14</v>
      </c>
      <c r="B281">
        <v>140</v>
      </c>
      <c r="C281">
        <v>46361.625</v>
      </c>
      <c r="D281" t="s">
        <v>57</v>
      </c>
      <c r="E281" t="s">
        <v>39</v>
      </c>
      <c r="F281" t="s">
        <v>1743</v>
      </c>
      <c r="G281">
        <v>4</v>
      </c>
      <c r="H281" s="27"/>
      <c r="I281" s="27"/>
      <c r="J281" s="26" t="str">
        <f t="shared" si="4"/>
        <v/>
      </c>
      <c r="K281" s="27">
        <v>1</v>
      </c>
      <c r="L281" s="27">
        <v>1</v>
      </c>
      <c r="N281" t="s">
        <v>90</v>
      </c>
    </row>
    <row r="282" spans="1:14">
      <c r="A282">
        <v>15</v>
      </c>
      <c r="B282">
        <v>141</v>
      </c>
      <c r="C282">
        <v>46368.625</v>
      </c>
      <c r="D282" t="s">
        <v>41</v>
      </c>
      <c r="E282" t="s">
        <v>39</v>
      </c>
      <c r="F282" t="s">
        <v>1742</v>
      </c>
      <c r="G282">
        <v>5</v>
      </c>
      <c r="H282" s="27"/>
      <c r="I282" s="27"/>
      <c r="J282" s="26" t="str">
        <f t="shared" si="4"/>
        <v/>
      </c>
      <c r="K282" s="27">
        <v>1</v>
      </c>
      <c r="L282" s="27">
        <v>1</v>
      </c>
      <c r="N282" t="s">
        <v>90</v>
      </c>
    </row>
    <row r="283" spans="1:14">
      <c r="A283">
        <v>15</v>
      </c>
      <c r="B283">
        <v>141</v>
      </c>
      <c r="C283">
        <v>46368.625</v>
      </c>
      <c r="D283" t="s">
        <v>39</v>
      </c>
      <c r="E283" t="s">
        <v>41</v>
      </c>
      <c r="F283" t="s">
        <v>1743</v>
      </c>
      <c r="G283">
        <v>3</v>
      </c>
      <c r="H283" s="27"/>
      <c r="I283" s="27"/>
      <c r="J283" s="26" t="str">
        <f t="shared" si="4"/>
        <v/>
      </c>
      <c r="K283" s="27">
        <v>1</v>
      </c>
      <c r="L283" s="27">
        <v>1</v>
      </c>
      <c r="N283" t="s">
        <v>90</v>
      </c>
    </row>
    <row r="284" spans="1:14">
      <c r="A284">
        <v>15</v>
      </c>
      <c r="B284">
        <v>142</v>
      </c>
      <c r="C284">
        <v>46368.625</v>
      </c>
      <c r="D284" t="s">
        <v>47</v>
      </c>
      <c r="E284" t="s">
        <v>43</v>
      </c>
      <c r="F284" t="s">
        <v>1742</v>
      </c>
      <c r="G284">
        <v>3</v>
      </c>
      <c r="H284" s="27"/>
      <c r="I284" s="27"/>
      <c r="J284" s="26" t="str">
        <f t="shared" si="4"/>
        <v/>
      </c>
      <c r="K284" s="27">
        <v>1</v>
      </c>
      <c r="L284" s="27">
        <v>1</v>
      </c>
      <c r="N284" t="s">
        <v>90</v>
      </c>
    </row>
    <row r="285" spans="1:14">
      <c r="A285">
        <v>15</v>
      </c>
      <c r="B285">
        <v>142</v>
      </c>
      <c r="C285">
        <v>46368.625</v>
      </c>
      <c r="D285" t="s">
        <v>43</v>
      </c>
      <c r="E285" t="s">
        <v>47</v>
      </c>
      <c r="F285" t="s">
        <v>1743</v>
      </c>
      <c r="G285">
        <v>3</v>
      </c>
      <c r="H285" s="27"/>
      <c r="I285" s="27"/>
      <c r="J285" s="26" t="str">
        <f t="shared" si="4"/>
        <v/>
      </c>
      <c r="K285" s="27">
        <v>1</v>
      </c>
      <c r="L285" s="27">
        <v>1</v>
      </c>
      <c r="N285" t="s">
        <v>90</v>
      </c>
    </row>
    <row r="286" spans="1:14">
      <c r="A286">
        <v>15</v>
      </c>
      <c r="B286">
        <v>143</v>
      </c>
      <c r="C286">
        <v>46368.625</v>
      </c>
      <c r="D286" t="s">
        <v>40</v>
      </c>
      <c r="E286" t="s">
        <v>45</v>
      </c>
      <c r="F286" t="s">
        <v>1742</v>
      </c>
      <c r="G286">
        <v>2</v>
      </c>
      <c r="H286" s="27"/>
      <c r="I286" s="27"/>
      <c r="J286" s="26" t="str">
        <f t="shared" si="4"/>
        <v/>
      </c>
      <c r="K286" s="27">
        <v>1</v>
      </c>
      <c r="L286" s="27">
        <v>1</v>
      </c>
      <c r="N286" t="s">
        <v>90</v>
      </c>
    </row>
    <row r="287" spans="1:14">
      <c r="A287">
        <v>15</v>
      </c>
      <c r="B287">
        <v>143</v>
      </c>
      <c r="C287">
        <v>46368.625</v>
      </c>
      <c r="D287" t="s">
        <v>45</v>
      </c>
      <c r="E287" t="s">
        <v>40</v>
      </c>
      <c r="F287" t="s">
        <v>1743</v>
      </c>
      <c r="G287">
        <v>3</v>
      </c>
      <c r="H287" s="27"/>
      <c r="I287" s="27"/>
      <c r="J287" s="26" t="str">
        <f t="shared" si="4"/>
        <v/>
      </c>
      <c r="K287" s="27">
        <v>1</v>
      </c>
      <c r="L287" s="27">
        <v>1</v>
      </c>
      <c r="N287" t="s">
        <v>90</v>
      </c>
    </row>
    <row r="288" spans="1:14">
      <c r="A288">
        <v>15</v>
      </c>
      <c r="B288">
        <v>144</v>
      </c>
      <c r="C288">
        <v>46368.625</v>
      </c>
      <c r="D288" t="s">
        <v>54</v>
      </c>
      <c r="E288" t="s">
        <v>46</v>
      </c>
      <c r="F288" t="s">
        <v>1742</v>
      </c>
      <c r="G288">
        <v>3</v>
      </c>
      <c r="H288" s="27"/>
      <c r="I288" s="27"/>
      <c r="J288" s="26" t="str">
        <f t="shared" si="4"/>
        <v/>
      </c>
      <c r="K288" s="27">
        <v>1</v>
      </c>
      <c r="L288" s="27">
        <v>1</v>
      </c>
      <c r="N288" t="s">
        <v>90</v>
      </c>
    </row>
    <row r="289" spans="1:14">
      <c r="A289">
        <v>15</v>
      </c>
      <c r="B289">
        <v>144</v>
      </c>
      <c r="C289">
        <v>46368.625</v>
      </c>
      <c r="D289" t="s">
        <v>46</v>
      </c>
      <c r="E289" t="s">
        <v>54</v>
      </c>
      <c r="F289" t="s">
        <v>1743</v>
      </c>
      <c r="G289">
        <v>4</v>
      </c>
      <c r="H289" s="27"/>
      <c r="I289" s="27"/>
      <c r="J289" s="26" t="str">
        <f t="shared" si="4"/>
        <v/>
      </c>
      <c r="K289" s="27">
        <v>1</v>
      </c>
      <c r="L289" s="27">
        <v>1</v>
      </c>
      <c r="N289" t="s">
        <v>90</v>
      </c>
    </row>
    <row r="290" spans="1:14">
      <c r="A290">
        <v>15</v>
      </c>
      <c r="B290">
        <v>145</v>
      </c>
      <c r="C290">
        <v>46368.625</v>
      </c>
      <c r="D290" t="s">
        <v>42</v>
      </c>
      <c r="E290" t="s">
        <v>48</v>
      </c>
      <c r="F290" t="s">
        <v>1742</v>
      </c>
      <c r="G290">
        <v>3</v>
      </c>
      <c r="H290" s="27"/>
      <c r="I290" s="27"/>
      <c r="J290" s="26" t="str">
        <f t="shared" si="4"/>
        <v/>
      </c>
      <c r="K290" s="27">
        <v>1</v>
      </c>
      <c r="L290" s="27">
        <v>1</v>
      </c>
      <c r="N290" t="s">
        <v>90</v>
      </c>
    </row>
    <row r="291" spans="1:14">
      <c r="A291">
        <v>15</v>
      </c>
      <c r="B291">
        <v>145</v>
      </c>
      <c r="C291">
        <v>46368.625</v>
      </c>
      <c r="D291" t="s">
        <v>48</v>
      </c>
      <c r="E291" t="s">
        <v>42</v>
      </c>
      <c r="F291" t="s">
        <v>1743</v>
      </c>
      <c r="G291">
        <v>3</v>
      </c>
      <c r="H291" s="27"/>
      <c r="I291" s="27"/>
      <c r="J291" s="26" t="str">
        <f t="shared" si="4"/>
        <v/>
      </c>
      <c r="K291" s="27">
        <v>1</v>
      </c>
      <c r="L291" s="27">
        <v>1</v>
      </c>
      <c r="N291" t="s">
        <v>90</v>
      </c>
    </row>
    <row r="292" spans="1:14">
      <c r="A292">
        <v>15</v>
      </c>
      <c r="B292">
        <v>146</v>
      </c>
      <c r="C292">
        <v>46368.625</v>
      </c>
      <c r="D292" t="s">
        <v>57</v>
      </c>
      <c r="E292" t="s">
        <v>49</v>
      </c>
      <c r="F292" t="s">
        <v>1742</v>
      </c>
      <c r="G292">
        <v>2</v>
      </c>
      <c r="H292" s="27"/>
      <c r="I292" s="27"/>
      <c r="J292" s="26" t="str">
        <f t="shared" si="4"/>
        <v/>
      </c>
      <c r="K292" s="27">
        <v>1</v>
      </c>
      <c r="L292" s="27">
        <v>1</v>
      </c>
      <c r="N292" t="s">
        <v>90</v>
      </c>
    </row>
    <row r="293" spans="1:14">
      <c r="A293">
        <v>15</v>
      </c>
      <c r="B293">
        <v>146</v>
      </c>
      <c r="C293">
        <v>46368.625</v>
      </c>
      <c r="D293" t="s">
        <v>49</v>
      </c>
      <c r="E293" t="s">
        <v>57</v>
      </c>
      <c r="F293" t="s">
        <v>1743</v>
      </c>
      <c r="G293">
        <v>3</v>
      </c>
      <c r="H293" s="27"/>
      <c r="I293" s="27"/>
      <c r="J293" s="26" t="str">
        <f t="shared" si="4"/>
        <v/>
      </c>
      <c r="K293" s="27">
        <v>1</v>
      </c>
      <c r="L293" s="27">
        <v>1</v>
      </c>
      <c r="N293" t="s">
        <v>90</v>
      </c>
    </row>
    <row r="294" spans="1:14">
      <c r="A294">
        <v>15</v>
      </c>
      <c r="B294">
        <v>147</v>
      </c>
      <c r="C294">
        <v>46368.625</v>
      </c>
      <c r="D294" t="s">
        <v>55</v>
      </c>
      <c r="E294" t="s">
        <v>50</v>
      </c>
      <c r="F294" t="s">
        <v>1742</v>
      </c>
      <c r="G294">
        <v>2</v>
      </c>
      <c r="H294" s="27"/>
      <c r="I294" s="27"/>
      <c r="J294" s="26" t="str">
        <f t="shared" si="4"/>
        <v/>
      </c>
      <c r="K294" s="27">
        <v>1</v>
      </c>
      <c r="L294" s="27">
        <v>1</v>
      </c>
      <c r="N294" t="s">
        <v>90</v>
      </c>
    </row>
    <row r="295" spans="1:14">
      <c r="A295">
        <v>15</v>
      </c>
      <c r="B295">
        <v>147</v>
      </c>
      <c r="C295">
        <v>46368.625</v>
      </c>
      <c r="D295" t="s">
        <v>50</v>
      </c>
      <c r="E295" t="s">
        <v>55</v>
      </c>
      <c r="F295" t="s">
        <v>1743</v>
      </c>
      <c r="G295">
        <v>2</v>
      </c>
      <c r="H295" s="27"/>
      <c r="I295" s="27"/>
      <c r="J295" s="26" t="str">
        <f t="shared" si="4"/>
        <v/>
      </c>
      <c r="K295" s="27">
        <v>1</v>
      </c>
      <c r="L295" s="27">
        <v>1</v>
      </c>
      <c r="N295" t="s">
        <v>90</v>
      </c>
    </row>
    <row r="296" spans="1:14">
      <c r="A296">
        <v>15</v>
      </c>
      <c r="B296">
        <v>148</v>
      </c>
      <c r="C296">
        <v>46368.625</v>
      </c>
      <c r="D296" t="s">
        <v>51</v>
      </c>
      <c r="E296" t="s">
        <v>52</v>
      </c>
      <c r="F296" t="s">
        <v>1742</v>
      </c>
      <c r="G296">
        <v>4</v>
      </c>
      <c r="H296" s="27"/>
      <c r="I296" s="27"/>
      <c r="J296" s="26" t="str">
        <f t="shared" si="4"/>
        <v/>
      </c>
      <c r="K296" s="27">
        <v>1</v>
      </c>
      <c r="L296" s="27">
        <v>1</v>
      </c>
      <c r="N296" t="s">
        <v>90</v>
      </c>
    </row>
    <row r="297" spans="1:14">
      <c r="A297">
        <v>15</v>
      </c>
      <c r="B297">
        <v>148</v>
      </c>
      <c r="C297">
        <v>46368.625</v>
      </c>
      <c r="D297" t="s">
        <v>52</v>
      </c>
      <c r="E297" t="s">
        <v>51</v>
      </c>
      <c r="F297" t="s">
        <v>1743</v>
      </c>
      <c r="G297">
        <v>2</v>
      </c>
      <c r="H297" s="27"/>
      <c r="I297" s="27"/>
      <c r="J297" s="26" t="str">
        <f t="shared" si="4"/>
        <v/>
      </c>
      <c r="K297" s="27">
        <v>1</v>
      </c>
      <c r="L297" s="27">
        <v>1</v>
      </c>
      <c r="N297" t="s">
        <v>90</v>
      </c>
    </row>
    <row r="298" spans="1:14">
      <c r="A298">
        <v>15</v>
      </c>
      <c r="B298">
        <v>149</v>
      </c>
      <c r="C298">
        <v>46368.625</v>
      </c>
      <c r="D298" t="s">
        <v>44</v>
      </c>
      <c r="E298" t="s">
        <v>53</v>
      </c>
      <c r="F298" t="s">
        <v>1742</v>
      </c>
      <c r="G298">
        <v>5</v>
      </c>
      <c r="H298" s="27"/>
      <c r="I298" s="27"/>
      <c r="J298" s="26" t="str">
        <f t="shared" si="4"/>
        <v/>
      </c>
      <c r="K298" s="27">
        <v>1</v>
      </c>
      <c r="L298" s="27">
        <v>1</v>
      </c>
      <c r="N298" t="s">
        <v>90</v>
      </c>
    </row>
    <row r="299" spans="1:14">
      <c r="A299">
        <v>15</v>
      </c>
      <c r="B299">
        <v>149</v>
      </c>
      <c r="C299">
        <v>46368.625</v>
      </c>
      <c r="D299" t="s">
        <v>53</v>
      </c>
      <c r="E299" t="s">
        <v>44</v>
      </c>
      <c r="F299" t="s">
        <v>1743</v>
      </c>
      <c r="G299">
        <v>4</v>
      </c>
      <c r="H299" s="27"/>
      <c r="I299" s="27"/>
      <c r="J299" s="26" t="str">
        <f t="shared" si="4"/>
        <v/>
      </c>
      <c r="K299" s="27">
        <v>1</v>
      </c>
      <c r="L299" s="27">
        <v>1</v>
      </c>
      <c r="N299" t="s">
        <v>90</v>
      </c>
    </row>
    <row r="300" spans="1:14">
      <c r="A300">
        <v>15</v>
      </c>
      <c r="B300">
        <v>150</v>
      </c>
      <c r="C300">
        <v>46368.625</v>
      </c>
      <c r="D300" t="s">
        <v>56</v>
      </c>
      <c r="E300" t="s">
        <v>58</v>
      </c>
      <c r="F300" t="s">
        <v>1742</v>
      </c>
      <c r="G300">
        <v>3</v>
      </c>
      <c r="H300" s="27"/>
      <c r="I300" s="27"/>
      <c r="J300" s="26" t="str">
        <f t="shared" si="4"/>
        <v/>
      </c>
      <c r="K300" s="27">
        <v>1</v>
      </c>
      <c r="L300" s="27">
        <v>1</v>
      </c>
      <c r="N300" t="s">
        <v>90</v>
      </c>
    </row>
    <row r="301" spans="1:14">
      <c r="A301">
        <v>15</v>
      </c>
      <c r="B301">
        <v>150</v>
      </c>
      <c r="C301">
        <v>46368.625</v>
      </c>
      <c r="D301" t="s">
        <v>58</v>
      </c>
      <c r="E301" t="s">
        <v>56</v>
      </c>
      <c r="F301" t="s">
        <v>1743</v>
      </c>
      <c r="G301">
        <v>3</v>
      </c>
      <c r="H301" s="27"/>
      <c r="I301" s="27"/>
      <c r="J301" s="26" t="str">
        <f t="shared" si="4"/>
        <v/>
      </c>
      <c r="K301" s="27">
        <v>1</v>
      </c>
      <c r="L301" s="27">
        <v>1</v>
      </c>
      <c r="N301" t="s">
        <v>90</v>
      </c>
    </row>
    <row r="302" spans="1:14">
      <c r="A302">
        <v>16</v>
      </c>
      <c r="B302">
        <v>151</v>
      </c>
      <c r="C302">
        <v>46375.625</v>
      </c>
      <c r="D302" t="s">
        <v>54</v>
      </c>
      <c r="E302" t="s">
        <v>39</v>
      </c>
      <c r="F302" t="s">
        <v>1742</v>
      </c>
      <c r="G302">
        <v>5</v>
      </c>
      <c r="H302" s="27"/>
      <c r="I302" s="27"/>
      <c r="J302" s="26" t="str">
        <f t="shared" si="4"/>
        <v/>
      </c>
      <c r="K302" s="27">
        <v>1</v>
      </c>
      <c r="L302" s="27">
        <v>1</v>
      </c>
      <c r="N302" t="s">
        <v>90</v>
      </c>
    </row>
    <row r="303" spans="1:14">
      <c r="A303">
        <v>16</v>
      </c>
      <c r="B303">
        <v>151</v>
      </c>
      <c r="C303">
        <v>46375.625</v>
      </c>
      <c r="D303" t="s">
        <v>39</v>
      </c>
      <c r="E303" t="s">
        <v>54</v>
      </c>
      <c r="F303" t="s">
        <v>1743</v>
      </c>
      <c r="G303">
        <v>4</v>
      </c>
      <c r="H303" s="27"/>
      <c r="I303" s="27"/>
      <c r="J303" s="26" t="str">
        <f t="shared" si="4"/>
        <v/>
      </c>
      <c r="K303" s="27">
        <v>1</v>
      </c>
      <c r="L303" s="27">
        <v>1</v>
      </c>
      <c r="N303" t="s">
        <v>90</v>
      </c>
    </row>
    <row r="304" spans="1:14">
      <c r="A304">
        <v>16</v>
      </c>
      <c r="B304">
        <v>152</v>
      </c>
      <c r="C304">
        <v>46375.625</v>
      </c>
      <c r="D304" t="s">
        <v>45</v>
      </c>
      <c r="E304" t="s">
        <v>41</v>
      </c>
      <c r="F304" t="s">
        <v>1742</v>
      </c>
      <c r="G304">
        <v>3</v>
      </c>
      <c r="H304" s="27"/>
      <c r="I304" s="27"/>
      <c r="J304" s="26" t="str">
        <f t="shared" si="4"/>
        <v/>
      </c>
      <c r="K304" s="27">
        <v>1</v>
      </c>
      <c r="L304" s="27">
        <v>1</v>
      </c>
      <c r="N304" t="s">
        <v>90</v>
      </c>
    </row>
    <row r="305" spans="1:14">
      <c r="A305">
        <v>16</v>
      </c>
      <c r="B305">
        <v>152</v>
      </c>
      <c r="C305">
        <v>46375.625</v>
      </c>
      <c r="D305" t="s">
        <v>41</v>
      </c>
      <c r="E305" t="s">
        <v>45</v>
      </c>
      <c r="F305" t="s">
        <v>1743</v>
      </c>
      <c r="G305">
        <v>2</v>
      </c>
      <c r="H305" s="27"/>
      <c r="I305" s="27"/>
      <c r="J305" s="26" t="str">
        <f t="shared" si="4"/>
        <v/>
      </c>
      <c r="K305" s="27">
        <v>1</v>
      </c>
      <c r="L305" s="27">
        <v>1</v>
      </c>
      <c r="N305" t="s">
        <v>90</v>
      </c>
    </row>
    <row r="306" spans="1:14">
      <c r="A306">
        <v>16</v>
      </c>
      <c r="B306">
        <v>153</v>
      </c>
      <c r="C306">
        <v>46375.625</v>
      </c>
      <c r="D306" t="s">
        <v>55</v>
      </c>
      <c r="E306" t="s">
        <v>42</v>
      </c>
      <c r="F306" t="s">
        <v>1742</v>
      </c>
      <c r="G306">
        <v>3</v>
      </c>
      <c r="H306" s="27"/>
      <c r="I306" s="27"/>
      <c r="J306" s="26" t="str">
        <f t="shared" si="4"/>
        <v/>
      </c>
      <c r="K306" s="27">
        <v>1</v>
      </c>
      <c r="L306" s="27">
        <v>1</v>
      </c>
      <c r="N306" t="s">
        <v>90</v>
      </c>
    </row>
    <row r="307" spans="1:14">
      <c r="A307">
        <v>16</v>
      </c>
      <c r="B307">
        <v>153</v>
      </c>
      <c r="C307">
        <v>46375.625</v>
      </c>
      <c r="D307" t="s">
        <v>42</v>
      </c>
      <c r="E307" t="s">
        <v>55</v>
      </c>
      <c r="F307" t="s">
        <v>1743</v>
      </c>
      <c r="G307">
        <v>2</v>
      </c>
      <c r="H307" s="27"/>
      <c r="I307" s="27"/>
      <c r="J307" s="26" t="str">
        <f t="shared" si="4"/>
        <v/>
      </c>
      <c r="K307" s="27">
        <v>1</v>
      </c>
      <c r="L307" s="27">
        <v>1</v>
      </c>
      <c r="N307" t="s">
        <v>90</v>
      </c>
    </row>
    <row r="308" spans="1:14">
      <c r="A308">
        <v>16</v>
      </c>
      <c r="B308">
        <v>154</v>
      </c>
      <c r="C308">
        <v>46375.625</v>
      </c>
      <c r="D308" t="s">
        <v>50</v>
      </c>
      <c r="E308" t="s">
        <v>43</v>
      </c>
      <c r="F308" t="s">
        <v>1742</v>
      </c>
      <c r="G308">
        <v>3</v>
      </c>
      <c r="H308" s="27"/>
      <c r="I308" s="27"/>
      <c r="J308" s="26" t="str">
        <f t="shared" si="4"/>
        <v/>
      </c>
      <c r="K308" s="27">
        <v>1</v>
      </c>
      <c r="L308" s="27">
        <v>1</v>
      </c>
      <c r="N308" t="s">
        <v>90</v>
      </c>
    </row>
    <row r="309" spans="1:14">
      <c r="A309">
        <v>16</v>
      </c>
      <c r="B309">
        <v>154</v>
      </c>
      <c r="C309">
        <v>46375.625</v>
      </c>
      <c r="D309" t="s">
        <v>43</v>
      </c>
      <c r="E309" t="s">
        <v>50</v>
      </c>
      <c r="F309" t="s">
        <v>1743</v>
      </c>
      <c r="G309">
        <v>2</v>
      </c>
      <c r="H309" s="27"/>
      <c r="I309" s="27"/>
      <c r="J309" s="26" t="str">
        <f t="shared" si="4"/>
        <v/>
      </c>
      <c r="K309" s="27">
        <v>1</v>
      </c>
      <c r="L309" s="27">
        <v>1</v>
      </c>
      <c r="N309" t="s">
        <v>90</v>
      </c>
    </row>
    <row r="310" spans="1:14">
      <c r="A310">
        <v>16</v>
      </c>
      <c r="B310">
        <v>155</v>
      </c>
      <c r="C310">
        <v>46375.625</v>
      </c>
      <c r="D310" t="s">
        <v>40</v>
      </c>
      <c r="E310" t="s">
        <v>44</v>
      </c>
      <c r="F310" t="s">
        <v>1742</v>
      </c>
      <c r="G310">
        <v>4</v>
      </c>
      <c r="H310" s="27"/>
      <c r="I310" s="27"/>
      <c r="J310" s="26" t="str">
        <f t="shared" si="4"/>
        <v/>
      </c>
      <c r="K310" s="27">
        <v>1</v>
      </c>
      <c r="L310" s="27">
        <v>1</v>
      </c>
      <c r="N310" t="s">
        <v>90</v>
      </c>
    </row>
    <row r="311" spans="1:14">
      <c r="A311">
        <v>16</v>
      </c>
      <c r="B311">
        <v>155</v>
      </c>
      <c r="C311">
        <v>46375.625</v>
      </c>
      <c r="D311" t="s">
        <v>44</v>
      </c>
      <c r="E311" t="s">
        <v>40</v>
      </c>
      <c r="F311" t="s">
        <v>1743</v>
      </c>
      <c r="G311">
        <v>3</v>
      </c>
      <c r="H311" s="27"/>
      <c r="I311" s="27"/>
      <c r="J311" s="26" t="str">
        <f t="shared" si="4"/>
        <v/>
      </c>
      <c r="K311" s="27">
        <v>1</v>
      </c>
      <c r="L311" s="27">
        <v>1</v>
      </c>
      <c r="N311" t="s">
        <v>90</v>
      </c>
    </row>
    <row r="312" spans="1:14">
      <c r="A312">
        <v>16</v>
      </c>
      <c r="B312">
        <v>156</v>
      </c>
      <c r="C312">
        <v>46375.625</v>
      </c>
      <c r="D312" t="s">
        <v>48</v>
      </c>
      <c r="E312" t="s">
        <v>51</v>
      </c>
      <c r="F312" t="s">
        <v>1742</v>
      </c>
      <c r="G312">
        <v>3</v>
      </c>
      <c r="H312" s="27"/>
      <c r="I312" s="27"/>
      <c r="J312" s="26" t="str">
        <f t="shared" si="4"/>
        <v/>
      </c>
      <c r="K312" s="27">
        <v>1</v>
      </c>
      <c r="L312" s="27">
        <v>1</v>
      </c>
      <c r="N312" t="s">
        <v>90</v>
      </c>
    </row>
    <row r="313" spans="1:14">
      <c r="A313">
        <v>16</v>
      </c>
      <c r="B313">
        <v>156</v>
      </c>
      <c r="C313">
        <v>46375.625</v>
      </c>
      <c r="D313" t="s">
        <v>51</v>
      </c>
      <c r="E313" t="s">
        <v>48</v>
      </c>
      <c r="F313" t="s">
        <v>1743</v>
      </c>
      <c r="G313">
        <v>2</v>
      </c>
      <c r="H313" s="27"/>
      <c r="I313" s="27"/>
      <c r="J313" s="26" t="str">
        <f t="shared" si="4"/>
        <v/>
      </c>
      <c r="K313" s="27">
        <v>1</v>
      </c>
      <c r="L313" s="27">
        <v>1</v>
      </c>
      <c r="N313" t="s">
        <v>90</v>
      </c>
    </row>
    <row r="314" spans="1:14">
      <c r="A314">
        <v>16</v>
      </c>
      <c r="B314">
        <v>157</v>
      </c>
      <c r="C314">
        <v>46375.625</v>
      </c>
      <c r="D314" t="s">
        <v>57</v>
      </c>
      <c r="E314" t="s">
        <v>52</v>
      </c>
      <c r="F314" t="s">
        <v>1742</v>
      </c>
      <c r="G314">
        <v>4</v>
      </c>
      <c r="H314" s="27"/>
      <c r="I314" s="27"/>
      <c r="J314" s="26" t="str">
        <f t="shared" si="4"/>
        <v/>
      </c>
      <c r="K314" s="27">
        <v>1</v>
      </c>
      <c r="L314" s="27">
        <v>1</v>
      </c>
      <c r="N314" t="s">
        <v>90</v>
      </c>
    </row>
    <row r="315" spans="1:14">
      <c r="A315">
        <v>16</v>
      </c>
      <c r="B315">
        <v>157</v>
      </c>
      <c r="C315">
        <v>46375.625</v>
      </c>
      <c r="D315" t="s">
        <v>52</v>
      </c>
      <c r="E315" t="s">
        <v>57</v>
      </c>
      <c r="F315" t="s">
        <v>1743</v>
      </c>
      <c r="G315">
        <v>3</v>
      </c>
      <c r="H315" s="27"/>
      <c r="I315" s="27"/>
      <c r="J315" s="26" t="str">
        <f t="shared" si="4"/>
        <v/>
      </c>
      <c r="K315" s="27">
        <v>1</v>
      </c>
      <c r="L315" s="27">
        <v>1</v>
      </c>
      <c r="N315" t="s">
        <v>90</v>
      </c>
    </row>
    <row r="316" spans="1:14">
      <c r="A316">
        <v>16</v>
      </c>
      <c r="B316">
        <v>158</v>
      </c>
      <c r="C316">
        <v>46375.625</v>
      </c>
      <c r="D316" t="s">
        <v>49</v>
      </c>
      <c r="E316" t="s">
        <v>53</v>
      </c>
      <c r="F316" t="s">
        <v>1742</v>
      </c>
      <c r="G316">
        <v>5</v>
      </c>
      <c r="H316" s="27"/>
      <c r="I316" s="27"/>
      <c r="J316" s="26" t="str">
        <f t="shared" si="4"/>
        <v/>
      </c>
      <c r="K316" s="27">
        <v>1</v>
      </c>
      <c r="L316" s="27">
        <v>1</v>
      </c>
      <c r="N316" t="s">
        <v>90</v>
      </c>
    </row>
    <row r="317" spans="1:14">
      <c r="A317">
        <v>16</v>
      </c>
      <c r="B317">
        <v>158</v>
      </c>
      <c r="C317">
        <v>46375.625</v>
      </c>
      <c r="D317" t="s">
        <v>53</v>
      </c>
      <c r="E317" t="s">
        <v>49</v>
      </c>
      <c r="F317" t="s">
        <v>1743</v>
      </c>
      <c r="G317">
        <v>2</v>
      </c>
      <c r="H317" s="27"/>
      <c r="I317" s="27"/>
      <c r="J317" s="26" t="str">
        <f t="shared" si="4"/>
        <v/>
      </c>
      <c r="K317" s="27">
        <v>1</v>
      </c>
      <c r="L317" s="27">
        <v>1</v>
      </c>
      <c r="N317" t="s">
        <v>90</v>
      </c>
    </row>
    <row r="318" spans="1:14">
      <c r="A318">
        <v>16</v>
      </c>
      <c r="B318">
        <v>159</v>
      </c>
      <c r="C318">
        <v>46375.625</v>
      </c>
      <c r="D318" t="s">
        <v>47</v>
      </c>
      <c r="E318" t="s">
        <v>56</v>
      </c>
      <c r="F318" t="s">
        <v>1742</v>
      </c>
      <c r="G318">
        <v>3</v>
      </c>
      <c r="H318" s="27"/>
      <c r="I318" s="27"/>
      <c r="J318" s="26" t="str">
        <f t="shared" si="4"/>
        <v/>
      </c>
      <c r="K318" s="27">
        <v>1</v>
      </c>
      <c r="L318" s="27">
        <v>1</v>
      </c>
      <c r="N318" t="s">
        <v>90</v>
      </c>
    </row>
    <row r="319" spans="1:14">
      <c r="A319">
        <v>16</v>
      </c>
      <c r="B319">
        <v>159</v>
      </c>
      <c r="C319">
        <v>46375.625</v>
      </c>
      <c r="D319" t="s">
        <v>56</v>
      </c>
      <c r="E319" t="s">
        <v>47</v>
      </c>
      <c r="F319" t="s">
        <v>1743</v>
      </c>
      <c r="G319">
        <v>3</v>
      </c>
      <c r="H319" s="27"/>
      <c r="I319" s="27"/>
      <c r="J319" s="26" t="str">
        <f t="shared" si="4"/>
        <v/>
      </c>
      <c r="K319" s="27">
        <v>1</v>
      </c>
      <c r="L319" s="27">
        <v>1</v>
      </c>
      <c r="N319" t="s">
        <v>90</v>
      </c>
    </row>
    <row r="320" spans="1:14">
      <c r="A320">
        <v>16</v>
      </c>
      <c r="B320">
        <v>160</v>
      </c>
      <c r="C320">
        <v>46375.625</v>
      </c>
      <c r="D320" t="s">
        <v>46</v>
      </c>
      <c r="E320" t="s">
        <v>58</v>
      </c>
      <c r="F320" t="s">
        <v>1742</v>
      </c>
      <c r="G320">
        <v>3</v>
      </c>
      <c r="H320" s="27"/>
      <c r="I320" s="27"/>
      <c r="J320" s="26" t="str">
        <f t="shared" si="4"/>
        <v/>
      </c>
      <c r="K320" s="27">
        <v>1</v>
      </c>
      <c r="L320" s="27">
        <v>1</v>
      </c>
      <c r="N320" t="s">
        <v>90</v>
      </c>
    </row>
    <row r="321" spans="1:14">
      <c r="A321">
        <v>16</v>
      </c>
      <c r="B321">
        <v>160</v>
      </c>
      <c r="C321">
        <v>46375.625</v>
      </c>
      <c r="D321" t="s">
        <v>58</v>
      </c>
      <c r="E321" t="s">
        <v>46</v>
      </c>
      <c r="F321" t="s">
        <v>1743</v>
      </c>
      <c r="G321">
        <v>3</v>
      </c>
      <c r="H321" s="27"/>
      <c r="I321" s="27"/>
      <c r="J321" s="26" t="str">
        <f t="shared" si="4"/>
        <v/>
      </c>
      <c r="K321" s="27">
        <v>1</v>
      </c>
      <c r="L321" s="27">
        <v>1</v>
      </c>
      <c r="N321" t="s">
        <v>90</v>
      </c>
    </row>
    <row r="322" spans="1:14">
      <c r="A322">
        <v>17</v>
      </c>
      <c r="B322">
        <v>161</v>
      </c>
      <c r="C322">
        <v>46382.625</v>
      </c>
      <c r="D322" t="s">
        <v>51</v>
      </c>
      <c r="E322" t="s">
        <v>40</v>
      </c>
      <c r="F322" t="s">
        <v>1742</v>
      </c>
      <c r="G322">
        <v>4</v>
      </c>
      <c r="H322" s="27"/>
      <c r="I322" s="27"/>
      <c r="J322" s="26" t="str">
        <f t="shared" ref="J322:J385" si="5">IF(I322="","",EXP(-I322))</f>
        <v/>
      </c>
      <c r="K322" s="27">
        <v>1</v>
      </c>
      <c r="L322" s="27">
        <v>1</v>
      </c>
      <c r="N322" t="s">
        <v>90</v>
      </c>
    </row>
    <row r="323" spans="1:14">
      <c r="A323">
        <v>17</v>
      </c>
      <c r="B323">
        <v>161</v>
      </c>
      <c r="C323">
        <v>46382.625</v>
      </c>
      <c r="D323" t="s">
        <v>40</v>
      </c>
      <c r="E323" t="s">
        <v>51</v>
      </c>
      <c r="F323" t="s">
        <v>1743</v>
      </c>
      <c r="G323">
        <v>2</v>
      </c>
      <c r="H323" s="27"/>
      <c r="I323" s="27"/>
      <c r="J323" s="26" t="str">
        <f t="shared" si="5"/>
        <v/>
      </c>
      <c r="K323" s="27">
        <v>1</v>
      </c>
      <c r="L323" s="27">
        <v>1</v>
      </c>
      <c r="N323" t="s">
        <v>90</v>
      </c>
    </row>
    <row r="324" spans="1:14">
      <c r="A324">
        <v>17</v>
      </c>
      <c r="B324">
        <v>162</v>
      </c>
      <c r="C324">
        <v>46382.625</v>
      </c>
      <c r="D324" t="s">
        <v>44</v>
      </c>
      <c r="E324" t="s">
        <v>45</v>
      </c>
      <c r="F324" t="s">
        <v>1742</v>
      </c>
      <c r="G324">
        <v>2</v>
      </c>
      <c r="H324" s="27"/>
      <c r="I324" s="27"/>
      <c r="J324" s="26" t="str">
        <f t="shared" si="5"/>
        <v/>
      </c>
      <c r="K324" s="27">
        <v>1</v>
      </c>
      <c r="L324" s="27">
        <v>1</v>
      </c>
      <c r="N324" t="s">
        <v>90</v>
      </c>
    </row>
    <row r="325" spans="1:14">
      <c r="A325">
        <v>17</v>
      </c>
      <c r="B325">
        <v>162</v>
      </c>
      <c r="C325">
        <v>46382.625</v>
      </c>
      <c r="D325" t="s">
        <v>45</v>
      </c>
      <c r="E325" t="s">
        <v>44</v>
      </c>
      <c r="F325" t="s">
        <v>1743</v>
      </c>
      <c r="G325">
        <v>4</v>
      </c>
      <c r="H325" s="27"/>
      <c r="I325" s="27"/>
      <c r="J325" s="26" t="str">
        <f t="shared" si="5"/>
        <v/>
      </c>
      <c r="K325" s="27">
        <v>1</v>
      </c>
      <c r="L325" s="27">
        <v>1</v>
      </c>
      <c r="N325" t="s">
        <v>90</v>
      </c>
    </row>
    <row r="326" spans="1:14">
      <c r="A326">
        <v>17</v>
      </c>
      <c r="B326">
        <v>163</v>
      </c>
      <c r="C326">
        <v>46382.625</v>
      </c>
      <c r="D326" t="s">
        <v>39</v>
      </c>
      <c r="E326" t="s">
        <v>46</v>
      </c>
      <c r="F326" t="s">
        <v>1742</v>
      </c>
      <c r="G326">
        <v>3</v>
      </c>
      <c r="H326" s="27"/>
      <c r="I326" s="27"/>
      <c r="J326" s="26" t="str">
        <f t="shared" si="5"/>
        <v/>
      </c>
      <c r="K326" s="27">
        <v>1</v>
      </c>
      <c r="L326" s="27">
        <v>1</v>
      </c>
      <c r="N326" t="s">
        <v>90</v>
      </c>
    </row>
    <row r="327" spans="1:14">
      <c r="A327">
        <v>17</v>
      </c>
      <c r="B327">
        <v>163</v>
      </c>
      <c r="C327">
        <v>46382.625</v>
      </c>
      <c r="D327" t="s">
        <v>46</v>
      </c>
      <c r="E327" t="s">
        <v>39</v>
      </c>
      <c r="F327" t="s">
        <v>1743</v>
      </c>
      <c r="G327">
        <v>4</v>
      </c>
      <c r="H327" s="27"/>
      <c r="I327" s="27"/>
      <c r="J327" s="26" t="str">
        <f t="shared" si="5"/>
        <v/>
      </c>
      <c r="K327" s="27">
        <v>1</v>
      </c>
      <c r="L327" s="27">
        <v>1</v>
      </c>
      <c r="N327" t="s">
        <v>90</v>
      </c>
    </row>
    <row r="328" spans="1:14">
      <c r="A328">
        <v>17</v>
      </c>
      <c r="B328">
        <v>164</v>
      </c>
      <c r="C328">
        <v>46382.625</v>
      </c>
      <c r="D328" t="s">
        <v>58</v>
      </c>
      <c r="E328" t="s">
        <v>47</v>
      </c>
      <c r="F328" t="s">
        <v>1742</v>
      </c>
      <c r="G328">
        <v>3</v>
      </c>
      <c r="H328" s="27"/>
      <c r="I328" s="27"/>
      <c r="J328" s="26" t="str">
        <f t="shared" si="5"/>
        <v/>
      </c>
      <c r="K328" s="27">
        <v>1</v>
      </c>
      <c r="L328" s="27">
        <v>1</v>
      </c>
      <c r="N328" t="s">
        <v>90</v>
      </c>
    </row>
    <row r="329" spans="1:14">
      <c r="A329">
        <v>17</v>
      </c>
      <c r="B329">
        <v>164</v>
      </c>
      <c r="C329">
        <v>46382.625</v>
      </c>
      <c r="D329" t="s">
        <v>47</v>
      </c>
      <c r="E329" t="s">
        <v>58</v>
      </c>
      <c r="F329" t="s">
        <v>1743</v>
      </c>
      <c r="G329">
        <v>2</v>
      </c>
      <c r="H329" s="27"/>
      <c r="I329" s="27"/>
      <c r="J329" s="26" t="str">
        <f t="shared" si="5"/>
        <v/>
      </c>
      <c r="K329" s="27">
        <v>1</v>
      </c>
      <c r="L329" s="27">
        <v>1</v>
      </c>
      <c r="N329" t="s">
        <v>90</v>
      </c>
    </row>
    <row r="330" spans="1:14">
      <c r="A330">
        <v>17</v>
      </c>
      <c r="B330">
        <v>165</v>
      </c>
      <c r="C330">
        <v>46382.625</v>
      </c>
      <c r="D330" t="s">
        <v>43</v>
      </c>
      <c r="E330" t="s">
        <v>48</v>
      </c>
      <c r="F330" t="s">
        <v>1742</v>
      </c>
      <c r="G330">
        <v>3</v>
      </c>
      <c r="H330" s="27"/>
      <c r="I330" s="27"/>
      <c r="J330" s="26" t="str">
        <f t="shared" si="5"/>
        <v/>
      </c>
      <c r="K330" s="27">
        <v>1</v>
      </c>
      <c r="L330" s="27">
        <v>1</v>
      </c>
      <c r="N330" t="s">
        <v>90</v>
      </c>
    </row>
    <row r="331" spans="1:14">
      <c r="A331">
        <v>17</v>
      </c>
      <c r="B331">
        <v>165</v>
      </c>
      <c r="C331">
        <v>46382.625</v>
      </c>
      <c r="D331" t="s">
        <v>48</v>
      </c>
      <c r="E331" t="s">
        <v>43</v>
      </c>
      <c r="F331" t="s">
        <v>1743</v>
      </c>
      <c r="G331">
        <v>2</v>
      </c>
      <c r="H331" s="27"/>
      <c r="I331" s="27"/>
      <c r="J331" s="26" t="str">
        <f t="shared" si="5"/>
        <v/>
      </c>
      <c r="K331" s="27">
        <v>1</v>
      </c>
      <c r="L331" s="27">
        <v>1</v>
      </c>
      <c r="N331" t="s">
        <v>90</v>
      </c>
    </row>
    <row r="332" spans="1:14">
      <c r="A332">
        <v>17</v>
      </c>
      <c r="B332">
        <v>166</v>
      </c>
      <c r="C332">
        <v>46382.625</v>
      </c>
      <c r="D332" t="s">
        <v>52</v>
      </c>
      <c r="E332" t="s">
        <v>49</v>
      </c>
      <c r="F332" t="s">
        <v>1742</v>
      </c>
      <c r="G332">
        <v>2</v>
      </c>
      <c r="H332" s="27"/>
      <c r="I332" s="27"/>
      <c r="J332" s="26" t="str">
        <f t="shared" si="5"/>
        <v/>
      </c>
      <c r="K332" s="27">
        <v>1</v>
      </c>
      <c r="L332" s="27">
        <v>1</v>
      </c>
      <c r="N332" t="s">
        <v>90</v>
      </c>
    </row>
    <row r="333" spans="1:14">
      <c r="A333">
        <v>17</v>
      </c>
      <c r="B333">
        <v>166</v>
      </c>
      <c r="C333">
        <v>46382.625</v>
      </c>
      <c r="D333" t="s">
        <v>49</v>
      </c>
      <c r="E333" t="s">
        <v>52</v>
      </c>
      <c r="F333" t="s">
        <v>1743</v>
      </c>
      <c r="G333">
        <v>4</v>
      </c>
      <c r="H333" s="27"/>
      <c r="I333" s="27"/>
      <c r="J333" s="26" t="str">
        <f t="shared" si="5"/>
        <v/>
      </c>
      <c r="K333" s="27">
        <v>1</v>
      </c>
      <c r="L333" s="27">
        <v>1</v>
      </c>
      <c r="N333" t="s">
        <v>90</v>
      </c>
    </row>
    <row r="334" spans="1:14">
      <c r="A334">
        <v>17</v>
      </c>
      <c r="B334">
        <v>167</v>
      </c>
      <c r="C334">
        <v>46382.625</v>
      </c>
      <c r="D334" t="s">
        <v>42</v>
      </c>
      <c r="E334" t="s">
        <v>50</v>
      </c>
      <c r="F334" t="s">
        <v>1742</v>
      </c>
      <c r="G334">
        <v>2</v>
      </c>
      <c r="H334" s="27"/>
      <c r="I334" s="27"/>
      <c r="J334" s="26" t="str">
        <f t="shared" si="5"/>
        <v/>
      </c>
      <c r="K334" s="27">
        <v>1</v>
      </c>
      <c r="L334" s="27">
        <v>1</v>
      </c>
      <c r="N334" t="s">
        <v>90</v>
      </c>
    </row>
    <row r="335" spans="1:14">
      <c r="A335">
        <v>17</v>
      </c>
      <c r="B335">
        <v>167</v>
      </c>
      <c r="C335">
        <v>46382.625</v>
      </c>
      <c r="D335" t="s">
        <v>50</v>
      </c>
      <c r="E335" t="s">
        <v>42</v>
      </c>
      <c r="F335" t="s">
        <v>1743</v>
      </c>
      <c r="G335">
        <v>3</v>
      </c>
      <c r="H335" s="27"/>
      <c r="I335" s="27"/>
      <c r="J335" s="26" t="str">
        <f t="shared" si="5"/>
        <v/>
      </c>
      <c r="K335" s="27">
        <v>1</v>
      </c>
      <c r="L335" s="27">
        <v>1</v>
      </c>
      <c r="N335" t="s">
        <v>90</v>
      </c>
    </row>
    <row r="336" spans="1:14">
      <c r="A336">
        <v>17</v>
      </c>
      <c r="B336">
        <v>168</v>
      </c>
      <c r="C336">
        <v>46382.625</v>
      </c>
      <c r="D336" t="s">
        <v>56</v>
      </c>
      <c r="E336" t="s">
        <v>54</v>
      </c>
      <c r="F336" t="s">
        <v>1742</v>
      </c>
      <c r="G336">
        <v>4</v>
      </c>
      <c r="H336" s="27"/>
      <c r="I336" s="27"/>
      <c r="J336" s="26" t="str">
        <f t="shared" si="5"/>
        <v/>
      </c>
      <c r="K336" s="27">
        <v>1</v>
      </c>
      <c r="L336" s="27">
        <v>1</v>
      </c>
      <c r="N336" t="s">
        <v>90</v>
      </c>
    </row>
    <row r="337" spans="1:14">
      <c r="A337">
        <v>17</v>
      </c>
      <c r="B337">
        <v>168</v>
      </c>
      <c r="C337">
        <v>46382.625</v>
      </c>
      <c r="D337" t="s">
        <v>54</v>
      </c>
      <c r="E337" t="s">
        <v>56</v>
      </c>
      <c r="F337" t="s">
        <v>1743</v>
      </c>
      <c r="G337">
        <v>3</v>
      </c>
      <c r="H337" s="27"/>
      <c r="I337" s="27"/>
      <c r="J337" s="26" t="str">
        <f t="shared" si="5"/>
        <v/>
      </c>
      <c r="K337" s="27">
        <v>1</v>
      </c>
      <c r="L337" s="27">
        <v>1</v>
      </c>
      <c r="N337" t="s">
        <v>90</v>
      </c>
    </row>
    <row r="338" spans="1:14">
      <c r="A338">
        <v>17</v>
      </c>
      <c r="B338">
        <v>169</v>
      </c>
      <c r="C338">
        <v>46382.625</v>
      </c>
      <c r="D338" t="s">
        <v>53</v>
      </c>
      <c r="E338" t="s">
        <v>55</v>
      </c>
      <c r="F338" t="s">
        <v>1742</v>
      </c>
      <c r="G338">
        <v>3</v>
      </c>
      <c r="H338" s="27"/>
      <c r="I338" s="27"/>
      <c r="J338" s="26" t="str">
        <f t="shared" si="5"/>
        <v/>
      </c>
      <c r="K338" s="27">
        <v>1</v>
      </c>
      <c r="L338" s="27">
        <v>1</v>
      </c>
      <c r="N338" t="s">
        <v>90</v>
      </c>
    </row>
    <row r="339" spans="1:14">
      <c r="A339">
        <v>17</v>
      </c>
      <c r="B339">
        <v>169</v>
      </c>
      <c r="C339">
        <v>46382.625</v>
      </c>
      <c r="D339" t="s">
        <v>55</v>
      </c>
      <c r="E339" t="s">
        <v>53</v>
      </c>
      <c r="F339" t="s">
        <v>1743</v>
      </c>
      <c r="G339">
        <v>4</v>
      </c>
      <c r="H339" s="27"/>
      <c r="I339" s="27"/>
      <c r="J339" s="26" t="str">
        <f t="shared" si="5"/>
        <v/>
      </c>
      <c r="K339" s="27">
        <v>1</v>
      </c>
      <c r="L339" s="27">
        <v>1</v>
      </c>
      <c r="N339" t="s">
        <v>90</v>
      </c>
    </row>
    <row r="340" spans="1:14">
      <c r="A340">
        <v>17</v>
      </c>
      <c r="B340">
        <v>170</v>
      </c>
      <c r="C340">
        <v>46382.625</v>
      </c>
      <c r="D340" t="s">
        <v>41</v>
      </c>
      <c r="E340" t="s">
        <v>57</v>
      </c>
      <c r="F340" t="s">
        <v>1742</v>
      </c>
      <c r="G340">
        <v>3</v>
      </c>
      <c r="H340" s="27"/>
      <c r="I340" s="27"/>
      <c r="J340" s="26" t="str">
        <f t="shared" si="5"/>
        <v/>
      </c>
      <c r="K340" s="27">
        <v>1</v>
      </c>
      <c r="L340" s="27">
        <v>1</v>
      </c>
      <c r="N340" t="s">
        <v>90</v>
      </c>
    </row>
    <row r="341" spans="1:14">
      <c r="A341">
        <v>17</v>
      </c>
      <c r="B341">
        <v>170</v>
      </c>
      <c r="C341">
        <v>46382.625</v>
      </c>
      <c r="D341" t="s">
        <v>57</v>
      </c>
      <c r="E341" t="s">
        <v>41</v>
      </c>
      <c r="F341" t="s">
        <v>1743</v>
      </c>
      <c r="G341">
        <v>3</v>
      </c>
      <c r="H341" s="27"/>
      <c r="I341" s="27"/>
      <c r="J341" s="26" t="str">
        <f t="shared" si="5"/>
        <v/>
      </c>
      <c r="K341" s="27">
        <v>1</v>
      </c>
      <c r="L341" s="27">
        <v>1</v>
      </c>
      <c r="N341" t="s">
        <v>90</v>
      </c>
    </row>
    <row r="342" spans="1:14">
      <c r="A342">
        <v>18</v>
      </c>
      <c r="B342">
        <v>171</v>
      </c>
      <c r="C342">
        <v>46386.833333333336</v>
      </c>
      <c r="D342" t="s">
        <v>52</v>
      </c>
      <c r="E342" t="s">
        <v>40</v>
      </c>
      <c r="F342" t="s">
        <v>1742</v>
      </c>
      <c r="G342">
        <v>4</v>
      </c>
      <c r="H342" s="27"/>
      <c r="I342" s="27"/>
      <c r="J342" s="26" t="str">
        <f t="shared" si="5"/>
        <v/>
      </c>
      <c r="K342" s="27">
        <v>1</v>
      </c>
      <c r="L342" s="27">
        <v>1</v>
      </c>
      <c r="N342" t="s">
        <v>90</v>
      </c>
    </row>
    <row r="343" spans="1:14">
      <c r="A343">
        <v>18</v>
      </c>
      <c r="B343">
        <v>171</v>
      </c>
      <c r="C343">
        <v>46386.833333333336</v>
      </c>
      <c r="D343" t="s">
        <v>40</v>
      </c>
      <c r="E343" t="s">
        <v>52</v>
      </c>
      <c r="F343" t="s">
        <v>1743</v>
      </c>
      <c r="G343">
        <v>4</v>
      </c>
      <c r="H343" s="27"/>
      <c r="I343" s="27"/>
      <c r="J343" s="26" t="str">
        <f t="shared" si="5"/>
        <v/>
      </c>
      <c r="K343" s="27">
        <v>1</v>
      </c>
      <c r="L343" s="27">
        <v>1</v>
      </c>
      <c r="N343" t="s">
        <v>90</v>
      </c>
    </row>
    <row r="344" spans="1:14">
      <c r="A344">
        <v>18</v>
      </c>
      <c r="B344">
        <v>172</v>
      </c>
      <c r="C344">
        <v>46386.833333333336</v>
      </c>
      <c r="D344" t="s">
        <v>42</v>
      </c>
      <c r="E344" t="s">
        <v>45</v>
      </c>
      <c r="F344" t="s">
        <v>1742</v>
      </c>
      <c r="G344">
        <v>2</v>
      </c>
      <c r="H344" s="27"/>
      <c r="I344" s="27"/>
      <c r="J344" s="26" t="str">
        <f t="shared" si="5"/>
        <v/>
      </c>
      <c r="K344" s="27">
        <v>1</v>
      </c>
      <c r="L344" s="27">
        <v>1</v>
      </c>
      <c r="N344" t="s">
        <v>90</v>
      </c>
    </row>
    <row r="345" spans="1:14">
      <c r="A345">
        <v>18</v>
      </c>
      <c r="B345">
        <v>172</v>
      </c>
      <c r="C345">
        <v>46386.833333333336</v>
      </c>
      <c r="D345" t="s">
        <v>45</v>
      </c>
      <c r="E345" t="s">
        <v>42</v>
      </c>
      <c r="F345" t="s">
        <v>1743</v>
      </c>
      <c r="G345">
        <v>3</v>
      </c>
      <c r="H345" s="27"/>
      <c r="I345" s="27"/>
      <c r="J345" s="26" t="str">
        <f t="shared" si="5"/>
        <v/>
      </c>
      <c r="K345" s="27">
        <v>1</v>
      </c>
      <c r="L345" s="27">
        <v>1</v>
      </c>
      <c r="N345" t="s">
        <v>90</v>
      </c>
    </row>
    <row r="346" spans="1:14">
      <c r="A346">
        <v>18</v>
      </c>
      <c r="B346">
        <v>173</v>
      </c>
      <c r="C346">
        <v>46386.833333333336</v>
      </c>
      <c r="D346" t="s">
        <v>41</v>
      </c>
      <c r="E346" t="s">
        <v>46</v>
      </c>
      <c r="F346" t="s">
        <v>1742</v>
      </c>
      <c r="G346">
        <v>3</v>
      </c>
      <c r="H346" s="27"/>
      <c r="I346" s="27"/>
      <c r="J346" s="26" t="str">
        <f t="shared" si="5"/>
        <v/>
      </c>
      <c r="K346" s="27">
        <v>1</v>
      </c>
      <c r="L346" s="27">
        <v>1</v>
      </c>
      <c r="N346" t="s">
        <v>90</v>
      </c>
    </row>
    <row r="347" spans="1:14">
      <c r="A347">
        <v>18</v>
      </c>
      <c r="B347">
        <v>173</v>
      </c>
      <c r="C347">
        <v>46386.833333333336</v>
      </c>
      <c r="D347" t="s">
        <v>46</v>
      </c>
      <c r="E347" t="s">
        <v>41</v>
      </c>
      <c r="F347" t="s">
        <v>1743</v>
      </c>
      <c r="G347">
        <v>3</v>
      </c>
      <c r="H347" s="27"/>
      <c r="I347" s="27"/>
      <c r="J347" s="26" t="str">
        <f t="shared" si="5"/>
        <v/>
      </c>
      <c r="K347" s="27">
        <v>1</v>
      </c>
      <c r="L347" s="27">
        <v>1</v>
      </c>
      <c r="N347" t="s">
        <v>90</v>
      </c>
    </row>
    <row r="348" spans="1:14">
      <c r="A348">
        <v>18</v>
      </c>
      <c r="B348">
        <v>174</v>
      </c>
      <c r="C348">
        <v>46386.833333333336</v>
      </c>
      <c r="D348" t="s">
        <v>53</v>
      </c>
      <c r="E348" t="s">
        <v>47</v>
      </c>
      <c r="F348" t="s">
        <v>1742</v>
      </c>
      <c r="G348">
        <v>3</v>
      </c>
      <c r="H348" s="27"/>
      <c r="I348" s="27"/>
      <c r="J348" s="26" t="str">
        <f t="shared" si="5"/>
        <v/>
      </c>
      <c r="K348" s="27">
        <v>1</v>
      </c>
      <c r="L348" s="27">
        <v>1</v>
      </c>
      <c r="N348" t="s">
        <v>90</v>
      </c>
    </row>
    <row r="349" spans="1:14">
      <c r="A349">
        <v>18</v>
      </c>
      <c r="B349">
        <v>174</v>
      </c>
      <c r="C349">
        <v>46386.833333333336</v>
      </c>
      <c r="D349" t="s">
        <v>47</v>
      </c>
      <c r="E349" t="s">
        <v>53</v>
      </c>
      <c r="F349" t="s">
        <v>1743</v>
      </c>
      <c r="G349">
        <v>4</v>
      </c>
      <c r="H349" s="27"/>
      <c r="I349" s="27"/>
      <c r="J349" s="26" t="str">
        <f t="shared" si="5"/>
        <v/>
      </c>
      <c r="K349" s="27">
        <v>1</v>
      </c>
      <c r="L349" s="27">
        <v>1</v>
      </c>
      <c r="N349" t="s">
        <v>90</v>
      </c>
    </row>
    <row r="350" spans="1:14">
      <c r="A350">
        <v>18</v>
      </c>
      <c r="B350">
        <v>175</v>
      </c>
      <c r="C350">
        <v>46386.833333333336</v>
      </c>
      <c r="D350" t="s">
        <v>39</v>
      </c>
      <c r="E350" t="s">
        <v>48</v>
      </c>
      <c r="F350" t="s">
        <v>1742</v>
      </c>
      <c r="G350">
        <v>3</v>
      </c>
      <c r="H350" s="27"/>
      <c r="I350" s="27"/>
      <c r="J350" s="26" t="str">
        <f t="shared" si="5"/>
        <v/>
      </c>
      <c r="K350" s="27">
        <v>1</v>
      </c>
      <c r="L350" s="27">
        <v>1</v>
      </c>
      <c r="N350" t="s">
        <v>90</v>
      </c>
    </row>
    <row r="351" spans="1:14">
      <c r="A351">
        <v>18</v>
      </c>
      <c r="B351">
        <v>175</v>
      </c>
      <c r="C351">
        <v>46386.833333333336</v>
      </c>
      <c r="D351" t="s">
        <v>48</v>
      </c>
      <c r="E351" t="s">
        <v>39</v>
      </c>
      <c r="F351" t="s">
        <v>1743</v>
      </c>
      <c r="G351">
        <v>4</v>
      </c>
      <c r="H351" s="27"/>
      <c r="I351" s="27"/>
      <c r="J351" s="26" t="str">
        <f t="shared" si="5"/>
        <v/>
      </c>
      <c r="K351" s="27">
        <v>1</v>
      </c>
      <c r="L351" s="27">
        <v>1</v>
      </c>
      <c r="N351" t="s">
        <v>90</v>
      </c>
    </row>
    <row r="352" spans="1:14">
      <c r="A352">
        <v>18</v>
      </c>
      <c r="B352">
        <v>176</v>
      </c>
      <c r="C352">
        <v>46386.833333333336</v>
      </c>
      <c r="D352" t="s">
        <v>51</v>
      </c>
      <c r="E352" t="s">
        <v>49</v>
      </c>
      <c r="F352" t="s">
        <v>1742</v>
      </c>
      <c r="G352">
        <v>2</v>
      </c>
      <c r="H352" s="27"/>
      <c r="I352" s="27"/>
      <c r="J352" s="26" t="str">
        <f t="shared" si="5"/>
        <v/>
      </c>
      <c r="K352" s="27">
        <v>1</v>
      </c>
      <c r="L352" s="27">
        <v>1</v>
      </c>
      <c r="N352" t="s">
        <v>90</v>
      </c>
    </row>
    <row r="353" spans="1:14">
      <c r="A353">
        <v>18</v>
      </c>
      <c r="B353">
        <v>176</v>
      </c>
      <c r="C353">
        <v>46386.833333333336</v>
      </c>
      <c r="D353" t="s">
        <v>49</v>
      </c>
      <c r="E353" t="s">
        <v>51</v>
      </c>
      <c r="F353" t="s">
        <v>1743</v>
      </c>
      <c r="G353">
        <v>2</v>
      </c>
      <c r="H353" s="27"/>
      <c r="I353" s="27"/>
      <c r="J353" s="26" t="str">
        <f t="shared" si="5"/>
        <v/>
      </c>
      <c r="K353" s="27">
        <v>1</v>
      </c>
      <c r="L353" s="27">
        <v>1</v>
      </c>
      <c r="N353" t="s">
        <v>90</v>
      </c>
    </row>
    <row r="354" spans="1:14">
      <c r="A354">
        <v>18</v>
      </c>
      <c r="B354">
        <v>177</v>
      </c>
      <c r="C354">
        <v>46386.833333333336</v>
      </c>
      <c r="D354" t="s">
        <v>44</v>
      </c>
      <c r="E354" t="s">
        <v>50</v>
      </c>
      <c r="F354" t="s">
        <v>1742</v>
      </c>
      <c r="G354">
        <v>2</v>
      </c>
      <c r="H354" s="27"/>
      <c r="I354" s="27"/>
      <c r="J354" s="26" t="str">
        <f t="shared" si="5"/>
        <v/>
      </c>
      <c r="K354" s="27">
        <v>1</v>
      </c>
      <c r="L354" s="27">
        <v>1</v>
      </c>
      <c r="N354" t="s">
        <v>90</v>
      </c>
    </row>
    <row r="355" spans="1:14">
      <c r="A355">
        <v>18</v>
      </c>
      <c r="B355">
        <v>177</v>
      </c>
      <c r="C355">
        <v>46386.833333333336</v>
      </c>
      <c r="D355" t="s">
        <v>50</v>
      </c>
      <c r="E355" t="s">
        <v>44</v>
      </c>
      <c r="F355" t="s">
        <v>1743</v>
      </c>
      <c r="G355">
        <v>4</v>
      </c>
      <c r="H355" s="27"/>
      <c r="I355" s="27"/>
      <c r="J355" s="26" t="str">
        <f t="shared" si="5"/>
        <v/>
      </c>
      <c r="K355" s="27">
        <v>1</v>
      </c>
      <c r="L355" s="27">
        <v>1</v>
      </c>
      <c r="N355" t="s">
        <v>90</v>
      </c>
    </row>
    <row r="356" spans="1:14">
      <c r="A356">
        <v>18</v>
      </c>
      <c r="B356">
        <v>178</v>
      </c>
      <c r="C356">
        <v>46386.833333333336</v>
      </c>
      <c r="D356" t="s">
        <v>58</v>
      </c>
      <c r="E356" t="s">
        <v>54</v>
      </c>
      <c r="F356" t="s">
        <v>1742</v>
      </c>
      <c r="G356">
        <v>4</v>
      </c>
      <c r="H356" s="27"/>
      <c r="I356" s="27"/>
      <c r="J356" s="26" t="str">
        <f t="shared" si="5"/>
        <v/>
      </c>
      <c r="K356" s="27">
        <v>1</v>
      </c>
      <c r="L356" s="27">
        <v>1</v>
      </c>
      <c r="N356" t="s">
        <v>90</v>
      </c>
    </row>
    <row r="357" spans="1:14">
      <c r="A357">
        <v>18</v>
      </c>
      <c r="B357">
        <v>178</v>
      </c>
      <c r="C357">
        <v>46386.833333333336</v>
      </c>
      <c r="D357" t="s">
        <v>54</v>
      </c>
      <c r="E357" t="s">
        <v>58</v>
      </c>
      <c r="F357" t="s">
        <v>1743</v>
      </c>
      <c r="G357">
        <v>2</v>
      </c>
      <c r="H357" s="27"/>
      <c r="I357" s="27"/>
      <c r="J357" s="26" t="str">
        <f t="shared" si="5"/>
        <v/>
      </c>
      <c r="K357" s="27">
        <v>1</v>
      </c>
      <c r="L357" s="27">
        <v>1</v>
      </c>
      <c r="N357" t="s">
        <v>90</v>
      </c>
    </row>
    <row r="358" spans="1:14">
      <c r="A358">
        <v>18</v>
      </c>
      <c r="B358">
        <v>179</v>
      </c>
      <c r="C358">
        <v>46386.833333333336</v>
      </c>
      <c r="D358" t="s">
        <v>56</v>
      </c>
      <c r="E358" t="s">
        <v>55</v>
      </c>
      <c r="F358" t="s">
        <v>1742</v>
      </c>
      <c r="G358">
        <v>3</v>
      </c>
      <c r="H358" s="27"/>
      <c r="I358" s="27"/>
      <c r="J358" s="26" t="str">
        <f t="shared" si="5"/>
        <v/>
      </c>
      <c r="K358" s="27">
        <v>1</v>
      </c>
      <c r="L358" s="27">
        <v>1</v>
      </c>
      <c r="N358" t="s">
        <v>90</v>
      </c>
    </row>
    <row r="359" spans="1:14">
      <c r="A359">
        <v>18</v>
      </c>
      <c r="B359">
        <v>179</v>
      </c>
      <c r="C359">
        <v>46386.833333333336</v>
      </c>
      <c r="D359" t="s">
        <v>55</v>
      </c>
      <c r="E359" t="s">
        <v>56</v>
      </c>
      <c r="F359" t="s">
        <v>1743</v>
      </c>
      <c r="G359">
        <v>3</v>
      </c>
      <c r="H359" s="27"/>
      <c r="I359" s="27"/>
      <c r="J359" s="26" t="str">
        <f t="shared" si="5"/>
        <v/>
      </c>
      <c r="K359" s="27">
        <v>1</v>
      </c>
      <c r="L359" s="27">
        <v>1</v>
      </c>
      <c r="N359" t="s">
        <v>90</v>
      </c>
    </row>
    <row r="360" spans="1:14">
      <c r="A360">
        <v>18</v>
      </c>
      <c r="B360">
        <v>180</v>
      </c>
      <c r="C360">
        <v>46386.833333333336</v>
      </c>
      <c r="D360" t="s">
        <v>43</v>
      </c>
      <c r="E360" t="s">
        <v>57</v>
      </c>
      <c r="F360" t="s">
        <v>1742</v>
      </c>
      <c r="G360">
        <v>3</v>
      </c>
      <c r="H360" s="27"/>
      <c r="I360" s="27"/>
      <c r="J360" s="26" t="str">
        <f t="shared" si="5"/>
        <v/>
      </c>
      <c r="K360" s="27">
        <v>1</v>
      </c>
      <c r="L360" s="27">
        <v>1</v>
      </c>
      <c r="N360" t="s">
        <v>90</v>
      </c>
    </row>
    <row r="361" spans="1:14">
      <c r="A361">
        <v>18</v>
      </c>
      <c r="B361">
        <v>180</v>
      </c>
      <c r="C361">
        <v>46386.833333333336</v>
      </c>
      <c r="D361" t="s">
        <v>57</v>
      </c>
      <c r="E361" t="s">
        <v>43</v>
      </c>
      <c r="F361" t="s">
        <v>1743</v>
      </c>
      <c r="G361">
        <v>2</v>
      </c>
      <c r="H361" s="27"/>
      <c r="I361" s="27"/>
      <c r="J361" s="26" t="str">
        <f t="shared" si="5"/>
        <v/>
      </c>
      <c r="K361" s="27">
        <v>1</v>
      </c>
      <c r="L361" s="27">
        <v>1</v>
      </c>
      <c r="N361" t="s">
        <v>90</v>
      </c>
    </row>
    <row r="362" spans="1:14">
      <c r="A362">
        <v>19</v>
      </c>
      <c r="B362">
        <v>181</v>
      </c>
      <c r="C362">
        <v>46389.625</v>
      </c>
      <c r="D362" t="s">
        <v>50</v>
      </c>
      <c r="E362" t="s">
        <v>39</v>
      </c>
      <c r="F362" t="s">
        <v>1742</v>
      </c>
      <c r="G362">
        <v>5</v>
      </c>
      <c r="H362" s="27"/>
      <c r="I362" s="27"/>
      <c r="J362" s="26" t="str">
        <f t="shared" si="5"/>
        <v/>
      </c>
      <c r="K362" s="27">
        <v>1</v>
      </c>
      <c r="L362" s="27">
        <v>1</v>
      </c>
      <c r="N362" t="s">
        <v>90</v>
      </c>
    </row>
    <row r="363" spans="1:14">
      <c r="A363">
        <v>19</v>
      </c>
      <c r="B363">
        <v>181</v>
      </c>
      <c r="C363">
        <v>46389.625</v>
      </c>
      <c r="D363" t="s">
        <v>39</v>
      </c>
      <c r="E363" t="s">
        <v>50</v>
      </c>
      <c r="F363" t="s">
        <v>1743</v>
      </c>
      <c r="G363">
        <v>2</v>
      </c>
      <c r="H363" s="27"/>
      <c r="I363" s="27"/>
      <c r="J363" s="26" t="str">
        <f t="shared" si="5"/>
        <v/>
      </c>
      <c r="K363" s="27">
        <v>1</v>
      </c>
      <c r="L363" s="27">
        <v>1</v>
      </c>
      <c r="N363" t="s">
        <v>90</v>
      </c>
    </row>
    <row r="364" spans="1:14">
      <c r="A364">
        <v>19</v>
      </c>
      <c r="B364">
        <v>182</v>
      </c>
      <c r="C364">
        <v>46389.625</v>
      </c>
      <c r="D364" t="s">
        <v>40</v>
      </c>
      <c r="E364" t="s">
        <v>41</v>
      </c>
      <c r="F364" t="s">
        <v>1742</v>
      </c>
      <c r="G364">
        <v>3</v>
      </c>
      <c r="H364" s="27"/>
      <c r="I364" s="27"/>
      <c r="J364" s="26" t="str">
        <f t="shared" si="5"/>
        <v/>
      </c>
      <c r="K364" s="27">
        <v>1</v>
      </c>
      <c r="L364" s="27">
        <v>1</v>
      </c>
      <c r="N364" t="s">
        <v>90</v>
      </c>
    </row>
    <row r="365" spans="1:14">
      <c r="A365">
        <v>19</v>
      </c>
      <c r="B365">
        <v>182</v>
      </c>
      <c r="C365">
        <v>46389.625</v>
      </c>
      <c r="D365" t="s">
        <v>41</v>
      </c>
      <c r="E365" t="s">
        <v>40</v>
      </c>
      <c r="F365" t="s">
        <v>1743</v>
      </c>
      <c r="G365">
        <v>3</v>
      </c>
      <c r="H365" s="27"/>
      <c r="I365" s="27"/>
      <c r="J365" s="26" t="str">
        <f t="shared" si="5"/>
        <v/>
      </c>
      <c r="K365" s="27">
        <v>1</v>
      </c>
      <c r="L365" s="27">
        <v>1</v>
      </c>
      <c r="N365" t="s">
        <v>90</v>
      </c>
    </row>
    <row r="366" spans="1:14">
      <c r="A366">
        <v>19</v>
      </c>
      <c r="B366">
        <v>183</v>
      </c>
      <c r="C366">
        <v>46389.625</v>
      </c>
      <c r="D366" t="s">
        <v>46</v>
      </c>
      <c r="E366" t="s">
        <v>42</v>
      </c>
      <c r="F366" t="s">
        <v>1742</v>
      </c>
      <c r="G366">
        <v>3</v>
      </c>
      <c r="H366" s="27"/>
      <c r="I366" s="27"/>
      <c r="J366" s="26" t="str">
        <f t="shared" si="5"/>
        <v/>
      </c>
      <c r="K366" s="27">
        <v>1</v>
      </c>
      <c r="L366" s="27">
        <v>1</v>
      </c>
      <c r="N366" t="s">
        <v>90</v>
      </c>
    </row>
    <row r="367" spans="1:14">
      <c r="A367">
        <v>19</v>
      </c>
      <c r="B367">
        <v>183</v>
      </c>
      <c r="C367">
        <v>46389.625</v>
      </c>
      <c r="D367" t="s">
        <v>42</v>
      </c>
      <c r="E367" t="s">
        <v>46</v>
      </c>
      <c r="F367" t="s">
        <v>1743</v>
      </c>
      <c r="G367">
        <v>3</v>
      </c>
      <c r="H367" s="27"/>
      <c r="I367" s="27"/>
      <c r="J367" s="26" t="str">
        <f t="shared" si="5"/>
        <v/>
      </c>
      <c r="K367" s="27">
        <v>1</v>
      </c>
      <c r="L367" s="27">
        <v>1</v>
      </c>
      <c r="N367" t="s">
        <v>90</v>
      </c>
    </row>
    <row r="368" spans="1:14">
      <c r="A368">
        <v>19</v>
      </c>
      <c r="B368">
        <v>184</v>
      </c>
      <c r="C368">
        <v>46389.625</v>
      </c>
      <c r="D368" t="s">
        <v>54</v>
      </c>
      <c r="E368" t="s">
        <v>43</v>
      </c>
      <c r="F368" t="s">
        <v>1742</v>
      </c>
      <c r="G368">
        <v>3</v>
      </c>
      <c r="H368" s="27"/>
      <c r="I368" s="27"/>
      <c r="J368" s="26" t="str">
        <f t="shared" si="5"/>
        <v/>
      </c>
      <c r="K368" s="27">
        <v>1</v>
      </c>
      <c r="L368" s="27">
        <v>1</v>
      </c>
      <c r="N368" t="s">
        <v>90</v>
      </c>
    </row>
    <row r="369" spans="1:14">
      <c r="A369">
        <v>19</v>
      </c>
      <c r="B369">
        <v>184</v>
      </c>
      <c r="C369">
        <v>46389.625</v>
      </c>
      <c r="D369" t="s">
        <v>43</v>
      </c>
      <c r="E369" t="s">
        <v>54</v>
      </c>
      <c r="F369" t="s">
        <v>1743</v>
      </c>
      <c r="G369">
        <v>4</v>
      </c>
      <c r="H369" s="27"/>
      <c r="I369" s="27"/>
      <c r="J369" s="26" t="str">
        <f t="shared" si="5"/>
        <v/>
      </c>
      <c r="K369" s="27">
        <v>1</v>
      </c>
      <c r="L369" s="27">
        <v>1</v>
      </c>
      <c r="N369" t="s">
        <v>90</v>
      </c>
    </row>
    <row r="370" spans="1:14">
      <c r="A370">
        <v>19</v>
      </c>
      <c r="B370">
        <v>185</v>
      </c>
      <c r="C370">
        <v>46389.625</v>
      </c>
      <c r="D370" t="s">
        <v>55</v>
      </c>
      <c r="E370" t="s">
        <v>44</v>
      </c>
      <c r="F370" t="s">
        <v>1742</v>
      </c>
      <c r="G370">
        <v>4</v>
      </c>
      <c r="H370" s="27"/>
      <c r="I370" s="27"/>
      <c r="J370" s="26" t="str">
        <f t="shared" si="5"/>
        <v/>
      </c>
      <c r="K370" s="27">
        <v>1</v>
      </c>
      <c r="L370" s="27">
        <v>1</v>
      </c>
      <c r="N370" t="s">
        <v>90</v>
      </c>
    </row>
    <row r="371" spans="1:14">
      <c r="A371">
        <v>19</v>
      </c>
      <c r="B371">
        <v>185</v>
      </c>
      <c r="C371">
        <v>46389.625</v>
      </c>
      <c r="D371" t="s">
        <v>44</v>
      </c>
      <c r="E371" t="s">
        <v>55</v>
      </c>
      <c r="F371" t="s">
        <v>1743</v>
      </c>
      <c r="G371">
        <v>2</v>
      </c>
      <c r="H371" s="27"/>
      <c r="I371" s="27"/>
      <c r="J371" s="26" t="str">
        <f t="shared" si="5"/>
        <v/>
      </c>
      <c r="K371" s="27">
        <v>1</v>
      </c>
      <c r="L371" s="27">
        <v>1</v>
      </c>
      <c r="N371" t="s">
        <v>90</v>
      </c>
    </row>
    <row r="372" spans="1:14">
      <c r="A372">
        <v>19</v>
      </c>
      <c r="B372">
        <v>186</v>
      </c>
      <c r="C372">
        <v>46389.625</v>
      </c>
      <c r="D372" t="s">
        <v>47</v>
      </c>
      <c r="E372" t="s">
        <v>51</v>
      </c>
      <c r="F372" t="s">
        <v>1742</v>
      </c>
      <c r="G372">
        <v>3</v>
      </c>
      <c r="H372" s="27"/>
      <c r="I372" s="27"/>
      <c r="J372" s="26" t="str">
        <f t="shared" si="5"/>
        <v/>
      </c>
      <c r="K372" s="27">
        <v>1</v>
      </c>
      <c r="L372" s="27">
        <v>1</v>
      </c>
      <c r="N372" t="s">
        <v>90</v>
      </c>
    </row>
    <row r="373" spans="1:14">
      <c r="A373">
        <v>19</v>
      </c>
      <c r="B373">
        <v>186</v>
      </c>
      <c r="C373">
        <v>46389.625</v>
      </c>
      <c r="D373" t="s">
        <v>51</v>
      </c>
      <c r="E373" t="s">
        <v>47</v>
      </c>
      <c r="F373" t="s">
        <v>1743</v>
      </c>
      <c r="G373">
        <v>3</v>
      </c>
      <c r="H373" s="27"/>
      <c r="I373" s="27"/>
      <c r="J373" s="26" t="str">
        <f t="shared" si="5"/>
        <v/>
      </c>
      <c r="K373" s="27">
        <v>1</v>
      </c>
      <c r="L373" s="27">
        <v>1</v>
      </c>
      <c r="N373" t="s">
        <v>90</v>
      </c>
    </row>
    <row r="374" spans="1:14">
      <c r="A374">
        <v>19</v>
      </c>
      <c r="B374">
        <v>187</v>
      </c>
      <c r="C374">
        <v>46389.625</v>
      </c>
      <c r="D374" t="s">
        <v>45</v>
      </c>
      <c r="E374" t="s">
        <v>52</v>
      </c>
      <c r="F374" t="s">
        <v>1742</v>
      </c>
      <c r="G374">
        <v>4</v>
      </c>
      <c r="H374" s="27"/>
      <c r="I374" s="27"/>
      <c r="J374" s="26" t="str">
        <f t="shared" si="5"/>
        <v/>
      </c>
      <c r="K374" s="27">
        <v>1</v>
      </c>
      <c r="L374" s="27">
        <v>1</v>
      </c>
      <c r="N374" t="s">
        <v>90</v>
      </c>
    </row>
    <row r="375" spans="1:14">
      <c r="A375">
        <v>19</v>
      </c>
      <c r="B375">
        <v>187</v>
      </c>
      <c r="C375">
        <v>46389.625</v>
      </c>
      <c r="D375" t="s">
        <v>52</v>
      </c>
      <c r="E375" t="s">
        <v>45</v>
      </c>
      <c r="F375" t="s">
        <v>1743</v>
      </c>
      <c r="G375">
        <v>2</v>
      </c>
      <c r="H375" s="27"/>
      <c r="I375" s="27"/>
      <c r="J375" s="26" t="str">
        <f t="shared" si="5"/>
        <v/>
      </c>
      <c r="K375" s="27">
        <v>1</v>
      </c>
      <c r="L375" s="27">
        <v>1</v>
      </c>
      <c r="N375" t="s">
        <v>90</v>
      </c>
    </row>
    <row r="376" spans="1:14">
      <c r="A376">
        <v>19</v>
      </c>
      <c r="B376">
        <v>188</v>
      </c>
      <c r="C376">
        <v>46389.625</v>
      </c>
      <c r="D376" t="s">
        <v>57</v>
      </c>
      <c r="E376" t="s">
        <v>53</v>
      </c>
      <c r="F376" t="s">
        <v>1742</v>
      </c>
      <c r="G376">
        <v>5</v>
      </c>
      <c r="H376" s="27"/>
      <c r="I376" s="27"/>
      <c r="J376" s="26" t="str">
        <f t="shared" si="5"/>
        <v/>
      </c>
      <c r="K376" s="27">
        <v>1</v>
      </c>
      <c r="L376" s="27">
        <v>1</v>
      </c>
      <c r="N376" t="s">
        <v>90</v>
      </c>
    </row>
    <row r="377" spans="1:14">
      <c r="A377">
        <v>19</v>
      </c>
      <c r="B377">
        <v>188</v>
      </c>
      <c r="C377">
        <v>46389.625</v>
      </c>
      <c r="D377" t="s">
        <v>53</v>
      </c>
      <c r="E377" t="s">
        <v>57</v>
      </c>
      <c r="F377" t="s">
        <v>1743</v>
      </c>
      <c r="G377">
        <v>3</v>
      </c>
      <c r="H377" s="27"/>
      <c r="I377" s="27"/>
      <c r="J377" s="26" t="str">
        <f t="shared" si="5"/>
        <v/>
      </c>
      <c r="K377" s="27">
        <v>1</v>
      </c>
      <c r="L377" s="27">
        <v>1</v>
      </c>
      <c r="N377" t="s">
        <v>90</v>
      </c>
    </row>
    <row r="378" spans="1:14">
      <c r="A378">
        <v>19</v>
      </c>
      <c r="B378">
        <v>189</v>
      </c>
      <c r="C378">
        <v>46389.625</v>
      </c>
      <c r="D378" t="s">
        <v>48</v>
      </c>
      <c r="E378" t="s">
        <v>56</v>
      </c>
      <c r="F378" t="s">
        <v>1742</v>
      </c>
      <c r="G378">
        <v>3</v>
      </c>
      <c r="H378" s="27"/>
      <c r="I378" s="27"/>
      <c r="J378" s="26" t="str">
        <f t="shared" si="5"/>
        <v/>
      </c>
      <c r="K378" s="27">
        <v>1</v>
      </c>
      <c r="L378" s="27">
        <v>1</v>
      </c>
      <c r="N378" t="s">
        <v>90</v>
      </c>
    </row>
    <row r="379" spans="1:14">
      <c r="A379">
        <v>19</v>
      </c>
      <c r="B379">
        <v>189</v>
      </c>
      <c r="C379">
        <v>46389.625</v>
      </c>
      <c r="D379" t="s">
        <v>56</v>
      </c>
      <c r="E379" t="s">
        <v>48</v>
      </c>
      <c r="F379" t="s">
        <v>1743</v>
      </c>
      <c r="G379">
        <v>2</v>
      </c>
      <c r="H379" s="27"/>
      <c r="I379" s="27"/>
      <c r="J379" s="26" t="str">
        <f t="shared" si="5"/>
        <v/>
      </c>
      <c r="K379" s="27">
        <v>1</v>
      </c>
      <c r="L379" s="27">
        <v>1</v>
      </c>
      <c r="N379" t="s">
        <v>90</v>
      </c>
    </row>
    <row r="380" spans="1:14">
      <c r="A380">
        <v>19</v>
      </c>
      <c r="B380">
        <v>190</v>
      </c>
      <c r="C380">
        <v>46389.625</v>
      </c>
      <c r="D380" t="s">
        <v>49</v>
      </c>
      <c r="E380" t="s">
        <v>58</v>
      </c>
      <c r="F380" t="s">
        <v>1742</v>
      </c>
      <c r="G380">
        <v>3</v>
      </c>
      <c r="H380" s="27"/>
      <c r="I380" s="27"/>
      <c r="J380" s="26" t="str">
        <f t="shared" si="5"/>
        <v/>
      </c>
      <c r="K380" s="27">
        <v>1</v>
      </c>
      <c r="L380" s="27">
        <v>1</v>
      </c>
      <c r="N380" t="s">
        <v>90</v>
      </c>
    </row>
    <row r="381" spans="1:14">
      <c r="A381">
        <v>19</v>
      </c>
      <c r="B381">
        <v>190</v>
      </c>
      <c r="C381">
        <v>46389.625</v>
      </c>
      <c r="D381" t="s">
        <v>58</v>
      </c>
      <c r="E381" t="s">
        <v>49</v>
      </c>
      <c r="F381" t="s">
        <v>1743</v>
      </c>
      <c r="G381">
        <v>2</v>
      </c>
      <c r="H381" s="27"/>
      <c r="I381" s="27"/>
      <c r="J381" s="26" t="str">
        <f t="shared" si="5"/>
        <v/>
      </c>
      <c r="K381" s="27">
        <v>1</v>
      </c>
      <c r="L381" s="27">
        <v>1</v>
      </c>
      <c r="N381" t="s">
        <v>90</v>
      </c>
    </row>
    <row r="382" spans="1:14">
      <c r="A382">
        <v>20</v>
      </c>
      <c r="B382">
        <v>191</v>
      </c>
      <c r="C382">
        <v>46393.833333333336</v>
      </c>
      <c r="D382" t="s">
        <v>42</v>
      </c>
      <c r="E382" t="s">
        <v>39</v>
      </c>
      <c r="F382" t="s">
        <v>1742</v>
      </c>
      <c r="G382">
        <v>5</v>
      </c>
      <c r="H382" s="27"/>
      <c r="I382" s="27"/>
      <c r="J382" s="26" t="str">
        <f t="shared" si="5"/>
        <v/>
      </c>
      <c r="K382" s="27">
        <v>1</v>
      </c>
      <c r="L382" s="27">
        <v>1</v>
      </c>
      <c r="N382" t="s">
        <v>90</v>
      </c>
    </row>
    <row r="383" spans="1:14">
      <c r="A383">
        <v>20</v>
      </c>
      <c r="B383">
        <v>191</v>
      </c>
      <c r="C383">
        <v>46393.833333333336</v>
      </c>
      <c r="D383" t="s">
        <v>39</v>
      </c>
      <c r="E383" t="s">
        <v>42</v>
      </c>
      <c r="F383" t="s">
        <v>1743</v>
      </c>
      <c r="G383">
        <v>3</v>
      </c>
      <c r="H383" s="27"/>
      <c r="I383" s="27"/>
      <c r="J383" s="26" t="str">
        <f t="shared" si="5"/>
        <v/>
      </c>
      <c r="K383" s="27">
        <v>1</v>
      </c>
      <c r="L383" s="27">
        <v>1</v>
      </c>
      <c r="N383" t="s">
        <v>90</v>
      </c>
    </row>
    <row r="384" spans="1:14">
      <c r="A384">
        <v>20</v>
      </c>
      <c r="B384">
        <v>192</v>
      </c>
      <c r="C384">
        <v>46393.833333333336</v>
      </c>
      <c r="D384" t="s">
        <v>41</v>
      </c>
      <c r="E384" t="s">
        <v>43</v>
      </c>
      <c r="F384" t="s">
        <v>1742</v>
      </c>
      <c r="G384">
        <v>3</v>
      </c>
      <c r="H384" s="27"/>
      <c r="I384" s="27"/>
      <c r="J384" s="26" t="str">
        <f t="shared" si="5"/>
        <v/>
      </c>
      <c r="K384" s="27">
        <v>1</v>
      </c>
      <c r="L384" s="27">
        <v>1</v>
      </c>
      <c r="N384" t="s">
        <v>90</v>
      </c>
    </row>
    <row r="385" spans="1:14">
      <c r="A385">
        <v>20</v>
      </c>
      <c r="B385">
        <v>192</v>
      </c>
      <c r="C385">
        <v>46393.833333333336</v>
      </c>
      <c r="D385" t="s">
        <v>43</v>
      </c>
      <c r="E385" t="s">
        <v>41</v>
      </c>
      <c r="F385" t="s">
        <v>1743</v>
      </c>
      <c r="G385">
        <v>3</v>
      </c>
      <c r="H385" s="27"/>
      <c r="I385" s="27"/>
      <c r="J385" s="26" t="str">
        <f t="shared" si="5"/>
        <v/>
      </c>
      <c r="K385" s="27">
        <v>1</v>
      </c>
      <c r="L385" s="27">
        <v>1</v>
      </c>
      <c r="N385" t="s">
        <v>90</v>
      </c>
    </row>
    <row r="386" spans="1:14">
      <c r="A386">
        <v>20</v>
      </c>
      <c r="B386">
        <v>193</v>
      </c>
      <c r="C386">
        <v>46393.833333333336</v>
      </c>
      <c r="D386" t="s">
        <v>44</v>
      </c>
      <c r="E386" t="s">
        <v>46</v>
      </c>
      <c r="F386" t="s">
        <v>1742</v>
      </c>
      <c r="G386">
        <v>3</v>
      </c>
      <c r="H386" s="27"/>
      <c r="I386" s="27"/>
      <c r="J386" s="26" t="str">
        <f t="shared" ref="J386:J449" si="6">IF(I386="","",EXP(-I386))</f>
        <v/>
      </c>
      <c r="K386" s="27">
        <v>1</v>
      </c>
      <c r="L386" s="27">
        <v>1</v>
      </c>
      <c r="N386" t="s">
        <v>90</v>
      </c>
    </row>
    <row r="387" spans="1:14">
      <c r="A387">
        <v>20</v>
      </c>
      <c r="B387">
        <v>193</v>
      </c>
      <c r="C387">
        <v>46393.833333333336</v>
      </c>
      <c r="D387" t="s">
        <v>46</v>
      </c>
      <c r="E387" t="s">
        <v>44</v>
      </c>
      <c r="F387" t="s">
        <v>1743</v>
      </c>
      <c r="G387">
        <v>4</v>
      </c>
      <c r="H387" s="27"/>
      <c r="I387" s="27"/>
      <c r="J387" s="26" t="str">
        <f t="shared" si="6"/>
        <v/>
      </c>
      <c r="K387" s="27">
        <v>1</v>
      </c>
      <c r="L387" s="27">
        <v>1</v>
      </c>
      <c r="N387" t="s">
        <v>90</v>
      </c>
    </row>
    <row r="388" spans="1:14">
      <c r="A388">
        <v>20</v>
      </c>
      <c r="B388">
        <v>194</v>
      </c>
      <c r="C388">
        <v>46393.833333333336</v>
      </c>
      <c r="D388" t="s">
        <v>40</v>
      </c>
      <c r="E388" t="s">
        <v>47</v>
      </c>
      <c r="F388" t="s">
        <v>1742</v>
      </c>
      <c r="G388">
        <v>3</v>
      </c>
      <c r="H388" s="27"/>
      <c r="I388" s="27"/>
      <c r="J388" s="26" t="str">
        <f t="shared" si="6"/>
        <v/>
      </c>
      <c r="K388" s="27">
        <v>1</v>
      </c>
      <c r="L388" s="27">
        <v>1</v>
      </c>
      <c r="N388" t="s">
        <v>90</v>
      </c>
    </row>
    <row r="389" spans="1:14">
      <c r="A389">
        <v>20</v>
      </c>
      <c r="B389">
        <v>194</v>
      </c>
      <c r="C389">
        <v>46393.833333333336</v>
      </c>
      <c r="D389" t="s">
        <v>47</v>
      </c>
      <c r="E389" t="s">
        <v>40</v>
      </c>
      <c r="F389" t="s">
        <v>1743</v>
      </c>
      <c r="G389">
        <v>3</v>
      </c>
      <c r="H389" s="27"/>
      <c r="I389" s="27"/>
      <c r="J389" s="26" t="str">
        <f t="shared" si="6"/>
        <v/>
      </c>
      <c r="K389" s="27">
        <v>1</v>
      </c>
      <c r="L389" s="27">
        <v>1</v>
      </c>
      <c r="N389" t="s">
        <v>90</v>
      </c>
    </row>
    <row r="390" spans="1:14">
      <c r="A390">
        <v>20</v>
      </c>
      <c r="B390">
        <v>195</v>
      </c>
      <c r="C390">
        <v>46393.833333333336</v>
      </c>
      <c r="D390" t="s">
        <v>57</v>
      </c>
      <c r="E390" t="s">
        <v>48</v>
      </c>
      <c r="F390" t="s">
        <v>1742</v>
      </c>
      <c r="G390">
        <v>3</v>
      </c>
      <c r="H390" s="27"/>
      <c r="I390" s="27"/>
      <c r="J390" s="26" t="str">
        <f t="shared" si="6"/>
        <v/>
      </c>
      <c r="K390" s="27">
        <v>1</v>
      </c>
      <c r="L390" s="27">
        <v>1</v>
      </c>
      <c r="N390" t="s">
        <v>90</v>
      </c>
    </row>
    <row r="391" spans="1:14">
      <c r="A391">
        <v>20</v>
      </c>
      <c r="B391">
        <v>195</v>
      </c>
      <c r="C391">
        <v>46393.833333333336</v>
      </c>
      <c r="D391" t="s">
        <v>48</v>
      </c>
      <c r="E391" t="s">
        <v>57</v>
      </c>
      <c r="F391" t="s">
        <v>1743</v>
      </c>
      <c r="G391">
        <v>3</v>
      </c>
      <c r="H391" s="27"/>
      <c r="I391" s="27"/>
      <c r="J391" s="26" t="str">
        <f t="shared" si="6"/>
        <v/>
      </c>
      <c r="K391" s="27">
        <v>1</v>
      </c>
      <c r="L391" s="27">
        <v>1</v>
      </c>
      <c r="N391" t="s">
        <v>90</v>
      </c>
    </row>
    <row r="392" spans="1:14">
      <c r="A392">
        <v>20</v>
      </c>
      <c r="B392">
        <v>196</v>
      </c>
      <c r="C392">
        <v>46393.833333333336</v>
      </c>
      <c r="D392" t="s">
        <v>45</v>
      </c>
      <c r="E392" t="s">
        <v>50</v>
      </c>
      <c r="F392" t="s">
        <v>1742</v>
      </c>
      <c r="G392">
        <v>2</v>
      </c>
      <c r="H392" s="27"/>
      <c r="I392" s="27"/>
      <c r="J392" s="26" t="str">
        <f t="shared" si="6"/>
        <v/>
      </c>
      <c r="K392" s="27">
        <v>1</v>
      </c>
      <c r="L392" s="27">
        <v>1</v>
      </c>
      <c r="N392" t="s">
        <v>90</v>
      </c>
    </row>
    <row r="393" spans="1:14">
      <c r="A393">
        <v>20</v>
      </c>
      <c r="B393">
        <v>196</v>
      </c>
      <c r="C393">
        <v>46393.833333333336</v>
      </c>
      <c r="D393" t="s">
        <v>50</v>
      </c>
      <c r="E393" t="s">
        <v>45</v>
      </c>
      <c r="F393" t="s">
        <v>1743</v>
      </c>
      <c r="G393">
        <v>2</v>
      </c>
      <c r="H393" s="27"/>
      <c r="I393" s="27"/>
      <c r="J393" s="26" t="str">
        <f t="shared" si="6"/>
        <v/>
      </c>
      <c r="K393" s="27">
        <v>1</v>
      </c>
      <c r="L393" s="27">
        <v>1</v>
      </c>
      <c r="N393" t="s">
        <v>90</v>
      </c>
    </row>
    <row r="394" spans="1:14">
      <c r="A394">
        <v>20</v>
      </c>
      <c r="B394">
        <v>197</v>
      </c>
      <c r="C394">
        <v>46393.833333333336</v>
      </c>
      <c r="D394" t="s">
        <v>53</v>
      </c>
      <c r="E394" t="s">
        <v>51</v>
      </c>
      <c r="F394" t="s">
        <v>1742</v>
      </c>
      <c r="G394">
        <v>3</v>
      </c>
      <c r="H394" s="27"/>
      <c r="I394" s="27"/>
      <c r="J394" s="26" t="str">
        <f t="shared" si="6"/>
        <v/>
      </c>
      <c r="K394" s="27">
        <v>1</v>
      </c>
      <c r="L394" s="27">
        <v>1</v>
      </c>
      <c r="N394" t="s">
        <v>90</v>
      </c>
    </row>
    <row r="395" spans="1:14">
      <c r="A395">
        <v>20</v>
      </c>
      <c r="B395">
        <v>197</v>
      </c>
      <c r="C395">
        <v>46393.833333333336</v>
      </c>
      <c r="D395" t="s">
        <v>51</v>
      </c>
      <c r="E395" t="s">
        <v>53</v>
      </c>
      <c r="F395" t="s">
        <v>1743</v>
      </c>
      <c r="G395">
        <v>4</v>
      </c>
      <c r="H395" s="27"/>
      <c r="I395" s="27"/>
      <c r="J395" s="26" t="str">
        <f t="shared" si="6"/>
        <v/>
      </c>
      <c r="K395" s="27">
        <v>1</v>
      </c>
      <c r="L395" s="27">
        <v>1</v>
      </c>
      <c r="N395" t="s">
        <v>90</v>
      </c>
    </row>
    <row r="396" spans="1:14">
      <c r="A396">
        <v>20</v>
      </c>
      <c r="B396">
        <v>198</v>
      </c>
      <c r="C396">
        <v>46393.833333333336</v>
      </c>
      <c r="D396" t="s">
        <v>55</v>
      </c>
      <c r="E396" t="s">
        <v>54</v>
      </c>
      <c r="F396" t="s">
        <v>1742</v>
      </c>
      <c r="G396">
        <v>4</v>
      </c>
      <c r="H396" s="27"/>
      <c r="I396" s="27"/>
      <c r="J396" s="26" t="str">
        <f t="shared" si="6"/>
        <v/>
      </c>
      <c r="K396" s="27">
        <v>1</v>
      </c>
      <c r="L396" s="27">
        <v>1</v>
      </c>
      <c r="N396" t="s">
        <v>90</v>
      </c>
    </row>
    <row r="397" spans="1:14">
      <c r="A397">
        <v>20</v>
      </c>
      <c r="B397">
        <v>198</v>
      </c>
      <c r="C397">
        <v>46393.833333333336</v>
      </c>
      <c r="D397" t="s">
        <v>54</v>
      </c>
      <c r="E397" t="s">
        <v>55</v>
      </c>
      <c r="F397" t="s">
        <v>1743</v>
      </c>
      <c r="G397">
        <v>2</v>
      </c>
      <c r="H397" s="27"/>
      <c r="I397" s="27"/>
      <c r="J397" s="26" t="str">
        <f t="shared" si="6"/>
        <v/>
      </c>
      <c r="K397" s="27">
        <v>1</v>
      </c>
      <c r="L397" s="27">
        <v>1</v>
      </c>
      <c r="N397" t="s">
        <v>90</v>
      </c>
    </row>
    <row r="398" spans="1:14">
      <c r="A398">
        <v>20</v>
      </c>
      <c r="B398">
        <v>199</v>
      </c>
      <c r="C398">
        <v>46393.833333333336</v>
      </c>
      <c r="D398" t="s">
        <v>49</v>
      </c>
      <c r="E398" t="s">
        <v>56</v>
      </c>
      <c r="F398" t="s">
        <v>1742</v>
      </c>
      <c r="G398">
        <v>3</v>
      </c>
      <c r="H398" s="27"/>
      <c r="I398" s="27"/>
      <c r="J398" s="26" t="str">
        <f t="shared" si="6"/>
        <v/>
      </c>
      <c r="K398" s="27">
        <v>1</v>
      </c>
      <c r="L398" s="27">
        <v>1</v>
      </c>
      <c r="N398" t="s">
        <v>90</v>
      </c>
    </row>
    <row r="399" spans="1:14">
      <c r="A399">
        <v>20</v>
      </c>
      <c r="B399">
        <v>199</v>
      </c>
      <c r="C399">
        <v>46393.833333333336</v>
      </c>
      <c r="D399" t="s">
        <v>56</v>
      </c>
      <c r="E399" t="s">
        <v>49</v>
      </c>
      <c r="F399" t="s">
        <v>1743</v>
      </c>
      <c r="G399">
        <v>2</v>
      </c>
      <c r="H399" s="27"/>
      <c r="I399" s="27"/>
      <c r="J399" s="26" t="str">
        <f t="shared" si="6"/>
        <v/>
      </c>
      <c r="K399" s="27">
        <v>1</v>
      </c>
      <c r="L399" s="27">
        <v>1</v>
      </c>
      <c r="N399" t="s">
        <v>90</v>
      </c>
    </row>
    <row r="400" spans="1:14">
      <c r="A400">
        <v>20</v>
      </c>
      <c r="B400">
        <v>200</v>
      </c>
      <c r="C400">
        <v>46393.833333333336</v>
      </c>
      <c r="D400" t="s">
        <v>52</v>
      </c>
      <c r="E400" t="s">
        <v>58</v>
      </c>
      <c r="F400" t="s">
        <v>1742</v>
      </c>
      <c r="G400">
        <v>3</v>
      </c>
      <c r="H400" s="27"/>
      <c r="I400" s="27"/>
      <c r="J400" s="26" t="str">
        <f t="shared" si="6"/>
        <v/>
      </c>
      <c r="K400" s="27">
        <v>1</v>
      </c>
      <c r="L400" s="27">
        <v>1</v>
      </c>
      <c r="N400" t="s">
        <v>90</v>
      </c>
    </row>
    <row r="401" spans="1:14">
      <c r="A401">
        <v>20</v>
      </c>
      <c r="B401">
        <v>200</v>
      </c>
      <c r="C401">
        <v>46393.833333333336</v>
      </c>
      <c r="D401" t="s">
        <v>58</v>
      </c>
      <c r="E401" t="s">
        <v>52</v>
      </c>
      <c r="F401" t="s">
        <v>1743</v>
      </c>
      <c r="G401">
        <v>4</v>
      </c>
      <c r="H401" s="27"/>
      <c r="I401" s="27"/>
      <c r="J401" s="26" t="str">
        <f t="shared" si="6"/>
        <v/>
      </c>
      <c r="K401" s="27">
        <v>1</v>
      </c>
      <c r="L401" s="27">
        <v>1</v>
      </c>
      <c r="N401" t="s">
        <v>90</v>
      </c>
    </row>
    <row r="402" spans="1:14">
      <c r="A402">
        <v>21</v>
      </c>
      <c r="B402">
        <v>201</v>
      </c>
      <c r="C402">
        <v>46403.625</v>
      </c>
      <c r="D402" t="s">
        <v>54</v>
      </c>
      <c r="E402" t="s">
        <v>40</v>
      </c>
      <c r="F402" t="s">
        <v>1742</v>
      </c>
      <c r="G402">
        <v>4</v>
      </c>
      <c r="H402" s="27"/>
      <c r="I402" s="27"/>
      <c r="J402" s="26" t="str">
        <f t="shared" si="6"/>
        <v/>
      </c>
      <c r="K402" s="27">
        <v>1</v>
      </c>
      <c r="L402" s="27">
        <v>1</v>
      </c>
      <c r="N402" t="s">
        <v>90</v>
      </c>
    </row>
    <row r="403" spans="1:14">
      <c r="A403">
        <v>21</v>
      </c>
      <c r="B403">
        <v>201</v>
      </c>
      <c r="C403">
        <v>46403.625</v>
      </c>
      <c r="D403" t="s">
        <v>40</v>
      </c>
      <c r="E403" t="s">
        <v>54</v>
      </c>
      <c r="F403" t="s">
        <v>1743</v>
      </c>
      <c r="G403">
        <v>4</v>
      </c>
      <c r="H403" s="27"/>
      <c r="I403" s="27"/>
      <c r="J403" s="26" t="str">
        <f t="shared" si="6"/>
        <v/>
      </c>
      <c r="K403" s="27">
        <v>1</v>
      </c>
      <c r="L403" s="27">
        <v>1</v>
      </c>
      <c r="N403" t="s">
        <v>90</v>
      </c>
    </row>
    <row r="404" spans="1:14">
      <c r="A404">
        <v>21</v>
      </c>
      <c r="B404">
        <v>202</v>
      </c>
      <c r="C404">
        <v>46403.625</v>
      </c>
      <c r="D404" t="s">
        <v>50</v>
      </c>
      <c r="E404" t="s">
        <v>41</v>
      </c>
      <c r="F404" t="s">
        <v>1742</v>
      </c>
      <c r="G404">
        <v>3</v>
      </c>
      <c r="H404" s="27"/>
      <c r="I404" s="27"/>
      <c r="J404" s="26" t="str">
        <f t="shared" si="6"/>
        <v/>
      </c>
      <c r="K404" s="27">
        <v>1</v>
      </c>
      <c r="L404" s="27">
        <v>1</v>
      </c>
      <c r="N404" t="s">
        <v>90</v>
      </c>
    </row>
    <row r="405" spans="1:14">
      <c r="A405">
        <v>21</v>
      </c>
      <c r="B405">
        <v>202</v>
      </c>
      <c r="C405">
        <v>46403.625</v>
      </c>
      <c r="D405" t="s">
        <v>41</v>
      </c>
      <c r="E405" t="s">
        <v>50</v>
      </c>
      <c r="F405" t="s">
        <v>1743</v>
      </c>
      <c r="G405">
        <v>2</v>
      </c>
      <c r="H405" s="27"/>
      <c r="I405" s="27"/>
      <c r="J405" s="26" t="str">
        <f t="shared" si="6"/>
        <v/>
      </c>
      <c r="K405" s="27">
        <v>1</v>
      </c>
      <c r="L405" s="27">
        <v>1</v>
      </c>
      <c r="N405" t="s">
        <v>90</v>
      </c>
    </row>
    <row r="406" spans="1:14">
      <c r="A406">
        <v>21</v>
      </c>
      <c r="B406">
        <v>203</v>
      </c>
      <c r="C406">
        <v>46403.625</v>
      </c>
      <c r="D406" t="s">
        <v>43</v>
      </c>
      <c r="E406" t="s">
        <v>42</v>
      </c>
      <c r="F406" t="s">
        <v>1742</v>
      </c>
      <c r="G406">
        <v>3</v>
      </c>
      <c r="H406" s="27"/>
      <c r="I406" s="27"/>
      <c r="J406" s="26" t="str">
        <f t="shared" si="6"/>
        <v/>
      </c>
      <c r="K406" s="27">
        <v>1</v>
      </c>
      <c r="L406" s="27">
        <v>1</v>
      </c>
      <c r="N406" t="s">
        <v>90</v>
      </c>
    </row>
    <row r="407" spans="1:14">
      <c r="A407">
        <v>21</v>
      </c>
      <c r="B407">
        <v>203</v>
      </c>
      <c r="C407">
        <v>46403.625</v>
      </c>
      <c r="D407" t="s">
        <v>42</v>
      </c>
      <c r="E407" t="s">
        <v>43</v>
      </c>
      <c r="F407" t="s">
        <v>1743</v>
      </c>
      <c r="G407">
        <v>2</v>
      </c>
      <c r="H407" s="27"/>
      <c r="I407" s="27"/>
      <c r="J407" s="26" t="str">
        <f t="shared" si="6"/>
        <v/>
      </c>
      <c r="K407" s="27">
        <v>1</v>
      </c>
      <c r="L407" s="27">
        <v>1</v>
      </c>
      <c r="N407" t="s">
        <v>90</v>
      </c>
    </row>
    <row r="408" spans="1:14">
      <c r="A408">
        <v>21</v>
      </c>
      <c r="B408">
        <v>204</v>
      </c>
      <c r="C408">
        <v>46403.625</v>
      </c>
      <c r="D408" t="s">
        <v>58</v>
      </c>
      <c r="E408" t="s">
        <v>44</v>
      </c>
      <c r="F408" t="s">
        <v>1742</v>
      </c>
      <c r="G408">
        <v>4</v>
      </c>
      <c r="H408" s="27"/>
      <c r="I408" s="27"/>
      <c r="J408" s="26" t="str">
        <f t="shared" si="6"/>
        <v/>
      </c>
      <c r="K408" s="27">
        <v>1</v>
      </c>
      <c r="L408" s="27">
        <v>1</v>
      </c>
      <c r="N408" t="s">
        <v>90</v>
      </c>
    </row>
    <row r="409" spans="1:14">
      <c r="A409">
        <v>21</v>
      </c>
      <c r="B409">
        <v>204</v>
      </c>
      <c r="C409">
        <v>46403.625</v>
      </c>
      <c r="D409" t="s">
        <v>44</v>
      </c>
      <c r="E409" t="s">
        <v>58</v>
      </c>
      <c r="F409" t="s">
        <v>1743</v>
      </c>
      <c r="G409">
        <v>2</v>
      </c>
      <c r="H409" s="27"/>
      <c r="I409" s="27"/>
      <c r="J409" s="26" t="str">
        <f t="shared" si="6"/>
        <v/>
      </c>
      <c r="K409" s="27">
        <v>1</v>
      </c>
      <c r="L409" s="27">
        <v>1</v>
      </c>
      <c r="N409" t="s">
        <v>90</v>
      </c>
    </row>
    <row r="410" spans="1:14">
      <c r="A410">
        <v>21</v>
      </c>
      <c r="B410">
        <v>205</v>
      </c>
      <c r="C410">
        <v>46403.625</v>
      </c>
      <c r="D410" t="s">
        <v>47</v>
      </c>
      <c r="E410" t="s">
        <v>45</v>
      </c>
      <c r="F410" t="s">
        <v>1742</v>
      </c>
      <c r="G410">
        <v>2</v>
      </c>
      <c r="H410" s="27"/>
      <c r="I410" s="27"/>
      <c r="J410" s="26" t="str">
        <f t="shared" si="6"/>
        <v/>
      </c>
      <c r="K410" s="27">
        <v>1</v>
      </c>
      <c r="L410" s="27">
        <v>1</v>
      </c>
      <c r="N410" t="s">
        <v>90</v>
      </c>
    </row>
    <row r="411" spans="1:14">
      <c r="A411">
        <v>21</v>
      </c>
      <c r="B411">
        <v>205</v>
      </c>
      <c r="C411">
        <v>46403.625</v>
      </c>
      <c r="D411" t="s">
        <v>45</v>
      </c>
      <c r="E411" t="s">
        <v>47</v>
      </c>
      <c r="F411" t="s">
        <v>1743</v>
      </c>
      <c r="G411">
        <v>3</v>
      </c>
      <c r="H411" s="27"/>
      <c r="I411" s="27"/>
      <c r="J411" s="26" t="str">
        <f t="shared" si="6"/>
        <v/>
      </c>
      <c r="K411" s="27">
        <v>1</v>
      </c>
      <c r="L411" s="27">
        <v>1</v>
      </c>
      <c r="N411" t="s">
        <v>90</v>
      </c>
    </row>
    <row r="412" spans="1:14">
      <c r="A412">
        <v>21</v>
      </c>
      <c r="B412">
        <v>206</v>
      </c>
      <c r="C412">
        <v>46403.625</v>
      </c>
      <c r="D412" t="s">
        <v>39</v>
      </c>
      <c r="E412" t="s">
        <v>49</v>
      </c>
      <c r="F412" t="s">
        <v>1742</v>
      </c>
      <c r="G412">
        <v>2</v>
      </c>
      <c r="H412" s="27"/>
      <c r="I412" s="27"/>
      <c r="J412" s="26" t="str">
        <f t="shared" si="6"/>
        <v/>
      </c>
      <c r="K412" s="27">
        <v>1</v>
      </c>
      <c r="L412" s="27">
        <v>1</v>
      </c>
      <c r="N412" t="s">
        <v>90</v>
      </c>
    </row>
    <row r="413" spans="1:14">
      <c r="A413">
        <v>21</v>
      </c>
      <c r="B413">
        <v>206</v>
      </c>
      <c r="C413">
        <v>46403.625</v>
      </c>
      <c r="D413" t="s">
        <v>49</v>
      </c>
      <c r="E413" t="s">
        <v>39</v>
      </c>
      <c r="F413" t="s">
        <v>1743</v>
      </c>
      <c r="G413">
        <v>4</v>
      </c>
      <c r="H413" s="27"/>
      <c r="I413" s="27"/>
      <c r="J413" s="26" t="str">
        <f t="shared" si="6"/>
        <v/>
      </c>
      <c r="K413" s="27">
        <v>1</v>
      </c>
      <c r="L413" s="27">
        <v>1</v>
      </c>
      <c r="N413" t="s">
        <v>90</v>
      </c>
    </row>
    <row r="414" spans="1:14">
      <c r="A414">
        <v>21</v>
      </c>
      <c r="B414">
        <v>207</v>
      </c>
      <c r="C414">
        <v>46403.625</v>
      </c>
      <c r="D414" t="s">
        <v>46</v>
      </c>
      <c r="E414" t="s">
        <v>52</v>
      </c>
      <c r="F414" t="s">
        <v>1742</v>
      </c>
      <c r="G414">
        <v>4</v>
      </c>
      <c r="H414" s="27"/>
      <c r="I414" s="27"/>
      <c r="J414" s="26" t="str">
        <f t="shared" si="6"/>
        <v/>
      </c>
      <c r="K414" s="27">
        <v>1</v>
      </c>
      <c r="L414" s="27">
        <v>1</v>
      </c>
      <c r="N414" t="s">
        <v>90</v>
      </c>
    </row>
    <row r="415" spans="1:14">
      <c r="A415">
        <v>21</v>
      </c>
      <c r="B415">
        <v>207</v>
      </c>
      <c r="C415">
        <v>46403.625</v>
      </c>
      <c r="D415" t="s">
        <v>52</v>
      </c>
      <c r="E415" t="s">
        <v>46</v>
      </c>
      <c r="F415" t="s">
        <v>1743</v>
      </c>
      <c r="G415">
        <v>3</v>
      </c>
      <c r="H415" s="27"/>
      <c r="I415" s="27"/>
      <c r="J415" s="26" t="str">
        <f t="shared" si="6"/>
        <v/>
      </c>
      <c r="K415" s="27">
        <v>1</v>
      </c>
      <c r="L415" s="27">
        <v>1</v>
      </c>
      <c r="N415" t="s">
        <v>90</v>
      </c>
    </row>
    <row r="416" spans="1:14">
      <c r="A416">
        <v>21</v>
      </c>
      <c r="B416">
        <v>208</v>
      </c>
      <c r="C416">
        <v>46403.625</v>
      </c>
      <c r="D416" t="s">
        <v>56</v>
      </c>
      <c r="E416" t="s">
        <v>53</v>
      </c>
      <c r="F416" t="s">
        <v>1742</v>
      </c>
      <c r="G416">
        <v>5</v>
      </c>
      <c r="H416" s="27"/>
      <c r="I416" s="27"/>
      <c r="J416" s="26" t="str">
        <f t="shared" si="6"/>
        <v/>
      </c>
      <c r="K416" s="27">
        <v>1</v>
      </c>
      <c r="L416" s="27">
        <v>1</v>
      </c>
      <c r="N416" t="s">
        <v>90</v>
      </c>
    </row>
    <row r="417" spans="1:14">
      <c r="A417">
        <v>21</v>
      </c>
      <c r="B417">
        <v>208</v>
      </c>
      <c r="C417">
        <v>46403.625</v>
      </c>
      <c r="D417" t="s">
        <v>53</v>
      </c>
      <c r="E417" t="s">
        <v>56</v>
      </c>
      <c r="F417" t="s">
        <v>1743</v>
      </c>
      <c r="G417">
        <v>3</v>
      </c>
      <c r="H417" s="27"/>
      <c r="I417" s="27"/>
      <c r="J417" s="26" t="str">
        <f t="shared" si="6"/>
        <v/>
      </c>
      <c r="K417" s="27">
        <v>1</v>
      </c>
      <c r="L417" s="27">
        <v>1</v>
      </c>
      <c r="N417" t="s">
        <v>90</v>
      </c>
    </row>
    <row r="418" spans="1:14">
      <c r="A418">
        <v>21</v>
      </c>
      <c r="B418">
        <v>209</v>
      </c>
      <c r="C418">
        <v>46403.625</v>
      </c>
      <c r="D418" t="s">
        <v>48</v>
      </c>
      <c r="E418" t="s">
        <v>55</v>
      </c>
      <c r="F418" t="s">
        <v>1742</v>
      </c>
      <c r="G418">
        <v>3</v>
      </c>
      <c r="H418" s="27"/>
      <c r="I418" s="27"/>
      <c r="J418" s="26" t="str">
        <f t="shared" si="6"/>
        <v/>
      </c>
      <c r="K418" s="27">
        <v>1</v>
      </c>
      <c r="L418" s="27">
        <v>1</v>
      </c>
      <c r="N418" t="s">
        <v>90</v>
      </c>
    </row>
    <row r="419" spans="1:14">
      <c r="A419">
        <v>21</v>
      </c>
      <c r="B419">
        <v>209</v>
      </c>
      <c r="C419">
        <v>46403.625</v>
      </c>
      <c r="D419" t="s">
        <v>55</v>
      </c>
      <c r="E419" t="s">
        <v>48</v>
      </c>
      <c r="F419" t="s">
        <v>1743</v>
      </c>
      <c r="G419">
        <v>2</v>
      </c>
      <c r="H419" s="27"/>
      <c r="I419" s="27"/>
      <c r="J419" s="26" t="str">
        <f t="shared" si="6"/>
        <v/>
      </c>
      <c r="K419" s="27">
        <v>1</v>
      </c>
      <c r="L419" s="27">
        <v>1</v>
      </c>
      <c r="N419" t="s">
        <v>90</v>
      </c>
    </row>
    <row r="420" spans="1:14">
      <c r="A420">
        <v>21</v>
      </c>
      <c r="B420">
        <v>210</v>
      </c>
      <c r="C420">
        <v>46403.625</v>
      </c>
      <c r="D420" t="s">
        <v>51</v>
      </c>
      <c r="E420" t="s">
        <v>57</v>
      </c>
      <c r="F420" t="s">
        <v>1742</v>
      </c>
      <c r="G420">
        <v>3</v>
      </c>
      <c r="H420" s="27"/>
      <c r="I420" s="27"/>
      <c r="J420" s="26" t="str">
        <f t="shared" si="6"/>
        <v/>
      </c>
      <c r="K420" s="27">
        <v>1</v>
      </c>
      <c r="L420" s="27">
        <v>1</v>
      </c>
      <c r="N420" t="s">
        <v>90</v>
      </c>
    </row>
    <row r="421" spans="1:14">
      <c r="A421">
        <v>21</v>
      </c>
      <c r="B421">
        <v>210</v>
      </c>
      <c r="C421">
        <v>46403.625</v>
      </c>
      <c r="D421" t="s">
        <v>57</v>
      </c>
      <c r="E421" t="s">
        <v>51</v>
      </c>
      <c r="F421" t="s">
        <v>1743</v>
      </c>
      <c r="G421">
        <v>2</v>
      </c>
      <c r="H421" s="27"/>
      <c r="I421" s="27"/>
      <c r="J421" s="26" t="str">
        <f t="shared" si="6"/>
        <v/>
      </c>
      <c r="K421" s="27">
        <v>1</v>
      </c>
      <c r="L421" s="27">
        <v>1</v>
      </c>
      <c r="N421" t="s">
        <v>90</v>
      </c>
    </row>
    <row r="422" spans="1:14">
      <c r="A422">
        <v>22</v>
      </c>
      <c r="B422">
        <v>211</v>
      </c>
      <c r="C422">
        <v>46410.625</v>
      </c>
      <c r="D422" t="s">
        <v>55</v>
      </c>
      <c r="E422" t="s">
        <v>39</v>
      </c>
      <c r="F422" t="s">
        <v>1742</v>
      </c>
      <c r="G422">
        <v>5</v>
      </c>
      <c r="H422" s="27"/>
      <c r="I422" s="27"/>
      <c r="J422" s="26" t="str">
        <f t="shared" si="6"/>
        <v/>
      </c>
      <c r="K422" s="27">
        <v>1</v>
      </c>
      <c r="L422" s="27">
        <v>1</v>
      </c>
      <c r="N422" t="s">
        <v>90</v>
      </c>
    </row>
    <row r="423" spans="1:14">
      <c r="A423">
        <v>22</v>
      </c>
      <c r="B423">
        <v>211</v>
      </c>
      <c r="C423">
        <v>46410.625</v>
      </c>
      <c r="D423" t="s">
        <v>39</v>
      </c>
      <c r="E423" t="s">
        <v>55</v>
      </c>
      <c r="F423" t="s">
        <v>1743</v>
      </c>
      <c r="G423">
        <v>2</v>
      </c>
      <c r="H423" s="27"/>
      <c r="I423" s="27"/>
      <c r="J423" s="26" t="str">
        <f t="shared" si="6"/>
        <v/>
      </c>
      <c r="K423" s="27">
        <v>1</v>
      </c>
      <c r="L423" s="27">
        <v>1</v>
      </c>
      <c r="N423" t="s">
        <v>90</v>
      </c>
    </row>
    <row r="424" spans="1:14">
      <c r="A424">
        <v>22</v>
      </c>
      <c r="B424">
        <v>212</v>
      </c>
      <c r="C424">
        <v>46410.625</v>
      </c>
      <c r="D424" t="s">
        <v>53</v>
      </c>
      <c r="E424" t="s">
        <v>43</v>
      </c>
      <c r="F424" t="s">
        <v>1742</v>
      </c>
      <c r="G424">
        <v>3</v>
      </c>
      <c r="H424" s="27"/>
      <c r="I424" s="27"/>
      <c r="J424" s="26" t="str">
        <f t="shared" si="6"/>
        <v/>
      </c>
      <c r="K424" s="27">
        <v>1</v>
      </c>
      <c r="L424" s="27">
        <v>1</v>
      </c>
      <c r="N424" t="s">
        <v>90</v>
      </c>
    </row>
    <row r="425" spans="1:14">
      <c r="A425">
        <v>22</v>
      </c>
      <c r="B425">
        <v>212</v>
      </c>
      <c r="C425">
        <v>46410.625</v>
      </c>
      <c r="D425" t="s">
        <v>43</v>
      </c>
      <c r="E425" t="s">
        <v>53</v>
      </c>
      <c r="F425" t="s">
        <v>1743</v>
      </c>
      <c r="G425">
        <v>4</v>
      </c>
      <c r="H425" s="27"/>
      <c r="I425" s="27"/>
      <c r="J425" s="26" t="str">
        <f t="shared" si="6"/>
        <v/>
      </c>
      <c r="K425" s="27">
        <v>1</v>
      </c>
      <c r="L425" s="27">
        <v>1</v>
      </c>
      <c r="N425" t="s">
        <v>90</v>
      </c>
    </row>
    <row r="426" spans="1:14">
      <c r="A426">
        <v>22</v>
      </c>
      <c r="B426">
        <v>213</v>
      </c>
      <c r="C426">
        <v>46410.625</v>
      </c>
      <c r="D426" t="s">
        <v>57</v>
      </c>
      <c r="E426" t="s">
        <v>46</v>
      </c>
      <c r="F426" t="s">
        <v>1742</v>
      </c>
      <c r="G426">
        <v>3</v>
      </c>
      <c r="H426" s="27"/>
      <c r="I426" s="27"/>
      <c r="J426" s="26" t="str">
        <f t="shared" si="6"/>
        <v/>
      </c>
      <c r="K426" s="27">
        <v>1</v>
      </c>
      <c r="L426" s="27">
        <v>1</v>
      </c>
      <c r="N426" t="s">
        <v>90</v>
      </c>
    </row>
    <row r="427" spans="1:14">
      <c r="A427">
        <v>22</v>
      </c>
      <c r="B427">
        <v>213</v>
      </c>
      <c r="C427">
        <v>46410.625</v>
      </c>
      <c r="D427" t="s">
        <v>46</v>
      </c>
      <c r="E427" t="s">
        <v>57</v>
      </c>
      <c r="F427" t="s">
        <v>1743</v>
      </c>
      <c r="G427">
        <v>3</v>
      </c>
      <c r="H427" s="27"/>
      <c r="I427" s="27"/>
      <c r="J427" s="26" t="str">
        <f t="shared" si="6"/>
        <v/>
      </c>
      <c r="K427" s="27">
        <v>1</v>
      </c>
      <c r="L427" s="27">
        <v>1</v>
      </c>
      <c r="N427" t="s">
        <v>90</v>
      </c>
    </row>
    <row r="428" spans="1:14">
      <c r="A428">
        <v>22</v>
      </c>
      <c r="B428">
        <v>214</v>
      </c>
      <c r="C428">
        <v>46410.625</v>
      </c>
      <c r="D428" t="s">
        <v>42</v>
      </c>
      <c r="E428" t="s">
        <v>47</v>
      </c>
      <c r="F428" t="s">
        <v>1742</v>
      </c>
      <c r="G428">
        <v>3</v>
      </c>
      <c r="H428" s="27"/>
      <c r="I428" s="27"/>
      <c r="J428" s="26" t="str">
        <f t="shared" si="6"/>
        <v/>
      </c>
      <c r="K428" s="27">
        <v>1</v>
      </c>
      <c r="L428" s="27">
        <v>1</v>
      </c>
      <c r="N428" t="s">
        <v>90</v>
      </c>
    </row>
    <row r="429" spans="1:14">
      <c r="A429">
        <v>22</v>
      </c>
      <c r="B429">
        <v>214</v>
      </c>
      <c r="C429">
        <v>46410.625</v>
      </c>
      <c r="D429" t="s">
        <v>47</v>
      </c>
      <c r="E429" t="s">
        <v>42</v>
      </c>
      <c r="F429" t="s">
        <v>1743</v>
      </c>
      <c r="G429">
        <v>3</v>
      </c>
      <c r="H429" s="27"/>
      <c r="I429" s="27"/>
      <c r="J429" s="26" t="str">
        <f t="shared" si="6"/>
        <v/>
      </c>
      <c r="K429" s="27">
        <v>1</v>
      </c>
      <c r="L429" s="27">
        <v>1</v>
      </c>
      <c r="N429" t="s">
        <v>90</v>
      </c>
    </row>
    <row r="430" spans="1:14">
      <c r="A430">
        <v>22</v>
      </c>
      <c r="B430">
        <v>215</v>
      </c>
      <c r="C430">
        <v>46410.625</v>
      </c>
      <c r="D430" t="s">
        <v>40</v>
      </c>
      <c r="E430" t="s">
        <v>48</v>
      </c>
      <c r="F430" t="s">
        <v>1742</v>
      </c>
      <c r="G430">
        <v>3</v>
      </c>
      <c r="H430" s="27"/>
      <c r="I430" s="27"/>
      <c r="J430" s="26" t="str">
        <f t="shared" si="6"/>
        <v/>
      </c>
      <c r="K430" s="27">
        <v>1</v>
      </c>
      <c r="L430" s="27">
        <v>1</v>
      </c>
      <c r="N430" t="s">
        <v>90</v>
      </c>
    </row>
    <row r="431" spans="1:14">
      <c r="A431">
        <v>22</v>
      </c>
      <c r="B431">
        <v>215</v>
      </c>
      <c r="C431">
        <v>46410.625</v>
      </c>
      <c r="D431" t="s">
        <v>48</v>
      </c>
      <c r="E431" t="s">
        <v>40</v>
      </c>
      <c r="F431" t="s">
        <v>1743</v>
      </c>
      <c r="G431">
        <v>3</v>
      </c>
      <c r="H431" s="27"/>
      <c r="I431" s="27"/>
      <c r="J431" s="26" t="str">
        <f t="shared" si="6"/>
        <v/>
      </c>
      <c r="K431" s="27">
        <v>1</v>
      </c>
      <c r="L431" s="27">
        <v>1</v>
      </c>
      <c r="N431" t="s">
        <v>90</v>
      </c>
    </row>
    <row r="432" spans="1:14">
      <c r="A432">
        <v>22</v>
      </c>
      <c r="B432">
        <v>216</v>
      </c>
      <c r="C432">
        <v>46410.625</v>
      </c>
      <c r="D432" t="s">
        <v>49</v>
      </c>
      <c r="E432" t="s">
        <v>50</v>
      </c>
      <c r="F432" t="s">
        <v>1742</v>
      </c>
      <c r="G432">
        <v>2</v>
      </c>
      <c r="H432" s="27"/>
      <c r="I432" s="27"/>
      <c r="J432" s="26" t="str">
        <f t="shared" si="6"/>
        <v/>
      </c>
      <c r="K432" s="27">
        <v>1</v>
      </c>
      <c r="L432" s="27">
        <v>1</v>
      </c>
      <c r="N432" t="s">
        <v>90</v>
      </c>
    </row>
    <row r="433" spans="1:14">
      <c r="A433">
        <v>22</v>
      </c>
      <c r="B433">
        <v>216</v>
      </c>
      <c r="C433">
        <v>46410.625</v>
      </c>
      <c r="D433" t="s">
        <v>50</v>
      </c>
      <c r="E433" t="s">
        <v>49</v>
      </c>
      <c r="F433" t="s">
        <v>1743</v>
      </c>
      <c r="G433">
        <v>2</v>
      </c>
      <c r="H433" s="27"/>
      <c r="I433" s="27"/>
      <c r="J433" s="26" t="str">
        <f t="shared" si="6"/>
        <v/>
      </c>
      <c r="K433" s="27">
        <v>1</v>
      </c>
      <c r="L433" s="27">
        <v>1</v>
      </c>
      <c r="N433" t="s">
        <v>90</v>
      </c>
    </row>
    <row r="434" spans="1:14">
      <c r="A434">
        <v>22</v>
      </c>
      <c r="B434">
        <v>217</v>
      </c>
      <c r="C434">
        <v>46410.625</v>
      </c>
      <c r="D434" t="s">
        <v>44</v>
      </c>
      <c r="E434" t="s">
        <v>51</v>
      </c>
      <c r="F434" t="s">
        <v>1742</v>
      </c>
      <c r="G434">
        <v>3</v>
      </c>
      <c r="H434" s="27"/>
      <c r="I434" s="27"/>
      <c r="J434" s="26" t="str">
        <f t="shared" si="6"/>
        <v/>
      </c>
      <c r="K434" s="27">
        <v>1</v>
      </c>
      <c r="L434" s="27">
        <v>1</v>
      </c>
      <c r="N434" t="s">
        <v>90</v>
      </c>
    </row>
    <row r="435" spans="1:14">
      <c r="A435">
        <v>22</v>
      </c>
      <c r="B435">
        <v>217</v>
      </c>
      <c r="C435">
        <v>46410.625</v>
      </c>
      <c r="D435" t="s">
        <v>51</v>
      </c>
      <c r="E435" t="s">
        <v>44</v>
      </c>
      <c r="F435" t="s">
        <v>1743</v>
      </c>
      <c r="G435">
        <v>4</v>
      </c>
      <c r="H435" s="27"/>
      <c r="I435" s="27"/>
      <c r="J435" s="26" t="str">
        <f t="shared" si="6"/>
        <v/>
      </c>
      <c r="K435" s="27">
        <v>1</v>
      </c>
      <c r="L435" s="27">
        <v>1</v>
      </c>
      <c r="N435" t="s">
        <v>90</v>
      </c>
    </row>
    <row r="436" spans="1:14">
      <c r="A436">
        <v>22</v>
      </c>
      <c r="B436">
        <v>218</v>
      </c>
      <c r="C436">
        <v>46410.625</v>
      </c>
      <c r="D436" t="s">
        <v>52</v>
      </c>
      <c r="E436" t="s">
        <v>54</v>
      </c>
      <c r="F436" t="s">
        <v>1742</v>
      </c>
      <c r="G436">
        <v>4</v>
      </c>
      <c r="H436" s="27"/>
      <c r="I436" s="27"/>
      <c r="J436" s="26" t="str">
        <f t="shared" si="6"/>
        <v/>
      </c>
      <c r="K436" s="27">
        <v>1</v>
      </c>
      <c r="L436" s="27">
        <v>1</v>
      </c>
      <c r="N436" t="s">
        <v>90</v>
      </c>
    </row>
    <row r="437" spans="1:14">
      <c r="A437">
        <v>22</v>
      </c>
      <c r="B437">
        <v>218</v>
      </c>
      <c r="C437">
        <v>46410.625</v>
      </c>
      <c r="D437" t="s">
        <v>54</v>
      </c>
      <c r="E437" t="s">
        <v>52</v>
      </c>
      <c r="F437" t="s">
        <v>1743</v>
      </c>
      <c r="G437">
        <v>4</v>
      </c>
      <c r="H437" s="27"/>
      <c r="I437" s="27"/>
      <c r="J437" s="26" t="str">
        <f t="shared" si="6"/>
        <v/>
      </c>
      <c r="K437" s="27">
        <v>1</v>
      </c>
      <c r="L437" s="27">
        <v>1</v>
      </c>
      <c r="N437" t="s">
        <v>90</v>
      </c>
    </row>
    <row r="438" spans="1:14">
      <c r="A438">
        <v>22</v>
      </c>
      <c r="B438">
        <v>219</v>
      </c>
      <c r="C438">
        <v>46410.625</v>
      </c>
      <c r="D438" t="s">
        <v>41</v>
      </c>
      <c r="E438" t="s">
        <v>56</v>
      </c>
      <c r="F438" t="s">
        <v>1742</v>
      </c>
      <c r="G438">
        <v>3</v>
      </c>
      <c r="H438" s="27"/>
      <c r="I438" s="27"/>
      <c r="J438" s="26" t="str">
        <f t="shared" si="6"/>
        <v/>
      </c>
      <c r="K438" s="27">
        <v>1</v>
      </c>
      <c r="L438" s="27">
        <v>1</v>
      </c>
      <c r="N438" t="s">
        <v>90</v>
      </c>
    </row>
    <row r="439" spans="1:14">
      <c r="A439">
        <v>22</v>
      </c>
      <c r="B439">
        <v>219</v>
      </c>
      <c r="C439">
        <v>46410.625</v>
      </c>
      <c r="D439" t="s">
        <v>56</v>
      </c>
      <c r="E439" t="s">
        <v>41</v>
      </c>
      <c r="F439" t="s">
        <v>1743</v>
      </c>
      <c r="G439">
        <v>3</v>
      </c>
      <c r="H439" s="27"/>
      <c r="I439" s="27"/>
      <c r="J439" s="26" t="str">
        <f t="shared" si="6"/>
        <v/>
      </c>
      <c r="K439" s="27">
        <v>1</v>
      </c>
      <c r="L439" s="27">
        <v>1</v>
      </c>
      <c r="N439" t="s">
        <v>90</v>
      </c>
    </row>
    <row r="440" spans="1:14">
      <c r="A440">
        <v>22</v>
      </c>
      <c r="B440">
        <v>220</v>
      </c>
      <c r="C440">
        <v>46410.625</v>
      </c>
      <c r="D440" t="s">
        <v>45</v>
      </c>
      <c r="E440" t="s">
        <v>58</v>
      </c>
      <c r="F440" t="s">
        <v>1742</v>
      </c>
      <c r="G440">
        <v>3</v>
      </c>
      <c r="H440" s="27"/>
      <c r="I440" s="27"/>
      <c r="J440" s="26" t="str">
        <f t="shared" si="6"/>
        <v/>
      </c>
      <c r="K440" s="27">
        <v>1</v>
      </c>
      <c r="L440" s="27">
        <v>1</v>
      </c>
      <c r="N440" t="s">
        <v>90</v>
      </c>
    </row>
    <row r="441" spans="1:14">
      <c r="A441">
        <v>22</v>
      </c>
      <c r="B441">
        <v>220</v>
      </c>
      <c r="C441">
        <v>46410.625</v>
      </c>
      <c r="D441" t="s">
        <v>58</v>
      </c>
      <c r="E441" t="s">
        <v>45</v>
      </c>
      <c r="F441" t="s">
        <v>1743</v>
      </c>
      <c r="G441">
        <v>2</v>
      </c>
      <c r="H441" s="27"/>
      <c r="I441" s="27"/>
      <c r="J441" s="26" t="str">
        <f t="shared" si="6"/>
        <v/>
      </c>
      <c r="K441" s="27">
        <v>1</v>
      </c>
      <c r="L441" s="27">
        <v>1</v>
      </c>
      <c r="N441" t="s">
        <v>90</v>
      </c>
    </row>
    <row r="442" spans="1:14">
      <c r="A442">
        <v>23</v>
      </c>
      <c r="B442">
        <v>221</v>
      </c>
      <c r="C442">
        <v>46417.625</v>
      </c>
      <c r="D442" t="s">
        <v>50</v>
      </c>
      <c r="E442" t="s">
        <v>40</v>
      </c>
      <c r="F442" t="s">
        <v>1742</v>
      </c>
      <c r="G442">
        <v>4</v>
      </c>
      <c r="H442" s="27"/>
      <c r="I442" s="27"/>
      <c r="J442" s="26" t="str">
        <f t="shared" si="6"/>
        <v/>
      </c>
      <c r="K442" s="27">
        <v>1</v>
      </c>
      <c r="L442" s="27">
        <v>1</v>
      </c>
      <c r="N442" t="s">
        <v>90</v>
      </c>
    </row>
    <row r="443" spans="1:14">
      <c r="A443">
        <v>23</v>
      </c>
      <c r="B443">
        <v>221</v>
      </c>
      <c r="C443">
        <v>46417.625</v>
      </c>
      <c r="D443" t="s">
        <v>40</v>
      </c>
      <c r="E443" t="s">
        <v>50</v>
      </c>
      <c r="F443" t="s">
        <v>1743</v>
      </c>
      <c r="G443">
        <v>2</v>
      </c>
      <c r="H443" s="27"/>
      <c r="I443" s="27"/>
      <c r="J443" s="26" t="str">
        <f t="shared" si="6"/>
        <v/>
      </c>
      <c r="K443" s="27">
        <v>1</v>
      </c>
      <c r="L443" s="27">
        <v>1</v>
      </c>
      <c r="N443" t="s">
        <v>90</v>
      </c>
    </row>
    <row r="444" spans="1:14">
      <c r="A444">
        <v>23</v>
      </c>
      <c r="B444">
        <v>222</v>
      </c>
      <c r="C444">
        <v>46417.625</v>
      </c>
      <c r="D444" t="s">
        <v>48</v>
      </c>
      <c r="E444" t="s">
        <v>41</v>
      </c>
      <c r="F444" t="s">
        <v>1742</v>
      </c>
      <c r="G444">
        <v>3</v>
      </c>
      <c r="H444" s="27"/>
      <c r="I444" s="27"/>
      <c r="J444" s="26" t="str">
        <f t="shared" si="6"/>
        <v/>
      </c>
      <c r="K444" s="27">
        <v>1</v>
      </c>
      <c r="L444" s="27">
        <v>1</v>
      </c>
      <c r="N444" t="s">
        <v>90</v>
      </c>
    </row>
    <row r="445" spans="1:14">
      <c r="A445">
        <v>23</v>
      </c>
      <c r="B445">
        <v>222</v>
      </c>
      <c r="C445">
        <v>46417.625</v>
      </c>
      <c r="D445" t="s">
        <v>41</v>
      </c>
      <c r="E445" t="s">
        <v>48</v>
      </c>
      <c r="F445" t="s">
        <v>1743</v>
      </c>
      <c r="G445">
        <v>2</v>
      </c>
      <c r="H445" s="27"/>
      <c r="I445" s="27"/>
      <c r="J445" s="26" t="str">
        <f t="shared" si="6"/>
        <v/>
      </c>
      <c r="K445" s="27">
        <v>1</v>
      </c>
      <c r="L445" s="27">
        <v>1</v>
      </c>
      <c r="N445" t="s">
        <v>90</v>
      </c>
    </row>
    <row r="446" spans="1:14">
      <c r="A446">
        <v>23</v>
      </c>
      <c r="B446">
        <v>223</v>
      </c>
      <c r="C446">
        <v>46417.625</v>
      </c>
      <c r="D446" t="s">
        <v>54</v>
      </c>
      <c r="E446" t="s">
        <v>42</v>
      </c>
      <c r="F446" t="s">
        <v>1742</v>
      </c>
      <c r="G446">
        <v>3</v>
      </c>
      <c r="H446" s="27"/>
      <c r="I446" s="27"/>
      <c r="J446" s="26" t="str">
        <f t="shared" si="6"/>
        <v/>
      </c>
      <c r="K446" s="27">
        <v>1</v>
      </c>
      <c r="L446" s="27">
        <v>1</v>
      </c>
      <c r="N446" t="s">
        <v>90</v>
      </c>
    </row>
    <row r="447" spans="1:14">
      <c r="A447">
        <v>23</v>
      </c>
      <c r="B447">
        <v>223</v>
      </c>
      <c r="C447">
        <v>46417.625</v>
      </c>
      <c r="D447" t="s">
        <v>42</v>
      </c>
      <c r="E447" t="s">
        <v>54</v>
      </c>
      <c r="F447" t="s">
        <v>1743</v>
      </c>
      <c r="G447">
        <v>4</v>
      </c>
      <c r="H447" s="27"/>
      <c r="I447" s="27"/>
      <c r="J447" s="26" t="str">
        <f t="shared" si="6"/>
        <v/>
      </c>
      <c r="K447" s="27">
        <v>1</v>
      </c>
      <c r="L447" s="27">
        <v>1</v>
      </c>
      <c r="N447" t="s">
        <v>90</v>
      </c>
    </row>
    <row r="448" spans="1:14">
      <c r="A448">
        <v>23</v>
      </c>
      <c r="B448">
        <v>224</v>
      </c>
      <c r="C448">
        <v>46417.625</v>
      </c>
      <c r="D448" t="s">
        <v>56</v>
      </c>
      <c r="E448" t="s">
        <v>44</v>
      </c>
      <c r="F448" t="s">
        <v>1742</v>
      </c>
      <c r="G448">
        <v>4</v>
      </c>
      <c r="H448" s="27"/>
      <c r="I448" s="27"/>
      <c r="J448" s="26" t="str">
        <f t="shared" si="6"/>
        <v/>
      </c>
      <c r="K448" s="27">
        <v>1</v>
      </c>
      <c r="L448" s="27">
        <v>1</v>
      </c>
      <c r="N448" t="s">
        <v>90</v>
      </c>
    </row>
    <row r="449" spans="1:14">
      <c r="A449">
        <v>23</v>
      </c>
      <c r="B449">
        <v>224</v>
      </c>
      <c r="C449">
        <v>46417.625</v>
      </c>
      <c r="D449" t="s">
        <v>44</v>
      </c>
      <c r="E449" t="s">
        <v>56</v>
      </c>
      <c r="F449" t="s">
        <v>1743</v>
      </c>
      <c r="G449">
        <v>3</v>
      </c>
      <c r="H449" s="27"/>
      <c r="I449" s="27"/>
      <c r="J449" s="26" t="str">
        <f t="shared" si="6"/>
        <v/>
      </c>
      <c r="K449" s="27">
        <v>1</v>
      </c>
      <c r="L449" s="27">
        <v>1</v>
      </c>
      <c r="N449" t="s">
        <v>90</v>
      </c>
    </row>
    <row r="450" spans="1:14">
      <c r="A450">
        <v>23</v>
      </c>
      <c r="B450">
        <v>225</v>
      </c>
      <c r="C450">
        <v>46417.625</v>
      </c>
      <c r="D450" t="s">
        <v>51</v>
      </c>
      <c r="E450" t="s">
        <v>45</v>
      </c>
      <c r="F450" t="s">
        <v>1742</v>
      </c>
      <c r="G450">
        <v>2</v>
      </c>
      <c r="H450" s="27"/>
      <c r="I450" s="27"/>
      <c r="J450" s="26" t="str">
        <f t="shared" ref="J450:J513" si="7">IF(I450="","",EXP(-I450))</f>
        <v/>
      </c>
      <c r="K450" s="27">
        <v>1</v>
      </c>
      <c r="L450" s="27">
        <v>1</v>
      </c>
      <c r="N450" t="s">
        <v>90</v>
      </c>
    </row>
    <row r="451" spans="1:14">
      <c r="A451">
        <v>23</v>
      </c>
      <c r="B451">
        <v>225</v>
      </c>
      <c r="C451">
        <v>46417.625</v>
      </c>
      <c r="D451" t="s">
        <v>45</v>
      </c>
      <c r="E451" t="s">
        <v>51</v>
      </c>
      <c r="F451" t="s">
        <v>1743</v>
      </c>
      <c r="G451">
        <v>2</v>
      </c>
      <c r="H451" s="27"/>
      <c r="I451" s="27"/>
      <c r="J451" s="26" t="str">
        <f t="shared" si="7"/>
        <v/>
      </c>
      <c r="K451" s="27">
        <v>1</v>
      </c>
      <c r="L451" s="27">
        <v>1</v>
      </c>
      <c r="N451" t="s">
        <v>90</v>
      </c>
    </row>
    <row r="452" spans="1:14">
      <c r="A452">
        <v>23</v>
      </c>
      <c r="B452">
        <v>226</v>
      </c>
      <c r="C452">
        <v>46417.625</v>
      </c>
      <c r="D452" t="s">
        <v>46</v>
      </c>
      <c r="E452" t="s">
        <v>49</v>
      </c>
      <c r="F452" t="s">
        <v>1742</v>
      </c>
      <c r="G452">
        <v>2</v>
      </c>
      <c r="H452" s="27"/>
      <c r="I452" s="27"/>
      <c r="J452" s="26" t="str">
        <f t="shared" si="7"/>
        <v/>
      </c>
      <c r="K452" s="27">
        <v>1</v>
      </c>
      <c r="L452" s="27">
        <v>1</v>
      </c>
      <c r="N452" t="s">
        <v>90</v>
      </c>
    </row>
    <row r="453" spans="1:14">
      <c r="A453">
        <v>23</v>
      </c>
      <c r="B453">
        <v>226</v>
      </c>
      <c r="C453">
        <v>46417.625</v>
      </c>
      <c r="D453" t="s">
        <v>49</v>
      </c>
      <c r="E453" t="s">
        <v>46</v>
      </c>
      <c r="F453" t="s">
        <v>1743</v>
      </c>
      <c r="G453">
        <v>3</v>
      </c>
      <c r="H453" s="27"/>
      <c r="I453" s="27"/>
      <c r="J453" s="26" t="str">
        <f t="shared" si="7"/>
        <v/>
      </c>
      <c r="K453" s="27">
        <v>1</v>
      </c>
      <c r="L453" s="27">
        <v>1</v>
      </c>
      <c r="N453" t="s">
        <v>90</v>
      </c>
    </row>
    <row r="454" spans="1:14">
      <c r="A454">
        <v>23</v>
      </c>
      <c r="B454">
        <v>227</v>
      </c>
      <c r="C454">
        <v>46417.625</v>
      </c>
      <c r="D454" t="s">
        <v>47</v>
      </c>
      <c r="E454" t="s">
        <v>52</v>
      </c>
      <c r="F454" t="s">
        <v>1742</v>
      </c>
      <c r="G454">
        <v>4</v>
      </c>
      <c r="H454" s="27"/>
      <c r="I454" s="27"/>
      <c r="J454" s="26" t="str">
        <f t="shared" si="7"/>
        <v/>
      </c>
      <c r="K454" s="27">
        <v>1</v>
      </c>
      <c r="L454" s="27">
        <v>1</v>
      </c>
      <c r="N454" t="s">
        <v>90</v>
      </c>
    </row>
    <row r="455" spans="1:14">
      <c r="A455">
        <v>23</v>
      </c>
      <c r="B455">
        <v>227</v>
      </c>
      <c r="C455">
        <v>46417.625</v>
      </c>
      <c r="D455" t="s">
        <v>52</v>
      </c>
      <c r="E455" t="s">
        <v>47</v>
      </c>
      <c r="F455" t="s">
        <v>1743</v>
      </c>
      <c r="G455">
        <v>3</v>
      </c>
      <c r="H455" s="27"/>
      <c r="I455" s="27"/>
      <c r="J455" s="26" t="str">
        <f t="shared" si="7"/>
        <v/>
      </c>
      <c r="K455" s="27">
        <v>1</v>
      </c>
      <c r="L455" s="27">
        <v>1</v>
      </c>
      <c r="N455" t="s">
        <v>90</v>
      </c>
    </row>
    <row r="456" spans="1:14">
      <c r="A456">
        <v>23</v>
      </c>
      <c r="B456">
        <v>228</v>
      </c>
      <c r="C456">
        <v>46417.625</v>
      </c>
      <c r="D456" t="s">
        <v>39</v>
      </c>
      <c r="E456" t="s">
        <v>53</v>
      </c>
      <c r="F456" t="s">
        <v>1742</v>
      </c>
      <c r="G456">
        <v>5</v>
      </c>
      <c r="H456" s="27"/>
      <c r="I456" s="27"/>
      <c r="J456" s="26" t="str">
        <f t="shared" si="7"/>
        <v/>
      </c>
      <c r="K456" s="27">
        <v>1</v>
      </c>
      <c r="L456" s="27">
        <v>1</v>
      </c>
      <c r="N456" t="s">
        <v>90</v>
      </c>
    </row>
    <row r="457" spans="1:14">
      <c r="A457">
        <v>23</v>
      </c>
      <c r="B457">
        <v>228</v>
      </c>
      <c r="C457">
        <v>46417.625</v>
      </c>
      <c r="D457" t="s">
        <v>53</v>
      </c>
      <c r="E457" t="s">
        <v>39</v>
      </c>
      <c r="F457" t="s">
        <v>1743</v>
      </c>
      <c r="G457">
        <v>4</v>
      </c>
      <c r="H457" s="27"/>
      <c r="I457" s="27"/>
      <c r="J457" s="26" t="str">
        <f t="shared" si="7"/>
        <v/>
      </c>
      <c r="K457" s="27">
        <v>1</v>
      </c>
      <c r="L457" s="27">
        <v>1</v>
      </c>
      <c r="N457" t="s">
        <v>90</v>
      </c>
    </row>
    <row r="458" spans="1:14">
      <c r="A458">
        <v>23</v>
      </c>
      <c r="B458">
        <v>229</v>
      </c>
      <c r="C458">
        <v>46417.625</v>
      </c>
      <c r="D458" t="s">
        <v>43</v>
      </c>
      <c r="E458" t="s">
        <v>55</v>
      </c>
      <c r="F458" t="s">
        <v>1742</v>
      </c>
      <c r="G458">
        <v>3</v>
      </c>
      <c r="H458" s="27"/>
      <c r="I458" s="27"/>
      <c r="J458" s="26" t="str">
        <f t="shared" si="7"/>
        <v/>
      </c>
      <c r="K458" s="27">
        <v>1</v>
      </c>
      <c r="L458" s="27">
        <v>1</v>
      </c>
      <c r="N458" t="s">
        <v>90</v>
      </c>
    </row>
    <row r="459" spans="1:14">
      <c r="A459">
        <v>23</v>
      </c>
      <c r="B459">
        <v>229</v>
      </c>
      <c r="C459">
        <v>46417.625</v>
      </c>
      <c r="D459" t="s">
        <v>55</v>
      </c>
      <c r="E459" t="s">
        <v>43</v>
      </c>
      <c r="F459" t="s">
        <v>1743</v>
      </c>
      <c r="G459">
        <v>2</v>
      </c>
      <c r="H459" s="27"/>
      <c r="I459" s="27"/>
      <c r="J459" s="26" t="str">
        <f t="shared" si="7"/>
        <v/>
      </c>
      <c r="K459" s="27">
        <v>1</v>
      </c>
      <c r="L459" s="27">
        <v>1</v>
      </c>
      <c r="N459" t="s">
        <v>90</v>
      </c>
    </row>
    <row r="460" spans="1:14">
      <c r="A460">
        <v>23</v>
      </c>
      <c r="B460">
        <v>230</v>
      </c>
      <c r="C460">
        <v>46417.625</v>
      </c>
      <c r="D460" t="s">
        <v>58</v>
      </c>
      <c r="E460" t="s">
        <v>57</v>
      </c>
      <c r="F460" t="s">
        <v>1742</v>
      </c>
      <c r="G460">
        <v>3</v>
      </c>
      <c r="H460" s="27"/>
      <c r="I460" s="27"/>
      <c r="J460" s="26" t="str">
        <f t="shared" si="7"/>
        <v/>
      </c>
      <c r="K460" s="27">
        <v>1</v>
      </c>
      <c r="L460" s="27">
        <v>1</v>
      </c>
      <c r="N460" t="s">
        <v>90</v>
      </c>
    </row>
    <row r="461" spans="1:14">
      <c r="A461">
        <v>23</v>
      </c>
      <c r="B461">
        <v>230</v>
      </c>
      <c r="C461">
        <v>46417.625</v>
      </c>
      <c r="D461" t="s">
        <v>57</v>
      </c>
      <c r="E461" t="s">
        <v>58</v>
      </c>
      <c r="F461" t="s">
        <v>1743</v>
      </c>
      <c r="G461">
        <v>2</v>
      </c>
      <c r="H461" s="27"/>
      <c r="I461" s="27"/>
      <c r="J461" s="26" t="str">
        <f t="shared" si="7"/>
        <v/>
      </c>
      <c r="K461" s="27">
        <v>1</v>
      </c>
      <c r="L461" s="27">
        <v>1</v>
      </c>
      <c r="N461" t="s">
        <v>90</v>
      </c>
    </row>
    <row r="462" spans="1:14">
      <c r="A462">
        <v>24</v>
      </c>
      <c r="B462">
        <v>231</v>
      </c>
      <c r="C462">
        <v>46424.625</v>
      </c>
      <c r="D462" t="s">
        <v>52</v>
      </c>
      <c r="E462" t="s">
        <v>39</v>
      </c>
      <c r="F462" t="s">
        <v>1742</v>
      </c>
      <c r="G462">
        <v>5</v>
      </c>
      <c r="H462" s="27"/>
      <c r="I462" s="27"/>
      <c r="J462" s="26" t="str">
        <f t="shared" si="7"/>
        <v/>
      </c>
      <c r="K462" s="27">
        <v>1</v>
      </c>
      <c r="L462" s="27">
        <v>1</v>
      </c>
      <c r="N462" t="s">
        <v>90</v>
      </c>
    </row>
    <row r="463" spans="1:14">
      <c r="A463">
        <v>24</v>
      </c>
      <c r="B463">
        <v>231</v>
      </c>
      <c r="C463">
        <v>46424.625</v>
      </c>
      <c r="D463" t="s">
        <v>39</v>
      </c>
      <c r="E463" t="s">
        <v>52</v>
      </c>
      <c r="F463" t="s">
        <v>1743</v>
      </c>
      <c r="G463">
        <v>4</v>
      </c>
      <c r="H463" s="27"/>
      <c r="I463" s="27"/>
      <c r="J463" s="26" t="str">
        <f t="shared" si="7"/>
        <v/>
      </c>
      <c r="K463" s="27">
        <v>1</v>
      </c>
      <c r="L463" s="27">
        <v>1</v>
      </c>
      <c r="N463" t="s">
        <v>90</v>
      </c>
    </row>
    <row r="464" spans="1:14">
      <c r="A464">
        <v>24</v>
      </c>
      <c r="B464">
        <v>232</v>
      </c>
      <c r="C464">
        <v>46424.625</v>
      </c>
      <c r="D464" t="s">
        <v>49</v>
      </c>
      <c r="E464" t="s">
        <v>43</v>
      </c>
      <c r="F464" t="s">
        <v>1742</v>
      </c>
      <c r="G464">
        <v>3</v>
      </c>
      <c r="H464" s="27"/>
      <c r="I464" s="27"/>
      <c r="J464" s="26" t="str">
        <f t="shared" si="7"/>
        <v/>
      </c>
      <c r="K464" s="27">
        <v>1</v>
      </c>
      <c r="L464" s="27">
        <v>1</v>
      </c>
      <c r="N464" t="s">
        <v>90</v>
      </c>
    </row>
    <row r="465" spans="1:14">
      <c r="A465">
        <v>24</v>
      </c>
      <c r="B465">
        <v>232</v>
      </c>
      <c r="C465">
        <v>46424.625</v>
      </c>
      <c r="D465" t="s">
        <v>43</v>
      </c>
      <c r="E465" t="s">
        <v>49</v>
      </c>
      <c r="F465" t="s">
        <v>1743</v>
      </c>
      <c r="G465">
        <v>2</v>
      </c>
      <c r="H465" s="27"/>
      <c r="I465" s="27"/>
      <c r="J465" s="26" t="str">
        <f t="shared" si="7"/>
        <v/>
      </c>
      <c r="K465" s="27">
        <v>1</v>
      </c>
      <c r="L465" s="27">
        <v>1</v>
      </c>
      <c r="N465" t="s">
        <v>90</v>
      </c>
    </row>
    <row r="466" spans="1:14">
      <c r="A466">
        <v>24</v>
      </c>
      <c r="B466">
        <v>233</v>
      </c>
      <c r="C466">
        <v>46424.625</v>
      </c>
      <c r="D466" t="s">
        <v>45</v>
      </c>
      <c r="E466" t="s">
        <v>46</v>
      </c>
      <c r="F466" t="s">
        <v>1742</v>
      </c>
      <c r="G466">
        <v>3</v>
      </c>
      <c r="H466" s="27"/>
      <c r="I466" s="27"/>
      <c r="J466" s="26" t="str">
        <f t="shared" si="7"/>
        <v/>
      </c>
      <c r="K466" s="27">
        <v>1</v>
      </c>
      <c r="L466" s="27">
        <v>1</v>
      </c>
      <c r="N466" t="s">
        <v>90</v>
      </c>
    </row>
    <row r="467" spans="1:14">
      <c r="A467">
        <v>24</v>
      </c>
      <c r="B467">
        <v>233</v>
      </c>
      <c r="C467">
        <v>46424.625</v>
      </c>
      <c r="D467" t="s">
        <v>46</v>
      </c>
      <c r="E467" t="s">
        <v>45</v>
      </c>
      <c r="F467" t="s">
        <v>1743</v>
      </c>
      <c r="G467">
        <v>2</v>
      </c>
      <c r="H467" s="27"/>
      <c r="I467" s="27"/>
      <c r="J467" s="26" t="str">
        <f t="shared" si="7"/>
        <v/>
      </c>
      <c r="K467" s="27">
        <v>1</v>
      </c>
      <c r="L467" s="27">
        <v>1</v>
      </c>
      <c r="N467" t="s">
        <v>90</v>
      </c>
    </row>
    <row r="468" spans="1:14">
      <c r="A468">
        <v>24</v>
      </c>
      <c r="B468">
        <v>234</v>
      </c>
      <c r="C468">
        <v>46424.625</v>
      </c>
      <c r="D468" t="s">
        <v>55</v>
      </c>
      <c r="E468" t="s">
        <v>47</v>
      </c>
      <c r="F468" t="s">
        <v>1742</v>
      </c>
      <c r="G468">
        <v>3</v>
      </c>
      <c r="H468" s="27"/>
      <c r="I468" s="27"/>
      <c r="J468" s="26" t="str">
        <f t="shared" si="7"/>
        <v/>
      </c>
      <c r="K468" s="27">
        <v>1</v>
      </c>
      <c r="L468" s="27">
        <v>1</v>
      </c>
      <c r="N468" t="s">
        <v>90</v>
      </c>
    </row>
    <row r="469" spans="1:14">
      <c r="A469">
        <v>24</v>
      </c>
      <c r="B469">
        <v>234</v>
      </c>
      <c r="C469">
        <v>46424.625</v>
      </c>
      <c r="D469" t="s">
        <v>47</v>
      </c>
      <c r="E469" t="s">
        <v>55</v>
      </c>
      <c r="F469" t="s">
        <v>1743</v>
      </c>
      <c r="G469">
        <v>2</v>
      </c>
      <c r="H469" s="27"/>
      <c r="I469" s="27"/>
      <c r="J469" s="26" t="str">
        <f t="shared" si="7"/>
        <v/>
      </c>
      <c r="K469" s="27">
        <v>1</v>
      </c>
      <c r="L469" s="27">
        <v>1</v>
      </c>
      <c r="N469" t="s">
        <v>90</v>
      </c>
    </row>
    <row r="470" spans="1:14">
      <c r="A470">
        <v>24</v>
      </c>
      <c r="B470">
        <v>235</v>
      </c>
      <c r="C470">
        <v>46424.625</v>
      </c>
      <c r="D470" t="s">
        <v>53</v>
      </c>
      <c r="E470" t="s">
        <v>48</v>
      </c>
      <c r="F470" t="s">
        <v>1742</v>
      </c>
      <c r="G470">
        <v>3</v>
      </c>
      <c r="H470" s="27"/>
      <c r="I470" s="27"/>
      <c r="J470" s="26" t="str">
        <f t="shared" si="7"/>
        <v/>
      </c>
      <c r="K470" s="27">
        <v>1</v>
      </c>
      <c r="L470" s="27">
        <v>1</v>
      </c>
      <c r="N470" t="s">
        <v>90</v>
      </c>
    </row>
    <row r="471" spans="1:14">
      <c r="A471">
        <v>24</v>
      </c>
      <c r="B471">
        <v>235</v>
      </c>
      <c r="C471">
        <v>46424.625</v>
      </c>
      <c r="D471" t="s">
        <v>48</v>
      </c>
      <c r="E471" t="s">
        <v>53</v>
      </c>
      <c r="F471" t="s">
        <v>1743</v>
      </c>
      <c r="G471">
        <v>4</v>
      </c>
      <c r="H471" s="27"/>
      <c r="I471" s="27"/>
      <c r="J471" s="26" t="str">
        <f t="shared" si="7"/>
        <v/>
      </c>
      <c r="K471" s="27">
        <v>1</v>
      </c>
      <c r="L471" s="27">
        <v>1</v>
      </c>
      <c r="N471" t="s">
        <v>90</v>
      </c>
    </row>
    <row r="472" spans="1:14">
      <c r="A472">
        <v>24</v>
      </c>
      <c r="B472">
        <v>236</v>
      </c>
      <c r="C472">
        <v>46424.625</v>
      </c>
      <c r="D472" t="s">
        <v>57</v>
      </c>
      <c r="E472" t="s">
        <v>50</v>
      </c>
      <c r="F472" t="s">
        <v>1742</v>
      </c>
      <c r="G472">
        <v>2</v>
      </c>
      <c r="H472" s="27"/>
      <c r="I472" s="27"/>
      <c r="J472" s="26" t="str">
        <f t="shared" si="7"/>
        <v/>
      </c>
      <c r="K472" s="27">
        <v>1</v>
      </c>
      <c r="L472" s="27">
        <v>1</v>
      </c>
      <c r="N472" t="s">
        <v>90</v>
      </c>
    </row>
    <row r="473" spans="1:14">
      <c r="A473">
        <v>24</v>
      </c>
      <c r="B473">
        <v>236</v>
      </c>
      <c r="C473">
        <v>46424.625</v>
      </c>
      <c r="D473" t="s">
        <v>50</v>
      </c>
      <c r="E473" t="s">
        <v>57</v>
      </c>
      <c r="F473" t="s">
        <v>1743</v>
      </c>
      <c r="G473">
        <v>3</v>
      </c>
      <c r="H473" s="27"/>
      <c r="I473" s="27"/>
      <c r="J473" s="26" t="str">
        <f t="shared" si="7"/>
        <v/>
      </c>
      <c r="K473" s="27">
        <v>1</v>
      </c>
      <c r="L473" s="27">
        <v>1</v>
      </c>
      <c r="N473" t="s">
        <v>90</v>
      </c>
    </row>
    <row r="474" spans="1:14">
      <c r="A474">
        <v>24</v>
      </c>
      <c r="B474">
        <v>237</v>
      </c>
      <c r="C474">
        <v>46424.625</v>
      </c>
      <c r="D474" t="s">
        <v>41</v>
      </c>
      <c r="E474" t="s">
        <v>51</v>
      </c>
      <c r="F474" t="s">
        <v>1742</v>
      </c>
      <c r="G474">
        <v>3</v>
      </c>
      <c r="H474" s="27"/>
      <c r="I474" s="27"/>
      <c r="J474" s="26" t="str">
        <f t="shared" si="7"/>
        <v/>
      </c>
      <c r="K474" s="27">
        <v>1</v>
      </c>
      <c r="L474" s="27">
        <v>1</v>
      </c>
      <c r="N474" t="s">
        <v>90</v>
      </c>
    </row>
    <row r="475" spans="1:14">
      <c r="A475">
        <v>24</v>
      </c>
      <c r="B475">
        <v>237</v>
      </c>
      <c r="C475">
        <v>46424.625</v>
      </c>
      <c r="D475" t="s">
        <v>51</v>
      </c>
      <c r="E475" t="s">
        <v>41</v>
      </c>
      <c r="F475" t="s">
        <v>1743</v>
      </c>
      <c r="G475">
        <v>3</v>
      </c>
      <c r="H475" s="27"/>
      <c r="I475" s="27"/>
      <c r="J475" s="26" t="str">
        <f t="shared" si="7"/>
        <v/>
      </c>
      <c r="K475" s="27">
        <v>1</v>
      </c>
      <c r="L475" s="27">
        <v>1</v>
      </c>
      <c r="N475" t="s">
        <v>90</v>
      </c>
    </row>
    <row r="476" spans="1:14">
      <c r="A476">
        <v>24</v>
      </c>
      <c r="B476">
        <v>238</v>
      </c>
      <c r="C476">
        <v>46424.625</v>
      </c>
      <c r="D476" t="s">
        <v>44</v>
      </c>
      <c r="E476" t="s">
        <v>54</v>
      </c>
      <c r="F476" t="s">
        <v>1742</v>
      </c>
      <c r="G476">
        <v>4</v>
      </c>
      <c r="H476" s="27"/>
      <c r="I476" s="27"/>
      <c r="J476" s="26" t="str">
        <f t="shared" si="7"/>
        <v/>
      </c>
      <c r="K476" s="27">
        <v>1</v>
      </c>
      <c r="L476" s="27">
        <v>1</v>
      </c>
      <c r="N476" t="s">
        <v>90</v>
      </c>
    </row>
    <row r="477" spans="1:14">
      <c r="A477">
        <v>24</v>
      </c>
      <c r="B477">
        <v>238</v>
      </c>
      <c r="C477">
        <v>46424.625</v>
      </c>
      <c r="D477" t="s">
        <v>54</v>
      </c>
      <c r="E477" t="s">
        <v>44</v>
      </c>
      <c r="F477" t="s">
        <v>1743</v>
      </c>
      <c r="G477">
        <v>4</v>
      </c>
      <c r="H477" s="27"/>
      <c r="I477" s="27"/>
      <c r="J477" s="26" t="str">
        <f t="shared" si="7"/>
        <v/>
      </c>
      <c r="K477" s="27">
        <v>1</v>
      </c>
      <c r="L477" s="27">
        <v>1</v>
      </c>
      <c r="N477" t="s">
        <v>90</v>
      </c>
    </row>
    <row r="478" spans="1:14">
      <c r="A478">
        <v>24</v>
      </c>
      <c r="B478">
        <v>239</v>
      </c>
      <c r="C478">
        <v>46424.625</v>
      </c>
      <c r="D478" t="s">
        <v>42</v>
      </c>
      <c r="E478" t="s">
        <v>56</v>
      </c>
      <c r="F478" t="s">
        <v>1742</v>
      </c>
      <c r="G478">
        <v>3</v>
      </c>
      <c r="H478" s="27"/>
      <c r="I478" s="27"/>
      <c r="J478" s="26" t="str">
        <f t="shared" si="7"/>
        <v/>
      </c>
      <c r="K478" s="27">
        <v>1</v>
      </c>
      <c r="L478" s="27">
        <v>1</v>
      </c>
      <c r="N478" t="s">
        <v>90</v>
      </c>
    </row>
    <row r="479" spans="1:14">
      <c r="A479">
        <v>24</v>
      </c>
      <c r="B479">
        <v>239</v>
      </c>
      <c r="C479">
        <v>46424.625</v>
      </c>
      <c r="D479" t="s">
        <v>56</v>
      </c>
      <c r="E479" t="s">
        <v>42</v>
      </c>
      <c r="F479" t="s">
        <v>1743</v>
      </c>
      <c r="G479">
        <v>3</v>
      </c>
      <c r="H479" s="27"/>
      <c r="I479" s="27"/>
      <c r="J479" s="26" t="str">
        <f t="shared" si="7"/>
        <v/>
      </c>
      <c r="K479" s="27">
        <v>1</v>
      </c>
      <c r="L479" s="27">
        <v>1</v>
      </c>
      <c r="N479" t="s">
        <v>90</v>
      </c>
    </row>
    <row r="480" spans="1:14">
      <c r="A480">
        <v>24</v>
      </c>
      <c r="B480">
        <v>240</v>
      </c>
      <c r="C480">
        <v>46424.625</v>
      </c>
      <c r="D480" t="s">
        <v>40</v>
      </c>
      <c r="E480" t="s">
        <v>58</v>
      </c>
      <c r="F480" t="s">
        <v>1742</v>
      </c>
      <c r="G480">
        <v>3</v>
      </c>
      <c r="H480" s="27"/>
      <c r="I480" s="27"/>
      <c r="J480" s="26" t="str">
        <f t="shared" si="7"/>
        <v/>
      </c>
      <c r="K480" s="27">
        <v>1</v>
      </c>
      <c r="L480" s="27">
        <v>1</v>
      </c>
      <c r="N480" t="s">
        <v>90</v>
      </c>
    </row>
    <row r="481" spans="1:14">
      <c r="A481">
        <v>24</v>
      </c>
      <c r="B481">
        <v>240</v>
      </c>
      <c r="C481">
        <v>46424.625</v>
      </c>
      <c r="D481" t="s">
        <v>58</v>
      </c>
      <c r="E481" t="s">
        <v>40</v>
      </c>
      <c r="F481" t="s">
        <v>1743</v>
      </c>
      <c r="G481">
        <v>3</v>
      </c>
      <c r="H481" s="27"/>
      <c r="I481" s="27"/>
      <c r="J481" s="26" t="str">
        <f t="shared" si="7"/>
        <v/>
      </c>
      <c r="K481" s="27">
        <v>1</v>
      </c>
      <c r="L481" s="27">
        <v>1</v>
      </c>
      <c r="N481" t="s">
        <v>90</v>
      </c>
    </row>
    <row r="482" spans="1:14">
      <c r="A482">
        <v>25</v>
      </c>
      <c r="B482">
        <v>241</v>
      </c>
      <c r="C482">
        <v>46428.833333333336</v>
      </c>
      <c r="D482" t="s">
        <v>41</v>
      </c>
      <c r="E482" t="s">
        <v>40</v>
      </c>
      <c r="F482" t="s">
        <v>1742</v>
      </c>
      <c r="G482">
        <v>4</v>
      </c>
      <c r="H482" s="27"/>
      <c r="I482" s="27"/>
      <c r="J482" s="26" t="str">
        <f t="shared" si="7"/>
        <v/>
      </c>
      <c r="K482" s="27">
        <v>1</v>
      </c>
      <c r="L482" s="27">
        <v>1</v>
      </c>
      <c r="N482" t="s">
        <v>90</v>
      </c>
    </row>
    <row r="483" spans="1:14">
      <c r="A483">
        <v>25</v>
      </c>
      <c r="B483">
        <v>241</v>
      </c>
      <c r="C483">
        <v>46428.833333333336</v>
      </c>
      <c r="D483" t="s">
        <v>40</v>
      </c>
      <c r="E483" t="s">
        <v>41</v>
      </c>
      <c r="F483" t="s">
        <v>1743</v>
      </c>
      <c r="G483">
        <v>3</v>
      </c>
      <c r="H483" s="27"/>
      <c r="I483" s="27"/>
      <c r="J483" s="26" t="str">
        <f t="shared" si="7"/>
        <v/>
      </c>
      <c r="K483" s="27">
        <v>1</v>
      </c>
      <c r="L483" s="27">
        <v>1</v>
      </c>
      <c r="N483" t="s">
        <v>90</v>
      </c>
    </row>
    <row r="484" spans="1:14">
      <c r="A484">
        <v>25</v>
      </c>
      <c r="B484">
        <v>242</v>
      </c>
      <c r="C484">
        <v>46428.833333333336</v>
      </c>
      <c r="D484" t="s">
        <v>52</v>
      </c>
      <c r="E484" t="s">
        <v>45</v>
      </c>
      <c r="F484" t="s">
        <v>1742</v>
      </c>
      <c r="G484">
        <v>2</v>
      </c>
      <c r="H484" s="27"/>
      <c r="I484" s="27"/>
      <c r="J484" s="26" t="str">
        <f t="shared" si="7"/>
        <v/>
      </c>
      <c r="K484" s="27">
        <v>1</v>
      </c>
      <c r="L484" s="27">
        <v>1</v>
      </c>
      <c r="N484" t="s">
        <v>90</v>
      </c>
    </row>
    <row r="485" spans="1:14">
      <c r="A485">
        <v>25</v>
      </c>
      <c r="B485">
        <v>242</v>
      </c>
      <c r="C485">
        <v>46428.833333333336</v>
      </c>
      <c r="D485" t="s">
        <v>45</v>
      </c>
      <c r="E485" t="s">
        <v>52</v>
      </c>
      <c r="F485" t="s">
        <v>1743</v>
      </c>
      <c r="G485">
        <v>4</v>
      </c>
      <c r="H485" s="27"/>
      <c r="I485" s="27"/>
      <c r="J485" s="26" t="str">
        <f t="shared" si="7"/>
        <v/>
      </c>
      <c r="K485" s="27">
        <v>1</v>
      </c>
      <c r="L485" s="27">
        <v>1</v>
      </c>
      <c r="N485" t="s">
        <v>90</v>
      </c>
    </row>
    <row r="486" spans="1:14">
      <c r="A486">
        <v>25</v>
      </c>
      <c r="B486">
        <v>243</v>
      </c>
      <c r="C486">
        <v>46428.833333333336</v>
      </c>
      <c r="D486" t="s">
        <v>42</v>
      </c>
      <c r="E486" t="s">
        <v>46</v>
      </c>
      <c r="F486" t="s">
        <v>1742</v>
      </c>
      <c r="G486">
        <v>3</v>
      </c>
      <c r="H486" s="27"/>
      <c r="I486" s="27"/>
      <c r="J486" s="26" t="str">
        <f t="shared" si="7"/>
        <v/>
      </c>
      <c r="K486" s="27">
        <v>1</v>
      </c>
      <c r="L486" s="27">
        <v>1</v>
      </c>
      <c r="N486" t="s">
        <v>90</v>
      </c>
    </row>
    <row r="487" spans="1:14">
      <c r="A487">
        <v>25</v>
      </c>
      <c r="B487">
        <v>243</v>
      </c>
      <c r="C487">
        <v>46428.833333333336</v>
      </c>
      <c r="D487" t="s">
        <v>46</v>
      </c>
      <c r="E487" t="s">
        <v>42</v>
      </c>
      <c r="F487" t="s">
        <v>1743</v>
      </c>
      <c r="G487">
        <v>3</v>
      </c>
      <c r="H487" s="27"/>
      <c r="I487" s="27"/>
      <c r="J487" s="26" t="str">
        <f t="shared" si="7"/>
        <v/>
      </c>
      <c r="K487" s="27">
        <v>1</v>
      </c>
      <c r="L487" s="27">
        <v>1</v>
      </c>
      <c r="N487" t="s">
        <v>90</v>
      </c>
    </row>
    <row r="488" spans="1:14">
      <c r="A488">
        <v>25</v>
      </c>
      <c r="B488">
        <v>244</v>
      </c>
      <c r="C488">
        <v>46428.833333333336</v>
      </c>
      <c r="D488" t="s">
        <v>51</v>
      </c>
      <c r="E488" t="s">
        <v>47</v>
      </c>
      <c r="F488" t="s">
        <v>1742</v>
      </c>
      <c r="G488">
        <v>3</v>
      </c>
      <c r="H488" s="27"/>
      <c r="I488" s="27"/>
      <c r="J488" s="26" t="str">
        <f t="shared" si="7"/>
        <v/>
      </c>
      <c r="K488" s="27">
        <v>1</v>
      </c>
      <c r="L488" s="27">
        <v>1</v>
      </c>
      <c r="N488" t="s">
        <v>90</v>
      </c>
    </row>
    <row r="489" spans="1:14">
      <c r="A489">
        <v>25</v>
      </c>
      <c r="B489">
        <v>244</v>
      </c>
      <c r="C489">
        <v>46428.833333333336</v>
      </c>
      <c r="D489" t="s">
        <v>47</v>
      </c>
      <c r="E489" t="s">
        <v>51</v>
      </c>
      <c r="F489" t="s">
        <v>1743</v>
      </c>
      <c r="G489">
        <v>2</v>
      </c>
      <c r="H489" s="27"/>
      <c r="I489" s="27"/>
      <c r="J489" s="26" t="str">
        <f t="shared" si="7"/>
        <v/>
      </c>
      <c r="K489" s="27">
        <v>1</v>
      </c>
      <c r="L489" s="27">
        <v>1</v>
      </c>
      <c r="N489" t="s">
        <v>90</v>
      </c>
    </row>
    <row r="490" spans="1:14">
      <c r="A490">
        <v>25</v>
      </c>
      <c r="B490">
        <v>245</v>
      </c>
      <c r="C490">
        <v>46428.833333333336</v>
      </c>
      <c r="D490" t="s">
        <v>56</v>
      </c>
      <c r="E490" t="s">
        <v>48</v>
      </c>
      <c r="F490" t="s">
        <v>1742</v>
      </c>
      <c r="G490">
        <v>3</v>
      </c>
      <c r="H490" s="27"/>
      <c r="I490" s="27"/>
      <c r="J490" s="26" t="str">
        <f t="shared" si="7"/>
        <v/>
      </c>
      <c r="K490" s="27">
        <v>1</v>
      </c>
      <c r="L490" s="27">
        <v>1</v>
      </c>
      <c r="N490" t="s">
        <v>90</v>
      </c>
    </row>
    <row r="491" spans="1:14">
      <c r="A491">
        <v>25</v>
      </c>
      <c r="B491">
        <v>245</v>
      </c>
      <c r="C491">
        <v>46428.833333333336</v>
      </c>
      <c r="D491" t="s">
        <v>48</v>
      </c>
      <c r="E491" t="s">
        <v>56</v>
      </c>
      <c r="F491" t="s">
        <v>1743</v>
      </c>
      <c r="G491">
        <v>3</v>
      </c>
      <c r="H491" s="27"/>
      <c r="I491" s="27"/>
      <c r="J491" s="26" t="str">
        <f t="shared" si="7"/>
        <v/>
      </c>
      <c r="K491" s="27">
        <v>1</v>
      </c>
      <c r="L491" s="27">
        <v>1</v>
      </c>
      <c r="N491" t="s">
        <v>90</v>
      </c>
    </row>
    <row r="492" spans="1:14">
      <c r="A492">
        <v>25</v>
      </c>
      <c r="B492">
        <v>246</v>
      </c>
      <c r="C492">
        <v>46428.833333333336</v>
      </c>
      <c r="D492" t="s">
        <v>58</v>
      </c>
      <c r="E492" t="s">
        <v>49</v>
      </c>
      <c r="F492" t="s">
        <v>1742</v>
      </c>
      <c r="G492">
        <v>2</v>
      </c>
      <c r="H492" s="27"/>
      <c r="I492" s="27"/>
      <c r="J492" s="26" t="str">
        <f t="shared" si="7"/>
        <v/>
      </c>
      <c r="K492" s="27">
        <v>1</v>
      </c>
      <c r="L492" s="27">
        <v>1</v>
      </c>
      <c r="N492" t="s">
        <v>90</v>
      </c>
    </row>
    <row r="493" spans="1:14">
      <c r="A493">
        <v>25</v>
      </c>
      <c r="B493">
        <v>246</v>
      </c>
      <c r="C493">
        <v>46428.833333333336</v>
      </c>
      <c r="D493" t="s">
        <v>49</v>
      </c>
      <c r="E493" t="s">
        <v>58</v>
      </c>
      <c r="F493" t="s">
        <v>1743</v>
      </c>
      <c r="G493">
        <v>2</v>
      </c>
      <c r="H493" s="27"/>
      <c r="I493" s="27"/>
      <c r="J493" s="26" t="str">
        <f t="shared" si="7"/>
        <v/>
      </c>
      <c r="K493" s="27">
        <v>1</v>
      </c>
      <c r="L493" s="27">
        <v>1</v>
      </c>
      <c r="N493" t="s">
        <v>90</v>
      </c>
    </row>
    <row r="494" spans="1:14">
      <c r="A494">
        <v>25</v>
      </c>
      <c r="B494">
        <v>247</v>
      </c>
      <c r="C494">
        <v>46428.833333333336</v>
      </c>
      <c r="D494" t="s">
        <v>39</v>
      </c>
      <c r="E494" t="s">
        <v>50</v>
      </c>
      <c r="F494" t="s">
        <v>1742</v>
      </c>
      <c r="G494">
        <v>2</v>
      </c>
      <c r="H494" s="27"/>
      <c r="I494" s="27"/>
      <c r="J494" s="26" t="str">
        <f t="shared" si="7"/>
        <v/>
      </c>
      <c r="K494" s="27">
        <v>1</v>
      </c>
      <c r="L494" s="27">
        <v>1</v>
      </c>
      <c r="N494" t="s">
        <v>90</v>
      </c>
    </row>
    <row r="495" spans="1:14">
      <c r="A495">
        <v>25</v>
      </c>
      <c r="B495">
        <v>247</v>
      </c>
      <c r="C495">
        <v>46428.833333333336</v>
      </c>
      <c r="D495" t="s">
        <v>50</v>
      </c>
      <c r="E495" t="s">
        <v>39</v>
      </c>
      <c r="F495" t="s">
        <v>1743</v>
      </c>
      <c r="G495">
        <v>4</v>
      </c>
      <c r="H495" s="27"/>
      <c r="I495" s="27"/>
      <c r="J495" s="26" t="str">
        <f t="shared" si="7"/>
        <v/>
      </c>
      <c r="K495" s="27">
        <v>1</v>
      </c>
      <c r="L495" s="27">
        <v>1</v>
      </c>
      <c r="N495" t="s">
        <v>90</v>
      </c>
    </row>
    <row r="496" spans="1:14">
      <c r="A496">
        <v>25</v>
      </c>
      <c r="B496">
        <v>248</v>
      </c>
      <c r="C496">
        <v>46428.833333333336</v>
      </c>
      <c r="D496" t="s">
        <v>43</v>
      </c>
      <c r="E496" t="s">
        <v>54</v>
      </c>
      <c r="F496" t="s">
        <v>1742</v>
      </c>
      <c r="G496">
        <v>4</v>
      </c>
      <c r="H496" s="27"/>
      <c r="I496" s="27"/>
      <c r="J496" s="26" t="str">
        <f t="shared" si="7"/>
        <v/>
      </c>
      <c r="K496" s="27">
        <v>1</v>
      </c>
      <c r="L496" s="27">
        <v>1</v>
      </c>
      <c r="N496" t="s">
        <v>90</v>
      </c>
    </row>
    <row r="497" spans="1:14">
      <c r="A497">
        <v>25</v>
      </c>
      <c r="B497">
        <v>248</v>
      </c>
      <c r="C497">
        <v>46428.833333333336</v>
      </c>
      <c r="D497" t="s">
        <v>54</v>
      </c>
      <c r="E497" t="s">
        <v>43</v>
      </c>
      <c r="F497" t="s">
        <v>1743</v>
      </c>
      <c r="G497">
        <v>2</v>
      </c>
      <c r="H497" s="27"/>
      <c r="I497" s="27"/>
      <c r="J497" s="26" t="str">
        <f t="shared" si="7"/>
        <v/>
      </c>
      <c r="K497" s="27">
        <v>1</v>
      </c>
      <c r="L497" s="27">
        <v>1</v>
      </c>
      <c r="N497" t="s">
        <v>90</v>
      </c>
    </row>
    <row r="498" spans="1:14">
      <c r="A498">
        <v>25</v>
      </c>
      <c r="B498">
        <v>249</v>
      </c>
      <c r="C498">
        <v>46428.833333333336</v>
      </c>
      <c r="D498" t="s">
        <v>44</v>
      </c>
      <c r="E498" t="s">
        <v>55</v>
      </c>
      <c r="F498" t="s">
        <v>1742</v>
      </c>
      <c r="G498">
        <v>3</v>
      </c>
      <c r="H498" s="27"/>
      <c r="I498" s="27"/>
      <c r="J498" s="26" t="str">
        <f t="shared" si="7"/>
        <v/>
      </c>
      <c r="K498" s="27">
        <v>1</v>
      </c>
      <c r="L498" s="27">
        <v>1</v>
      </c>
      <c r="N498" t="s">
        <v>90</v>
      </c>
    </row>
    <row r="499" spans="1:14">
      <c r="A499">
        <v>25</v>
      </c>
      <c r="B499">
        <v>249</v>
      </c>
      <c r="C499">
        <v>46428.833333333336</v>
      </c>
      <c r="D499" t="s">
        <v>55</v>
      </c>
      <c r="E499" t="s">
        <v>44</v>
      </c>
      <c r="F499" t="s">
        <v>1743</v>
      </c>
      <c r="G499">
        <v>4</v>
      </c>
      <c r="H499" s="27"/>
      <c r="I499" s="27"/>
      <c r="J499" s="26" t="str">
        <f t="shared" si="7"/>
        <v/>
      </c>
      <c r="K499" s="27">
        <v>1</v>
      </c>
      <c r="L499" s="27">
        <v>1</v>
      </c>
      <c r="N499" t="s">
        <v>90</v>
      </c>
    </row>
    <row r="500" spans="1:14">
      <c r="A500">
        <v>25</v>
      </c>
      <c r="B500">
        <v>250</v>
      </c>
      <c r="C500">
        <v>46428.833333333336</v>
      </c>
      <c r="D500" t="s">
        <v>53</v>
      </c>
      <c r="E500" t="s">
        <v>57</v>
      </c>
      <c r="F500" t="s">
        <v>1742</v>
      </c>
      <c r="G500">
        <v>3</v>
      </c>
      <c r="H500" s="27"/>
      <c r="I500" s="27"/>
      <c r="J500" s="26" t="str">
        <f t="shared" si="7"/>
        <v/>
      </c>
      <c r="K500" s="27">
        <v>1</v>
      </c>
      <c r="L500" s="27">
        <v>1</v>
      </c>
      <c r="N500" t="s">
        <v>90</v>
      </c>
    </row>
    <row r="501" spans="1:14">
      <c r="A501">
        <v>25</v>
      </c>
      <c r="B501">
        <v>250</v>
      </c>
      <c r="C501">
        <v>46428.833333333336</v>
      </c>
      <c r="D501" t="s">
        <v>57</v>
      </c>
      <c r="E501" t="s">
        <v>53</v>
      </c>
      <c r="F501" t="s">
        <v>1743</v>
      </c>
      <c r="G501">
        <v>4</v>
      </c>
      <c r="H501" s="27"/>
      <c r="I501" s="27"/>
      <c r="J501" s="26" t="str">
        <f t="shared" si="7"/>
        <v/>
      </c>
      <c r="K501" s="27">
        <v>1</v>
      </c>
      <c r="L501" s="27">
        <v>1</v>
      </c>
      <c r="N501" t="s">
        <v>90</v>
      </c>
    </row>
    <row r="502" spans="1:14">
      <c r="A502">
        <v>26</v>
      </c>
      <c r="B502">
        <v>251</v>
      </c>
      <c r="C502">
        <v>46438.625</v>
      </c>
      <c r="D502" t="s">
        <v>48</v>
      </c>
      <c r="E502" t="s">
        <v>39</v>
      </c>
      <c r="F502" t="s">
        <v>1742</v>
      </c>
      <c r="G502">
        <v>5</v>
      </c>
      <c r="H502" s="27"/>
      <c r="I502" s="27"/>
      <c r="J502" s="26" t="str">
        <f t="shared" si="7"/>
        <v/>
      </c>
      <c r="K502" s="27">
        <v>1</v>
      </c>
      <c r="L502" s="27">
        <v>1</v>
      </c>
      <c r="N502" t="s">
        <v>90</v>
      </c>
    </row>
    <row r="503" spans="1:14">
      <c r="A503">
        <v>26</v>
      </c>
      <c r="B503">
        <v>251</v>
      </c>
      <c r="C503">
        <v>46438.625</v>
      </c>
      <c r="D503" t="s">
        <v>39</v>
      </c>
      <c r="E503" t="s">
        <v>48</v>
      </c>
      <c r="F503" t="s">
        <v>1743</v>
      </c>
      <c r="G503">
        <v>2</v>
      </c>
      <c r="H503" s="27"/>
      <c r="I503" s="27"/>
      <c r="J503" s="26" t="str">
        <f t="shared" si="7"/>
        <v/>
      </c>
      <c r="K503" s="27">
        <v>1</v>
      </c>
      <c r="L503" s="27">
        <v>1</v>
      </c>
      <c r="N503" t="s">
        <v>90</v>
      </c>
    </row>
    <row r="504" spans="1:14">
      <c r="A504">
        <v>26</v>
      </c>
      <c r="B504">
        <v>252</v>
      </c>
      <c r="C504">
        <v>46438.625</v>
      </c>
      <c r="D504" t="s">
        <v>46</v>
      </c>
      <c r="E504" t="s">
        <v>41</v>
      </c>
      <c r="F504" t="s">
        <v>1742</v>
      </c>
      <c r="G504">
        <v>3</v>
      </c>
      <c r="H504" s="27"/>
      <c r="I504" s="27"/>
      <c r="J504" s="26" t="str">
        <f t="shared" si="7"/>
        <v/>
      </c>
      <c r="K504" s="27">
        <v>1</v>
      </c>
      <c r="L504" s="27">
        <v>1</v>
      </c>
      <c r="N504" t="s">
        <v>90</v>
      </c>
    </row>
    <row r="505" spans="1:14">
      <c r="A505">
        <v>26</v>
      </c>
      <c r="B505">
        <v>252</v>
      </c>
      <c r="C505">
        <v>46438.625</v>
      </c>
      <c r="D505" t="s">
        <v>41</v>
      </c>
      <c r="E505" t="s">
        <v>46</v>
      </c>
      <c r="F505" t="s">
        <v>1743</v>
      </c>
      <c r="G505">
        <v>3</v>
      </c>
      <c r="H505" s="27"/>
      <c r="I505" s="27"/>
      <c r="J505" s="26" t="str">
        <f t="shared" si="7"/>
        <v/>
      </c>
      <c r="K505" s="27">
        <v>1</v>
      </c>
      <c r="L505" s="27">
        <v>1</v>
      </c>
      <c r="N505" t="s">
        <v>90</v>
      </c>
    </row>
    <row r="506" spans="1:14">
      <c r="A506">
        <v>26</v>
      </c>
      <c r="B506">
        <v>253</v>
      </c>
      <c r="C506">
        <v>46438.625</v>
      </c>
      <c r="D506" t="s">
        <v>45</v>
      </c>
      <c r="E506" t="s">
        <v>42</v>
      </c>
      <c r="F506" t="s">
        <v>1742</v>
      </c>
      <c r="G506">
        <v>3</v>
      </c>
      <c r="H506" s="27"/>
      <c r="I506" s="27"/>
      <c r="J506" s="26" t="str">
        <f t="shared" si="7"/>
        <v/>
      </c>
      <c r="K506" s="27">
        <v>1</v>
      </c>
      <c r="L506" s="27">
        <v>1</v>
      </c>
      <c r="N506" t="s">
        <v>90</v>
      </c>
    </row>
    <row r="507" spans="1:14">
      <c r="A507">
        <v>26</v>
      </c>
      <c r="B507">
        <v>253</v>
      </c>
      <c r="C507">
        <v>46438.625</v>
      </c>
      <c r="D507" t="s">
        <v>42</v>
      </c>
      <c r="E507" t="s">
        <v>45</v>
      </c>
      <c r="F507" t="s">
        <v>1743</v>
      </c>
      <c r="G507">
        <v>2</v>
      </c>
      <c r="H507" s="27"/>
      <c r="I507" s="27"/>
      <c r="J507" s="26" t="str">
        <f t="shared" si="7"/>
        <v/>
      </c>
      <c r="K507" s="27">
        <v>1</v>
      </c>
      <c r="L507" s="27">
        <v>1</v>
      </c>
      <c r="N507" t="s">
        <v>90</v>
      </c>
    </row>
    <row r="508" spans="1:14">
      <c r="A508">
        <v>26</v>
      </c>
      <c r="B508">
        <v>254</v>
      </c>
      <c r="C508">
        <v>46438.625</v>
      </c>
      <c r="D508" t="s">
        <v>57</v>
      </c>
      <c r="E508" t="s">
        <v>43</v>
      </c>
      <c r="F508" t="s">
        <v>1742</v>
      </c>
      <c r="G508">
        <v>3</v>
      </c>
      <c r="H508" s="27"/>
      <c r="I508" s="27"/>
      <c r="J508" s="26" t="str">
        <f t="shared" si="7"/>
        <v/>
      </c>
      <c r="K508" s="27">
        <v>1</v>
      </c>
      <c r="L508" s="27">
        <v>1</v>
      </c>
      <c r="N508" t="s">
        <v>90</v>
      </c>
    </row>
    <row r="509" spans="1:14">
      <c r="A509">
        <v>26</v>
      </c>
      <c r="B509">
        <v>254</v>
      </c>
      <c r="C509">
        <v>46438.625</v>
      </c>
      <c r="D509" t="s">
        <v>43</v>
      </c>
      <c r="E509" t="s">
        <v>57</v>
      </c>
      <c r="F509" t="s">
        <v>1743</v>
      </c>
      <c r="G509">
        <v>3</v>
      </c>
      <c r="H509" s="27"/>
      <c r="I509" s="27"/>
      <c r="J509" s="26" t="str">
        <f t="shared" si="7"/>
        <v/>
      </c>
      <c r="K509" s="27">
        <v>1</v>
      </c>
      <c r="L509" s="27">
        <v>1</v>
      </c>
      <c r="N509" t="s">
        <v>90</v>
      </c>
    </row>
    <row r="510" spans="1:14">
      <c r="A510">
        <v>26</v>
      </c>
      <c r="B510">
        <v>255</v>
      </c>
      <c r="C510">
        <v>46438.625</v>
      </c>
      <c r="D510" t="s">
        <v>50</v>
      </c>
      <c r="E510" t="s">
        <v>44</v>
      </c>
      <c r="F510" t="s">
        <v>1742</v>
      </c>
      <c r="G510">
        <v>4</v>
      </c>
      <c r="H510" s="27"/>
      <c r="I510" s="27"/>
      <c r="J510" s="26" t="str">
        <f t="shared" si="7"/>
        <v/>
      </c>
      <c r="K510" s="27">
        <v>1</v>
      </c>
      <c r="L510" s="27">
        <v>1</v>
      </c>
      <c r="N510" t="s">
        <v>90</v>
      </c>
    </row>
    <row r="511" spans="1:14">
      <c r="A511">
        <v>26</v>
      </c>
      <c r="B511">
        <v>255</v>
      </c>
      <c r="C511">
        <v>46438.625</v>
      </c>
      <c r="D511" t="s">
        <v>44</v>
      </c>
      <c r="E511" t="s">
        <v>50</v>
      </c>
      <c r="F511" t="s">
        <v>1743</v>
      </c>
      <c r="G511">
        <v>2</v>
      </c>
      <c r="H511" s="27"/>
      <c r="I511" s="27"/>
      <c r="J511" s="26" t="str">
        <f t="shared" si="7"/>
        <v/>
      </c>
      <c r="K511" s="27">
        <v>1</v>
      </c>
      <c r="L511" s="27">
        <v>1</v>
      </c>
      <c r="N511" t="s">
        <v>90</v>
      </c>
    </row>
    <row r="512" spans="1:14">
      <c r="A512">
        <v>26</v>
      </c>
      <c r="B512">
        <v>256</v>
      </c>
      <c r="C512">
        <v>46438.625</v>
      </c>
      <c r="D512" t="s">
        <v>40</v>
      </c>
      <c r="E512" t="s">
        <v>51</v>
      </c>
      <c r="F512" t="s">
        <v>1742</v>
      </c>
      <c r="G512">
        <v>3</v>
      </c>
      <c r="H512" s="27"/>
      <c r="I512" s="27"/>
      <c r="J512" s="26" t="str">
        <f t="shared" si="7"/>
        <v/>
      </c>
      <c r="K512" s="27">
        <v>1</v>
      </c>
      <c r="L512" s="27">
        <v>1</v>
      </c>
      <c r="N512" t="s">
        <v>90</v>
      </c>
    </row>
    <row r="513" spans="1:14">
      <c r="A513">
        <v>26</v>
      </c>
      <c r="B513">
        <v>256</v>
      </c>
      <c r="C513">
        <v>46438.625</v>
      </c>
      <c r="D513" t="s">
        <v>51</v>
      </c>
      <c r="E513" t="s">
        <v>40</v>
      </c>
      <c r="F513" t="s">
        <v>1743</v>
      </c>
      <c r="G513">
        <v>3</v>
      </c>
      <c r="H513" s="27"/>
      <c r="I513" s="27"/>
      <c r="J513" s="26" t="str">
        <f t="shared" si="7"/>
        <v/>
      </c>
      <c r="K513" s="27">
        <v>1</v>
      </c>
      <c r="L513" s="27">
        <v>1</v>
      </c>
      <c r="N513" t="s">
        <v>90</v>
      </c>
    </row>
    <row r="514" spans="1:14">
      <c r="A514">
        <v>26</v>
      </c>
      <c r="B514">
        <v>257</v>
      </c>
      <c r="C514">
        <v>46438.625</v>
      </c>
      <c r="D514" t="s">
        <v>49</v>
      </c>
      <c r="E514" t="s">
        <v>52</v>
      </c>
      <c r="F514" t="s">
        <v>1742</v>
      </c>
      <c r="G514">
        <v>4</v>
      </c>
      <c r="H514" s="27"/>
      <c r="I514" s="27"/>
      <c r="J514" s="26" t="str">
        <f t="shared" ref="J514:J577" si="8">IF(I514="","",EXP(-I514))</f>
        <v/>
      </c>
      <c r="K514" s="27">
        <v>1</v>
      </c>
      <c r="L514" s="27">
        <v>1</v>
      </c>
      <c r="N514" t="s">
        <v>90</v>
      </c>
    </row>
    <row r="515" spans="1:14">
      <c r="A515">
        <v>26</v>
      </c>
      <c r="B515">
        <v>257</v>
      </c>
      <c r="C515">
        <v>46438.625</v>
      </c>
      <c r="D515" t="s">
        <v>52</v>
      </c>
      <c r="E515" t="s">
        <v>49</v>
      </c>
      <c r="F515" t="s">
        <v>1743</v>
      </c>
      <c r="G515">
        <v>2</v>
      </c>
      <c r="H515" s="27"/>
      <c r="I515" s="27"/>
      <c r="J515" s="26" t="str">
        <f t="shared" si="8"/>
        <v/>
      </c>
      <c r="K515" s="27">
        <v>1</v>
      </c>
      <c r="L515" s="27">
        <v>1</v>
      </c>
      <c r="N515" t="s">
        <v>90</v>
      </c>
    </row>
    <row r="516" spans="1:14">
      <c r="A516">
        <v>26</v>
      </c>
      <c r="B516">
        <v>258</v>
      </c>
      <c r="C516">
        <v>46438.625</v>
      </c>
      <c r="D516" t="s">
        <v>55</v>
      </c>
      <c r="E516" t="s">
        <v>53</v>
      </c>
      <c r="F516" t="s">
        <v>1742</v>
      </c>
      <c r="G516">
        <v>5</v>
      </c>
      <c r="H516" s="27"/>
      <c r="I516" s="27"/>
      <c r="J516" s="26" t="str">
        <f t="shared" si="8"/>
        <v/>
      </c>
      <c r="K516" s="27">
        <v>1</v>
      </c>
      <c r="L516" s="27">
        <v>1</v>
      </c>
      <c r="N516" t="s">
        <v>90</v>
      </c>
    </row>
    <row r="517" spans="1:14">
      <c r="A517">
        <v>26</v>
      </c>
      <c r="B517">
        <v>258</v>
      </c>
      <c r="C517">
        <v>46438.625</v>
      </c>
      <c r="D517" t="s">
        <v>53</v>
      </c>
      <c r="E517" t="s">
        <v>55</v>
      </c>
      <c r="F517" t="s">
        <v>1743</v>
      </c>
      <c r="G517">
        <v>2</v>
      </c>
      <c r="H517" s="27"/>
      <c r="I517" s="27"/>
      <c r="J517" s="26" t="str">
        <f t="shared" si="8"/>
        <v/>
      </c>
      <c r="K517" s="27">
        <v>1</v>
      </c>
      <c r="L517" s="27">
        <v>1</v>
      </c>
      <c r="N517" t="s">
        <v>90</v>
      </c>
    </row>
    <row r="518" spans="1:14">
      <c r="A518">
        <v>26</v>
      </c>
      <c r="B518">
        <v>259</v>
      </c>
      <c r="C518">
        <v>46438.625</v>
      </c>
      <c r="D518" t="s">
        <v>54</v>
      </c>
      <c r="E518" t="s">
        <v>56</v>
      </c>
      <c r="F518" t="s">
        <v>1742</v>
      </c>
      <c r="G518">
        <v>3</v>
      </c>
      <c r="H518" s="27"/>
      <c r="I518" s="27"/>
      <c r="J518" s="26" t="str">
        <f t="shared" si="8"/>
        <v/>
      </c>
      <c r="K518" s="27">
        <v>1</v>
      </c>
      <c r="L518" s="27">
        <v>1</v>
      </c>
      <c r="N518" t="s">
        <v>90</v>
      </c>
    </row>
    <row r="519" spans="1:14">
      <c r="A519">
        <v>26</v>
      </c>
      <c r="B519">
        <v>259</v>
      </c>
      <c r="C519">
        <v>46438.625</v>
      </c>
      <c r="D519" t="s">
        <v>56</v>
      </c>
      <c r="E519" t="s">
        <v>54</v>
      </c>
      <c r="F519" t="s">
        <v>1743</v>
      </c>
      <c r="G519">
        <v>4</v>
      </c>
      <c r="H519" s="27"/>
      <c r="I519" s="27"/>
      <c r="J519" s="26" t="str">
        <f t="shared" si="8"/>
        <v/>
      </c>
      <c r="K519" s="27">
        <v>1</v>
      </c>
      <c r="L519" s="27">
        <v>1</v>
      </c>
      <c r="N519" t="s">
        <v>90</v>
      </c>
    </row>
    <row r="520" spans="1:14">
      <c r="A520">
        <v>26</v>
      </c>
      <c r="B520">
        <v>260</v>
      </c>
      <c r="C520">
        <v>46438.625</v>
      </c>
      <c r="D520" t="s">
        <v>47</v>
      </c>
      <c r="E520" t="s">
        <v>58</v>
      </c>
      <c r="F520" t="s">
        <v>1742</v>
      </c>
      <c r="G520">
        <v>3</v>
      </c>
      <c r="H520" s="27"/>
      <c r="I520" s="27"/>
      <c r="J520" s="26" t="str">
        <f t="shared" si="8"/>
        <v/>
      </c>
      <c r="K520" s="27">
        <v>1</v>
      </c>
      <c r="L520" s="27">
        <v>1</v>
      </c>
      <c r="N520" t="s">
        <v>90</v>
      </c>
    </row>
    <row r="521" spans="1:14">
      <c r="A521">
        <v>26</v>
      </c>
      <c r="B521">
        <v>260</v>
      </c>
      <c r="C521">
        <v>46438.625</v>
      </c>
      <c r="D521" t="s">
        <v>58</v>
      </c>
      <c r="E521" t="s">
        <v>47</v>
      </c>
      <c r="F521" t="s">
        <v>1743</v>
      </c>
      <c r="G521">
        <v>3</v>
      </c>
      <c r="H521" s="27"/>
      <c r="I521" s="27"/>
      <c r="J521" s="26" t="str">
        <f t="shared" si="8"/>
        <v/>
      </c>
      <c r="K521" s="27">
        <v>1</v>
      </c>
      <c r="L521" s="27">
        <v>1</v>
      </c>
      <c r="N521" t="s">
        <v>90</v>
      </c>
    </row>
    <row r="522" spans="1:14">
      <c r="A522">
        <v>27</v>
      </c>
      <c r="B522">
        <v>261</v>
      </c>
      <c r="C522">
        <v>46445.625</v>
      </c>
      <c r="D522" t="s">
        <v>44</v>
      </c>
      <c r="E522" t="s">
        <v>40</v>
      </c>
      <c r="F522" t="s">
        <v>1742</v>
      </c>
      <c r="G522">
        <v>4</v>
      </c>
      <c r="H522" s="27"/>
      <c r="I522" s="27"/>
      <c r="J522" s="26" t="str">
        <f t="shared" si="8"/>
        <v/>
      </c>
      <c r="K522" s="27">
        <v>1</v>
      </c>
      <c r="L522" s="27">
        <v>1</v>
      </c>
      <c r="N522" t="s">
        <v>90</v>
      </c>
    </row>
    <row r="523" spans="1:14">
      <c r="A523">
        <v>27</v>
      </c>
      <c r="B523">
        <v>261</v>
      </c>
      <c r="C523">
        <v>46445.625</v>
      </c>
      <c r="D523" t="s">
        <v>40</v>
      </c>
      <c r="E523" t="s">
        <v>44</v>
      </c>
      <c r="F523" t="s">
        <v>1743</v>
      </c>
      <c r="G523">
        <v>4</v>
      </c>
      <c r="H523" s="27"/>
      <c r="I523" s="27"/>
      <c r="J523" s="26" t="str">
        <f t="shared" si="8"/>
        <v/>
      </c>
      <c r="K523" s="27">
        <v>1</v>
      </c>
      <c r="L523" s="27">
        <v>1</v>
      </c>
      <c r="N523" t="s">
        <v>90</v>
      </c>
    </row>
    <row r="524" spans="1:14">
      <c r="A524">
        <v>27</v>
      </c>
      <c r="B524">
        <v>262</v>
      </c>
      <c r="C524">
        <v>46445.625</v>
      </c>
      <c r="D524" t="s">
        <v>41</v>
      </c>
      <c r="E524" t="s">
        <v>45</v>
      </c>
      <c r="F524" t="s">
        <v>1742</v>
      </c>
      <c r="G524">
        <v>2</v>
      </c>
      <c r="H524" s="27"/>
      <c r="I524" s="27"/>
      <c r="J524" s="26" t="str">
        <f t="shared" si="8"/>
        <v/>
      </c>
      <c r="K524" s="27">
        <v>1</v>
      </c>
      <c r="L524" s="27">
        <v>1</v>
      </c>
      <c r="N524" t="s">
        <v>90</v>
      </c>
    </row>
    <row r="525" spans="1:14">
      <c r="A525">
        <v>27</v>
      </c>
      <c r="B525">
        <v>262</v>
      </c>
      <c r="C525">
        <v>46445.625</v>
      </c>
      <c r="D525" t="s">
        <v>45</v>
      </c>
      <c r="E525" t="s">
        <v>41</v>
      </c>
      <c r="F525" t="s">
        <v>1743</v>
      </c>
      <c r="G525">
        <v>3</v>
      </c>
      <c r="H525" s="27"/>
      <c r="I525" s="27"/>
      <c r="J525" s="26" t="str">
        <f t="shared" si="8"/>
        <v/>
      </c>
      <c r="K525" s="27">
        <v>1</v>
      </c>
      <c r="L525" s="27">
        <v>1</v>
      </c>
      <c r="N525" t="s">
        <v>90</v>
      </c>
    </row>
    <row r="526" spans="1:14">
      <c r="A526">
        <v>27</v>
      </c>
      <c r="B526">
        <v>263</v>
      </c>
      <c r="C526">
        <v>46445.625</v>
      </c>
      <c r="D526" t="s">
        <v>58</v>
      </c>
      <c r="E526" t="s">
        <v>46</v>
      </c>
      <c r="F526" t="s">
        <v>1742</v>
      </c>
      <c r="G526">
        <v>3</v>
      </c>
      <c r="H526" s="27"/>
      <c r="I526" s="27"/>
      <c r="J526" s="26" t="str">
        <f t="shared" si="8"/>
        <v/>
      </c>
      <c r="K526" s="27">
        <v>1</v>
      </c>
      <c r="L526" s="27">
        <v>1</v>
      </c>
      <c r="N526" t="s">
        <v>90</v>
      </c>
    </row>
    <row r="527" spans="1:14">
      <c r="A527">
        <v>27</v>
      </c>
      <c r="B527">
        <v>263</v>
      </c>
      <c r="C527">
        <v>46445.625</v>
      </c>
      <c r="D527" t="s">
        <v>46</v>
      </c>
      <c r="E527" t="s">
        <v>58</v>
      </c>
      <c r="F527" t="s">
        <v>1743</v>
      </c>
      <c r="G527">
        <v>2</v>
      </c>
      <c r="H527" s="27"/>
      <c r="I527" s="27"/>
      <c r="J527" s="26" t="str">
        <f t="shared" si="8"/>
        <v/>
      </c>
      <c r="K527" s="27">
        <v>1</v>
      </c>
      <c r="L527" s="27">
        <v>1</v>
      </c>
      <c r="N527" t="s">
        <v>90</v>
      </c>
    </row>
    <row r="528" spans="1:14">
      <c r="A528">
        <v>27</v>
      </c>
      <c r="B528">
        <v>264</v>
      </c>
      <c r="C528">
        <v>46445.625</v>
      </c>
      <c r="D528" t="s">
        <v>56</v>
      </c>
      <c r="E528" t="s">
        <v>47</v>
      </c>
      <c r="F528" t="s">
        <v>1742</v>
      </c>
      <c r="G528">
        <v>3</v>
      </c>
      <c r="H528" s="27"/>
      <c r="I528" s="27"/>
      <c r="J528" s="26" t="str">
        <f t="shared" si="8"/>
        <v/>
      </c>
      <c r="K528" s="27">
        <v>1</v>
      </c>
      <c r="L528" s="27">
        <v>1</v>
      </c>
      <c r="N528" t="s">
        <v>90</v>
      </c>
    </row>
    <row r="529" spans="1:14">
      <c r="A529">
        <v>27</v>
      </c>
      <c r="B529">
        <v>264</v>
      </c>
      <c r="C529">
        <v>46445.625</v>
      </c>
      <c r="D529" t="s">
        <v>47</v>
      </c>
      <c r="E529" t="s">
        <v>56</v>
      </c>
      <c r="F529" t="s">
        <v>1743</v>
      </c>
      <c r="G529">
        <v>3</v>
      </c>
      <c r="H529" s="27"/>
      <c r="I529" s="27"/>
      <c r="J529" s="26" t="str">
        <f t="shared" si="8"/>
        <v/>
      </c>
      <c r="K529" s="27">
        <v>1</v>
      </c>
      <c r="L529" s="27">
        <v>1</v>
      </c>
      <c r="N529" t="s">
        <v>90</v>
      </c>
    </row>
    <row r="530" spans="1:14">
      <c r="A530">
        <v>27</v>
      </c>
      <c r="B530">
        <v>265</v>
      </c>
      <c r="C530">
        <v>46445.625</v>
      </c>
      <c r="D530" t="s">
        <v>51</v>
      </c>
      <c r="E530" t="s">
        <v>48</v>
      </c>
      <c r="F530" t="s">
        <v>1742</v>
      </c>
      <c r="G530">
        <v>3</v>
      </c>
      <c r="H530" s="27"/>
      <c r="I530" s="27"/>
      <c r="J530" s="26" t="str">
        <f t="shared" si="8"/>
        <v/>
      </c>
      <c r="K530" s="27">
        <v>1</v>
      </c>
      <c r="L530" s="27">
        <v>1</v>
      </c>
      <c r="N530" t="s">
        <v>90</v>
      </c>
    </row>
    <row r="531" spans="1:14">
      <c r="A531">
        <v>27</v>
      </c>
      <c r="B531">
        <v>265</v>
      </c>
      <c r="C531">
        <v>46445.625</v>
      </c>
      <c r="D531" t="s">
        <v>48</v>
      </c>
      <c r="E531" t="s">
        <v>51</v>
      </c>
      <c r="F531" t="s">
        <v>1743</v>
      </c>
      <c r="G531">
        <v>2</v>
      </c>
      <c r="H531" s="27"/>
      <c r="I531" s="27"/>
      <c r="J531" s="26" t="str">
        <f t="shared" si="8"/>
        <v/>
      </c>
      <c r="K531" s="27">
        <v>1</v>
      </c>
      <c r="L531" s="27">
        <v>1</v>
      </c>
      <c r="N531" t="s">
        <v>90</v>
      </c>
    </row>
    <row r="532" spans="1:14">
      <c r="A532">
        <v>27</v>
      </c>
      <c r="B532">
        <v>266</v>
      </c>
      <c r="C532">
        <v>46445.625</v>
      </c>
      <c r="D532" t="s">
        <v>53</v>
      </c>
      <c r="E532" t="s">
        <v>49</v>
      </c>
      <c r="F532" t="s">
        <v>1742</v>
      </c>
      <c r="G532">
        <v>2</v>
      </c>
      <c r="H532" s="27"/>
      <c r="I532" s="27"/>
      <c r="J532" s="26" t="str">
        <f t="shared" si="8"/>
        <v/>
      </c>
      <c r="K532" s="27">
        <v>1</v>
      </c>
      <c r="L532" s="27">
        <v>1</v>
      </c>
      <c r="N532" t="s">
        <v>90</v>
      </c>
    </row>
    <row r="533" spans="1:14">
      <c r="A533">
        <v>27</v>
      </c>
      <c r="B533">
        <v>266</v>
      </c>
      <c r="C533">
        <v>46445.625</v>
      </c>
      <c r="D533" t="s">
        <v>49</v>
      </c>
      <c r="E533" t="s">
        <v>53</v>
      </c>
      <c r="F533" t="s">
        <v>1743</v>
      </c>
      <c r="G533">
        <v>4</v>
      </c>
      <c r="H533" s="27"/>
      <c r="I533" s="27"/>
      <c r="J533" s="26" t="str">
        <f t="shared" si="8"/>
        <v/>
      </c>
      <c r="K533" s="27">
        <v>1</v>
      </c>
      <c r="L533" s="27">
        <v>1</v>
      </c>
      <c r="N533" t="s">
        <v>90</v>
      </c>
    </row>
    <row r="534" spans="1:14">
      <c r="A534">
        <v>27</v>
      </c>
      <c r="B534">
        <v>267</v>
      </c>
      <c r="C534">
        <v>46445.625</v>
      </c>
      <c r="D534" t="s">
        <v>43</v>
      </c>
      <c r="E534" t="s">
        <v>50</v>
      </c>
      <c r="F534" t="s">
        <v>1742</v>
      </c>
      <c r="G534">
        <v>2</v>
      </c>
      <c r="H534" s="27"/>
      <c r="I534" s="27"/>
      <c r="J534" s="26" t="str">
        <f t="shared" si="8"/>
        <v/>
      </c>
      <c r="K534" s="27">
        <v>1</v>
      </c>
      <c r="L534" s="27">
        <v>1</v>
      </c>
      <c r="N534" t="s">
        <v>90</v>
      </c>
    </row>
    <row r="535" spans="1:14">
      <c r="A535">
        <v>27</v>
      </c>
      <c r="B535">
        <v>267</v>
      </c>
      <c r="C535">
        <v>46445.625</v>
      </c>
      <c r="D535" t="s">
        <v>50</v>
      </c>
      <c r="E535" t="s">
        <v>43</v>
      </c>
      <c r="F535" t="s">
        <v>1743</v>
      </c>
      <c r="G535">
        <v>2</v>
      </c>
      <c r="H535" s="27"/>
      <c r="I535" s="27"/>
      <c r="J535" s="26" t="str">
        <f t="shared" si="8"/>
        <v/>
      </c>
      <c r="K535" s="27">
        <v>1</v>
      </c>
      <c r="L535" s="27">
        <v>1</v>
      </c>
      <c r="N535" t="s">
        <v>90</v>
      </c>
    </row>
    <row r="536" spans="1:14">
      <c r="A536">
        <v>27</v>
      </c>
      <c r="B536">
        <v>268</v>
      </c>
      <c r="C536">
        <v>46445.625</v>
      </c>
      <c r="D536" t="s">
        <v>39</v>
      </c>
      <c r="E536" t="s">
        <v>54</v>
      </c>
      <c r="F536" t="s">
        <v>1742</v>
      </c>
      <c r="G536">
        <v>4</v>
      </c>
      <c r="H536" s="27"/>
      <c r="I536" s="27"/>
      <c r="J536" s="26" t="str">
        <f t="shared" si="8"/>
        <v/>
      </c>
      <c r="K536" s="27">
        <v>1</v>
      </c>
      <c r="L536" s="27">
        <v>1</v>
      </c>
      <c r="N536" t="s">
        <v>90</v>
      </c>
    </row>
    <row r="537" spans="1:14">
      <c r="A537">
        <v>27</v>
      </c>
      <c r="B537">
        <v>268</v>
      </c>
      <c r="C537">
        <v>46445.625</v>
      </c>
      <c r="D537" t="s">
        <v>54</v>
      </c>
      <c r="E537" t="s">
        <v>39</v>
      </c>
      <c r="F537" t="s">
        <v>1743</v>
      </c>
      <c r="G537">
        <v>4</v>
      </c>
      <c r="H537" s="27"/>
      <c r="I537" s="27"/>
      <c r="J537" s="26" t="str">
        <f t="shared" si="8"/>
        <v/>
      </c>
      <c r="K537" s="27">
        <v>1</v>
      </c>
      <c r="L537" s="27">
        <v>1</v>
      </c>
      <c r="N537" t="s">
        <v>90</v>
      </c>
    </row>
    <row r="538" spans="1:14">
      <c r="A538">
        <v>27</v>
      </c>
      <c r="B538">
        <v>269</v>
      </c>
      <c r="C538">
        <v>46445.625</v>
      </c>
      <c r="D538" t="s">
        <v>42</v>
      </c>
      <c r="E538" t="s">
        <v>55</v>
      </c>
      <c r="F538" t="s">
        <v>1742</v>
      </c>
      <c r="G538">
        <v>3</v>
      </c>
      <c r="H538" s="27"/>
      <c r="I538" s="27"/>
      <c r="J538" s="26" t="str">
        <f t="shared" si="8"/>
        <v/>
      </c>
      <c r="K538" s="27">
        <v>1</v>
      </c>
      <c r="L538" s="27">
        <v>1</v>
      </c>
      <c r="N538" t="s">
        <v>90</v>
      </c>
    </row>
    <row r="539" spans="1:14">
      <c r="A539">
        <v>27</v>
      </c>
      <c r="B539">
        <v>269</v>
      </c>
      <c r="C539">
        <v>46445.625</v>
      </c>
      <c r="D539" t="s">
        <v>55</v>
      </c>
      <c r="E539" t="s">
        <v>42</v>
      </c>
      <c r="F539" t="s">
        <v>1743</v>
      </c>
      <c r="G539">
        <v>3</v>
      </c>
      <c r="H539" s="27"/>
      <c r="I539" s="27"/>
      <c r="J539" s="26" t="str">
        <f t="shared" si="8"/>
        <v/>
      </c>
      <c r="K539" s="27">
        <v>1</v>
      </c>
      <c r="L539" s="27">
        <v>1</v>
      </c>
      <c r="N539" t="s">
        <v>90</v>
      </c>
    </row>
    <row r="540" spans="1:14">
      <c r="A540">
        <v>27</v>
      </c>
      <c r="B540">
        <v>270</v>
      </c>
      <c r="C540">
        <v>46445.625</v>
      </c>
      <c r="D540" t="s">
        <v>52</v>
      </c>
      <c r="E540" t="s">
        <v>57</v>
      </c>
      <c r="F540" t="s">
        <v>1742</v>
      </c>
      <c r="G540">
        <v>3</v>
      </c>
      <c r="H540" s="27"/>
      <c r="I540" s="27"/>
      <c r="J540" s="26" t="str">
        <f t="shared" si="8"/>
        <v/>
      </c>
      <c r="K540" s="27">
        <v>1</v>
      </c>
      <c r="L540" s="27">
        <v>1</v>
      </c>
      <c r="N540" t="s">
        <v>90</v>
      </c>
    </row>
    <row r="541" spans="1:14">
      <c r="A541">
        <v>27</v>
      </c>
      <c r="B541">
        <v>270</v>
      </c>
      <c r="C541">
        <v>46445.625</v>
      </c>
      <c r="D541" t="s">
        <v>57</v>
      </c>
      <c r="E541" t="s">
        <v>52</v>
      </c>
      <c r="F541" t="s">
        <v>1743</v>
      </c>
      <c r="G541">
        <v>4</v>
      </c>
      <c r="H541" s="27"/>
      <c r="I541" s="27"/>
      <c r="J541" s="26" t="str">
        <f t="shared" si="8"/>
        <v/>
      </c>
      <c r="K541" s="27">
        <v>1</v>
      </c>
      <c r="L541" s="27">
        <v>1</v>
      </c>
      <c r="N541" t="s">
        <v>90</v>
      </c>
    </row>
    <row r="542" spans="1:14">
      <c r="A542">
        <v>28</v>
      </c>
      <c r="B542">
        <v>271</v>
      </c>
      <c r="C542">
        <v>46449.833333333336</v>
      </c>
      <c r="D542" t="s">
        <v>46</v>
      </c>
      <c r="E542" t="s">
        <v>39</v>
      </c>
      <c r="F542" t="s">
        <v>1742</v>
      </c>
      <c r="G542">
        <v>5</v>
      </c>
      <c r="H542" s="27"/>
      <c r="I542" s="27"/>
      <c r="J542" s="26" t="str">
        <f t="shared" si="8"/>
        <v/>
      </c>
      <c r="K542" s="27">
        <v>1</v>
      </c>
      <c r="L542" s="27">
        <v>1</v>
      </c>
      <c r="N542" t="s">
        <v>90</v>
      </c>
    </row>
    <row r="543" spans="1:14">
      <c r="A543">
        <v>28</v>
      </c>
      <c r="B543">
        <v>271</v>
      </c>
      <c r="C543">
        <v>46449.833333333336</v>
      </c>
      <c r="D543" t="s">
        <v>39</v>
      </c>
      <c r="E543" t="s">
        <v>46</v>
      </c>
      <c r="F543" t="s">
        <v>1743</v>
      </c>
      <c r="G543">
        <v>3</v>
      </c>
      <c r="H543" s="27"/>
      <c r="I543" s="27"/>
      <c r="J543" s="26" t="str">
        <f t="shared" si="8"/>
        <v/>
      </c>
      <c r="K543" s="27">
        <v>1</v>
      </c>
      <c r="L543" s="27">
        <v>1</v>
      </c>
      <c r="N543" t="s">
        <v>90</v>
      </c>
    </row>
    <row r="544" spans="1:14">
      <c r="A544">
        <v>28</v>
      </c>
      <c r="B544">
        <v>272</v>
      </c>
      <c r="C544">
        <v>46449.833333333336</v>
      </c>
      <c r="D544" t="s">
        <v>57</v>
      </c>
      <c r="E544" t="s">
        <v>41</v>
      </c>
      <c r="F544" t="s">
        <v>1742</v>
      </c>
      <c r="G544">
        <v>3</v>
      </c>
      <c r="H544" s="27"/>
      <c r="I544" s="27"/>
      <c r="J544" s="26" t="str">
        <f t="shared" si="8"/>
        <v/>
      </c>
      <c r="K544" s="27">
        <v>1</v>
      </c>
      <c r="L544" s="27">
        <v>1</v>
      </c>
      <c r="N544" t="s">
        <v>90</v>
      </c>
    </row>
    <row r="545" spans="1:14">
      <c r="A545">
        <v>28</v>
      </c>
      <c r="B545">
        <v>272</v>
      </c>
      <c r="C545">
        <v>46449.833333333336</v>
      </c>
      <c r="D545" t="s">
        <v>41</v>
      </c>
      <c r="E545" t="s">
        <v>57</v>
      </c>
      <c r="F545" t="s">
        <v>1743</v>
      </c>
      <c r="G545">
        <v>3</v>
      </c>
      <c r="H545" s="27"/>
      <c r="I545" s="27"/>
      <c r="J545" s="26" t="str">
        <f t="shared" si="8"/>
        <v/>
      </c>
      <c r="K545" s="27">
        <v>1</v>
      </c>
      <c r="L545" s="27">
        <v>1</v>
      </c>
      <c r="N545" t="s">
        <v>90</v>
      </c>
    </row>
    <row r="546" spans="1:14">
      <c r="A546">
        <v>28</v>
      </c>
      <c r="B546">
        <v>273</v>
      </c>
      <c r="C546">
        <v>46449.833333333336</v>
      </c>
      <c r="D546" t="s">
        <v>50</v>
      </c>
      <c r="E546" t="s">
        <v>42</v>
      </c>
      <c r="F546" t="s">
        <v>1742</v>
      </c>
      <c r="G546">
        <v>3</v>
      </c>
      <c r="H546" s="27"/>
      <c r="I546" s="27"/>
      <c r="J546" s="26" t="str">
        <f t="shared" si="8"/>
        <v/>
      </c>
      <c r="K546" s="27">
        <v>1</v>
      </c>
      <c r="L546" s="27">
        <v>1</v>
      </c>
      <c r="N546" t="s">
        <v>90</v>
      </c>
    </row>
    <row r="547" spans="1:14">
      <c r="A547">
        <v>28</v>
      </c>
      <c r="B547">
        <v>273</v>
      </c>
      <c r="C547">
        <v>46449.833333333336</v>
      </c>
      <c r="D547" t="s">
        <v>42</v>
      </c>
      <c r="E547" t="s">
        <v>50</v>
      </c>
      <c r="F547" t="s">
        <v>1743</v>
      </c>
      <c r="G547">
        <v>2</v>
      </c>
      <c r="H547" s="27"/>
      <c r="I547" s="27"/>
      <c r="J547" s="26" t="str">
        <f t="shared" si="8"/>
        <v/>
      </c>
      <c r="K547" s="27">
        <v>1</v>
      </c>
      <c r="L547" s="27">
        <v>1</v>
      </c>
      <c r="N547" t="s">
        <v>90</v>
      </c>
    </row>
    <row r="548" spans="1:14">
      <c r="A548">
        <v>28</v>
      </c>
      <c r="B548">
        <v>274</v>
      </c>
      <c r="C548">
        <v>46449.833333333336</v>
      </c>
      <c r="D548" t="s">
        <v>48</v>
      </c>
      <c r="E548" t="s">
        <v>43</v>
      </c>
      <c r="F548" t="s">
        <v>1742</v>
      </c>
      <c r="G548">
        <v>3</v>
      </c>
      <c r="H548" s="27"/>
      <c r="I548" s="27"/>
      <c r="J548" s="26" t="str">
        <f t="shared" si="8"/>
        <v/>
      </c>
      <c r="K548" s="27">
        <v>1</v>
      </c>
      <c r="L548" s="27">
        <v>1</v>
      </c>
      <c r="N548" t="s">
        <v>90</v>
      </c>
    </row>
    <row r="549" spans="1:14">
      <c r="A549">
        <v>28</v>
      </c>
      <c r="B549">
        <v>274</v>
      </c>
      <c r="C549">
        <v>46449.833333333336</v>
      </c>
      <c r="D549" t="s">
        <v>43</v>
      </c>
      <c r="E549" t="s">
        <v>48</v>
      </c>
      <c r="F549" t="s">
        <v>1743</v>
      </c>
      <c r="G549">
        <v>2</v>
      </c>
      <c r="H549" s="27"/>
      <c r="I549" s="27"/>
      <c r="J549" s="26" t="str">
        <f t="shared" si="8"/>
        <v/>
      </c>
      <c r="K549" s="27">
        <v>1</v>
      </c>
      <c r="L549" s="27">
        <v>1</v>
      </c>
      <c r="N549" t="s">
        <v>90</v>
      </c>
    </row>
    <row r="550" spans="1:14">
      <c r="A550">
        <v>28</v>
      </c>
      <c r="B550">
        <v>275</v>
      </c>
      <c r="C550">
        <v>46449.833333333336</v>
      </c>
      <c r="D550" t="s">
        <v>45</v>
      </c>
      <c r="E550" t="s">
        <v>44</v>
      </c>
      <c r="F550" t="s">
        <v>1742</v>
      </c>
      <c r="G550">
        <v>4</v>
      </c>
      <c r="H550" s="27"/>
      <c r="I550" s="27"/>
      <c r="J550" s="26" t="str">
        <f t="shared" si="8"/>
        <v/>
      </c>
      <c r="K550" s="27">
        <v>1</v>
      </c>
      <c r="L550" s="27">
        <v>1</v>
      </c>
      <c r="N550" t="s">
        <v>90</v>
      </c>
    </row>
    <row r="551" spans="1:14">
      <c r="A551">
        <v>28</v>
      </c>
      <c r="B551">
        <v>275</v>
      </c>
      <c r="C551">
        <v>46449.833333333336</v>
      </c>
      <c r="D551" t="s">
        <v>44</v>
      </c>
      <c r="E551" t="s">
        <v>45</v>
      </c>
      <c r="F551" t="s">
        <v>1743</v>
      </c>
      <c r="G551">
        <v>2</v>
      </c>
      <c r="H551" s="27"/>
      <c r="I551" s="27"/>
      <c r="J551" s="26" t="str">
        <f t="shared" si="8"/>
        <v/>
      </c>
      <c r="K551" s="27">
        <v>1</v>
      </c>
      <c r="L551" s="27">
        <v>1</v>
      </c>
      <c r="N551" t="s">
        <v>90</v>
      </c>
    </row>
    <row r="552" spans="1:14">
      <c r="A552">
        <v>28</v>
      </c>
      <c r="B552">
        <v>276</v>
      </c>
      <c r="C552">
        <v>46449.833333333336</v>
      </c>
      <c r="D552" t="s">
        <v>49</v>
      </c>
      <c r="E552" t="s">
        <v>51</v>
      </c>
      <c r="F552" t="s">
        <v>1742</v>
      </c>
      <c r="G552">
        <v>3</v>
      </c>
      <c r="H552" s="27"/>
      <c r="I552" s="27"/>
      <c r="J552" s="26" t="str">
        <f t="shared" si="8"/>
        <v/>
      </c>
      <c r="K552" s="27">
        <v>1</v>
      </c>
      <c r="L552" s="27">
        <v>1</v>
      </c>
      <c r="N552" t="s">
        <v>90</v>
      </c>
    </row>
    <row r="553" spans="1:14">
      <c r="A553">
        <v>28</v>
      </c>
      <c r="B553">
        <v>276</v>
      </c>
      <c r="C553">
        <v>46449.833333333336</v>
      </c>
      <c r="D553" t="s">
        <v>51</v>
      </c>
      <c r="E553" t="s">
        <v>49</v>
      </c>
      <c r="F553" t="s">
        <v>1743</v>
      </c>
      <c r="G553">
        <v>2</v>
      </c>
      <c r="H553" s="27"/>
      <c r="I553" s="27"/>
      <c r="J553" s="26" t="str">
        <f t="shared" si="8"/>
        <v/>
      </c>
      <c r="K553" s="27">
        <v>1</v>
      </c>
      <c r="L553" s="27">
        <v>1</v>
      </c>
      <c r="N553" t="s">
        <v>90</v>
      </c>
    </row>
    <row r="554" spans="1:14">
      <c r="A554">
        <v>28</v>
      </c>
      <c r="B554">
        <v>277</v>
      </c>
      <c r="C554">
        <v>46449.833333333336</v>
      </c>
      <c r="D554" t="s">
        <v>40</v>
      </c>
      <c r="E554" t="s">
        <v>52</v>
      </c>
      <c r="F554" t="s">
        <v>1742</v>
      </c>
      <c r="G554">
        <v>4</v>
      </c>
      <c r="H554" s="27"/>
      <c r="I554" s="27"/>
      <c r="J554" s="26" t="str">
        <f t="shared" si="8"/>
        <v/>
      </c>
      <c r="K554" s="27">
        <v>1</v>
      </c>
      <c r="L554" s="27">
        <v>1</v>
      </c>
      <c r="N554" t="s">
        <v>90</v>
      </c>
    </row>
    <row r="555" spans="1:14">
      <c r="A555">
        <v>28</v>
      </c>
      <c r="B555">
        <v>277</v>
      </c>
      <c r="C555">
        <v>46449.833333333336</v>
      </c>
      <c r="D555" t="s">
        <v>52</v>
      </c>
      <c r="E555" t="s">
        <v>40</v>
      </c>
      <c r="F555" t="s">
        <v>1743</v>
      </c>
      <c r="G555">
        <v>3</v>
      </c>
      <c r="H555" s="27"/>
      <c r="I555" s="27"/>
      <c r="J555" s="26" t="str">
        <f t="shared" si="8"/>
        <v/>
      </c>
      <c r="K555" s="27">
        <v>1</v>
      </c>
      <c r="L555" s="27">
        <v>1</v>
      </c>
      <c r="N555" t="s">
        <v>90</v>
      </c>
    </row>
    <row r="556" spans="1:14">
      <c r="A556">
        <v>28</v>
      </c>
      <c r="B556">
        <v>278</v>
      </c>
      <c r="C556">
        <v>46449.833333333336</v>
      </c>
      <c r="D556" t="s">
        <v>47</v>
      </c>
      <c r="E556" t="s">
        <v>53</v>
      </c>
      <c r="F556" t="s">
        <v>1742</v>
      </c>
      <c r="G556">
        <v>5</v>
      </c>
      <c r="H556" s="27"/>
      <c r="I556" s="27"/>
      <c r="J556" s="26" t="str">
        <f t="shared" si="8"/>
        <v/>
      </c>
      <c r="K556" s="27">
        <v>1</v>
      </c>
      <c r="L556" s="27">
        <v>1</v>
      </c>
      <c r="N556" t="s">
        <v>90</v>
      </c>
    </row>
    <row r="557" spans="1:14">
      <c r="A557">
        <v>28</v>
      </c>
      <c r="B557">
        <v>278</v>
      </c>
      <c r="C557">
        <v>46449.833333333336</v>
      </c>
      <c r="D557" t="s">
        <v>53</v>
      </c>
      <c r="E557" t="s">
        <v>47</v>
      </c>
      <c r="F557" t="s">
        <v>1743</v>
      </c>
      <c r="G557">
        <v>3</v>
      </c>
      <c r="H557" s="27"/>
      <c r="I557" s="27"/>
      <c r="J557" s="26" t="str">
        <f t="shared" si="8"/>
        <v/>
      </c>
      <c r="K557" s="27">
        <v>1</v>
      </c>
      <c r="L557" s="27">
        <v>1</v>
      </c>
      <c r="N557" t="s">
        <v>90</v>
      </c>
    </row>
    <row r="558" spans="1:14">
      <c r="A558">
        <v>28</v>
      </c>
      <c r="B558">
        <v>279</v>
      </c>
      <c r="C558">
        <v>46449.833333333336</v>
      </c>
      <c r="D558" t="s">
        <v>55</v>
      </c>
      <c r="E558" t="s">
        <v>56</v>
      </c>
      <c r="F558" t="s">
        <v>1742</v>
      </c>
      <c r="G558">
        <v>3</v>
      </c>
      <c r="H558" s="27"/>
      <c r="I558" s="27"/>
      <c r="J558" s="26" t="str">
        <f t="shared" si="8"/>
        <v/>
      </c>
      <c r="K558" s="27">
        <v>1</v>
      </c>
      <c r="L558" s="27">
        <v>1</v>
      </c>
      <c r="N558" t="s">
        <v>90</v>
      </c>
    </row>
    <row r="559" spans="1:14">
      <c r="A559">
        <v>28</v>
      </c>
      <c r="B559">
        <v>279</v>
      </c>
      <c r="C559">
        <v>46449.833333333336</v>
      </c>
      <c r="D559" t="s">
        <v>56</v>
      </c>
      <c r="E559" t="s">
        <v>55</v>
      </c>
      <c r="F559" t="s">
        <v>1743</v>
      </c>
      <c r="G559">
        <v>2</v>
      </c>
      <c r="H559" s="27"/>
      <c r="I559" s="27"/>
      <c r="J559" s="26" t="str">
        <f t="shared" si="8"/>
        <v/>
      </c>
      <c r="K559" s="27">
        <v>1</v>
      </c>
      <c r="L559" s="27">
        <v>1</v>
      </c>
      <c r="N559" t="s">
        <v>90</v>
      </c>
    </row>
    <row r="560" spans="1:14">
      <c r="A560">
        <v>28</v>
      </c>
      <c r="B560">
        <v>280</v>
      </c>
      <c r="C560">
        <v>46449.833333333336</v>
      </c>
      <c r="D560" t="s">
        <v>54</v>
      </c>
      <c r="E560" t="s">
        <v>58</v>
      </c>
      <c r="F560" t="s">
        <v>1742</v>
      </c>
      <c r="G560">
        <v>3</v>
      </c>
      <c r="H560" s="27"/>
      <c r="I560" s="27"/>
      <c r="J560" s="26" t="str">
        <f t="shared" si="8"/>
        <v/>
      </c>
      <c r="K560" s="27">
        <v>1</v>
      </c>
      <c r="L560" s="27">
        <v>1</v>
      </c>
      <c r="N560" t="s">
        <v>90</v>
      </c>
    </row>
    <row r="561" spans="1:14">
      <c r="A561">
        <v>28</v>
      </c>
      <c r="B561">
        <v>280</v>
      </c>
      <c r="C561">
        <v>46449.833333333336</v>
      </c>
      <c r="D561" t="s">
        <v>58</v>
      </c>
      <c r="E561" t="s">
        <v>54</v>
      </c>
      <c r="F561" t="s">
        <v>1743</v>
      </c>
      <c r="G561">
        <v>4</v>
      </c>
      <c r="H561" s="27"/>
      <c r="I561" s="27"/>
      <c r="J561" s="26" t="str">
        <f t="shared" si="8"/>
        <v/>
      </c>
      <c r="K561" s="27">
        <v>1</v>
      </c>
      <c r="L561" s="27">
        <v>1</v>
      </c>
      <c r="N561" t="s">
        <v>90</v>
      </c>
    </row>
    <row r="562" spans="1:14">
      <c r="A562">
        <v>29</v>
      </c>
      <c r="B562">
        <v>281</v>
      </c>
      <c r="C562">
        <v>46459.625</v>
      </c>
      <c r="D562" t="s">
        <v>49</v>
      </c>
      <c r="E562" t="s">
        <v>40</v>
      </c>
      <c r="F562" t="s">
        <v>1742</v>
      </c>
      <c r="G562">
        <v>4</v>
      </c>
      <c r="H562" s="27"/>
      <c r="I562" s="27"/>
      <c r="J562" s="26" t="str">
        <f t="shared" si="8"/>
        <v/>
      </c>
      <c r="K562" s="27">
        <v>1</v>
      </c>
      <c r="L562" s="27">
        <v>1</v>
      </c>
      <c r="N562" t="s">
        <v>90</v>
      </c>
    </row>
    <row r="563" spans="1:14">
      <c r="A563">
        <v>29</v>
      </c>
      <c r="B563">
        <v>281</v>
      </c>
      <c r="C563">
        <v>46459.625</v>
      </c>
      <c r="D563" t="s">
        <v>40</v>
      </c>
      <c r="E563" t="s">
        <v>49</v>
      </c>
      <c r="F563" t="s">
        <v>1743</v>
      </c>
      <c r="G563">
        <v>2</v>
      </c>
      <c r="H563" s="27"/>
      <c r="I563" s="27"/>
      <c r="J563" s="26" t="str">
        <f t="shared" si="8"/>
        <v/>
      </c>
      <c r="K563" s="27">
        <v>1</v>
      </c>
      <c r="L563" s="27">
        <v>1</v>
      </c>
      <c r="N563" t="s">
        <v>90</v>
      </c>
    </row>
    <row r="564" spans="1:14">
      <c r="A564">
        <v>29</v>
      </c>
      <c r="B564">
        <v>282</v>
      </c>
      <c r="C564">
        <v>46459.625</v>
      </c>
      <c r="D564" t="s">
        <v>55</v>
      </c>
      <c r="E564" t="s">
        <v>41</v>
      </c>
      <c r="F564" t="s">
        <v>1742</v>
      </c>
      <c r="G564">
        <v>3</v>
      </c>
      <c r="H564" s="27"/>
      <c r="I564" s="27"/>
      <c r="J564" s="26" t="str">
        <f t="shared" si="8"/>
        <v/>
      </c>
      <c r="K564" s="27">
        <v>1</v>
      </c>
      <c r="L564" s="27">
        <v>1</v>
      </c>
      <c r="N564" t="s">
        <v>90</v>
      </c>
    </row>
    <row r="565" spans="1:14">
      <c r="A565">
        <v>29</v>
      </c>
      <c r="B565">
        <v>282</v>
      </c>
      <c r="C565">
        <v>46459.625</v>
      </c>
      <c r="D565" t="s">
        <v>41</v>
      </c>
      <c r="E565" t="s">
        <v>55</v>
      </c>
      <c r="F565" t="s">
        <v>1743</v>
      </c>
      <c r="G565">
        <v>2</v>
      </c>
      <c r="H565" s="27"/>
      <c r="I565" s="27"/>
      <c r="J565" s="26" t="str">
        <f t="shared" si="8"/>
        <v/>
      </c>
      <c r="K565" s="27">
        <v>1</v>
      </c>
      <c r="L565" s="27">
        <v>1</v>
      </c>
      <c r="N565" t="s">
        <v>90</v>
      </c>
    </row>
    <row r="566" spans="1:14">
      <c r="A566">
        <v>29</v>
      </c>
      <c r="B566">
        <v>283</v>
      </c>
      <c r="C566">
        <v>46459.625</v>
      </c>
      <c r="D566" t="s">
        <v>39</v>
      </c>
      <c r="E566" t="s">
        <v>44</v>
      </c>
      <c r="F566" t="s">
        <v>1742</v>
      </c>
      <c r="G566">
        <v>4</v>
      </c>
      <c r="H566" s="27"/>
      <c r="I566" s="27"/>
      <c r="J566" s="26" t="str">
        <f t="shared" si="8"/>
        <v/>
      </c>
      <c r="K566" s="27">
        <v>1</v>
      </c>
      <c r="L566" s="27">
        <v>1</v>
      </c>
      <c r="N566" t="s">
        <v>90</v>
      </c>
    </row>
    <row r="567" spans="1:14">
      <c r="A567">
        <v>29</v>
      </c>
      <c r="B567">
        <v>283</v>
      </c>
      <c r="C567">
        <v>46459.625</v>
      </c>
      <c r="D567" t="s">
        <v>44</v>
      </c>
      <c r="E567" t="s">
        <v>39</v>
      </c>
      <c r="F567" t="s">
        <v>1743</v>
      </c>
      <c r="G567">
        <v>4</v>
      </c>
      <c r="H567" s="27"/>
      <c r="I567" s="27"/>
      <c r="J567" s="26" t="str">
        <f t="shared" si="8"/>
        <v/>
      </c>
      <c r="K567" s="27">
        <v>1</v>
      </c>
      <c r="L567" s="27">
        <v>1</v>
      </c>
      <c r="N567" t="s">
        <v>90</v>
      </c>
    </row>
    <row r="568" spans="1:14">
      <c r="A568">
        <v>29</v>
      </c>
      <c r="B568">
        <v>284</v>
      </c>
      <c r="C568">
        <v>46459.625</v>
      </c>
      <c r="D568" t="s">
        <v>53</v>
      </c>
      <c r="E568" t="s">
        <v>45</v>
      </c>
      <c r="F568" t="s">
        <v>1742</v>
      </c>
      <c r="G568">
        <v>2</v>
      </c>
      <c r="H568" s="27"/>
      <c r="I568" s="27"/>
      <c r="J568" s="26" t="str">
        <f t="shared" si="8"/>
        <v/>
      </c>
      <c r="K568" s="27">
        <v>1</v>
      </c>
      <c r="L568" s="27">
        <v>1</v>
      </c>
      <c r="N568" t="s">
        <v>90</v>
      </c>
    </row>
    <row r="569" spans="1:14">
      <c r="A569">
        <v>29</v>
      </c>
      <c r="B569">
        <v>284</v>
      </c>
      <c r="C569">
        <v>46459.625</v>
      </c>
      <c r="D569" t="s">
        <v>45</v>
      </c>
      <c r="E569" t="s">
        <v>53</v>
      </c>
      <c r="F569" t="s">
        <v>1743</v>
      </c>
      <c r="G569">
        <v>4</v>
      </c>
      <c r="H569" s="27"/>
      <c r="I569" s="27"/>
      <c r="J569" s="26" t="str">
        <f t="shared" si="8"/>
        <v/>
      </c>
      <c r="K569" s="27">
        <v>1</v>
      </c>
      <c r="L569" s="27">
        <v>1</v>
      </c>
      <c r="N569" t="s">
        <v>90</v>
      </c>
    </row>
    <row r="570" spans="1:14">
      <c r="A570">
        <v>29</v>
      </c>
      <c r="B570">
        <v>285</v>
      </c>
      <c r="C570">
        <v>46459.625</v>
      </c>
      <c r="D570" t="s">
        <v>48</v>
      </c>
      <c r="E570" t="s">
        <v>46</v>
      </c>
      <c r="F570" t="s">
        <v>1742</v>
      </c>
      <c r="G570">
        <v>3</v>
      </c>
      <c r="H570" s="27"/>
      <c r="I570" s="27"/>
      <c r="J570" s="26" t="str">
        <f t="shared" si="8"/>
        <v/>
      </c>
      <c r="K570" s="27">
        <v>1</v>
      </c>
      <c r="L570" s="27">
        <v>1</v>
      </c>
      <c r="N570" t="s">
        <v>90</v>
      </c>
    </row>
    <row r="571" spans="1:14">
      <c r="A571">
        <v>29</v>
      </c>
      <c r="B571">
        <v>285</v>
      </c>
      <c r="C571">
        <v>46459.625</v>
      </c>
      <c r="D571" t="s">
        <v>46</v>
      </c>
      <c r="E571" t="s">
        <v>48</v>
      </c>
      <c r="F571" t="s">
        <v>1743</v>
      </c>
      <c r="G571">
        <v>2</v>
      </c>
      <c r="H571" s="27"/>
      <c r="I571" s="27"/>
      <c r="J571" s="26" t="str">
        <f t="shared" si="8"/>
        <v/>
      </c>
      <c r="K571" s="27">
        <v>1</v>
      </c>
      <c r="L571" s="27">
        <v>1</v>
      </c>
      <c r="N571" t="s">
        <v>90</v>
      </c>
    </row>
    <row r="572" spans="1:14">
      <c r="A572">
        <v>29</v>
      </c>
      <c r="B572">
        <v>286</v>
      </c>
      <c r="C572">
        <v>46459.625</v>
      </c>
      <c r="D572" t="s">
        <v>43</v>
      </c>
      <c r="E572" t="s">
        <v>51</v>
      </c>
      <c r="F572" t="s">
        <v>1742</v>
      </c>
      <c r="G572">
        <v>3</v>
      </c>
      <c r="H572" s="27"/>
      <c r="I572" s="27"/>
      <c r="J572" s="26" t="str">
        <f t="shared" si="8"/>
        <v/>
      </c>
      <c r="K572" s="27">
        <v>1</v>
      </c>
      <c r="L572" s="27">
        <v>1</v>
      </c>
      <c r="N572" t="s">
        <v>90</v>
      </c>
    </row>
    <row r="573" spans="1:14">
      <c r="A573">
        <v>29</v>
      </c>
      <c r="B573">
        <v>286</v>
      </c>
      <c r="C573">
        <v>46459.625</v>
      </c>
      <c r="D573" t="s">
        <v>51</v>
      </c>
      <c r="E573" t="s">
        <v>43</v>
      </c>
      <c r="F573" t="s">
        <v>1743</v>
      </c>
      <c r="G573">
        <v>2</v>
      </c>
      <c r="H573" s="27"/>
      <c r="I573" s="27"/>
      <c r="J573" s="26" t="str">
        <f t="shared" si="8"/>
        <v/>
      </c>
      <c r="K573" s="27">
        <v>1</v>
      </c>
      <c r="L573" s="27">
        <v>1</v>
      </c>
      <c r="N573" t="s">
        <v>90</v>
      </c>
    </row>
    <row r="574" spans="1:14">
      <c r="A574">
        <v>29</v>
      </c>
      <c r="B574">
        <v>287</v>
      </c>
      <c r="C574">
        <v>46459.625</v>
      </c>
      <c r="D574" t="s">
        <v>50</v>
      </c>
      <c r="E574" t="s">
        <v>52</v>
      </c>
      <c r="F574" t="s">
        <v>1742</v>
      </c>
      <c r="G574">
        <v>4</v>
      </c>
      <c r="H574" s="27"/>
      <c r="I574" s="27"/>
      <c r="J574" s="26" t="str">
        <f t="shared" si="8"/>
        <v/>
      </c>
      <c r="K574" s="27">
        <v>1</v>
      </c>
      <c r="L574" s="27">
        <v>1</v>
      </c>
      <c r="N574" t="s">
        <v>90</v>
      </c>
    </row>
    <row r="575" spans="1:14">
      <c r="A575">
        <v>29</v>
      </c>
      <c r="B575">
        <v>287</v>
      </c>
      <c r="C575">
        <v>46459.625</v>
      </c>
      <c r="D575" t="s">
        <v>52</v>
      </c>
      <c r="E575" t="s">
        <v>50</v>
      </c>
      <c r="F575" t="s">
        <v>1743</v>
      </c>
      <c r="G575">
        <v>2</v>
      </c>
      <c r="H575" s="27"/>
      <c r="I575" s="27"/>
      <c r="J575" s="26" t="str">
        <f t="shared" si="8"/>
        <v/>
      </c>
      <c r="K575" s="27">
        <v>1</v>
      </c>
      <c r="L575" s="27">
        <v>1</v>
      </c>
      <c r="N575" t="s">
        <v>90</v>
      </c>
    </row>
    <row r="576" spans="1:14">
      <c r="A576">
        <v>29</v>
      </c>
      <c r="B576">
        <v>288</v>
      </c>
      <c r="C576">
        <v>46459.625</v>
      </c>
      <c r="D576" t="s">
        <v>47</v>
      </c>
      <c r="E576" t="s">
        <v>54</v>
      </c>
      <c r="F576" t="s">
        <v>1742</v>
      </c>
      <c r="G576">
        <v>4</v>
      </c>
      <c r="H576" s="27"/>
      <c r="I576" s="27"/>
      <c r="J576" s="26" t="str">
        <f t="shared" si="8"/>
        <v/>
      </c>
      <c r="K576" s="27">
        <v>1</v>
      </c>
      <c r="L576" s="27">
        <v>1</v>
      </c>
      <c r="N576" t="s">
        <v>90</v>
      </c>
    </row>
    <row r="577" spans="1:14">
      <c r="A577">
        <v>29</v>
      </c>
      <c r="B577">
        <v>288</v>
      </c>
      <c r="C577">
        <v>46459.625</v>
      </c>
      <c r="D577" t="s">
        <v>54</v>
      </c>
      <c r="E577" t="s">
        <v>47</v>
      </c>
      <c r="F577" t="s">
        <v>1743</v>
      </c>
      <c r="G577">
        <v>3</v>
      </c>
      <c r="H577" s="27"/>
      <c r="I577" s="27"/>
      <c r="J577" s="26" t="str">
        <f t="shared" si="8"/>
        <v/>
      </c>
      <c r="K577" s="27">
        <v>1</v>
      </c>
      <c r="L577" s="27">
        <v>1</v>
      </c>
      <c r="N577" t="s">
        <v>90</v>
      </c>
    </row>
    <row r="578" spans="1:14">
      <c r="A578">
        <v>29</v>
      </c>
      <c r="B578">
        <v>289</v>
      </c>
      <c r="C578">
        <v>46459.625</v>
      </c>
      <c r="D578" t="s">
        <v>42</v>
      </c>
      <c r="E578" t="s">
        <v>58</v>
      </c>
      <c r="F578" t="s">
        <v>1742</v>
      </c>
      <c r="G578">
        <v>3</v>
      </c>
      <c r="H578" s="27"/>
      <c r="I578" s="27"/>
      <c r="J578" s="26" t="str">
        <f t="shared" ref="J578:J641" si="9">IF(I578="","",EXP(-I578))</f>
        <v/>
      </c>
      <c r="K578" s="27">
        <v>1</v>
      </c>
      <c r="L578" s="27">
        <v>1</v>
      </c>
      <c r="N578" t="s">
        <v>90</v>
      </c>
    </row>
    <row r="579" spans="1:14">
      <c r="A579">
        <v>29</v>
      </c>
      <c r="B579">
        <v>289</v>
      </c>
      <c r="C579">
        <v>46459.625</v>
      </c>
      <c r="D579" t="s">
        <v>58</v>
      </c>
      <c r="E579" t="s">
        <v>42</v>
      </c>
      <c r="F579" t="s">
        <v>1743</v>
      </c>
      <c r="G579">
        <v>3</v>
      </c>
      <c r="H579" s="27"/>
      <c r="I579" s="27"/>
      <c r="J579" s="26" t="str">
        <f t="shared" si="9"/>
        <v/>
      </c>
      <c r="K579" s="27">
        <v>1</v>
      </c>
      <c r="L579" s="27">
        <v>1</v>
      </c>
      <c r="N579" t="s">
        <v>90</v>
      </c>
    </row>
    <row r="580" spans="1:14">
      <c r="A580">
        <v>29</v>
      </c>
      <c r="B580">
        <v>290</v>
      </c>
      <c r="C580">
        <v>46459.625</v>
      </c>
      <c r="D580" t="s">
        <v>56</v>
      </c>
      <c r="E580" t="s">
        <v>57</v>
      </c>
      <c r="F580" t="s">
        <v>1742</v>
      </c>
      <c r="G580">
        <v>3</v>
      </c>
      <c r="H580" s="27"/>
      <c r="I580" s="27"/>
      <c r="J580" s="26" t="str">
        <f t="shared" si="9"/>
        <v/>
      </c>
      <c r="K580" s="27">
        <v>1</v>
      </c>
      <c r="L580" s="27">
        <v>1</v>
      </c>
      <c r="N580" t="s">
        <v>90</v>
      </c>
    </row>
    <row r="581" spans="1:14">
      <c r="A581">
        <v>29</v>
      </c>
      <c r="B581">
        <v>290</v>
      </c>
      <c r="C581">
        <v>46459.625</v>
      </c>
      <c r="D581" t="s">
        <v>57</v>
      </c>
      <c r="E581" t="s">
        <v>56</v>
      </c>
      <c r="F581" t="s">
        <v>1743</v>
      </c>
      <c r="G581">
        <v>3</v>
      </c>
      <c r="H581" s="27"/>
      <c r="I581" s="27"/>
      <c r="J581" s="26" t="str">
        <f t="shared" si="9"/>
        <v/>
      </c>
      <c r="K581" s="27">
        <v>1</v>
      </c>
      <c r="L581" s="27">
        <v>1</v>
      </c>
      <c r="N581" t="s">
        <v>90</v>
      </c>
    </row>
    <row r="582" spans="1:14">
      <c r="A582">
        <v>30</v>
      </c>
      <c r="B582">
        <v>291</v>
      </c>
      <c r="C582">
        <v>46466.625</v>
      </c>
      <c r="D582" t="s">
        <v>58</v>
      </c>
      <c r="E582" t="s">
        <v>39</v>
      </c>
      <c r="F582" t="s">
        <v>1742</v>
      </c>
      <c r="G582">
        <v>5</v>
      </c>
      <c r="H582" s="27"/>
      <c r="I582" s="27"/>
      <c r="J582" s="26" t="str">
        <f t="shared" si="9"/>
        <v/>
      </c>
      <c r="K582" s="27">
        <v>1</v>
      </c>
      <c r="L582" s="27">
        <v>1</v>
      </c>
      <c r="N582" t="s">
        <v>90</v>
      </c>
    </row>
    <row r="583" spans="1:14">
      <c r="A583">
        <v>30</v>
      </c>
      <c r="B583">
        <v>291</v>
      </c>
      <c r="C583">
        <v>46466.625</v>
      </c>
      <c r="D583" t="s">
        <v>39</v>
      </c>
      <c r="E583" t="s">
        <v>58</v>
      </c>
      <c r="F583" t="s">
        <v>1743</v>
      </c>
      <c r="G583">
        <v>2</v>
      </c>
      <c r="H583" s="27"/>
      <c r="I583" s="27"/>
      <c r="J583" s="26" t="str">
        <f t="shared" si="9"/>
        <v/>
      </c>
      <c r="K583" s="27">
        <v>1</v>
      </c>
      <c r="L583" s="27">
        <v>1</v>
      </c>
      <c r="N583" t="s">
        <v>90</v>
      </c>
    </row>
    <row r="584" spans="1:14">
      <c r="A584">
        <v>30</v>
      </c>
      <c r="B584">
        <v>292</v>
      </c>
      <c r="C584">
        <v>46466.625</v>
      </c>
      <c r="D584" t="s">
        <v>41</v>
      </c>
      <c r="E584" t="s">
        <v>42</v>
      </c>
      <c r="F584" t="s">
        <v>1742</v>
      </c>
      <c r="G584">
        <v>3</v>
      </c>
      <c r="H584" s="27"/>
      <c r="I584" s="27"/>
      <c r="J584" s="26" t="str">
        <f t="shared" si="9"/>
        <v/>
      </c>
      <c r="K584" s="27">
        <v>1</v>
      </c>
      <c r="L584" s="27">
        <v>1</v>
      </c>
      <c r="N584" t="s">
        <v>90</v>
      </c>
    </row>
    <row r="585" spans="1:14">
      <c r="A585">
        <v>30</v>
      </c>
      <c r="B585">
        <v>292</v>
      </c>
      <c r="C585">
        <v>46466.625</v>
      </c>
      <c r="D585" t="s">
        <v>42</v>
      </c>
      <c r="E585" t="s">
        <v>41</v>
      </c>
      <c r="F585" t="s">
        <v>1743</v>
      </c>
      <c r="G585">
        <v>3</v>
      </c>
      <c r="H585" s="27"/>
      <c r="I585" s="27"/>
      <c r="J585" s="26" t="str">
        <f t="shared" si="9"/>
        <v/>
      </c>
      <c r="K585" s="27">
        <v>1</v>
      </c>
      <c r="L585" s="27">
        <v>1</v>
      </c>
      <c r="N585" t="s">
        <v>90</v>
      </c>
    </row>
    <row r="586" spans="1:14">
      <c r="A586">
        <v>30</v>
      </c>
      <c r="B586">
        <v>293</v>
      </c>
      <c r="C586">
        <v>46466.625</v>
      </c>
      <c r="D586" t="s">
        <v>45</v>
      </c>
      <c r="E586" t="s">
        <v>43</v>
      </c>
      <c r="F586" t="s">
        <v>1742</v>
      </c>
      <c r="G586">
        <v>3</v>
      </c>
      <c r="H586" s="27"/>
      <c r="I586" s="27"/>
      <c r="J586" s="26" t="str">
        <f t="shared" si="9"/>
        <v/>
      </c>
      <c r="K586" s="27">
        <v>1</v>
      </c>
      <c r="L586" s="27">
        <v>1</v>
      </c>
      <c r="N586" t="s">
        <v>90</v>
      </c>
    </row>
    <row r="587" spans="1:14">
      <c r="A587">
        <v>30</v>
      </c>
      <c r="B587">
        <v>293</v>
      </c>
      <c r="C587">
        <v>46466.625</v>
      </c>
      <c r="D587" t="s">
        <v>43</v>
      </c>
      <c r="E587" t="s">
        <v>45</v>
      </c>
      <c r="F587" t="s">
        <v>1743</v>
      </c>
      <c r="G587">
        <v>2</v>
      </c>
      <c r="H587" s="27"/>
      <c r="I587" s="27"/>
      <c r="J587" s="26" t="str">
        <f t="shared" si="9"/>
        <v/>
      </c>
      <c r="K587" s="27">
        <v>1</v>
      </c>
      <c r="L587" s="27">
        <v>1</v>
      </c>
      <c r="N587" t="s">
        <v>90</v>
      </c>
    </row>
    <row r="588" spans="1:14">
      <c r="A588">
        <v>30</v>
      </c>
      <c r="B588">
        <v>294</v>
      </c>
      <c r="C588">
        <v>46466.625</v>
      </c>
      <c r="D588" t="s">
        <v>57</v>
      </c>
      <c r="E588" t="s">
        <v>47</v>
      </c>
      <c r="F588" t="s">
        <v>1742</v>
      </c>
      <c r="G588">
        <v>3</v>
      </c>
      <c r="H588" s="27"/>
      <c r="I588" s="27"/>
      <c r="J588" s="26" t="str">
        <f t="shared" si="9"/>
        <v/>
      </c>
      <c r="K588" s="27">
        <v>1</v>
      </c>
      <c r="L588" s="27">
        <v>1</v>
      </c>
      <c r="N588" t="s">
        <v>90</v>
      </c>
    </row>
    <row r="589" spans="1:14">
      <c r="A589">
        <v>30</v>
      </c>
      <c r="B589">
        <v>294</v>
      </c>
      <c r="C589">
        <v>46466.625</v>
      </c>
      <c r="D589" t="s">
        <v>47</v>
      </c>
      <c r="E589" t="s">
        <v>57</v>
      </c>
      <c r="F589" t="s">
        <v>1743</v>
      </c>
      <c r="G589">
        <v>3</v>
      </c>
      <c r="H589" s="27"/>
      <c r="I589" s="27"/>
      <c r="J589" s="26" t="str">
        <f t="shared" si="9"/>
        <v/>
      </c>
      <c r="K589" s="27">
        <v>1</v>
      </c>
      <c r="L589" s="27">
        <v>1</v>
      </c>
      <c r="N589" t="s">
        <v>90</v>
      </c>
    </row>
    <row r="590" spans="1:14">
      <c r="A590">
        <v>30</v>
      </c>
      <c r="B590">
        <v>295</v>
      </c>
      <c r="C590">
        <v>46466.625</v>
      </c>
      <c r="D590" t="s">
        <v>52</v>
      </c>
      <c r="E590" t="s">
        <v>48</v>
      </c>
      <c r="F590" t="s">
        <v>1742</v>
      </c>
      <c r="G590">
        <v>3</v>
      </c>
      <c r="H590" s="27"/>
      <c r="I590" s="27"/>
      <c r="J590" s="26" t="str">
        <f t="shared" si="9"/>
        <v/>
      </c>
      <c r="K590" s="27">
        <v>1</v>
      </c>
      <c r="L590" s="27">
        <v>1</v>
      </c>
      <c r="N590" t="s">
        <v>90</v>
      </c>
    </row>
    <row r="591" spans="1:14">
      <c r="A591">
        <v>30</v>
      </c>
      <c r="B591">
        <v>295</v>
      </c>
      <c r="C591">
        <v>46466.625</v>
      </c>
      <c r="D591" t="s">
        <v>48</v>
      </c>
      <c r="E591" t="s">
        <v>52</v>
      </c>
      <c r="F591" t="s">
        <v>1743</v>
      </c>
      <c r="G591">
        <v>4</v>
      </c>
      <c r="H591" s="27"/>
      <c r="I591" s="27"/>
      <c r="J591" s="26" t="str">
        <f t="shared" si="9"/>
        <v/>
      </c>
      <c r="K591" s="27">
        <v>1</v>
      </c>
      <c r="L591" s="27">
        <v>1</v>
      </c>
      <c r="N591" t="s">
        <v>90</v>
      </c>
    </row>
    <row r="592" spans="1:14">
      <c r="A592">
        <v>30</v>
      </c>
      <c r="B592">
        <v>296</v>
      </c>
      <c r="C592">
        <v>46466.625</v>
      </c>
      <c r="D592" t="s">
        <v>44</v>
      </c>
      <c r="E592" t="s">
        <v>49</v>
      </c>
      <c r="F592" t="s">
        <v>1742</v>
      </c>
      <c r="G592">
        <v>2</v>
      </c>
      <c r="H592" s="27"/>
      <c r="I592" s="27"/>
      <c r="J592" s="26" t="str">
        <f t="shared" si="9"/>
        <v/>
      </c>
      <c r="K592" s="27">
        <v>1</v>
      </c>
      <c r="L592" s="27">
        <v>1</v>
      </c>
      <c r="N592" t="s">
        <v>90</v>
      </c>
    </row>
    <row r="593" spans="1:14">
      <c r="A593">
        <v>30</v>
      </c>
      <c r="B593">
        <v>296</v>
      </c>
      <c r="C593">
        <v>46466.625</v>
      </c>
      <c r="D593" t="s">
        <v>49</v>
      </c>
      <c r="E593" t="s">
        <v>44</v>
      </c>
      <c r="F593" t="s">
        <v>1743</v>
      </c>
      <c r="G593">
        <v>4</v>
      </c>
      <c r="H593" s="27"/>
      <c r="I593" s="27"/>
      <c r="J593" s="26" t="str">
        <f t="shared" si="9"/>
        <v/>
      </c>
      <c r="K593" s="27">
        <v>1</v>
      </c>
      <c r="L593" s="27">
        <v>1</v>
      </c>
      <c r="N593" t="s">
        <v>90</v>
      </c>
    </row>
    <row r="594" spans="1:14">
      <c r="A594">
        <v>30</v>
      </c>
      <c r="B594">
        <v>297</v>
      </c>
      <c r="C594">
        <v>46466.625</v>
      </c>
      <c r="D594" t="s">
        <v>46</v>
      </c>
      <c r="E594" t="s">
        <v>50</v>
      </c>
      <c r="F594" t="s">
        <v>1742</v>
      </c>
      <c r="G594">
        <v>2</v>
      </c>
      <c r="H594" s="27"/>
      <c r="I594" s="27"/>
      <c r="J594" s="26" t="str">
        <f t="shared" si="9"/>
        <v/>
      </c>
      <c r="K594" s="27">
        <v>1</v>
      </c>
      <c r="L594" s="27">
        <v>1</v>
      </c>
      <c r="N594" t="s">
        <v>90</v>
      </c>
    </row>
    <row r="595" spans="1:14">
      <c r="A595">
        <v>30</v>
      </c>
      <c r="B595">
        <v>297</v>
      </c>
      <c r="C595">
        <v>46466.625</v>
      </c>
      <c r="D595" t="s">
        <v>50</v>
      </c>
      <c r="E595" t="s">
        <v>46</v>
      </c>
      <c r="F595" t="s">
        <v>1743</v>
      </c>
      <c r="G595">
        <v>3</v>
      </c>
      <c r="H595" s="27"/>
      <c r="I595" s="27"/>
      <c r="J595" s="26" t="str">
        <f t="shared" si="9"/>
        <v/>
      </c>
      <c r="K595" s="27">
        <v>1</v>
      </c>
      <c r="L595" s="27">
        <v>1</v>
      </c>
      <c r="N595" t="s">
        <v>90</v>
      </c>
    </row>
    <row r="596" spans="1:14">
      <c r="A596">
        <v>30</v>
      </c>
      <c r="B596">
        <v>298</v>
      </c>
      <c r="C596">
        <v>46466.625</v>
      </c>
      <c r="D596" t="s">
        <v>54</v>
      </c>
      <c r="E596" t="s">
        <v>53</v>
      </c>
      <c r="F596" t="s">
        <v>1742</v>
      </c>
      <c r="G596">
        <v>5</v>
      </c>
      <c r="H596" s="27"/>
      <c r="I596" s="27"/>
      <c r="J596" s="26" t="str">
        <f t="shared" si="9"/>
        <v/>
      </c>
      <c r="K596" s="27">
        <v>1</v>
      </c>
      <c r="L596" s="27">
        <v>1</v>
      </c>
      <c r="N596" t="s">
        <v>90</v>
      </c>
    </row>
    <row r="597" spans="1:14">
      <c r="A597">
        <v>30</v>
      </c>
      <c r="B597">
        <v>298</v>
      </c>
      <c r="C597">
        <v>46466.625</v>
      </c>
      <c r="D597" t="s">
        <v>53</v>
      </c>
      <c r="E597" t="s">
        <v>54</v>
      </c>
      <c r="F597" t="s">
        <v>1743</v>
      </c>
      <c r="G597">
        <v>4</v>
      </c>
      <c r="H597" s="27"/>
      <c r="I597" s="27"/>
      <c r="J597" s="26" t="str">
        <f t="shared" si="9"/>
        <v/>
      </c>
      <c r="K597" s="27">
        <v>1</v>
      </c>
      <c r="L597" s="27">
        <v>1</v>
      </c>
      <c r="N597" t="s">
        <v>90</v>
      </c>
    </row>
    <row r="598" spans="1:14">
      <c r="A598">
        <v>30</v>
      </c>
      <c r="B598">
        <v>299</v>
      </c>
      <c r="C598">
        <v>46466.625</v>
      </c>
      <c r="D598" t="s">
        <v>51</v>
      </c>
      <c r="E598" t="s">
        <v>55</v>
      </c>
      <c r="F598" t="s">
        <v>1742</v>
      </c>
      <c r="G598">
        <v>3</v>
      </c>
      <c r="H598" s="27"/>
      <c r="I598" s="27"/>
      <c r="J598" s="26" t="str">
        <f t="shared" si="9"/>
        <v/>
      </c>
      <c r="K598" s="27">
        <v>1</v>
      </c>
      <c r="L598" s="27">
        <v>1</v>
      </c>
      <c r="N598" t="s">
        <v>90</v>
      </c>
    </row>
    <row r="599" spans="1:14">
      <c r="A599">
        <v>30</v>
      </c>
      <c r="B599">
        <v>299</v>
      </c>
      <c r="C599">
        <v>46466.625</v>
      </c>
      <c r="D599" t="s">
        <v>55</v>
      </c>
      <c r="E599" t="s">
        <v>51</v>
      </c>
      <c r="F599" t="s">
        <v>1743</v>
      </c>
      <c r="G599">
        <v>2</v>
      </c>
      <c r="H599" s="27"/>
      <c r="I599" s="27"/>
      <c r="J599" s="26" t="str">
        <f t="shared" si="9"/>
        <v/>
      </c>
      <c r="K599" s="27">
        <v>1</v>
      </c>
      <c r="L599" s="27">
        <v>1</v>
      </c>
      <c r="N599" t="s">
        <v>90</v>
      </c>
    </row>
    <row r="600" spans="1:14">
      <c r="A600">
        <v>30</v>
      </c>
      <c r="B600">
        <v>300</v>
      </c>
      <c r="C600">
        <v>46466.625</v>
      </c>
      <c r="D600" t="s">
        <v>40</v>
      </c>
      <c r="E600" t="s">
        <v>56</v>
      </c>
      <c r="F600" t="s">
        <v>1742</v>
      </c>
      <c r="G600">
        <v>3</v>
      </c>
      <c r="H600" s="27"/>
      <c r="I600" s="27"/>
      <c r="J600" s="26" t="str">
        <f t="shared" si="9"/>
        <v/>
      </c>
      <c r="K600" s="27">
        <v>1</v>
      </c>
      <c r="L600" s="27">
        <v>1</v>
      </c>
      <c r="N600" t="s">
        <v>90</v>
      </c>
    </row>
    <row r="601" spans="1:14">
      <c r="A601">
        <v>30</v>
      </c>
      <c r="B601">
        <v>300</v>
      </c>
      <c r="C601">
        <v>46466.625</v>
      </c>
      <c r="D601" t="s">
        <v>56</v>
      </c>
      <c r="E601" t="s">
        <v>40</v>
      </c>
      <c r="F601" t="s">
        <v>1743</v>
      </c>
      <c r="G601">
        <v>3</v>
      </c>
      <c r="H601" s="27"/>
      <c r="I601" s="27"/>
      <c r="J601" s="26" t="str">
        <f t="shared" si="9"/>
        <v/>
      </c>
      <c r="K601" s="27">
        <v>1</v>
      </c>
      <c r="L601" s="27">
        <v>1</v>
      </c>
      <c r="N601" t="s">
        <v>90</v>
      </c>
    </row>
    <row r="602" spans="1:14">
      <c r="A602">
        <v>31</v>
      </c>
      <c r="B602">
        <v>301</v>
      </c>
      <c r="C602">
        <v>46487.583333333336</v>
      </c>
      <c r="D602" t="s">
        <v>43</v>
      </c>
      <c r="E602" t="s">
        <v>40</v>
      </c>
      <c r="F602" t="s">
        <v>1742</v>
      </c>
      <c r="G602">
        <v>4</v>
      </c>
      <c r="H602" s="27"/>
      <c r="I602" s="27"/>
      <c r="J602" s="26" t="str">
        <f t="shared" si="9"/>
        <v/>
      </c>
      <c r="K602" s="27">
        <v>1</v>
      </c>
      <c r="L602" s="27">
        <v>1</v>
      </c>
      <c r="N602" t="s">
        <v>90</v>
      </c>
    </row>
    <row r="603" spans="1:14">
      <c r="A603">
        <v>31</v>
      </c>
      <c r="B603">
        <v>301</v>
      </c>
      <c r="C603">
        <v>46487.583333333336</v>
      </c>
      <c r="D603" t="s">
        <v>40</v>
      </c>
      <c r="E603" t="s">
        <v>43</v>
      </c>
      <c r="F603" t="s">
        <v>1743</v>
      </c>
      <c r="G603">
        <v>2</v>
      </c>
      <c r="H603" s="27"/>
      <c r="I603" s="27"/>
      <c r="J603" s="26" t="str">
        <f t="shared" si="9"/>
        <v/>
      </c>
      <c r="K603" s="27">
        <v>1</v>
      </c>
      <c r="L603" s="27">
        <v>1</v>
      </c>
      <c r="N603" t="s">
        <v>90</v>
      </c>
    </row>
    <row r="604" spans="1:14">
      <c r="A604">
        <v>31</v>
      </c>
      <c r="B604">
        <v>302</v>
      </c>
      <c r="C604">
        <v>46487.583333333336</v>
      </c>
      <c r="D604" t="s">
        <v>53</v>
      </c>
      <c r="E604" t="s">
        <v>41</v>
      </c>
      <c r="F604" t="s">
        <v>1742</v>
      </c>
      <c r="G604">
        <v>3</v>
      </c>
      <c r="H604" s="27"/>
      <c r="I604" s="27"/>
      <c r="J604" s="26" t="str">
        <f t="shared" si="9"/>
        <v/>
      </c>
      <c r="K604" s="27">
        <v>1</v>
      </c>
      <c r="L604" s="27">
        <v>1</v>
      </c>
      <c r="N604" t="s">
        <v>90</v>
      </c>
    </row>
    <row r="605" spans="1:14">
      <c r="A605">
        <v>31</v>
      </c>
      <c r="B605">
        <v>302</v>
      </c>
      <c r="C605">
        <v>46487.583333333336</v>
      </c>
      <c r="D605" t="s">
        <v>41</v>
      </c>
      <c r="E605" t="s">
        <v>53</v>
      </c>
      <c r="F605" t="s">
        <v>1743</v>
      </c>
      <c r="G605">
        <v>4</v>
      </c>
      <c r="H605" s="27"/>
      <c r="I605" s="27"/>
      <c r="J605" s="26" t="str">
        <f t="shared" si="9"/>
        <v/>
      </c>
      <c r="K605" s="27">
        <v>1</v>
      </c>
      <c r="L605" s="27">
        <v>1</v>
      </c>
      <c r="N605" t="s">
        <v>90</v>
      </c>
    </row>
    <row r="606" spans="1:14">
      <c r="A606">
        <v>31</v>
      </c>
      <c r="B606">
        <v>303</v>
      </c>
      <c r="C606">
        <v>46487.583333333336</v>
      </c>
      <c r="D606" t="s">
        <v>48</v>
      </c>
      <c r="E606" t="s">
        <v>44</v>
      </c>
      <c r="F606" t="s">
        <v>1742</v>
      </c>
      <c r="G606">
        <v>4</v>
      </c>
      <c r="H606" s="27"/>
      <c r="I606" s="27"/>
      <c r="J606" s="26" t="str">
        <f t="shared" si="9"/>
        <v/>
      </c>
      <c r="K606" s="27">
        <v>1</v>
      </c>
      <c r="L606" s="27">
        <v>1</v>
      </c>
      <c r="N606" t="s">
        <v>90</v>
      </c>
    </row>
    <row r="607" spans="1:14">
      <c r="A607">
        <v>31</v>
      </c>
      <c r="B607">
        <v>303</v>
      </c>
      <c r="C607">
        <v>46487.583333333336</v>
      </c>
      <c r="D607" t="s">
        <v>44</v>
      </c>
      <c r="E607" t="s">
        <v>48</v>
      </c>
      <c r="F607" t="s">
        <v>1743</v>
      </c>
      <c r="G607">
        <v>2</v>
      </c>
      <c r="H607" s="27"/>
      <c r="I607" s="27"/>
      <c r="J607" s="26" t="str">
        <f t="shared" si="9"/>
        <v/>
      </c>
      <c r="K607" s="27">
        <v>1</v>
      </c>
      <c r="L607" s="27">
        <v>1</v>
      </c>
      <c r="N607" t="s">
        <v>90</v>
      </c>
    </row>
    <row r="608" spans="1:14">
      <c r="A608">
        <v>31</v>
      </c>
      <c r="B608">
        <v>304</v>
      </c>
      <c r="C608">
        <v>46487.583333333336</v>
      </c>
      <c r="D608" t="s">
        <v>39</v>
      </c>
      <c r="E608" t="s">
        <v>45</v>
      </c>
      <c r="F608" t="s">
        <v>1742</v>
      </c>
      <c r="G608">
        <v>2</v>
      </c>
      <c r="H608" s="27"/>
      <c r="I608" s="27"/>
      <c r="J608" s="26" t="str">
        <f t="shared" si="9"/>
        <v/>
      </c>
      <c r="K608" s="27">
        <v>1</v>
      </c>
      <c r="L608" s="27">
        <v>1</v>
      </c>
      <c r="N608" t="s">
        <v>90</v>
      </c>
    </row>
    <row r="609" spans="1:14">
      <c r="A609">
        <v>31</v>
      </c>
      <c r="B609">
        <v>304</v>
      </c>
      <c r="C609">
        <v>46487.583333333336</v>
      </c>
      <c r="D609" t="s">
        <v>45</v>
      </c>
      <c r="E609" t="s">
        <v>39</v>
      </c>
      <c r="F609" t="s">
        <v>1743</v>
      </c>
      <c r="G609">
        <v>4</v>
      </c>
      <c r="H609" s="27"/>
      <c r="I609" s="27"/>
      <c r="J609" s="26" t="str">
        <f t="shared" si="9"/>
        <v/>
      </c>
      <c r="K609" s="27">
        <v>1</v>
      </c>
      <c r="L609" s="27">
        <v>1</v>
      </c>
      <c r="N609" t="s">
        <v>90</v>
      </c>
    </row>
    <row r="610" spans="1:14">
      <c r="A610">
        <v>31</v>
      </c>
      <c r="B610">
        <v>305</v>
      </c>
      <c r="C610">
        <v>46487.583333333336</v>
      </c>
      <c r="D610" t="s">
        <v>47</v>
      </c>
      <c r="E610" t="s">
        <v>46</v>
      </c>
      <c r="F610" t="s">
        <v>1742</v>
      </c>
      <c r="G610">
        <v>3</v>
      </c>
      <c r="H610" s="27"/>
      <c r="I610" s="27"/>
      <c r="J610" s="26" t="str">
        <f t="shared" si="9"/>
        <v/>
      </c>
      <c r="K610" s="27">
        <v>1</v>
      </c>
      <c r="L610" s="27">
        <v>1</v>
      </c>
      <c r="N610" t="s">
        <v>90</v>
      </c>
    </row>
    <row r="611" spans="1:14">
      <c r="A611">
        <v>31</v>
      </c>
      <c r="B611">
        <v>305</v>
      </c>
      <c r="C611">
        <v>46487.583333333336</v>
      </c>
      <c r="D611" t="s">
        <v>46</v>
      </c>
      <c r="E611" t="s">
        <v>47</v>
      </c>
      <c r="F611" t="s">
        <v>1743</v>
      </c>
      <c r="G611">
        <v>3</v>
      </c>
      <c r="H611" s="27"/>
      <c r="I611" s="27"/>
      <c r="J611" s="26" t="str">
        <f t="shared" si="9"/>
        <v/>
      </c>
      <c r="K611" s="27">
        <v>1</v>
      </c>
      <c r="L611" s="27">
        <v>1</v>
      </c>
      <c r="N611" t="s">
        <v>90</v>
      </c>
    </row>
    <row r="612" spans="1:14">
      <c r="A612">
        <v>31</v>
      </c>
      <c r="B612">
        <v>306</v>
      </c>
      <c r="C612">
        <v>46487.583333333336</v>
      </c>
      <c r="D612" t="s">
        <v>56</v>
      </c>
      <c r="E612" t="s">
        <v>51</v>
      </c>
      <c r="F612" t="s">
        <v>1742</v>
      </c>
      <c r="G612">
        <v>3</v>
      </c>
      <c r="H612" s="27"/>
      <c r="I612" s="27"/>
      <c r="J612" s="26" t="str">
        <f t="shared" si="9"/>
        <v/>
      </c>
      <c r="K612" s="27">
        <v>1</v>
      </c>
      <c r="L612" s="27">
        <v>1</v>
      </c>
      <c r="N612" t="s">
        <v>90</v>
      </c>
    </row>
    <row r="613" spans="1:14">
      <c r="A613">
        <v>31</v>
      </c>
      <c r="B613">
        <v>306</v>
      </c>
      <c r="C613">
        <v>46487.583333333336</v>
      </c>
      <c r="D613" t="s">
        <v>51</v>
      </c>
      <c r="E613" t="s">
        <v>56</v>
      </c>
      <c r="F613" t="s">
        <v>1743</v>
      </c>
      <c r="G613">
        <v>3</v>
      </c>
      <c r="H613" s="27"/>
      <c r="I613" s="27"/>
      <c r="J613" s="26" t="str">
        <f t="shared" si="9"/>
        <v/>
      </c>
      <c r="K613" s="27">
        <v>1</v>
      </c>
      <c r="L613" s="27">
        <v>1</v>
      </c>
      <c r="N613" t="s">
        <v>90</v>
      </c>
    </row>
    <row r="614" spans="1:14">
      <c r="A614">
        <v>31</v>
      </c>
      <c r="B614">
        <v>307</v>
      </c>
      <c r="C614">
        <v>46487.583333333336</v>
      </c>
      <c r="D614" t="s">
        <v>55</v>
      </c>
      <c r="E614" t="s">
        <v>52</v>
      </c>
      <c r="F614" t="s">
        <v>1742</v>
      </c>
      <c r="G614">
        <v>4</v>
      </c>
      <c r="H614" s="27"/>
      <c r="I614" s="27"/>
      <c r="J614" s="26" t="str">
        <f t="shared" si="9"/>
        <v/>
      </c>
      <c r="K614" s="27">
        <v>1</v>
      </c>
      <c r="L614" s="27">
        <v>1</v>
      </c>
      <c r="N614" t="s">
        <v>90</v>
      </c>
    </row>
    <row r="615" spans="1:14">
      <c r="A615">
        <v>31</v>
      </c>
      <c r="B615">
        <v>307</v>
      </c>
      <c r="C615">
        <v>46487.583333333336</v>
      </c>
      <c r="D615" t="s">
        <v>52</v>
      </c>
      <c r="E615" t="s">
        <v>55</v>
      </c>
      <c r="F615" t="s">
        <v>1743</v>
      </c>
      <c r="G615">
        <v>2</v>
      </c>
      <c r="H615" s="27"/>
      <c r="I615" s="27"/>
      <c r="J615" s="26" t="str">
        <f t="shared" si="9"/>
        <v/>
      </c>
      <c r="K615" s="27">
        <v>1</v>
      </c>
      <c r="L615" s="27">
        <v>1</v>
      </c>
      <c r="N615" t="s">
        <v>90</v>
      </c>
    </row>
    <row r="616" spans="1:14">
      <c r="A616">
        <v>31</v>
      </c>
      <c r="B616">
        <v>308</v>
      </c>
      <c r="C616">
        <v>46487.583333333336</v>
      </c>
      <c r="D616" t="s">
        <v>49</v>
      </c>
      <c r="E616" t="s">
        <v>54</v>
      </c>
      <c r="F616" t="s">
        <v>1742</v>
      </c>
      <c r="G616">
        <v>4</v>
      </c>
      <c r="H616" s="27"/>
      <c r="I616" s="27"/>
      <c r="J616" s="26" t="str">
        <f t="shared" si="9"/>
        <v/>
      </c>
      <c r="K616" s="27">
        <v>1</v>
      </c>
      <c r="L616" s="27">
        <v>1</v>
      </c>
      <c r="N616" t="s">
        <v>90</v>
      </c>
    </row>
    <row r="617" spans="1:14">
      <c r="A617">
        <v>31</v>
      </c>
      <c r="B617">
        <v>308</v>
      </c>
      <c r="C617">
        <v>46487.583333333336</v>
      </c>
      <c r="D617" t="s">
        <v>54</v>
      </c>
      <c r="E617" t="s">
        <v>49</v>
      </c>
      <c r="F617" t="s">
        <v>1743</v>
      </c>
      <c r="G617">
        <v>2</v>
      </c>
      <c r="H617" s="27"/>
      <c r="I617" s="27"/>
      <c r="J617" s="26" t="str">
        <f t="shared" si="9"/>
        <v/>
      </c>
      <c r="K617" s="27">
        <v>1</v>
      </c>
      <c r="L617" s="27">
        <v>1</v>
      </c>
      <c r="N617" t="s">
        <v>90</v>
      </c>
    </row>
    <row r="618" spans="1:14">
      <c r="A618">
        <v>31</v>
      </c>
      <c r="B618">
        <v>309</v>
      </c>
      <c r="C618">
        <v>46487.583333333336</v>
      </c>
      <c r="D618" t="s">
        <v>50</v>
      </c>
      <c r="E618" t="s">
        <v>58</v>
      </c>
      <c r="F618" t="s">
        <v>1742</v>
      </c>
      <c r="G618">
        <v>3</v>
      </c>
      <c r="H618" s="27"/>
      <c r="I618" s="27"/>
      <c r="J618" s="26" t="str">
        <f t="shared" si="9"/>
        <v/>
      </c>
      <c r="K618" s="27">
        <v>1</v>
      </c>
      <c r="L618" s="27">
        <v>1</v>
      </c>
      <c r="N618" t="s">
        <v>90</v>
      </c>
    </row>
    <row r="619" spans="1:14">
      <c r="A619">
        <v>31</v>
      </c>
      <c r="B619">
        <v>309</v>
      </c>
      <c r="C619">
        <v>46487.583333333336</v>
      </c>
      <c r="D619" t="s">
        <v>58</v>
      </c>
      <c r="E619" t="s">
        <v>50</v>
      </c>
      <c r="F619" t="s">
        <v>1743</v>
      </c>
      <c r="G619">
        <v>2</v>
      </c>
      <c r="H619" s="27"/>
      <c r="I619" s="27"/>
      <c r="J619" s="26" t="str">
        <f t="shared" si="9"/>
        <v/>
      </c>
      <c r="K619" s="27">
        <v>1</v>
      </c>
      <c r="L619" s="27">
        <v>1</v>
      </c>
      <c r="N619" t="s">
        <v>90</v>
      </c>
    </row>
    <row r="620" spans="1:14">
      <c r="A620">
        <v>31</v>
      </c>
      <c r="B620">
        <v>310</v>
      </c>
      <c r="C620">
        <v>46487.583333333336</v>
      </c>
      <c r="D620" t="s">
        <v>42</v>
      </c>
      <c r="E620" t="s">
        <v>57</v>
      </c>
      <c r="F620" t="s">
        <v>1742</v>
      </c>
      <c r="G620">
        <v>3</v>
      </c>
      <c r="H620" s="27"/>
      <c r="I620" s="27"/>
      <c r="J620" s="26" t="str">
        <f t="shared" si="9"/>
        <v/>
      </c>
      <c r="K620" s="27">
        <v>1</v>
      </c>
      <c r="L620" s="27">
        <v>1</v>
      </c>
      <c r="N620" t="s">
        <v>90</v>
      </c>
    </row>
    <row r="621" spans="1:14">
      <c r="A621">
        <v>31</v>
      </c>
      <c r="B621">
        <v>310</v>
      </c>
      <c r="C621">
        <v>46487.583333333336</v>
      </c>
      <c r="D621" t="s">
        <v>57</v>
      </c>
      <c r="E621" t="s">
        <v>42</v>
      </c>
      <c r="F621" t="s">
        <v>1743</v>
      </c>
      <c r="G621">
        <v>3</v>
      </c>
      <c r="H621" s="27"/>
      <c r="I621" s="27"/>
      <c r="J621" s="26" t="str">
        <f t="shared" si="9"/>
        <v/>
      </c>
      <c r="K621" s="27">
        <v>1</v>
      </c>
      <c r="L621" s="27">
        <v>1</v>
      </c>
      <c r="N621" t="s">
        <v>90</v>
      </c>
    </row>
    <row r="622" spans="1:14">
      <c r="A622">
        <v>32</v>
      </c>
      <c r="B622">
        <v>311</v>
      </c>
      <c r="C622">
        <v>46494.583333333336</v>
      </c>
      <c r="D622" t="s">
        <v>40</v>
      </c>
      <c r="E622" t="s">
        <v>39</v>
      </c>
      <c r="F622" t="s">
        <v>1742</v>
      </c>
      <c r="G622">
        <v>5</v>
      </c>
      <c r="H622" s="27"/>
      <c r="I622" s="27"/>
      <c r="J622" s="26" t="str">
        <f t="shared" si="9"/>
        <v/>
      </c>
      <c r="K622" s="27">
        <v>1</v>
      </c>
      <c r="L622" s="27">
        <v>1</v>
      </c>
      <c r="N622" t="s">
        <v>90</v>
      </c>
    </row>
    <row r="623" spans="1:14">
      <c r="A623">
        <v>32</v>
      </c>
      <c r="B623">
        <v>311</v>
      </c>
      <c r="C623">
        <v>46494.583333333336</v>
      </c>
      <c r="D623" t="s">
        <v>39</v>
      </c>
      <c r="E623" t="s">
        <v>40</v>
      </c>
      <c r="F623" t="s">
        <v>1743</v>
      </c>
      <c r="G623">
        <v>3</v>
      </c>
      <c r="H623" s="27"/>
      <c r="I623" s="27"/>
      <c r="J623" s="26" t="str">
        <f t="shared" si="9"/>
        <v/>
      </c>
      <c r="K623" s="27">
        <v>1</v>
      </c>
      <c r="L623" s="27">
        <v>1</v>
      </c>
      <c r="N623" t="s">
        <v>90</v>
      </c>
    </row>
    <row r="624" spans="1:14">
      <c r="A624">
        <v>32</v>
      </c>
      <c r="B624">
        <v>312</v>
      </c>
      <c r="C624">
        <v>46494.583333333336</v>
      </c>
      <c r="D624" t="s">
        <v>51</v>
      </c>
      <c r="E624" t="s">
        <v>42</v>
      </c>
      <c r="F624" t="s">
        <v>1742</v>
      </c>
      <c r="G624">
        <v>3</v>
      </c>
      <c r="H624" s="27"/>
      <c r="I624" s="27"/>
      <c r="J624" s="26" t="str">
        <f t="shared" si="9"/>
        <v/>
      </c>
      <c r="K624" s="27">
        <v>1</v>
      </c>
      <c r="L624" s="27">
        <v>1</v>
      </c>
      <c r="N624" t="s">
        <v>90</v>
      </c>
    </row>
    <row r="625" spans="1:14">
      <c r="A625">
        <v>32</v>
      </c>
      <c r="B625">
        <v>312</v>
      </c>
      <c r="C625">
        <v>46494.583333333336</v>
      </c>
      <c r="D625" t="s">
        <v>42</v>
      </c>
      <c r="E625" t="s">
        <v>51</v>
      </c>
      <c r="F625" t="s">
        <v>1743</v>
      </c>
      <c r="G625">
        <v>2</v>
      </c>
      <c r="H625" s="27"/>
      <c r="I625" s="27"/>
      <c r="J625" s="26" t="str">
        <f t="shared" si="9"/>
        <v/>
      </c>
      <c r="K625" s="27">
        <v>1</v>
      </c>
      <c r="L625" s="27">
        <v>1</v>
      </c>
      <c r="N625" t="s">
        <v>90</v>
      </c>
    </row>
    <row r="626" spans="1:14">
      <c r="A626">
        <v>32</v>
      </c>
      <c r="B626">
        <v>313</v>
      </c>
      <c r="C626">
        <v>46494.583333333336</v>
      </c>
      <c r="D626" t="s">
        <v>44</v>
      </c>
      <c r="E626" t="s">
        <v>43</v>
      </c>
      <c r="F626" t="s">
        <v>1742</v>
      </c>
      <c r="G626">
        <v>3</v>
      </c>
      <c r="H626" s="27"/>
      <c r="I626" s="27"/>
      <c r="J626" s="26" t="str">
        <f t="shared" si="9"/>
        <v/>
      </c>
      <c r="K626" s="27">
        <v>1</v>
      </c>
      <c r="L626" s="27">
        <v>1</v>
      </c>
      <c r="N626" t="s">
        <v>90</v>
      </c>
    </row>
    <row r="627" spans="1:14">
      <c r="A627">
        <v>32</v>
      </c>
      <c r="B627">
        <v>313</v>
      </c>
      <c r="C627">
        <v>46494.583333333336</v>
      </c>
      <c r="D627" t="s">
        <v>43</v>
      </c>
      <c r="E627" t="s">
        <v>44</v>
      </c>
      <c r="F627" t="s">
        <v>1743</v>
      </c>
      <c r="G627">
        <v>4</v>
      </c>
      <c r="H627" s="27"/>
      <c r="I627" s="27"/>
      <c r="J627" s="26" t="str">
        <f t="shared" si="9"/>
        <v/>
      </c>
      <c r="K627" s="27">
        <v>1</v>
      </c>
      <c r="L627" s="27">
        <v>1</v>
      </c>
      <c r="N627" t="s">
        <v>90</v>
      </c>
    </row>
    <row r="628" spans="1:14">
      <c r="A628">
        <v>32</v>
      </c>
      <c r="B628">
        <v>314</v>
      </c>
      <c r="C628">
        <v>46494.583333333336</v>
      </c>
      <c r="D628" t="s">
        <v>41</v>
      </c>
      <c r="E628" t="s">
        <v>47</v>
      </c>
      <c r="F628" t="s">
        <v>1742</v>
      </c>
      <c r="G628">
        <v>3</v>
      </c>
      <c r="H628" s="27"/>
      <c r="I628" s="27"/>
      <c r="J628" s="26" t="str">
        <f t="shared" si="9"/>
        <v/>
      </c>
      <c r="K628" s="27">
        <v>1</v>
      </c>
      <c r="L628" s="27">
        <v>1</v>
      </c>
      <c r="N628" t="s">
        <v>90</v>
      </c>
    </row>
    <row r="629" spans="1:14">
      <c r="A629">
        <v>32</v>
      </c>
      <c r="B629">
        <v>314</v>
      </c>
      <c r="C629">
        <v>46494.583333333336</v>
      </c>
      <c r="D629" t="s">
        <v>47</v>
      </c>
      <c r="E629" t="s">
        <v>41</v>
      </c>
      <c r="F629" t="s">
        <v>1743</v>
      </c>
      <c r="G629">
        <v>3</v>
      </c>
      <c r="H629" s="27"/>
      <c r="I629" s="27"/>
      <c r="J629" s="26" t="str">
        <f t="shared" si="9"/>
        <v/>
      </c>
      <c r="K629" s="27">
        <v>1</v>
      </c>
      <c r="L629" s="27">
        <v>1</v>
      </c>
      <c r="N629" t="s">
        <v>90</v>
      </c>
    </row>
    <row r="630" spans="1:14">
      <c r="A630">
        <v>32</v>
      </c>
      <c r="B630">
        <v>315</v>
      </c>
      <c r="C630">
        <v>46494.583333333336</v>
      </c>
      <c r="D630" t="s">
        <v>58</v>
      </c>
      <c r="E630" t="s">
        <v>48</v>
      </c>
      <c r="F630" t="s">
        <v>1742</v>
      </c>
      <c r="G630">
        <v>3</v>
      </c>
      <c r="H630" s="27"/>
      <c r="I630" s="27"/>
      <c r="J630" s="26" t="str">
        <f t="shared" si="9"/>
        <v/>
      </c>
      <c r="K630" s="27">
        <v>1</v>
      </c>
      <c r="L630" s="27">
        <v>1</v>
      </c>
      <c r="N630" t="s">
        <v>90</v>
      </c>
    </row>
    <row r="631" spans="1:14">
      <c r="A631">
        <v>32</v>
      </c>
      <c r="B631">
        <v>315</v>
      </c>
      <c r="C631">
        <v>46494.583333333336</v>
      </c>
      <c r="D631" t="s">
        <v>48</v>
      </c>
      <c r="E631" t="s">
        <v>58</v>
      </c>
      <c r="F631" t="s">
        <v>1743</v>
      </c>
      <c r="G631">
        <v>2</v>
      </c>
      <c r="H631" s="27"/>
      <c r="I631" s="27"/>
      <c r="J631" s="26" t="str">
        <f t="shared" si="9"/>
        <v/>
      </c>
      <c r="K631" s="27">
        <v>1</v>
      </c>
      <c r="L631" s="27">
        <v>1</v>
      </c>
      <c r="N631" t="s">
        <v>90</v>
      </c>
    </row>
    <row r="632" spans="1:14">
      <c r="A632">
        <v>32</v>
      </c>
      <c r="B632">
        <v>316</v>
      </c>
      <c r="C632">
        <v>46494.583333333336</v>
      </c>
      <c r="D632" t="s">
        <v>45</v>
      </c>
      <c r="E632" t="s">
        <v>49</v>
      </c>
      <c r="F632" t="s">
        <v>1742</v>
      </c>
      <c r="G632">
        <v>2</v>
      </c>
      <c r="H632" s="27"/>
      <c r="I632" s="27"/>
      <c r="J632" s="26" t="str">
        <f t="shared" si="9"/>
        <v/>
      </c>
      <c r="K632" s="27">
        <v>1</v>
      </c>
      <c r="L632" s="27">
        <v>1</v>
      </c>
      <c r="N632" t="s">
        <v>90</v>
      </c>
    </row>
    <row r="633" spans="1:14">
      <c r="A633">
        <v>32</v>
      </c>
      <c r="B633">
        <v>316</v>
      </c>
      <c r="C633">
        <v>46494.583333333336</v>
      </c>
      <c r="D633" t="s">
        <v>49</v>
      </c>
      <c r="E633" t="s">
        <v>45</v>
      </c>
      <c r="F633" t="s">
        <v>1743</v>
      </c>
      <c r="G633">
        <v>2</v>
      </c>
      <c r="H633" s="27"/>
      <c r="I633" s="27"/>
      <c r="J633" s="26" t="str">
        <f t="shared" si="9"/>
        <v/>
      </c>
      <c r="K633" s="27">
        <v>1</v>
      </c>
      <c r="L633" s="27">
        <v>1</v>
      </c>
      <c r="N633" t="s">
        <v>90</v>
      </c>
    </row>
    <row r="634" spans="1:14">
      <c r="A634">
        <v>32</v>
      </c>
      <c r="B634">
        <v>317</v>
      </c>
      <c r="C634">
        <v>46494.583333333336</v>
      </c>
      <c r="D634" t="s">
        <v>54</v>
      </c>
      <c r="E634" t="s">
        <v>50</v>
      </c>
      <c r="F634" t="s">
        <v>1742</v>
      </c>
      <c r="G634">
        <v>2</v>
      </c>
      <c r="H634" s="27"/>
      <c r="I634" s="27"/>
      <c r="J634" s="26" t="str">
        <f t="shared" si="9"/>
        <v/>
      </c>
      <c r="K634" s="27">
        <v>1</v>
      </c>
      <c r="L634" s="27">
        <v>1</v>
      </c>
      <c r="N634" t="s">
        <v>90</v>
      </c>
    </row>
    <row r="635" spans="1:14">
      <c r="A635">
        <v>32</v>
      </c>
      <c r="B635">
        <v>317</v>
      </c>
      <c r="C635">
        <v>46494.583333333336</v>
      </c>
      <c r="D635" t="s">
        <v>50</v>
      </c>
      <c r="E635" t="s">
        <v>54</v>
      </c>
      <c r="F635" t="s">
        <v>1743</v>
      </c>
      <c r="G635">
        <v>4</v>
      </c>
      <c r="H635" s="27"/>
      <c r="I635" s="27"/>
      <c r="J635" s="26" t="str">
        <f t="shared" si="9"/>
        <v/>
      </c>
      <c r="K635" s="27">
        <v>1</v>
      </c>
      <c r="L635" s="27">
        <v>1</v>
      </c>
      <c r="N635" t="s">
        <v>90</v>
      </c>
    </row>
    <row r="636" spans="1:14">
      <c r="A636">
        <v>32</v>
      </c>
      <c r="B636">
        <v>318</v>
      </c>
      <c r="C636">
        <v>46494.583333333336</v>
      </c>
      <c r="D636" t="s">
        <v>46</v>
      </c>
      <c r="E636" t="s">
        <v>53</v>
      </c>
      <c r="F636" t="s">
        <v>1742</v>
      </c>
      <c r="G636">
        <v>5</v>
      </c>
      <c r="H636" s="27"/>
      <c r="I636" s="27"/>
      <c r="J636" s="26" t="str">
        <f t="shared" si="9"/>
        <v/>
      </c>
      <c r="K636" s="27">
        <v>1</v>
      </c>
      <c r="L636" s="27">
        <v>1</v>
      </c>
      <c r="N636" t="s">
        <v>90</v>
      </c>
    </row>
    <row r="637" spans="1:14">
      <c r="A637">
        <v>32</v>
      </c>
      <c r="B637">
        <v>318</v>
      </c>
      <c r="C637">
        <v>46494.583333333336</v>
      </c>
      <c r="D637" t="s">
        <v>53</v>
      </c>
      <c r="E637" t="s">
        <v>46</v>
      </c>
      <c r="F637" t="s">
        <v>1743</v>
      </c>
      <c r="G637">
        <v>3</v>
      </c>
      <c r="H637" s="27"/>
      <c r="I637" s="27"/>
      <c r="J637" s="26" t="str">
        <f t="shared" si="9"/>
        <v/>
      </c>
      <c r="K637" s="27">
        <v>1</v>
      </c>
      <c r="L637" s="27">
        <v>1</v>
      </c>
      <c r="N637" t="s">
        <v>90</v>
      </c>
    </row>
    <row r="638" spans="1:14">
      <c r="A638">
        <v>32</v>
      </c>
      <c r="B638">
        <v>319</v>
      </c>
      <c r="C638">
        <v>46494.583333333336</v>
      </c>
      <c r="D638" t="s">
        <v>57</v>
      </c>
      <c r="E638" t="s">
        <v>55</v>
      </c>
      <c r="F638" t="s">
        <v>1742</v>
      </c>
      <c r="G638">
        <v>3</v>
      </c>
      <c r="H638" s="27"/>
      <c r="I638" s="27"/>
      <c r="J638" s="26" t="str">
        <f t="shared" si="9"/>
        <v/>
      </c>
      <c r="K638" s="27">
        <v>1</v>
      </c>
      <c r="L638" s="27">
        <v>1</v>
      </c>
      <c r="N638" t="s">
        <v>90</v>
      </c>
    </row>
    <row r="639" spans="1:14">
      <c r="A639">
        <v>32</v>
      </c>
      <c r="B639">
        <v>319</v>
      </c>
      <c r="C639">
        <v>46494.583333333336</v>
      </c>
      <c r="D639" t="s">
        <v>55</v>
      </c>
      <c r="E639" t="s">
        <v>57</v>
      </c>
      <c r="F639" t="s">
        <v>1743</v>
      </c>
      <c r="G639">
        <v>3</v>
      </c>
      <c r="H639" s="27"/>
      <c r="I639" s="27"/>
      <c r="J639" s="26" t="str">
        <f t="shared" si="9"/>
        <v/>
      </c>
      <c r="K639" s="27">
        <v>1</v>
      </c>
      <c r="L639" s="27">
        <v>1</v>
      </c>
      <c r="N639" t="s">
        <v>90</v>
      </c>
    </row>
    <row r="640" spans="1:14">
      <c r="A640">
        <v>32</v>
      </c>
      <c r="B640">
        <v>320</v>
      </c>
      <c r="C640">
        <v>46494.583333333336</v>
      </c>
      <c r="D640" t="s">
        <v>52</v>
      </c>
      <c r="E640" t="s">
        <v>56</v>
      </c>
      <c r="F640" t="s">
        <v>1742</v>
      </c>
      <c r="G640">
        <v>3</v>
      </c>
      <c r="H640" s="27"/>
      <c r="I640" s="27"/>
      <c r="J640" s="26" t="str">
        <f t="shared" si="9"/>
        <v/>
      </c>
      <c r="K640" s="27">
        <v>1</v>
      </c>
      <c r="L640" s="27">
        <v>1</v>
      </c>
      <c r="N640" t="s">
        <v>90</v>
      </c>
    </row>
    <row r="641" spans="1:14">
      <c r="A641">
        <v>32</v>
      </c>
      <c r="B641">
        <v>320</v>
      </c>
      <c r="C641">
        <v>46494.583333333336</v>
      </c>
      <c r="D641" t="s">
        <v>56</v>
      </c>
      <c r="E641" t="s">
        <v>52</v>
      </c>
      <c r="F641" t="s">
        <v>1743</v>
      </c>
      <c r="G641">
        <v>4</v>
      </c>
      <c r="H641" s="27"/>
      <c r="I641" s="27"/>
      <c r="J641" s="26" t="str">
        <f t="shared" si="9"/>
        <v/>
      </c>
      <c r="K641" s="27">
        <v>1</v>
      </c>
      <c r="L641" s="27">
        <v>1</v>
      </c>
      <c r="N641" t="s">
        <v>90</v>
      </c>
    </row>
    <row r="642" spans="1:14">
      <c r="A642">
        <v>33</v>
      </c>
      <c r="B642">
        <v>321</v>
      </c>
      <c r="C642">
        <v>46501.583333333336</v>
      </c>
      <c r="D642" t="s">
        <v>45</v>
      </c>
      <c r="E642" t="s">
        <v>40</v>
      </c>
      <c r="F642" t="s">
        <v>1742</v>
      </c>
      <c r="G642">
        <v>4</v>
      </c>
      <c r="H642" s="27"/>
      <c r="I642" s="27"/>
      <c r="J642" s="26" t="str">
        <f t="shared" ref="J642:J705" si="10">IF(I642="","",EXP(-I642))</f>
        <v/>
      </c>
      <c r="K642" s="27">
        <v>1</v>
      </c>
      <c r="L642" s="27">
        <v>1</v>
      </c>
      <c r="N642" t="s">
        <v>90</v>
      </c>
    </row>
    <row r="643" spans="1:14">
      <c r="A643">
        <v>33</v>
      </c>
      <c r="B643">
        <v>321</v>
      </c>
      <c r="C643">
        <v>46501.583333333336</v>
      </c>
      <c r="D643" t="s">
        <v>40</v>
      </c>
      <c r="E643" t="s">
        <v>45</v>
      </c>
      <c r="F643" t="s">
        <v>1743</v>
      </c>
      <c r="G643">
        <v>2</v>
      </c>
      <c r="H643" s="27"/>
      <c r="I643" s="27"/>
      <c r="J643" s="26" t="str">
        <f t="shared" si="10"/>
        <v/>
      </c>
      <c r="K643" s="27">
        <v>1</v>
      </c>
      <c r="L643" s="27">
        <v>1</v>
      </c>
      <c r="N643" t="s">
        <v>90</v>
      </c>
    </row>
    <row r="644" spans="1:14">
      <c r="A644">
        <v>33</v>
      </c>
      <c r="B644">
        <v>322</v>
      </c>
      <c r="C644">
        <v>46501.583333333336</v>
      </c>
      <c r="D644" t="s">
        <v>39</v>
      </c>
      <c r="E644" t="s">
        <v>41</v>
      </c>
      <c r="F644" t="s">
        <v>1742</v>
      </c>
      <c r="G644">
        <v>3</v>
      </c>
      <c r="H644" s="27"/>
      <c r="I644" s="27"/>
      <c r="J644" s="26" t="str">
        <f t="shared" si="10"/>
        <v/>
      </c>
      <c r="K644" s="27">
        <v>1</v>
      </c>
      <c r="L644" s="27">
        <v>1</v>
      </c>
      <c r="N644" t="s">
        <v>90</v>
      </c>
    </row>
    <row r="645" spans="1:14">
      <c r="A645">
        <v>33</v>
      </c>
      <c r="B645">
        <v>322</v>
      </c>
      <c r="C645">
        <v>46501.583333333336</v>
      </c>
      <c r="D645" t="s">
        <v>41</v>
      </c>
      <c r="E645" t="s">
        <v>39</v>
      </c>
      <c r="F645" t="s">
        <v>1743</v>
      </c>
      <c r="G645">
        <v>4</v>
      </c>
      <c r="H645" s="27"/>
      <c r="I645" s="27"/>
      <c r="J645" s="26" t="str">
        <f t="shared" si="10"/>
        <v/>
      </c>
      <c r="K645" s="27">
        <v>1</v>
      </c>
      <c r="L645" s="27">
        <v>1</v>
      </c>
      <c r="N645" t="s">
        <v>90</v>
      </c>
    </row>
    <row r="646" spans="1:14">
      <c r="A646">
        <v>33</v>
      </c>
      <c r="B646">
        <v>323</v>
      </c>
      <c r="C646">
        <v>46501.583333333336</v>
      </c>
      <c r="D646" t="s">
        <v>48</v>
      </c>
      <c r="E646" t="s">
        <v>42</v>
      </c>
      <c r="F646" t="s">
        <v>1742</v>
      </c>
      <c r="G646">
        <v>3</v>
      </c>
      <c r="H646" s="27"/>
      <c r="I646" s="27"/>
      <c r="J646" s="26" t="str">
        <f t="shared" si="10"/>
        <v/>
      </c>
      <c r="K646" s="27">
        <v>1</v>
      </c>
      <c r="L646" s="27">
        <v>1</v>
      </c>
      <c r="N646" t="s">
        <v>90</v>
      </c>
    </row>
    <row r="647" spans="1:14">
      <c r="A647">
        <v>33</v>
      </c>
      <c r="B647">
        <v>323</v>
      </c>
      <c r="C647">
        <v>46501.583333333336</v>
      </c>
      <c r="D647" t="s">
        <v>42</v>
      </c>
      <c r="E647" t="s">
        <v>48</v>
      </c>
      <c r="F647" t="s">
        <v>1743</v>
      </c>
      <c r="G647">
        <v>2</v>
      </c>
      <c r="H647" s="27"/>
      <c r="I647" s="27"/>
      <c r="J647" s="26" t="str">
        <f t="shared" si="10"/>
        <v/>
      </c>
      <c r="K647" s="27">
        <v>1</v>
      </c>
      <c r="L647" s="27">
        <v>1</v>
      </c>
      <c r="N647" t="s">
        <v>90</v>
      </c>
    </row>
    <row r="648" spans="1:14">
      <c r="A648">
        <v>33</v>
      </c>
      <c r="B648">
        <v>324</v>
      </c>
      <c r="C648">
        <v>46501.583333333336</v>
      </c>
      <c r="D648" t="s">
        <v>53</v>
      </c>
      <c r="E648" t="s">
        <v>44</v>
      </c>
      <c r="F648" t="s">
        <v>1742</v>
      </c>
      <c r="G648">
        <v>4</v>
      </c>
      <c r="H648" s="27"/>
      <c r="I648" s="27"/>
      <c r="J648" s="26" t="str">
        <f t="shared" si="10"/>
        <v/>
      </c>
      <c r="K648" s="27">
        <v>1</v>
      </c>
      <c r="L648" s="27">
        <v>1</v>
      </c>
      <c r="N648" t="s">
        <v>90</v>
      </c>
    </row>
    <row r="649" spans="1:14">
      <c r="A649">
        <v>33</v>
      </c>
      <c r="B649">
        <v>324</v>
      </c>
      <c r="C649">
        <v>46501.583333333336</v>
      </c>
      <c r="D649" t="s">
        <v>44</v>
      </c>
      <c r="E649" t="s">
        <v>53</v>
      </c>
      <c r="F649" t="s">
        <v>1743</v>
      </c>
      <c r="G649">
        <v>4</v>
      </c>
      <c r="H649" s="27"/>
      <c r="I649" s="27"/>
      <c r="J649" s="26" t="str">
        <f t="shared" si="10"/>
        <v/>
      </c>
      <c r="K649" s="27">
        <v>1</v>
      </c>
      <c r="L649" s="27">
        <v>1</v>
      </c>
      <c r="N649" t="s">
        <v>90</v>
      </c>
    </row>
    <row r="650" spans="1:14">
      <c r="A650">
        <v>33</v>
      </c>
      <c r="B650">
        <v>325</v>
      </c>
      <c r="C650">
        <v>46501.583333333336</v>
      </c>
      <c r="D650" t="s">
        <v>43</v>
      </c>
      <c r="E650" t="s">
        <v>47</v>
      </c>
      <c r="F650" t="s">
        <v>1742</v>
      </c>
      <c r="G650">
        <v>3</v>
      </c>
      <c r="H650" s="27"/>
      <c r="I650" s="27"/>
      <c r="J650" s="26" t="str">
        <f t="shared" si="10"/>
        <v/>
      </c>
      <c r="K650" s="27">
        <v>1</v>
      </c>
      <c r="L650" s="27">
        <v>1</v>
      </c>
      <c r="N650" t="s">
        <v>90</v>
      </c>
    </row>
    <row r="651" spans="1:14">
      <c r="A651">
        <v>33</v>
      </c>
      <c r="B651">
        <v>325</v>
      </c>
      <c r="C651">
        <v>46501.583333333336</v>
      </c>
      <c r="D651" t="s">
        <v>47</v>
      </c>
      <c r="E651" t="s">
        <v>43</v>
      </c>
      <c r="F651" t="s">
        <v>1743</v>
      </c>
      <c r="G651">
        <v>2</v>
      </c>
      <c r="H651" s="27"/>
      <c r="I651" s="27"/>
      <c r="J651" s="26" t="str">
        <f t="shared" si="10"/>
        <v/>
      </c>
      <c r="K651" s="27">
        <v>1</v>
      </c>
      <c r="L651" s="27">
        <v>1</v>
      </c>
      <c r="N651" t="s">
        <v>90</v>
      </c>
    </row>
    <row r="652" spans="1:14">
      <c r="A652">
        <v>33</v>
      </c>
      <c r="B652">
        <v>326</v>
      </c>
      <c r="C652">
        <v>46501.583333333336</v>
      </c>
      <c r="D652" t="s">
        <v>52</v>
      </c>
      <c r="E652" t="s">
        <v>51</v>
      </c>
      <c r="F652" t="s">
        <v>1742</v>
      </c>
      <c r="G652">
        <v>3</v>
      </c>
      <c r="H652" s="27"/>
      <c r="I652" s="27"/>
      <c r="J652" s="26" t="str">
        <f t="shared" si="10"/>
        <v/>
      </c>
      <c r="K652" s="27">
        <v>1</v>
      </c>
      <c r="L652" s="27">
        <v>1</v>
      </c>
      <c r="N652" t="s">
        <v>90</v>
      </c>
    </row>
    <row r="653" spans="1:14">
      <c r="A653">
        <v>33</v>
      </c>
      <c r="B653">
        <v>326</v>
      </c>
      <c r="C653">
        <v>46501.583333333336</v>
      </c>
      <c r="D653" t="s">
        <v>51</v>
      </c>
      <c r="E653" t="s">
        <v>52</v>
      </c>
      <c r="F653" t="s">
        <v>1743</v>
      </c>
      <c r="G653">
        <v>4</v>
      </c>
      <c r="H653" s="27"/>
      <c r="I653" s="27"/>
      <c r="J653" s="26" t="str">
        <f t="shared" si="10"/>
        <v/>
      </c>
      <c r="K653" s="27">
        <v>1</v>
      </c>
      <c r="L653" s="27">
        <v>1</v>
      </c>
      <c r="N653" t="s">
        <v>90</v>
      </c>
    </row>
    <row r="654" spans="1:14">
      <c r="A654">
        <v>33</v>
      </c>
      <c r="B654">
        <v>327</v>
      </c>
      <c r="C654">
        <v>46501.583333333336</v>
      </c>
      <c r="D654" t="s">
        <v>46</v>
      </c>
      <c r="E654" t="s">
        <v>54</v>
      </c>
      <c r="F654" t="s">
        <v>1742</v>
      </c>
      <c r="G654">
        <v>4</v>
      </c>
      <c r="H654" s="27"/>
      <c r="I654" s="27"/>
      <c r="J654" s="26" t="str">
        <f t="shared" si="10"/>
        <v/>
      </c>
      <c r="K654" s="27">
        <v>1</v>
      </c>
      <c r="L654" s="27">
        <v>1</v>
      </c>
      <c r="N654" t="s">
        <v>90</v>
      </c>
    </row>
    <row r="655" spans="1:14">
      <c r="A655">
        <v>33</v>
      </c>
      <c r="B655">
        <v>327</v>
      </c>
      <c r="C655">
        <v>46501.583333333336</v>
      </c>
      <c r="D655" t="s">
        <v>54</v>
      </c>
      <c r="E655" t="s">
        <v>46</v>
      </c>
      <c r="F655" t="s">
        <v>1743</v>
      </c>
      <c r="G655">
        <v>3</v>
      </c>
      <c r="H655" s="27"/>
      <c r="I655" s="27"/>
      <c r="J655" s="26" t="str">
        <f t="shared" si="10"/>
        <v/>
      </c>
      <c r="K655" s="27">
        <v>1</v>
      </c>
      <c r="L655" s="27">
        <v>1</v>
      </c>
      <c r="N655" t="s">
        <v>90</v>
      </c>
    </row>
    <row r="656" spans="1:14">
      <c r="A656">
        <v>33</v>
      </c>
      <c r="B656">
        <v>328</v>
      </c>
      <c r="C656">
        <v>46501.583333333336</v>
      </c>
      <c r="D656" t="s">
        <v>50</v>
      </c>
      <c r="E656" t="s">
        <v>55</v>
      </c>
      <c r="F656" t="s">
        <v>1742</v>
      </c>
      <c r="G656">
        <v>3</v>
      </c>
      <c r="H656" s="27"/>
      <c r="I656" s="27"/>
      <c r="J656" s="26" t="str">
        <f t="shared" si="10"/>
        <v/>
      </c>
      <c r="K656" s="27">
        <v>1</v>
      </c>
      <c r="L656" s="27">
        <v>1</v>
      </c>
      <c r="N656" t="s">
        <v>90</v>
      </c>
    </row>
    <row r="657" spans="1:14">
      <c r="A657">
        <v>33</v>
      </c>
      <c r="B657">
        <v>328</v>
      </c>
      <c r="C657">
        <v>46501.583333333336</v>
      </c>
      <c r="D657" t="s">
        <v>55</v>
      </c>
      <c r="E657" t="s">
        <v>50</v>
      </c>
      <c r="F657" t="s">
        <v>1743</v>
      </c>
      <c r="G657">
        <v>2</v>
      </c>
      <c r="H657" s="27"/>
      <c r="I657" s="27"/>
      <c r="J657" s="26" t="str">
        <f t="shared" si="10"/>
        <v/>
      </c>
      <c r="K657" s="27">
        <v>1</v>
      </c>
      <c r="L657" s="27">
        <v>1</v>
      </c>
      <c r="N657" t="s">
        <v>90</v>
      </c>
    </row>
    <row r="658" spans="1:14">
      <c r="A658">
        <v>33</v>
      </c>
      <c r="B658">
        <v>329</v>
      </c>
      <c r="C658">
        <v>46501.583333333336</v>
      </c>
      <c r="D658" t="s">
        <v>58</v>
      </c>
      <c r="E658" t="s">
        <v>56</v>
      </c>
      <c r="F658" t="s">
        <v>1742</v>
      </c>
      <c r="G658">
        <v>3</v>
      </c>
      <c r="H658" s="27"/>
      <c r="I658" s="27"/>
      <c r="J658" s="26" t="str">
        <f t="shared" si="10"/>
        <v/>
      </c>
      <c r="K658" s="27">
        <v>1</v>
      </c>
      <c r="L658" s="27">
        <v>1</v>
      </c>
      <c r="N658" t="s">
        <v>90</v>
      </c>
    </row>
    <row r="659" spans="1:14">
      <c r="A659">
        <v>33</v>
      </c>
      <c r="B659">
        <v>329</v>
      </c>
      <c r="C659">
        <v>46501.583333333336</v>
      </c>
      <c r="D659" t="s">
        <v>56</v>
      </c>
      <c r="E659" t="s">
        <v>58</v>
      </c>
      <c r="F659" t="s">
        <v>1743</v>
      </c>
      <c r="G659">
        <v>2</v>
      </c>
      <c r="H659" s="27"/>
      <c r="I659" s="27"/>
      <c r="J659" s="26" t="str">
        <f t="shared" si="10"/>
        <v/>
      </c>
      <c r="K659" s="27">
        <v>1</v>
      </c>
      <c r="L659" s="27">
        <v>1</v>
      </c>
      <c r="N659" t="s">
        <v>90</v>
      </c>
    </row>
    <row r="660" spans="1:14">
      <c r="A660">
        <v>33</v>
      </c>
      <c r="B660">
        <v>330</v>
      </c>
      <c r="C660">
        <v>46501.583333333336</v>
      </c>
      <c r="D660" t="s">
        <v>49</v>
      </c>
      <c r="E660" t="s">
        <v>57</v>
      </c>
      <c r="F660" t="s">
        <v>1742</v>
      </c>
      <c r="G660">
        <v>3</v>
      </c>
      <c r="H660" s="27"/>
      <c r="I660" s="27"/>
      <c r="J660" s="26" t="str">
        <f t="shared" si="10"/>
        <v/>
      </c>
      <c r="K660" s="27">
        <v>1</v>
      </c>
      <c r="L660" s="27">
        <v>1</v>
      </c>
      <c r="N660" t="s">
        <v>90</v>
      </c>
    </row>
    <row r="661" spans="1:14">
      <c r="A661">
        <v>33</v>
      </c>
      <c r="B661">
        <v>330</v>
      </c>
      <c r="C661">
        <v>46501.583333333336</v>
      </c>
      <c r="D661" t="s">
        <v>57</v>
      </c>
      <c r="E661" t="s">
        <v>49</v>
      </c>
      <c r="F661" t="s">
        <v>1743</v>
      </c>
      <c r="G661">
        <v>2</v>
      </c>
      <c r="H661" s="27"/>
      <c r="I661" s="27"/>
      <c r="J661" s="26" t="str">
        <f t="shared" si="10"/>
        <v/>
      </c>
      <c r="K661" s="27">
        <v>1</v>
      </c>
      <c r="L661" s="27">
        <v>1</v>
      </c>
      <c r="N661" t="s">
        <v>90</v>
      </c>
    </row>
    <row r="662" spans="1:14">
      <c r="A662">
        <v>34</v>
      </c>
      <c r="B662">
        <v>331</v>
      </c>
      <c r="C662">
        <v>46508.583333333336</v>
      </c>
      <c r="D662" t="s">
        <v>57</v>
      </c>
      <c r="E662" t="s">
        <v>39</v>
      </c>
      <c r="F662" t="s">
        <v>1742</v>
      </c>
      <c r="G662">
        <v>5</v>
      </c>
      <c r="H662" s="27"/>
      <c r="I662" s="27"/>
      <c r="J662" s="26" t="str">
        <f t="shared" si="10"/>
        <v/>
      </c>
      <c r="K662" s="27">
        <v>1</v>
      </c>
      <c r="L662" s="27">
        <v>1</v>
      </c>
      <c r="N662" t="s">
        <v>90</v>
      </c>
    </row>
    <row r="663" spans="1:14">
      <c r="A663">
        <v>34</v>
      </c>
      <c r="B663">
        <v>331</v>
      </c>
      <c r="C663">
        <v>46508.583333333336</v>
      </c>
      <c r="D663" t="s">
        <v>39</v>
      </c>
      <c r="E663" t="s">
        <v>57</v>
      </c>
      <c r="F663" t="s">
        <v>1743</v>
      </c>
      <c r="G663">
        <v>3</v>
      </c>
      <c r="H663" s="27"/>
      <c r="I663" s="27"/>
      <c r="J663" s="26" t="str">
        <f t="shared" si="10"/>
        <v/>
      </c>
      <c r="K663" s="27">
        <v>1</v>
      </c>
      <c r="L663" s="27">
        <v>1</v>
      </c>
      <c r="N663" t="s">
        <v>90</v>
      </c>
    </row>
    <row r="664" spans="1:14">
      <c r="A664">
        <v>34</v>
      </c>
      <c r="B664">
        <v>332</v>
      </c>
      <c r="C664">
        <v>46508.583333333336</v>
      </c>
      <c r="D664" t="s">
        <v>56</v>
      </c>
      <c r="E664" t="s">
        <v>43</v>
      </c>
      <c r="F664" t="s">
        <v>1742</v>
      </c>
      <c r="G664">
        <v>3</v>
      </c>
      <c r="H664" s="27"/>
      <c r="I664" s="27"/>
      <c r="J664" s="26" t="str">
        <f t="shared" si="10"/>
        <v/>
      </c>
      <c r="K664" s="27">
        <v>1</v>
      </c>
      <c r="L664" s="27">
        <v>1</v>
      </c>
      <c r="N664" t="s">
        <v>90</v>
      </c>
    </row>
    <row r="665" spans="1:14">
      <c r="A665">
        <v>34</v>
      </c>
      <c r="B665">
        <v>332</v>
      </c>
      <c r="C665">
        <v>46508.583333333336</v>
      </c>
      <c r="D665" t="s">
        <v>43</v>
      </c>
      <c r="E665" t="s">
        <v>56</v>
      </c>
      <c r="F665" t="s">
        <v>1743</v>
      </c>
      <c r="G665">
        <v>3</v>
      </c>
      <c r="H665" s="27"/>
      <c r="I665" s="27"/>
      <c r="J665" s="26" t="str">
        <f t="shared" si="10"/>
        <v/>
      </c>
      <c r="K665" s="27">
        <v>1</v>
      </c>
      <c r="L665" s="27">
        <v>1</v>
      </c>
      <c r="N665" t="s">
        <v>90</v>
      </c>
    </row>
    <row r="666" spans="1:14">
      <c r="A666">
        <v>34</v>
      </c>
      <c r="B666">
        <v>333</v>
      </c>
      <c r="C666">
        <v>46508.583333333336</v>
      </c>
      <c r="D666" t="s">
        <v>54</v>
      </c>
      <c r="E666" t="s">
        <v>45</v>
      </c>
      <c r="F666" t="s">
        <v>1742</v>
      </c>
      <c r="G666">
        <v>2</v>
      </c>
      <c r="H666" s="27"/>
      <c r="I666" s="27"/>
      <c r="J666" s="26" t="str">
        <f t="shared" si="10"/>
        <v/>
      </c>
      <c r="K666" s="27">
        <v>1</v>
      </c>
      <c r="L666" s="27">
        <v>1</v>
      </c>
      <c r="N666" t="s">
        <v>90</v>
      </c>
    </row>
    <row r="667" spans="1:14">
      <c r="A667">
        <v>34</v>
      </c>
      <c r="B667">
        <v>333</v>
      </c>
      <c r="C667">
        <v>46508.583333333336</v>
      </c>
      <c r="D667" t="s">
        <v>45</v>
      </c>
      <c r="E667" t="s">
        <v>54</v>
      </c>
      <c r="F667" t="s">
        <v>1743</v>
      </c>
      <c r="G667">
        <v>4</v>
      </c>
      <c r="H667" s="27"/>
      <c r="I667" s="27"/>
      <c r="J667" s="26" t="str">
        <f t="shared" si="10"/>
        <v/>
      </c>
      <c r="K667" s="27">
        <v>1</v>
      </c>
      <c r="L667" s="27">
        <v>1</v>
      </c>
      <c r="N667" t="s">
        <v>90</v>
      </c>
    </row>
    <row r="668" spans="1:14">
      <c r="A668">
        <v>34</v>
      </c>
      <c r="B668">
        <v>334</v>
      </c>
      <c r="C668">
        <v>46508.583333333336</v>
      </c>
      <c r="D668" t="s">
        <v>40</v>
      </c>
      <c r="E668" t="s">
        <v>46</v>
      </c>
      <c r="F668" t="s">
        <v>1742</v>
      </c>
      <c r="G668">
        <v>3</v>
      </c>
      <c r="H668" s="27"/>
      <c r="I668" s="27"/>
      <c r="J668" s="26" t="str">
        <f t="shared" si="10"/>
        <v/>
      </c>
      <c r="K668" s="27">
        <v>1</v>
      </c>
      <c r="L668" s="27">
        <v>1</v>
      </c>
      <c r="N668" t="s">
        <v>90</v>
      </c>
    </row>
    <row r="669" spans="1:14">
      <c r="A669">
        <v>34</v>
      </c>
      <c r="B669">
        <v>334</v>
      </c>
      <c r="C669">
        <v>46508.583333333336</v>
      </c>
      <c r="D669" t="s">
        <v>46</v>
      </c>
      <c r="E669" t="s">
        <v>40</v>
      </c>
      <c r="F669" t="s">
        <v>1743</v>
      </c>
      <c r="G669">
        <v>3</v>
      </c>
      <c r="H669" s="27"/>
      <c r="I669" s="27"/>
      <c r="J669" s="26" t="str">
        <f t="shared" si="10"/>
        <v/>
      </c>
      <c r="K669" s="27">
        <v>1</v>
      </c>
      <c r="L669" s="27">
        <v>1</v>
      </c>
      <c r="N669" t="s">
        <v>90</v>
      </c>
    </row>
    <row r="670" spans="1:14">
      <c r="A670">
        <v>34</v>
      </c>
      <c r="B670">
        <v>335</v>
      </c>
      <c r="C670">
        <v>46508.583333333336</v>
      </c>
      <c r="D670" t="s">
        <v>47</v>
      </c>
      <c r="E670" t="s">
        <v>48</v>
      </c>
      <c r="F670" t="s">
        <v>1742</v>
      </c>
      <c r="G670">
        <v>3</v>
      </c>
      <c r="H670" s="27"/>
      <c r="I670" s="27"/>
      <c r="J670" s="26" t="str">
        <f t="shared" si="10"/>
        <v/>
      </c>
      <c r="K670" s="27">
        <v>1</v>
      </c>
      <c r="L670" s="27">
        <v>1</v>
      </c>
      <c r="N670" t="s">
        <v>90</v>
      </c>
    </row>
    <row r="671" spans="1:14">
      <c r="A671">
        <v>34</v>
      </c>
      <c r="B671">
        <v>335</v>
      </c>
      <c r="C671">
        <v>46508.583333333336</v>
      </c>
      <c r="D671" t="s">
        <v>48</v>
      </c>
      <c r="E671" t="s">
        <v>47</v>
      </c>
      <c r="F671" t="s">
        <v>1743</v>
      </c>
      <c r="G671">
        <v>3</v>
      </c>
      <c r="H671" s="27"/>
      <c r="I671" s="27"/>
      <c r="J671" s="26" t="str">
        <f t="shared" si="10"/>
        <v/>
      </c>
      <c r="K671" s="27">
        <v>1</v>
      </c>
      <c r="L671" s="27">
        <v>1</v>
      </c>
      <c r="N671" t="s">
        <v>90</v>
      </c>
    </row>
    <row r="672" spans="1:14">
      <c r="A672">
        <v>34</v>
      </c>
      <c r="B672">
        <v>336</v>
      </c>
      <c r="C672">
        <v>46508.583333333336</v>
      </c>
      <c r="D672" t="s">
        <v>41</v>
      </c>
      <c r="E672" t="s">
        <v>49</v>
      </c>
      <c r="F672" t="s">
        <v>1742</v>
      </c>
      <c r="G672">
        <v>2</v>
      </c>
      <c r="H672" s="27"/>
      <c r="I672" s="27"/>
      <c r="J672" s="26" t="str">
        <f t="shared" si="10"/>
        <v/>
      </c>
      <c r="K672" s="27">
        <v>1</v>
      </c>
      <c r="L672" s="27">
        <v>1</v>
      </c>
      <c r="N672" t="s">
        <v>90</v>
      </c>
    </row>
    <row r="673" spans="1:14">
      <c r="A673">
        <v>34</v>
      </c>
      <c r="B673">
        <v>336</v>
      </c>
      <c r="C673">
        <v>46508.583333333336</v>
      </c>
      <c r="D673" t="s">
        <v>49</v>
      </c>
      <c r="E673" t="s">
        <v>41</v>
      </c>
      <c r="F673" t="s">
        <v>1743</v>
      </c>
      <c r="G673">
        <v>3</v>
      </c>
      <c r="H673" s="27"/>
      <c r="I673" s="27"/>
      <c r="J673" s="26" t="str">
        <f t="shared" si="10"/>
        <v/>
      </c>
      <c r="K673" s="27">
        <v>1</v>
      </c>
      <c r="L673" s="27">
        <v>1</v>
      </c>
      <c r="N673" t="s">
        <v>90</v>
      </c>
    </row>
    <row r="674" spans="1:14">
      <c r="A674">
        <v>34</v>
      </c>
      <c r="B674">
        <v>337</v>
      </c>
      <c r="C674">
        <v>46508.583333333336</v>
      </c>
      <c r="D674" t="s">
        <v>51</v>
      </c>
      <c r="E674" t="s">
        <v>50</v>
      </c>
      <c r="F674" t="s">
        <v>1742</v>
      </c>
      <c r="G674">
        <v>2</v>
      </c>
      <c r="H674" s="27"/>
      <c r="I674" s="27"/>
      <c r="J674" s="26" t="str">
        <f t="shared" si="10"/>
        <v/>
      </c>
      <c r="K674" s="27">
        <v>1</v>
      </c>
      <c r="L674" s="27">
        <v>1</v>
      </c>
      <c r="N674" t="s">
        <v>90</v>
      </c>
    </row>
    <row r="675" spans="1:14">
      <c r="A675">
        <v>34</v>
      </c>
      <c r="B675">
        <v>337</v>
      </c>
      <c r="C675">
        <v>46508.583333333336</v>
      </c>
      <c r="D675" t="s">
        <v>50</v>
      </c>
      <c r="E675" t="s">
        <v>51</v>
      </c>
      <c r="F675" t="s">
        <v>1743</v>
      </c>
      <c r="G675">
        <v>2</v>
      </c>
      <c r="H675" s="27"/>
      <c r="I675" s="27"/>
      <c r="J675" s="26" t="str">
        <f t="shared" si="10"/>
        <v/>
      </c>
      <c r="K675" s="27">
        <v>1</v>
      </c>
      <c r="L675" s="27">
        <v>1</v>
      </c>
      <c r="N675" t="s">
        <v>90</v>
      </c>
    </row>
    <row r="676" spans="1:14">
      <c r="A676">
        <v>34</v>
      </c>
      <c r="B676">
        <v>338</v>
      </c>
      <c r="C676">
        <v>46508.583333333336</v>
      </c>
      <c r="D676" t="s">
        <v>44</v>
      </c>
      <c r="E676" t="s">
        <v>52</v>
      </c>
      <c r="F676" t="s">
        <v>1742</v>
      </c>
      <c r="G676">
        <v>4</v>
      </c>
      <c r="H676" s="27"/>
      <c r="I676" s="27"/>
      <c r="J676" s="26" t="str">
        <f t="shared" si="10"/>
        <v/>
      </c>
      <c r="K676" s="27">
        <v>1</v>
      </c>
      <c r="L676" s="27">
        <v>1</v>
      </c>
      <c r="N676" t="s">
        <v>90</v>
      </c>
    </row>
    <row r="677" spans="1:14">
      <c r="A677">
        <v>34</v>
      </c>
      <c r="B677">
        <v>338</v>
      </c>
      <c r="C677">
        <v>46508.583333333336</v>
      </c>
      <c r="D677" t="s">
        <v>52</v>
      </c>
      <c r="E677" t="s">
        <v>44</v>
      </c>
      <c r="F677" t="s">
        <v>1743</v>
      </c>
      <c r="G677">
        <v>4</v>
      </c>
      <c r="H677" s="27"/>
      <c r="I677" s="27"/>
      <c r="J677" s="26" t="str">
        <f t="shared" si="10"/>
        <v/>
      </c>
      <c r="K677" s="27">
        <v>1</v>
      </c>
      <c r="L677" s="27">
        <v>1</v>
      </c>
      <c r="N677" t="s">
        <v>90</v>
      </c>
    </row>
    <row r="678" spans="1:14">
      <c r="A678">
        <v>34</v>
      </c>
      <c r="B678">
        <v>339</v>
      </c>
      <c r="C678">
        <v>46508.583333333336</v>
      </c>
      <c r="D678" t="s">
        <v>42</v>
      </c>
      <c r="E678" t="s">
        <v>53</v>
      </c>
      <c r="F678" t="s">
        <v>1742</v>
      </c>
      <c r="G678">
        <v>5</v>
      </c>
      <c r="H678" s="27"/>
      <c r="I678" s="27"/>
      <c r="J678" s="26" t="str">
        <f t="shared" si="10"/>
        <v/>
      </c>
      <c r="K678" s="27">
        <v>1</v>
      </c>
      <c r="L678" s="27">
        <v>1</v>
      </c>
      <c r="N678" t="s">
        <v>90</v>
      </c>
    </row>
    <row r="679" spans="1:14">
      <c r="A679">
        <v>34</v>
      </c>
      <c r="B679">
        <v>339</v>
      </c>
      <c r="C679">
        <v>46508.583333333336</v>
      </c>
      <c r="D679" t="s">
        <v>53</v>
      </c>
      <c r="E679" t="s">
        <v>42</v>
      </c>
      <c r="F679" t="s">
        <v>1743</v>
      </c>
      <c r="G679">
        <v>3</v>
      </c>
      <c r="H679" s="27"/>
      <c r="I679" s="27"/>
      <c r="J679" s="26" t="str">
        <f t="shared" si="10"/>
        <v/>
      </c>
      <c r="K679" s="27">
        <v>1</v>
      </c>
      <c r="L679" s="27">
        <v>1</v>
      </c>
      <c r="N679" t="s">
        <v>90</v>
      </c>
    </row>
    <row r="680" spans="1:14">
      <c r="A680">
        <v>34</v>
      </c>
      <c r="B680">
        <v>340</v>
      </c>
      <c r="C680">
        <v>46508.583333333336</v>
      </c>
      <c r="D680" t="s">
        <v>55</v>
      </c>
      <c r="E680" t="s">
        <v>58</v>
      </c>
      <c r="F680" t="s">
        <v>1742</v>
      </c>
      <c r="G680">
        <v>3</v>
      </c>
      <c r="H680" s="27"/>
      <c r="I680" s="27"/>
      <c r="J680" s="26" t="str">
        <f t="shared" si="10"/>
        <v/>
      </c>
      <c r="K680" s="27">
        <v>1</v>
      </c>
      <c r="L680" s="27">
        <v>1</v>
      </c>
      <c r="N680" t="s">
        <v>90</v>
      </c>
    </row>
    <row r="681" spans="1:14">
      <c r="A681">
        <v>34</v>
      </c>
      <c r="B681">
        <v>340</v>
      </c>
      <c r="C681">
        <v>46508.583333333336</v>
      </c>
      <c r="D681" t="s">
        <v>58</v>
      </c>
      <c r="E681" t="s">
        <v>55</v>
      </c>
      <c r="F681" t="s">
        <v>1743</v>
      </c>
      <c r="G681">
        <v>2</v>
      </c>
      <c r="H681" s="27"/>
      <c r="I681" s="27"/>
      <c r="J681" s="26" t="str">
        <f t="shared" si="10"/>
        <v/>
      </c>
      <c r="K681" s="27">
        <v>1</v>
      </c>
      <c r="L681" s="27">
        <v>1</v>
      </c>
      <c r="N681" t="s">
        <v>90</v>
      </c>
    </row>
    <row r="682" spans="1:14">
      <c r="A682">
        <v>35</v>
      </c>
      <c r="B682">
        <v>341</v>
      </c>
      <c r="C682">
        <v>46515.583333333336</v>
      </c>
      <c r="D682" t="s">
        <v>54</v>
      </c>
      <c r="E682" t="s">
        <v>41</v>
      </c>
      <c r="F682" t="s">
        <v>1742</v>
      </c>
      <c r="G682">
        <v>3</v>
      </c>
      <c r="H682" s="27"/>
      <c r="I682" s="27"/>
      <c r="J682" s="26" t="str">
        <f t="shared" si="10"/>
        <v/>
      </c>
      <c r="K682" s="27">
        <v>1</v>
      </c>
      <c r="L682" s="27">
        <v>1</v>
      </c>
      <c r="N682" t="s">
        <v>90</v>
      </c>
    </row>
    <row r="683" spans="1:14">
      <c r="A683">
        <v>35</v>
      </c>
      <c r="B683">
        <v>341</v>
      </c>
      <c r="C683">
        <v>46515.583333333336</v>
      </c>
      <c r="D683" t="s">
        <v>41</v>
      </c>
      <c r="E683" t="s">
        <v>54</v>
      </c>
      <c r="F683" t="s">
        <v>1743</v>
      </c>
      <c r="G683">
        <v>4</v>
      </c>
      <c r="H683" s="27"/>
      <c r="I683" s="27"/>
      <c r="J683" s="26" t="str">
        <f t="shared" si="10"/>
        <v/>
      </c>
      <c r="K683" s="27">
        <v>1</v>
      </c>
      <c r="L683" s="27">
        <v>1</v>
      </c>
      <c r="N683" t="s">
        <v>90</v>
      </c>
    </row>
    <row r="684" spans="1:14">
      <c r="A684">
        <v>35</v>
      </c>
      <c r="B684">
        <v>342</v>
      </c>
      <c r="C684">
        <v>46515.583333333336</v>
      </c>
      <c r="D684" t="s">
        <v>40</v>
      </c>
      <c r="E684" t="s">
        <v>42</v>
      </c>
      <c r="F684" t="s">
        <v>1742</v>
      </c>
      <c r="G684">
        <v>3</v>
      </c>
      <c r="H684" s="27"/>
      <c r="I684" s="27"/>
      <c r="J684" s="26" t="str">
        <f t="shared" si="10"/>
        <v/>
      </c>
      <c r="K684" s="27">
        <v>1</v>
      </c>
      <c r="L684" s="27">
        <v>1</v>
      </c>
      <c r="N684" t="s">
        <v>90</v>
      </c>
    </row>
    <row r="685" spans="1:14">
      <c r="A685">
        <v>35</v>
      </c>
      <c r="B685">
        <v>342</v>
      </c>
      <c r="C685">
        <v>46515.583333333336</v>
      </c>
      <c r="D685" t="s">
        <v>42</v>
      </c>
      <c r="E685" t="s">
        <v>40</v>
      </c>
      <c r="F685" t="s">
        <v>1743</v>
      </c>
      <c r="G685">
        <v>3</v>
      </c>
      <c r="H685" s="27"/>
      <c r="I685" s="27"/>
      <c r="J685" s="26" t="str">
        <f t="shared" si="10"/>
        <v/>
      </c>
      <c r="K685" s="27">
        <v>1</v>
      </c>
      <c r="L685" s="27">
        <v>1</v>
      </c>
      <c r="N685" t="s">
        <v>90</v>
      </c>
    </row>
    <row r="686" spans="1:14">
      <c r="A686">
        <v>35</v>
      </c>
      <c r="B686">
        <v>343</v>
      </c>
      <c r="C686">
        <v>46515.583333333336</v>
      </c>
      <c r="D686" t="s">
        <v>58</v>
      </c>
      <c r="E686" t="s">
        <v>43</v>
      </c>
      <c r="F686" t="s">
        <v>1742</v>
      </c>
      <c r="G686">
        <v>3</v>
      </c>
      <c r="H686" s="27"/>
      <c r="I686" s="27"/>
      <c r="J686" s="26" t="str">
        <f t="shared" si="10"/>
        <v/>
      </c>
      <c r="K686" s="27">
        <v>1</v>
      </c>
      <c r="L686" s="27">
        <v>1</v>
      </c>
      <c r="N686" t="s">
        <v>90</v>
      </c>
    </row>
    <row r="687" spans="1:14">
      <c r="A687">
        <v>35</v>
      </c>
      <c r="B687">
        <v>343</v>
      </c>
      <c r="C687">
        <v>46515.583333333336</v>
      </c>
      <c r="D687" t="s">
        <v>43</v>
      </c>
      <c r="E687" t="s">
        <v>58</v>
      </c>
      <c r="F687" t="s">
        <v>1743</v>
      </c>
      <c r="G687">
        <v>2</v>
      </c>
      <c r="H687" s="27"/>
      <c r="I687" s="27"/>
      <c r="J687" s="26" t="str">
        <f t="shared" si="10"/>
        <v/>
      </c>
      <c r="K687" s="27">
        <v>1</v>
      </c>
      <c r="L687" s="27">
        <v>1</v>
      </c>
      <c r="N687" t="s">
        <v>90</v>
      </c>
    </row>
    <row r="688" spans="1:14">
      <c r="A688">
        <v>35</v>
      </c>
      <c r="B688">
        <v>344</v>
      </c>
      <c r="C688">
        <v>46515.583333333336</v>
      </c>
      <c r="D688" t="s">
        <v>49</v>
      </c>
      <c r="E688" t="s">
        <v>47</v>
      </c>
      <c r="F688" t="s">
        <v>1742</v>
      </c>
      <c r="G688">
        <v>3</v>
      </c>
      <c r="H688" s="27"/>
      <c r="I688" s="27"/>
      <c r="J688" s="26" t="str">
        <f t="shared" si="10"/>
        <v/>
      </c>
      <c r="K688" s="27">
        <v>1</v>
      </c>
      <c r="L688" s="27">
        <v>1</v>
      </c>
      <c r="N688" t="s">
        <v>90</v>
      </c>
    </row>
    <row r="689" spans="1:14">
      <c r="A689">
        <v>35</v>
      </c>
      <c r="B689">
        <v>344</v>
      </c>
      <c r="C689">
        <v>46515.583333333336</v>
      </c>
      <c r="D689" t="s">
        <v>47</v>
      </c>
      <c r="E689" t="s">
        <v>49</v>
      </c>
      <c r="F689" t="s">
        <v>1743</v>
      </c>
      <c r="G689">
        <v>2</v>
      </c>
      <c r="H689" s="27"/>
      <c r="I689" s="27"/>
      <c r="J689" s="26" t="str">
        <f t="shared" si="10"/>
        <v/>
      </c>
      <c r="K689" s="27">
        <v>1</v>
      </c>
      <c r="L689" s="27">
        <v>1</v>
      </c>
      <c r="N689" t="s">
        <v>90</v>
      </c>
    </row>
    <row r="690" spans="1:14">
      <c r="A690">
        <v>35</v>
      </c>
      <c r="B690">
        <v>345</v>
      </c>
      <c r="C690">
        <v>46515.583333333336</v>
      </c>
      <c r="D690" t="s">
        <v>50</v>
      </c>
      <c r="E690" t="s">
        <v>48</v>
      </c>
      <c r="F690" t="s">
        <v>1742</v>
      </c>
      <c r="G690">
        <v>3</v>
      </c>
      <c r="H690" s="27"/>
      <c r="I690" s="27"/>
      <c r="J690" s="26" t="str">
        <f t="shared" si="10"/>
        <v/>
      </c>
      <c r="K690" s="27">
        <v>1</v>
      </c>
      <c r="L690" s="27">
        <v>1</v>
      </c>
      <c r="N690" t="s">
        <v>90</v>
      </c>
    </row>
    <row r="691" spans="1:14">
      <c r="A691">
        <v>35</v>
      </c>
      <c r="B691">
        <v>345</v>
      </c>
      <c r="C691">
        <v>46515.583333333336</v>
      </c>
      <c r="D691" t="s">
        <v>48</v>
      </c>
      <c r="E691" t="s">
        <v>50</v>
      </c>
      <c r="F691" t="s">
        <v>1743</v>
      </c>
      <c r="G691">
        <v>2</v>
      </c>
      <c r="H691" s="27"/>
      <c r="I691" s="27"/>
      <c r="J691" s="26" t="str">
        <f t="shared" si="10"/>
        <v/>
      </c>
      <c r="K691" s="27">
        <v>1</v>
      </c>
      <c r="L691" s="27">
        <v>1</v>
      </c>
      <c r="N691" t="s">
        <v>90</v>
      </c>
    </row>
    <row r="692" spans="1:14">
      <c r="A692">
        <v>35</v>
      </c>
      <c r="B692">
        <v>346</v>
      </c>
      <c r="C692">
        <v>46515.583333333336</v>
      </c>
      <c r="D692" t="s">
        <v>39</v>
      </c>
      <c r="E692" t="s">
        <v>51</v>
      </c>
      <c r="F692" t="s">
        <v>1742</v>
      </c>
      <c r="G692">
        <v>3</v>
      </c>
      <c r="H692" s="27"/>
      <c r="I692" s="27"/>
      <c r="J692" s="26" t="str">
        <f t="shared" si="10"/>
        <v/>
      </c>
      <c r="K692" s="27">
        <v>1</v>
      </c>
      <c r="L692" s="27">
        <v>1</v>
      </c>
      <c r="N692" t="s">
        <v>90</v>
      </c>
    </row>
    <row r="693" spans="1:14">
      <c r="A693">
        <v>35</v>
      </c>
      <c r="B693">
        <v>346</v>
      </c>
      <c r="C693">
        <v>46515.583333333336</v>
      </c>
      <c r="D693" t="s">
        <v>51</v>
      </c>
      <c r="E693" t="s">
        <v>39</v>
      </c>
      <c r="F693" t="s">
        <v>1743</v>
      </c>
      <c r="G693">
        <v>4</v>
      </c>
      <c r="H693" s="27"/>
      <c r="I693" s="27"/>
      <c r="J693" s="26" t="str">
        <f t="shared" si="10"/>
        <v/>
      </c>
      <c r="K693" s="27">
        <v>1</v>
      </c>
      <c r="L693" s="27">
        <v>1</v>
      </c>
      <c r="N693" t="s">
        <v>90</v>
      </c>
    </row>
    <row r="694" spans="1:14">
      <c r="A694">
        <v>35</v>
      </c>
      <c r="B694">
        <v>347</v>
      </c>
      <c r="C694">
        <v>46515.583333333336</v>
      </c>
      <c r="D694" t="s">
        <v>52</v>
      </c>
      <c r="E694" t="s">
        <v>53</v>
      </c>
      <c r="F694" t="s">
        <v>1742</v>
      </c>
      <c r="G694">
        <v>5</v>
      </c>
      <c r="H694" s="27"/>
      <c r="I694" s="27"/>
      <c r="J694" s="26" t="str">
        <f t="shared" si="10"/>
        <v/>
      </c>
      <c r="K694" s="27">
        <v>1</v>
      </c>
      <c r="L694" s="27">
        <v>1</v>
      </c>
      <c r="N694" t="s">
        <v>90</v>
      </c>
    </row>
    <row r="695" spans="1:14">
      <c r="A695">
        <v>35</v>
      </c>
      <c r="B695">
        <v>347</v>
      </c>
      <c r="C695">
        <v>46515.583333333336</v>
      </c>
      <c r="D695" t="s">
        <v>53</v>
      </c>
      <c r="E695" t="s">
        <v>52</v>
      </c>
      <c r="F695" t="s">
        <v>1743</v>
      </c>
      <c r="G695">
        <v>4</v>
      </c>
      <c r="H695" s="27"/>
      <c r="I695" s="27"/>
      <c r="J695" s="26" t="str">
        <f t="shared" si="10"/>
        <v/>
      </c>
      <c r="K695" s="27">
        <v>1</v>
      </c>
      <c r="L695" s="27">
        <v>1</v>
      </c>
      <c r="N695" t="s">
        <v>90</v>
      </c>
    </row>
    <row r="696" spans="1:14">
      <c r="A696">
        <v>35</v>
      </c>
      <c r="B696">
        <v>348</v>
      </c>
      <c r="C696">
        <v>46515.583333333336</v>
      </c>
      <c r="D696" t="s">
        <v>45</v>
      </c>
      <c r="E696" t="s">
        <v>55</v>
      </c>
      <c r="F696" t="s">
        <v>1742</v>
      </c>
      <c r="G696">
        <v>3</v>
      </c>
      <c r="H696" s="27"/>
      <c r="I696" s="27"/>
      <c r="J696" s="26" t="str">
        <f t="shared" si="10"/>
        <v/>
      </c>
      <c r="K696" s="27">
        <v>1</v>
      </c>
      <c r="L696" s="27">
        <v>1</v>
      </c>
      <c r="N696" t="s">
        <v>90</v>
      </c>
    </row>
    <row r="697" spans="1:14">
      <c r="A697">
        <v>35</v>
      </c>
      <c r="B697">
        <v>348</v>
      </c>
      <c r="C697">
        <v>46515.583333333336</v>
      </c>
      <c r="D697" t="s">
        <v>55</v>
      </c>
      <c r="E697" t="s">
        <v>45</v>
      </c>
      <c r="F697" t="s">
        <v>1743</v>
      </c>
      <c r="G697">
        <v>2</v>
      </c>
      <c r="H697" s="27"/>
      <c r="I697" s="27"/>
      <c r="J697" s="26" t="str">
        <f t="shared" si="10"/>
        <v/>
      </c>
      <c r="K697" s="27">
        <v>1</v>
      </c>
      <c r="L697" s="27">
        <v>1</v>
      </c>
      <c r="N697" t="s">
        <v>90</v>
      </c>
    </row>
    <row r="698" spans="1:14">
      <c r="A698">
        <v>35</v>
      </c>
      <c r="B698">
        <v>349</v>
      </c>
      <c r="C698">
        <v>46515.583333333336</v>
      </c>
      <c r="D698" t="s">
        <v>46</v>
      </c>
      <c r="E698" t="s">
        <v>56</v>
      </c>
      <c r="F698" t="s">
        <v>1742</v>
      </c>
      <c r="G698">
        <v>3</v>
      </c>
      <c r="H698" s="27"/>
      <c r="I698" s="27"/>
      <c r="J698" s="26" t="str">
        <f t="shared" si="10"/>
        <v/>
      </c>
      <c r="K698" s="27">
        <v>1</v>
      </c>
      <c r="L698" s="27">
        <v>1</v>
      </c>
      <c r="N698" t="s">
        <v>90</v>
      </c>
    </row>
    <row r="699" spans="1:14">
      <c r="A699">
        <v>35</v>
      </c>
      <c r="B699">
        <v>349</v>
      </c>
      <c r="C699">
        <v>46515.583333333336</v>
      </c>
      <c r="D699" t="s">
        <v>56</v>
      </c>
      <c r="E699" t="s">
        <v>46</v>
      </c>
      <c r="F699" t="s">
        <v>1743</v>
      </c>
      <c r="G699">
        <v>3</v>
      </c>
      <c r="H699" s="27"/>
      <c r="I699" s="27"/>
      <c r="J699" s="26" t="str">
        <f t="shared" si="10"/>
        <v/>
      </c>
      <c r="K699" s="27">
        <v>1</v>
      </c>
      <c r="L699" s="27">
        <v>1</v>
      </c>
      <c r="N699" t="s">
        <v>90</v>
      </c>
    </row>
    <row r="700" spans="1:14">
      <c r="A700">
        <v>35</v>
      </c>
      <c r="B700">
        <v>350</v>
      </c>
      <c r="C700">
        <v>46515.583333333336</v>
      </c>
      <c r="D700" t="s">
        <v>44</v>
      </c>
      <c r="E700" t="s">
        <v>57</v>
      </c>
      <c r="F700" t="s">
        <v>1742</v>
      </c>
      <c r="G700">
        <v>3</v>
      </c>
      <c r="H700" s="27"/>
      <c r="I700" s="27"/>
      <c r="J700" s="26" t="str">
        <f t="shared" si="10"/>
        <v/>
      </c>
      <c r="K700" s="27">
        <v>1</v>
      </c>
      <c r="L700" s="27">
        <v>1</v>
      </c>
      <c r="N700" t="s">
        <v>90</v>
      </c>
    </row>
    <row r="701" spans="1:14">
      <c r="A701">
        <v>35</v>
      </c>
      <c r="B701">
        <v>350</v>
      </c>
      <c r="C701">
        <v>46515.583333333336</v>
      </c>
      <c r="D701" t="s">
        <v>57</v>
      </c>
      <c r="E701" t="s">
        <v>44</v>
      </c>
      <c r="F701" t="s">
        <v>1743</v>
      </c>
      <c r="G701">
        <v>4</v>
      </c>
      <c r="H701" s="27"/>
      <c r="I701" s="27"/>
      <c r="J701" s="26" t="str">
        <f t="shared" si="10"/>
        <v/>
      </c>
      <c r="K701" s="27">
        <v>1</v>
      </c>
      <c r="L701" s="27">
        <v>1</v>
      </c>
      <c r="N701" t="s">
        <v>90</v>
      </c>
    </row>
    <row r="702" spans="1:14">
      <c r="A702">
        <v>36</v>
      </c>
      <c r="B702">
        <v>351</v>
      </c>
      <c r="C702">
        <v>46522.583333333336</v>
      </c>
      <c r="D702" t="s">
        <v>56</v>
      </c>
      <c r="E702" t="s">
        <v>39</v>
      </c>
      <c r="F702" t="s">
        <v>1742</v>
      </c>
      <c r="G702">
        <v>5</v>
      </c>
      <c r="H702" s="27"/>
      <c r="I702" s="27"/>
      <c r="J702" s="26" t="str">
        <f t="shared" si="10"/>
        <v/>
      </c>
      <c r="K702" s="27">
        <v>1</v>
      </c>
      <c r="L702" s="27">
        <v>1</v>
      </c>
      <c r="N702" t="s">
        <v>90</v>
      </c>
    </row>
    <row r="703" spans="1:14">
      <c r="A703">
        <v>36</v>
      </c>
      <c r="B703">
        <v>351</v>
      </c>
      <c r="C703">
        <v>46522.583333333336</v>
      </c>
      <c r="D703" t="s">
        <v>39</v>
      </c>
      <c r="E703" t="s">
        <v>56</v>
      </c>
      <c r="F703" t="s">
        <v>1743</v>
      </c>
      <c r="G703">
        <v>3</v>
      </c>
      <c r="H703" s="27"/>
      <c r="I703" s="27"/>
      <c r="J703" s="26" t="str">
        <f t="shared" si="10"/>
        <v/>
      </c>
      <c r="K703" s="27">
        <v>1</v>
      </c>
      <c r="L703" s="27">
        <v>1</v>
      </c>
      <c r="N703" t="s">
        <v>90</v>
      </c>
    </row>
    <row r="704" spans="1:14">
      <c r="A704">
        <v>36</v>
      </c>
      <c r="B704">
        <v>352</v>
      </c>
      <c r="C704">
        <v>46522.583333333336</v>
      </c>
      <c r="D704" t="s">
        <v>55</v>
      </c>
      <c r="E704" t="s">
        <v>40</v>
      </c>
      <c r="F704" t="s">
        <v>1742</v>
      </c>
      <c r="G704">
        <v>4</v>
      </c>
      <c r="H704" s="27"/>
      <c r="I704" s="27"/>
      <c r="J704" s="26" t="str">
        <f t="shared" si="10"/>
        <v/>
      </c>
      <c r="K704" s="27">
        <v>1</v>
      </c>
      <c r="L704" s="27">
        <v>1</v>
      </c>
      <c r="N704" t="s">
        <v>90</v>
      </c>
    </row>
    <row r="705" spans="1:14">
      <c r="A705">
        <v>36</v>
      </c>
      <c r="B705">
        <v>352</v>
      </c>
      <c r="C705">
        <v>46522.583333333336</v>
      </c>
      <c r="D705" t="s">
        <v>40</v>
      </c>
      <c r="E705" t="s">
        <v>55</v>
      </c>
      <c r="F705" t="s">
        <v>1743</v>
      </c>
      <c r="G705">
        <v>2</v>
      </c>
      <c r="H705" s="27"/>
      <c r="I705" s="27"/>
      <c r="J705" s="26" t="str">
        <f t="shared" si="10"/>
        <v/>
      </c>
      <c r="K705" s="27">
        <v>1</v>
      </c>
      <c r="L705" s="27">
        <v>1</v>
      </c>
      <c r="N705" t="s">
        <v>90</v>
      </c>
    </row>
    <row r="706" spans="1:14">
      <c r="A706">
        <v>36</v>
      </c>
      <c r="B706">
        <v>353</v>
      </c>
      <c r="C706">
        <v>46522.583333333336</v>
      </c>
      <c r="D706" t="s">
        <v>47</v>
      </c>
      <c r="E706" t="s">
        <v>44</v>
      </c>
      <c r="F706" t="s">
        <v>1742</v>
      </c>
      <c r="G706">
        <v>4</v>
      </c>
      <c r="H706" s="27"/>
      <c r="I706" s="27"/>
      <c r="J706" s="26" t="str">
        <f t="shared" ref="J706:J769" si="11">IF(I706="","",EXP(-I706))</f>
        <v/>
      </c>
      <c r="K706" s="27">
        <v>1</v>
      </c>
      <c r="L706" s="27">
        <v>1</v>
      </c>
      <c r="N706" t="s">
        <v>90</v>
      </c>
    </row>
    <row r="707" spans="1:14">
      <c r="A707">
        <v>36</v>
      </c>
      <c r="B707">
        <v>353</v>
      </c>
      <c r="C707">
        <v>46522.583333333336</v>
      </c>
      <c r="D707" t="s">
        <v>44</v>
      </c>
      <c r="E707" t="s">
        <v>47</v>
      </c>
      <c r="F707" t="s">
        <v>1743</v>
      </c>
      <c r="G707">
        <v>3</v>
      </c>
      <c r="H707" s="27"/>
      <c r="I707" s="27"/>
      <c r="J707" s="26" t="str">
        <f t="shared" si="11"/>
        <v/>
      </c>
      <c r="K707" s="27">
        <v>1</v>
      </c>
      <c r="L707" s="27">
        <v>1</v>
      </c>
      <c r="N707" t="s">
        <v>90</v>
      </c>
    </row>
    <row r="708" spans="1:14">
      <c r="A708">
        <v>36</v>
      </c>
      <c r="B708">
        <v>354</v>
      </c>
      <c r="C708">
        <v>46522.583333333336</v>
      </c>
      <c r="D708" t="s">
        <v>57</v>
      </c>
      <c r="E708" t="s">
        <v>45</v>
      </c>
      <c r="F708" t="s">
        <v>1742</v>
      </c>
      <c r="G708">
        <v>2</v>
      </c>
      <c r="H708" s="27"/>
      <c r="I708" s="27"/>
      <c r="J708" s="26" t="str">
        <f t="shared" si="11"/>
        <v/>
      </c>
      <c r="K708" s="27">
        <v>1</v>
      </c>
      <c r="L708" s="27">
        <v>1</v>
      </c>
      <c r="N708" t="s">
        <v>90</v>
      </c>
    </row>
    <row r="709" spans="1:14">
      <c r="A709">
        <v>36</v>
      </c>
      <c r="B709">
        <v>354</v>
      </c>
      <c r="C709">
        <v>46522.583333333336</v>
      </c>
      <c r="D709" t="s">
        <v>45</v>
      </c>
      <c r="E709" t="s">
        <v>57</v>
      </c>
      <c r="F709" t="s">
        <v>1743</v>
      </c>
      <c r="G709">
        <v>3</v>
      </c>
      <c r="H709" s="27"/>
      <c r="I709" s="27"/>
      <c r="J709" s="26" t="str">
        <f t="shared" si="11"/>
        <v/>
      </c>
      <c r="K709" s="27">
        <v>1</v>
      </c>
      <c r="L709" s="27">
        <v>1</v>
      </c>
      <c r="N709" t="s">
        <v>90</v>
      </c>
    </row>
    <row r="710" spans="1:14">
      <c r="A710">
        <v>36</v>
      </c>
      <c r="B710">
        <v>355</v>
      </c>
      <c r="C710">
        <v>46522.583333333336</v>
      </c>
      <c r="D710" t="s">
        <v>43</v>
      </c>
      <c r="E710" t="s">
        <v>46</v>
      </c>
      <c r="F710" t="s">
        <v>1742</v>
      </c>
      <c r="G710">
        <v>3</v>
      </c>
      <c r="H710" s="27"/>
      <c r="I710" s="27"/>
      <c r="J710" s="26" t="str">
        <f t="shared" si="11"/>
        <v/>
      </c>
      <c r="K710" s="27">
        <v>1</v>
      </c>
      <c r="L710" s="27">
        <v>1</v>
      </c>
      <c r="N710" t="s">
        <v>90</v>
      </c>
    </row>
    <row r="711" spans="1:14">
      <c r="A711">
        <v>36</v>
      </c>
      <c r="B711">
        <v>355</v>
      </c>
      <c r="C711">
        <v>46522.583333333336</v>
      </c>
      <c r="D711" t="s">
        <v>46</v>
      </c>
      <c r="E711" t="s">
        <v>43</v>
      </c>
      <c r="F711" t="s">
        <v>1743</v>
      </c>
      <c r="G711">
        <v>2</v>
      </c>
      <c r="H711" s="27"/>
      <c r="I711" s="27"/>
      <c r="J711" s="26" t="str">
        <f t="shared" si="11"/>
        <v/>
      </c>
      <c r="K711" s="27">
        <v>1</v>
      </c>
      <c r="L711" s="27">
        <v>1</v>
      </c>
      <c r="N711" t="s">
        <v>90</v>
      </c>
    </row>
    <row r="712" spans="1:14">
      <c r="A712">
        <v>36</v>
      </c>
      <c r="B712">
        <v>356</v>
      </c>
      <c r="C712">
        <v>46522.583333333336</v>
      </c>
      <c r="D712" t="s">
        <v>48</v>
      </c>
      <c r="E712" t="s">
        <v>49</v>
      </c>
      <c r="F712" t="s">
        <v>1742</v>
      </c>
      <c r="G712">
        <v>2</v>
      </c>
      <c r="H712" s="27"/>
      <c r="I712" s="27"/>
      <c r="J712" s="26" t="str">
        <f t="shared" si="11"/>
        <v/>
      </c>
      <c r="K712" s="27">
        <v>1</v>
      </c>
      <c r="L712" s="27">
        <v>1</v>
      </c>
      <c r="N712" t="s">
        <v>90</v>
      </c>
    </row>
    <row r="713" spans="1:14">
      <c r="A713">
        <v>36</v>
      </c>
      <c r="B713">
        <v>356</v>
      </c>
      <c r="C713">
        <v>46522.583333333336</v>
      </c>
      <c r="D713" t="s">
        <v>49</v>
      </c>
      <c r="E713" t="s">
        <v>48</v>
      </c>
      <c r="F713" t="s">
        <v>1743</v>
      </c>
      <c r="G713">
        <v>2</v>
      </c>
      <c r="H713" s="27"/>
      <c r="I713" s="27"/>
      <c r="J713" s="26" t="str">
        <f t="shared" si="11"/>
        <v/>
      </c>
      <c r="K713" s="27">
        <v>1</v>
      </c>
      <c r="L713" s="27">
        <v>1</v>
      </c>
      <c r="N713" t="s">
        <v>90</v>
      </c>
    </row>
    <row r="714" spans="1:14">
      <c r="A714">
        <v>36</v>
      </c>
      <c r="B714">
        <v>357</v>
      </c>
      <c r="C714">
        <v>46522.583333333336</v>
      </c>
      <c r="D714" t="s">
        <v>53</v>
      </c>
      <c r="E714" t="s">
        <v>50</v>
      </c>
      <c r="F714" t="s">
        <v>1742</v>
      </c>
      <c r="G714">
        <v>2</v>
      </c>
      <c r="H714" s="27"/>
      <c r="I714" s="27"/>
      <c r="J714" s="26" t="str">
        <f t="shared" si="11"/>
        <v/>
      </c>
      <c r="K714" s="27">
        <v>1</v>
      </c>
      <c r="L714" s="27">
        <v>1</v>
      </c>
      <c r="N714" t="s">
        <v>90</v>
      </c>
    </row>
    <row r="715" spans="1:14">
      <c r="A715">
        <v>36</v>
      </c>
      <c r="B715">
        <v>357</v>
      </c>
      <c r="C715">
        <v>46522.583333333336</v>
      </c>
      <c r="D715" t="s">
        <v>50</v>
      </c>
      <c r="E715" t="s">
        <v>53</v>
      </c>
      <c r="F715" t="s">
        <v>1743</v>
      </c>
      <c r="G715">
        <v>4</v>
      </c>
      <c r="H715" s="27"/>
      <c r="I715" s="27"/>
      <c r="J715" s="26" t="str">
        <f t="shared" si="11"/>
        <v/>
      </c>
      <c r="K715" s="27">
        <v>1</v>
      </c>
      <c r="L715" s="27">
        <v>1</v>
      </c>
      <c r="N715" t="s">
        <v>90</v>
      </c>
    </row>
    <row r="716" spans="1:14">
      <c r="A716">
        <v>36</v>
      </c>
      <c r="B716">
        <v>358</v>
      </c>
      <c r="C716">
        <v>46522.583333333336</v>
      </c>
      <c r="D716" t="s">
        <v>42</v>
      </c>
      <c r="E716" t="s">
        <v>52</v>
      </c>
      <c r="F716" t="s">
        <v>1742</v>
      </c>
      <c r="G716">
        <v>4</v>
      </c>
      <c r="H716" s="27"/>
      <c r="I716" s="27"/>
      <c r="J716" s="26" t="str">
        <f t="shared" si="11"/>
        <v/>
      </c>
      <c r="K716" s="27">
        <v>1</v>
      </c>
      <c r="L716" s="27">
        <v>1</v>
      </c>
      <c r="N716" t="s">
        <v>90</v>
      </c>
    </row>
    <row r="717" spans="1:14">
      <c r="A717">
        <v>36</v>
      </c>
      <c r="B717">
        <v>358</v>
      </c>
      <c r="C717">
        <v>46522.583333333336</v>
      </c>
      <c r="D717" t="s">
        <v>52</v>
      </c>
      <c r="E717" t="s">
        <v>42</v>
      </c>
      <c r="F717" t="s">
        <v>1743</v>
      </c>
      <c r="G717">
        <v>3</v>
      </c>
      <c r="H717" s="27"/>
      <c r="I717" s="27"/>
      <c r="J717" s="26" t="str">
        <f t="shared" si="11"/>
        <v/>
      </c>
      <c r="K717" s="27">
        <v>1</v>
      </c>
      <c r="L717" s="27">
        <v>1</v>
      </c>
      <c r="N717" t="s">
        <v>90</v>
      </c>
    </row>
    <row r="718" spans="1:14">
      <c r="A718">
        <v>36</v>
      </c>
      <c r="B718">
        <v>359</v>
      </c>
      <c r="C718">
        <v>46522.583333333336</v>
      </c>
      <c r="D718" t="s">
        <v>51</v>
      </c>
      <c r="E718" t="s">
        <v>54</v>
      </c>
      <c r="F718" t="s">
        <v>1742</v>
      </c>
      <c r="G718">
        <v>4</v>
      </c>
      <c r="H718" s="27"/>
      <c r="I718" s="27"/>
      <c r="J718" s="26" t="str">
        <f t="shared" si="11"/>
        <v/>
      </c>
      <c r="K718" s="27">
        <v>1</v>
      </c>
      <c r="L718" s="27">
        <v>1</v>
      </c>
      <c r="N718" t="s">
        <v>90</v>
      </c>
    </row>
    <row r="719" spans="1:14">
      <c r="A719">
        <v>36</v>
      </c>
      <c r="B719">
        <v>359</v>
      </c>
      <c r="C719">
        <v>46522.583333333336</v>
      </c>
      <c r="D719" t="s">
        <v>54</v>
      </c>
      <c r="E719" t="s">
        <v>51</v>
      </c>
      <c r="F719" t="s">
        <v>1743</v>
      </c>
      <c r="G719">
        <v>2</v>
      </c>
      <c r="H719" s="27"/>
      <c r="I719" s="27"/>
      <c r="J719" s="26" t="str">
        <f t="shared" si="11"/>
        <v/>
      </c>
      <c r="K719" s="27">
        <v>1</v>
      </c>
      <c r="L719" s="27">
        <v>1</v>
      </c>
      <c r="N719" t="s">
        <v>90</v>
      </c>
    </row>
    <row r="720" spans="1:14">
      <c r="A720">
        <v>36</v>
      </c>
      <c r="B720">
        <v>360</v>
      </c>
      <c r="C720">
        <v>46522.583333333336</v>
      </c>
      <c r="D720" t="s">
        <v>41</v>
      </c>
      <c r="E720" t="s">
        <v>58</v>
      </c>
      <c r="F720" t="s">
        <v>1742</v>
      </c>
      <c r="G720">
        <v>3</v>
      </c>
      <c r="H720" s="27"/>
      <c r="I720" s="27"/>
      <c r="J720" s="26" t="str">
        <f t="shared" si="11"/>
        <v/>
      </c>
      <c r="K720" s="27">
        <v>1</v>
      </c>
      <c r="L720" s="27">
        <v>1</v>
      </c>
      <c r="N720" t="s">
        <v>90</v>
      </c>
    </row>
    <row r="721" spans="1:14">
      <c r="A721">
        <v>36</v>
      </c>
      <c r="B721">
        <v>360</v>
      </c>
      <c r="C721">
        <v>46522.583333333336</v>
      </c>
      <c r="D721" t="s">
        <v>58</v>
      </c>
      <c r="E721" t="s">
        <v>41</v>
      </c>
      <c r="F721" t="s">
        <v>1743</v>
      </c>
      <c r="G721">
        <v>3</v>
      </c>
      <c r="H721" s="27"/>
      <c r="I721" s="27"/>
      <c r="J721" s="26" t="str">
        <f t="shared" si="11"/>
        <v/>
      </c>
      <c r="K721" s="27">
        <v>1</v>
      </c>
      <c r="L721" s="27">
        <v>1</v>
      </c>
      <c r="N721" t="s">
        <v>90</v>
      </c>
    </row>
    <row r="722" spans="1:14">
      <c r="A722">
        <v>37</v>
      </c>
      <c r="B722">
        <v>361</v>
      </c>
      <c r="C722">
        <v>46530.583333333336</v>
      </c>
      <c r="D722" t="s">
        <v>44</v>
      </c>
      <c r="E722" t="s">
        <v>41</v>
      </c>
      <c r="F722" t="s">
        <v>1742</v>
      </c>
      <c r="G722">
        <v>3</v>
      </c>
      <c r="H722" s="27"/>
      <c r="I722" s="27"/>
      <c r="J722" s="26" t="str">
        <f t="shared" si="11"/>
        <v/>
      </c>
      <c r="K722" s="27">
        <v>1</v>
      </c>
      <c r="L722" s="27">
        <v>1</v>
      </c>
      <c r="N722" t="s">
        <v>90</v>
      </c>
    </row>
    <row r="723" spans="1:14">
      <c r="A723">
        <v>37</v>
      </c>
      <c r="B723">
        <v>361</v>
      </c>
      <c r="C723">
        <v>46530.583333333336</v>
      </c>
      <c r="D723" t="s">
        <v>41</v>
      </c>
      <c r="E723" t="s">
        <v>44</v>
      </c>
      <c r="F723" t="s">
        <v>1743</v>
      </c>
      <c r="G723">
        <v>4</v>
      </c>
      <c r="H723" s="27"/>
      <c r="I723" s="27"/>
      <c r="J723" s="26" t="str">
        <f t="shared" si="11"/>
        <v/>
      </c>
      <c r="K723" s="27">
        <v>1</v>
      </c>
      <c r="L723" s="27">
        <v>1</v>
      </c>
      <c r="N723" t="s">
        <v>90</v>
      </c>
    </row>
    <row r="724" spans="1:14">
      <c r="A724">
        <v>37</v>
      </c>
      <c r="B724">
        <v>362</v>
      </c>
      <c r="C724">
        <v>46530.583333333336</v>
      </c>
      <c r="D724" t="s">
        <v>49</v>
      </c>
      <c r="E724" t="s">
        <v>42</v>
      </c>
      <c r="F724" t="s">
        <v>1742</v>
      </c>
      <c r="G724">
        <v>3</v>
      </c>
      <c r="H724" s="27"/>
      <c r="I724" s="27"/>
      <c r="J724" s="26" t="str">
        <f t="shared" si="11"/>
        <v/>
      </c>
      <c r="K724" s="27">
        <v>1</v>
      </c>
      <c r="L724" s="27">
        <v>1</v>
      </c>
      <c r="N724" t="s">
        <v>90</v>
      </c>
    </row>
    <row r="725" spans="1:14">
      <c r="A725">
        <v>37</v>
      </c>
      <c r="B725">
        <v>362</v>
      </c>
      <c r="C725">
        <v>46530.583333333336</v>
      </c>
      <c r="D725" t="s">
        <v>42</v>
      </c>
      <c r="E725" t="s">
        <v>49</v>
      </c>
      <c r="F725" t="s">
        <v>1743</v>
      </c>
      <c r="G725">
        <v>2</v>
      </c>
      <c r="H725" s="27"/>
      <c r="I725" s="27"/>
      <c r="J725" s="26" t="str">
        <f t="shared" si="11"/>
        <v/>
      </c>
      <c r="K725" s="27">
        <v>1</v>
      </c>
      <c r="L725" s="27">
        <v>1</v>
      </c>
      <c r="N725" t="s">
        <v>90</v>
      </c>
    </row>
    <row r="726" spans="1:14">
      <c r="A726">
        <v>37</v>
      </c>
      <c r="B726">
        <v>363</v>
      </c>
      <c r="C726">
        <v>46530.583333333336</v>
      </c>
      <c r="D726" t="s">
        <v>52</v>
      </c>
      <c r="E726" t="s">
        <v>43</v>
      </c>
      <c r="F726" t="s">
        <v>1742</v>
      </c>
      <c r="G726">
        <v>3</v>
      </c>
      <c r="H726" s="27"/>
      <c r="I726" s="27"/>
      <c r="J726" s="26" t="str">
        <f t="shared" si="11"/>
        <v/>
      </c>
      <c r="K726" s="27">
        <v>1</v>
      </c>
      <c r="L726" s="27">
        <v>1</v>
      </c>
      <c r="N726" t="s">
        <v>90</v>
      </c>
    </row>
    <row r="727" spans="1:14">
      <c r="A727">
        <v>37</v>
      </c>
      <c r="B727">
        <v>363</v>
      </c>
      <c r="C727">
        <v>46530.583333333336</v>
      </c>
      <c r="D727" t="s">
        <v>43</v>
      </c>
      <c r="E727" t="s">
        <v>52</v>
      </c>
      <c r="F727" t="s">
        <v>1743</v>
      </c>
      <c r="G727">
        <v>4</v>
      </c>
      <c r="H727" s="27"/>
      <c r="I727" s="27"/>
      <c r="J727" s="26" t="str">
        <f t="shared" si="11"/>
        <v/>
      </c>
      <c r="K727" s="27">
        <v>1</v>
      </c>
      <c r="L727" s="27">
        <v>1</v>
      </c>
      <c r="N727" t="s">
        <v>90</v>
      </c>
    </row>
    <row r="728" spans="1:14">
      <c r="A728">
        <v>37</v>
      </c>
      <c r="B728">
        <v>364</v>
      </c>
      <c r="C728">
        <v>46530.583333333336</v>
      </c>
      <c r="D728" t="s">
        <v>39</v>
      </c>
      <c r="E728" t="s">
        <v>47</v>
      </c>
      <c r="F728" t="s">
        <v>1742</v>
      </c>
      <c r="G728">
        <v>3</v>
      </c>
      <c r="H728" s="27"/>
      <c r="I728" s="27"/>
      <c r="J728" s="26" t="str">
        <f t="shared" si="11"/>
        <v/>
      </c>
      <c r="K728" s="27">
        <v>1</v>
      </c>
      <c r="L728" s="27">
        <v>1</v>
      </c>
      <c r="N728" t="s">
        <v>90</v>
      </c>
    </row>
    <row r="729" spans="1:14">
      <c r="A729">
        <v>37</v>
      </c>
      <c r="B729">
        <v>364</v>
      </c>
      <c r="C729">
        <v>46530.583333333336</v>
      </c>
      <c r="D729" t="s">
        <v>47</v>
      </c>
      <c r="E729" t="s">
        <v>39</v>
      </c>
      <c r="F729" t="s">
        <v>1743</v>
      </c>
      <c r="G729">
        <v>4</v>
      </c>
      <c r="H729" s="27"/>
      <c r="I729" s="27"/>
      <c r="J729" s="26" t="str">
        <f t="shared" si="11"/>
        <v/>
      </c>
      <c r="K729" s="27">
        <v>1</v>
      </c>
      <c r="L729" s="27">
        <v>1</v>
      </c>
      <c r="N729" t="s">
        <v>90</v>
      </c>
    </row>
    <row r="730" spans="1:14">
      <c r="A730">
        <v>37</v>
      </c>
      <c r="B730">
        <v>365</v>
      </c>
      <c r="C730">
        <v>46530.583333333336</v>
      </c>
      <c r="D730" t="s">
        <v>45</v>
      </c>
      <c r="E730" t="s">
        <v>48</v>
      </c>
      <c r="F730" t="s">
        <v>1742</v>
      </c>
      <c r="G730">
        <v>3</v>
      </c>
      <c r="H730" s="27"/>
      <c r="I730" s="27"/>
      <c r="J730" s="26" t="str">
        <f t="shared" si="11"/>
        <v/>
      </c>
      <c r="K730" s="27">
        <v>1</v>
      </c>
      <c r="L730" s="27">
        <v>1</v>
      </c>
      <c r="N730" t="s">
        <v>90</v>
      </c>
    </row>
    <row r="731" spans="1:14">
      <c r="A731">
        <v>37</v>
      </c>
      <c r="B731">
        <v>365</v>
      </c>
      <c r="C731">
        <v>46530.583333333336</v>
      </c>
      <c r="D731" t="s">
        <v>48</v>
      </c>
      <c r="E731" t="s">
        <v>45</v>
      </c>
      <c r="F731" t="s">
        <v>1743</v>
      </c>
      <c r="G731">
        <v>2</v>
      </c>
      <c r="H731" s="27"/>
      <c r="I731" s="27"/>
      <c r="J731" s="26" t="str">
        <f t="shared" si="11"/>
        <v/>
      </c>
      <c r="K731" s="27">
        <v>1</v>
      </c>
      <c r="L731" s="27">
        <v>1</v>
      </c>
      <c r="N731" t="s">
        <v>90</v>
      </c>
    </row>
    <row r="732" spans="1:14">
      <c r="A732">
        <v>37</v>
      </c>
      <c r="B732">
        <v>366</v>
      </c>
      <c r="C732">
        <v>46530.583333333336</v>
      </c>
      <c r="D732" t="s">
        <v>58</v>
      </c>
      <c r="E732" t="s">
        <v>51</v>
      </c>
      <c r="F732" t="s">
        <v>1742</v>
      </c>
      <c r="G732">
        <v>3</v>
      </c>
      <c r="H732" s="27"/>
      <c r="I732" s="27"/>
      <c r="J732" s="26" t="str">
        <f t="shared" si="11"/>
        <v/>
      </c>
      <c r="K732" s="27">
        <v>1</v>
      </c>
      <c r="L732" s="27">
        <v>1</v>
      </c>
      <c r="N732" t="s">
        <v>90</v>
      </c>
    </row>
    <row r="733" spans="1:14">
      <c r="A733">
        <v>37</v>
      </c>
      <c r="B733">
        <v>366</v>
      </c>
      <c r="C733">
        <v>46530.583333333336</v>
      </c>
      <c r="D733" t="s">
        <v>51</v>
      </c>
      <c r="E733" t="s">
        <v>58</v>
      </c>
      <c r="F733" t="s">
        <v>1743</v>
      </c>
      <c r="G733">
        <v>2</v>
      </c>
      <c r="H733" s="27"/>
      <c r="I733" s="27"/>
      <c r="J733" s="26" t="str">
        <f t="shared" si="11"/>
        <v/>
      </c>
      <c r="K733" s="27">
        <v>1</v>
      </c>
      <c r="L733" s="27">
        <v>1</v>
      </c>
      <c r="N733" t="s">
        <v>90</v>
      </c>
    </row>
    <row r="734" spans="1:14">
      <c r="A734">
        <v>37</v>
      </c>
      <c r="B734">
        <v>367</v>
      </c>
      <c r="C734">
        <v>46530.583333333336</v>
      </c>
      <c r="D734" t="s">
        <v>40</v>
      </c>
      <c r="E734" t="s">
        <v>53</v>
      </c>
      <c r="F734" t="s">
        <v>1742</v>
      </c>
      <c r="G734">
        <v>5</v>
      </c>
      <c r="H734" s="27"/>
      <c r="I734" s="27"/>
      <c r="J734" s="26" t="str">
        <f t="shared" si="11"/>
        <v/>
      </c>
      <c r="K734" s="27">
        <v>1</v>
      </c>
      <c r="L734" s="27">
        <v>1</v>
      </c>
      <c r="N734" t="s">
        <v>90</v>
      </c>
    </row>
    <row r="735" spans="1:14">
      <c r="A735">
        <v>37</v>
      </c>
      <c r="B735">
        <v>367</v>
      </c>
      <c r="C735">
        <v>46530.583333333336</v>
      </c>
      <c r="D735" t="s">
        <v>53</v>
      </c>
      <c r="E735" t="s">
        <v>40</v>
      </c>
      <c r="F735" t="s">
        <v>1743</v>
      </c>
      <c r="G735">
        <v>3</v>
      </c>
      <c r="H735" s="27"/>
      <c r="I735" s="27"/>
      <c r="J735" s="26" t="str">
        <f t="shared" si="11"/>
        <v/>
      </c>
      <c r="K735" s="27">
        <v>1</v>
      </c>
      <c r="L735" s="27">
        <v>1</v>
      </c>
      <c r="N735" t="s">
        <v>90</v>
      </c>
    </row>
    <row r="736" spans="1:14">
      <c r="A736">
        <v>37</v>
      </c>
      <c r="B736">
        <v>368</v>
      </c>
      <c r="C736">
        <v>46530.583333333336</v>
      </c>
      <c r="D736" t="s">
        <v>46</v>
      </c>
      <c r="E736" t="s">
        <v>55</v>
      </c>
      <c r="F736" t="s">
        <v>1742</v>
      </c>
      <c r="G736">
        <v>3</v>
      </c>
      <c r="H736" s="27"/>
      <c r="I736" s="27"/>
      <c r="J736" s="26" t="str">
        <f t="shared" si="11"/>
        <v/>
      </c>
      <c r="K736" s="27">
        <v>1</v>
      </c>
      <c r="L736" s="27">
        <v>1</v>
      </c>
      <c r="N736" t="s">
        <v>90</v>
      </c>
    </row>
    <row r="737" spans="1:14">
      <c r="A737">
        <v>37</v>
      </c>
      <c r="B737">
        <v>368</v>
      </c>
      <c r="C737">
        <v>46530.583333333336</v>
      </c>
      <c r="D737" t="s">
        <v>55</v>
      </c>
      <c r="E737" t="s">
        <v>46</v>
      </c>
      <c r="F737" t="s">
        <v>1743</v>
      </c>
      <c r="G737">
        <v>3</v>
      </c>
      <c r="H737" s="27"/>
      <c r="I737" s="27"/>
      <c r="J737" s="26" t="str">
        <f t="shared" si="11"/>
        <v/>
      </c>
      <c r="K737" s="27">
        <v>1</v>
      </c>
      <c r="L737" s="27">
        <v>1</v>
      </c>
      <c r="N737" t="s">
        <v>90</v>
      </c>
    </row>
    <row r="738" spans="1:14">
      <c r="A738">
        <v>37</v>
      </c>
      <c r="B738">
        <v>369</v>
      </c>
      <c r="C738">
        <v>46530.583333333336</v>
      </c>
      <c r="D738" t="s">
        <v>50</v>
      </c>
      <c r="E738" t="s">
        <v>56</v>
      </c>
      <c r="F738" t="s">
        <v>1742</v>
      </c>
      <c r="G738">
        <v>3</v>
      </c>
      <c r="H738" s="27"/>
      <c r="I738" s="27"/>
      <c r="J738" s="26" t="str">
        <f t="shared" si="11"/>
        <v/>
      </c>
      <c r="K738" s="27">
        <v>1</v>
      </c>
      <c r="L738" s="27">
        <v>1</v>
      </c>
      <c r="N738" t="s">
        <v>90</v>
      </c>
    </row>
    <row r="739" spans="1:14">
      <c r="A739">
        <v>37</v>
      </c>
      <c r="B739">
        <v>369</v>
      </c>
      <c r="C739">
        <v>46530.583333333336</v>
      </c>
      <c r="D739" t="s">
        <v>56</v>
      </c>
      <c r="E739" t="s">
        <v>50</v>
      </c>
      <c r="F739" t="s">
        <v>1743</v>
      </c>
      <c r="G739">
        <v>2</v>
      </c>
      <c r="H739" s="27"/>
      <c r="I739" s="27"/>
      <c r="J739" s="26" t="str">
        <f t="shared" si="11"/>
        <v/>
      </c>
      <c r="K739" s="27">
        <v>1</v>
      </c>
      <c r="L739" s="27">
        <v>1</v>
      </c>
      <c r="N739" t="s">
        <v>90</v>
      </c>
    </row>
    <row r="740" spans="1:14">
      <c r="A740">
        <v>37</v>
      </c>
      <c r="B740">
        <v>370</v>
      </c>
      <c r="C740">
        <v>46530.583333333336</v>
      </c>
      <c r="D740" t="s">
        <v>54</v>
      </c>
      <c r="E740" t="s">
        <v>57</v>
      </c>
      <c r="F740" t="s">
        <v>1742</v>
      </c>
      <c r="G740">
        <v>3</v>
      </c>
      <c r="H740" s="27"/>
      <c r="I740" s="27"/>
      <c r="J740" s="26" t="str">
        <f t="shared" si="11"/>
        <v/>
      </c>
      <c r="K740" s="27">
        <v>1</v>
      </c>
      <c r="L740" s="27">
        <v>1</v>
      </c>
      <c r="N740" t="s">
        <v>90</v>
      </c>
    </row>
    <row r="741" spans="1:14">
      <c r="A741">
        <v>37</v>
      </c>
      <c r="B741">
        <v>370</v>
      </c>
      <c r="C741">
        <v>46530.583333333336</v>
      </c>
      <c r="D741" t="s">
        <v>57</v>
      </c>
      <c r="E741" t="s">
        <v>54</v>
      </c>
      <c r="F741" t="s">
        <v>1743</v>
      </c>
      <c r="G741">
        <v>4</v>
      </c>
      <c r="H741" s="27"/>
      <c r="I741" s="27"/>
      <c r="J741" s="26" t="str">
        <f t="shared" si="11"/>
        <v/>
      </c>
      <c r="K741" s="27">
        <v>1</v>
      </c>
      <c r="L741" s="27">
        <v>1</v>
      </c>
      <c r="N741" t="s">
        <v>90</v>
      </c>
    </row>
    <row r="742" spans="1:14">
      <c r="A742">
        <v>38</v>
      </c>
      <c r="B742">
        <v>371</v>
      </c>
      <c r="C742">
        <v>46537.625</v>
      </c>
      <c r="D742" t="s">
        <v>43</v>
      </c>
      <c r="E742" t="s">
        <v>39</v>
      </c>
      <c r="F742" t="s">
        <v>1742</v>
      </c>
      <c r="G742">
        <v>5</v>
      </c>
      <c r="H742" s="27"/>
      <c r="I742" s="27"/>
      <c r="J742" s="26" t="str">
        <f t="shared" si="11"/>
        <v/>
      </c>
      <c r="K742" s="27">
        <v>1</v>
      </c>
      <c r="L742" s="27">
        <v>1</v>
      </c>
      <c r="N742" t="s">
        <v>90</v>
      </c>
    </row>
    <row r="743" spans="1:14">
      <c r="A743">
        <v>38</v>
      </c>
      <c r="B743">
        <v>371</v>
      </c>
      <c r="C743">
        <v>46537.625</v>
      </c>
      <c r="D743" t="s">
        <v>39</v>
      </c>
      <c r="E743" t="s">
        <v>43</v>
      </c>
      <c r="F743" t="s">
        <v>1743</v>
      </c>
      <c r="G743">
        <v>2</v>
      </c>
      <c r="H743" s="27"/>
      <c r="I743" s="27"/>
      <c r="J743" s="26" t="str">
        <f t="shared" si="11"/>
        <v/>
      </c>
      <c r="K743" s="27">
        <v>1</v>
      </c>
      <c r="L743" s="27">
        <v>1</v>
      </c>
      <c r="N743" t="s">
        <v>90</v>
      </c>
    </row>
    <row r="744" spans="1:14">
      <c r="A744">
        <v>38</v>
      </c>
      <c r="B744">
        <v>372</v>
      </c>
      <c r="C744">
        <v>46537.625</v>
      </c>
      <c r="D744" t="s">
        <v>57</v>
      </c>
      <c r="E744" t="s">
        <v>40</v>
      </c>
      <c r="F744" t="s">
        <v>1742</v>
      </c>
      <c r="G744">
        <v>4</v>
      </c>
      <c r="H744" s="27"/>
      <c r="I744" s="27"/>
      <c r="J744" s="26" t="str">
        <f t="shared" si="11"/>
        <v/>
      </c>
      <c r="K744" s="27">
        <v>1</v>
      </c>
      <c r="L744" s="27">
        <v>1</v>
      </c>
      <c r="N744" t="s">
        <v>90</v>
      </c>
    </row>
    <row r="745" spans="1:14">
      <c r="A745">
        <v>38</v>
      </c>
      <c r="B745">
        <v>372</v>
      </c>
      <c r="C745">
        <v>46537.625</v>
      </c>
      <c r="D745" t="s">
        <v>40</v>
      </c>
      <c r="E745" t="s">
        <v>57</v>
      </c>
      <c r="F745" t="s">
        <v>1743</v>
      </c>
      <c r="G745">
        <v>3</v>
      </c>
      <c r="H745" s="27"/>
      <c r="I745" s="27"/>
      <c r="J745" s="26" t="str">
        <f t="shared" si="11"/>
        <v/>
      </c>
      <c r="K745" s="27">
        <v>1</v>
      </c>
      <c r="L745" s="27">
        <v>1</v>
      </c>
      <c r="N745" t="s">
        <v>90</v>
      </c>
    </row>
    <row r="746" spans="1:14">
      <c r="A746">
        <v>38</v>
      </c>
      <c r="B746">
        <v>373</v>
      </c>
      <c r="C746">
        <v>46537.625</v>
      </c>
      <c r="D746" t="s">
        <v>42</v>
      </c>
      <c r="E746" t="s">
        <v>44</v>
      </c>
      <c r="F746" t="s">
        <v>1742</v>
      </c>
      <c r="G746">
        <v>4</v>
      </c>
      <c r="H746" s="27"/>
      <c r="I746" s="27"/>
      <c r="J746" s="26" t="str">
        <f t="shared" si="11"/>
        <v/>
      </c>
      <c r="K746" s="27">
        <v>1</v>
      </c>
      <c r="L746" s="27">
        <v>1</v>
      </c>
      <c r="N746" t="s">
        <v>90</v>
      </c>
    </row>
    <row r="747" spans="1:14">
      <c r="A747">
        <v>38</v>
      </c>
      <c r="B747">
        <v>373</v>
      </c>
      <c r="C747">
        <v>46537.625</v>
      </c>
      <c r="D747" t="s">
        <v>44</v>
      </c>
      <c r="E747" t="s">
        <v>42</v>
      </c>
      <c r="F747" t="s">
        <v>1743</v>
      </c>
      <c r="G747">
        <v>3</v>
      </c>
      <c r="H747" s="27"/>
      <c r="I747" s="27"/>
      <c r="J747" s="26" t="str">
        <f t="shared" si="11"/>
        <v/>
      </c>
      <c r="K747" s="27">
        <v>1</v>
      </c>
      <c r="L747" s="27">
        <v>1</v>
      </c>
      <c r="N747" t="s">
        <v>90</v>
      </c>
    </row>
    <row r="748" spans="1:14">
      <c r="A748">
        <v>38</v>
      </c>
      <c r="B748">
        <v>374</v>
      </c>
      <c r="C748">
        <v>46537.625</v>
      </c>
      <c r="D748" t="s">
        <v>56</v>
      </c>
      <c r="E748" t="s">
        <v>45</v>
      </c>
      <c r="F748" t="s">
        <v>1742</v>
      </c>
      <c r="G748">
        <v>2</v>
      </c>
      <c r="H748" s="27"/>
      <c r="I748" s="27"/>
      <c r="J748" s="26" t="str">
        <f t="shared" si="11"/>
        <v/>
      </c>
      <c r="K748" s="27">
        <v>1</v>
      </c>
      <c r="L748" s="27">
        <v>1</v>
      </c>
      <c r="N748" t="s">
        <v>90</v>
      </c>
    </row>
    <row r="749" spans="1:14">
      <c r="A749">
        <v>38</v>
      </c>
      <c r="B749">
        <v>374</v>
      </c>
      <c r="C749">
        <v>46537.625</v>
      </c>
      <c r="D749" t="s">
        <v>45</v>
      </c>
      <c r="E749" t="s">
        <v>56</v>
      </c>
      <c r="F749" t="s">
        <v>1743</v>
      </c>
      <c r="G749">
        <v>3</v>
      </c>
      <c r="H749" s="27"/>
      <c r="I749" s="27"/>
      <c r="J749" s="26" t="str">
        <f t="shared" si="11"/>
        <v/>
      </c>
      <c r="K749" s="27">
        <v>1</v>
      </c>
      <c r="L749" s="27">
        <v>1</v>
      </c>
      <c r="N749" t="s">
        <v>90</v>
      </c>
    </row>
    <row r="750" spans="1:14">
      <c r="A750">
        <v>38</v>
      </c>
      <c r="B750">
        <v>375</v>
      </c>
      <c r="C750">
        <v>46537.625</v>
      </c>
      <c r="D750" t="s">
        <v>51</v>
      </c>
      <c r="E750" t="s">
        <v>46</v>
      </c>
      <c r="F750" t="s">
        <v>1742</v>
      </c>
      <c r="G750">
        <v>3</v>
      </c>
      <c r="H750" s="27"/>
      <c r="I750" s="27"/>
      <c r="J750" s="26" t="str">
        <f t="shared" si="11"/>
        <v/>
      </c>
      <c r="K750" s="27">
        <v>1</v>
      </c>
      <c r="L750" s="27">
        <v>1</v>
      </c>
      <c r="N750" t="s">
        <v>90</v>
      </c>
    </row>
    <row r="751" spans="1:14">
      <c r="A751">
        <v>38</v>
      </c>
      <c r="B751">
        <v>375</v>
      </c>
      <c r="C751">
        <v>46537.625</v>
      </c>
      <c r="D751" t="s">
        <v>46</v>
      </c>
      <c r="E751" t="s">
        <v>51</v>
      </c>
      <c r="F751" t="s">
        <v>1743</v>
      </c>
      <c r="G751">
        <v>2</v>
      </c>
      <c r="H751" s="27"/>
      <c r="I751" s="27"/>
      <c r="J751" s="26" t="str">
        <f t="shared" si="11"/>
        <v/>
      </c>
      <c r="K751" s="27">
        <v>1</v>
      </c>
      <c r="L751" s="27">
        <v>1</v>
      </c>
      <c r="N751" t="s">
        <v>90</v>
      </c>
    </row>
    <row r="752" spans="1:14">
      <c r="A752">
        <v>38</v>
      </c>
      <c r="B752">
        <v>376</v>
      </c>
      <c r="C752">
        <v>46537.625</v>
      </c>
      <c r="D752" t="s">
        <v>55</v>
      </c>
      <c r="E752" t="s">
        <v>49</v>
      </c>
      <c r="F752" t="s">
        <v>1742</v>
      </c>
      <c r="G752">
        <v>2</v>
      </c>
      <c r="H752" s="27"/>
      <c r="I752" s="27"/>
      <c r="J752" s="26" t="str">
        <f t="shared" si="11"/>
        <v/>
      </c>
      <c r="K752" s="27">
        <v>1</v>
      </c>
      <c r="L752" s="27">
        <v>1</v>
      </c>
      <c r="N752" t="s">
        <v>90</v>
      </c>
    </row>
    <row r="753" spans="1:14">
      <c r="A753">
        <v>38</v>
      </c>
      <c r="B753">
        <v>376</v>
      </c>
      <c r="C753">
        <v>46537.625</v>
      </c>
      <c r="D753" t="s">
        <v>49</v>
      </c>
      <c r="E753" t="s">
        <v>55</v>
      </c>
      <c r="F753" t="s">
        <v>1743</v>
      </c>
      <c r="G753">
        <v>2</v>
      </c>
      <c r="H753" s="27"/>
      <c r="I753" s="27"/>
      <c r="J753" s="26" t="str">
        <f t="shared" si="11"/>
        <v/>
      </c>
      <c r="K753" s="27">
        <v>1</v>
      </c>
      <c r="L753" s="27">
        <v>1</v>
      </c>
      <c r="N753" t="s">
        <v>90</v>
      </c>
    </row>
    <row r="754" spans="1:14">
      <c r="A754">
        <v>38</v>
      </c>
      <c r="B754">
        <v>377</v>
      </c>
      <c r="C754">
        <v>46537.625</v>
      </c>
      <c r="D754" t="s">
        <v>47</v>
      </c>
      <c r="E754" t="s">
        <v>50</v>
      </c>
      <c r="F754" t="s">
        <v>1742</v>
      </c>
      <c r="G754">
        <v>2</v>
      </c>
      <c r="H754" s="27"/>
      <c r="I754" s="27"/>
      <c r="J754" s="26" t="str">
        <f t="shared" si="11"/>
        <v/>
      </c>
      <c r="K754" s="27">
        <v>1</v>
      </c>
      <c r="L754" s="27">
        <v>1</v>
      </c>
      <c r="N754" t="s">
        <v>90</v>
      </c>
    </row>
    <row r="755" spans="1:14">
      <c r="A755">
        <v>38</v>
      </c>
      <c r="B755">
        <v>377</v>
      </c>
      <c r="C755">
        <v>46537.625</v>
      </c>
      <c r="D755" t="s">
        <v>50</v>
      </c>
      <c r="E755" t="s">
        <v>47</v>
      </c>
      <c r="F755" t="s">
        <v>1743</v>
      </c>
      <c r="G755">
        <v>3</v>
      </c>
      <c r="H755" s="27"/>
      <c r="I755" s="27"/>
      <c r="J755" s="26" t="str">
        <f t="shared" si="11"/>
        <v/>
      </c>
      <c r="K755" s="27">
        <v>1</v>
      </c>
      <c r="L755" s="27">
        <v>1</v>
      </c>
      <c r="N755" t="s">
        <v>90</v>
      </c>
    </row>
    <row r="756" spans="1:14">
      <c r="A756">
        <v>38</v>
      </c>
      <c r="B756">
        <v>378</v>
      </c>
      <c r="C756">
        <v>46537.625</v>
      </c>
      <c r="D756" t="s">
        <v>41</v>
      </c>
      <c r="E756" t="s">
        <v>52</v>
      </c>
      <c r="F756" t="s">
        <v>1742</v>
      </c>
      <c r="G756">
        <v>4</v>
      </c>
      <c r="H756" s="27"/>
      <c r="I756" s="27"/>
      <c r="J756" s="26" t="str">
        <f t="shared" si="11"/>
        <v/>
      </c>
      <c r="K756" s="27">
        <v>1</v>
      </c>
      <c r="L756" s="27">
        <v>1</v>
      </c>
      <c r="N756" t="s">
        <v>90</v>
      </c>
    </row>
    <row r="757" spans="1:14">
      <c r="A757">
        <v>38</v>
      </c>
      <c r="B757">
        <v>378</v>
      </c>
      <c r="C757">
        <v>46537.625</v>
      </c>
      <c r="D757" t="s">
        <v>52</v>
      </c>
      <c r="E757" t="s">
        <v>41</v>
      </c>
      <c r="F757" t="s">
        <v>1743</v>
      </c>
      <c r="G757">
        <v>3</v>
      </c>
      <c r="H757" s="27"/>
      <c r="I757" s="27"/>
      <c r="J757" s="26" t="str">
        <f t="shared" si="11"/>
        <v/>
      </c>
      <c r="K757" s="27">
        <v>1</v>
      </c>
      <c r="L757" s="27">
        <v>1</v>
      </c>
      <c r="N757" t="s">
        <v>90</v>
      </c>
    </row>
    <row r="758" spans="1:14">
      <c r="A758">
        <v>38</v>
      </c>
      <c r="B758">
        <v>379</v>
      </c>
      <c r="C758">
        <v>46537.625</v>
      </c>
      <c r="D758" t="s">
        <v>48</v>
      </c>
      <c r="E758" t="s">
        <v>54</v>
      </c>
      <c r="F758" t="s">
        <v>1742</v>
      </c>
      <c r="G758">
        <v>4</v>
      </c>
      <c r="H758" s="27"/>
      <c r="I758" s="27"/>
      <c r="J758" s="26" t="str">
        <f t="shared" si="11"/>
        <v/>
      </c>
      <c r="K758" s="27">
        <v>1</v>
      </c>
      <c r="L758" s="27">
        <v>1</v>
      </c>
      <c r="N758" t="s">
        <v>90</v>
      </c>
    </row>
    <row r="759" spans="1:14">
      <c r="A759">
        <v>38</v>
      </c>
      <c r="B759">
        <v>379</v>
      </c>
      <c r="C759">
        <v>46537.625</v>
      </c>
      <c r="D759" t="s">
        <v>54</v>
      </c>
      <c r="E759" t="s">
        <v>48</v>
      </c>
      <c r="F759" t="s">
        <v>1743</v>
      </c>
      <c r="G759">
        <v>2</v>
      </c>
      <c r="H759" s="27"/>
      <c r="I759" s="27"/>
      <c r="J759" s="26" t="str">
        <f t="shared" si="11"/>
        <v/>
      </c>
      <c r="K759" s="27">
        <v>1</v>
      </c>
      <c r="L759" s="27">
        <v>1</v>
      </c>
      <c r="N759" t="s">
        <v>90</v>
      </c>
    </row>
    <row r="760" spans="1:14">
      <c r="A760">
        <v>38</v>
      </c>
      <c r="B760">
        <v>380</v>
      </c>
      <c r="C760">
        <v>46537.625</v>
      </c>
      <c r="D760" t="s">
        <v>53</v>
      </c>
      <c r="E760" t="s">
        <v>58</v>
      </c>
      <c r="F760" t="s">
        <v>1742</v>
      </c>
      <c r="G760">
        <v>3</v>
      </c>
      <c r="H760" s="27"/>
      <c r="I760" s="27"/>
      <c r="J760" s="26" t="str">
        <f t="shared" si="11"/>
        <v/>
      </c>
      <c r="K760" s="27">
        <v>1</v>
      </c>
      <c r="L760" s="27">
        <v>1</v>
      </c>
      <c r="N760" t="s">
        <v>90</v>
      </c>
    </row>
    <row r="761" spans="1:14">
      <c r="A761">
        <v>38</v>
      </c>
      <c r="B761">
        <v>380</v>
      </c>
      <c r="C761">
        <v>46537.625</v>
      </c>
      <c r="D761" t="s">
        <v>58</v>
      </c>
      <c r="E761" t="s">
        <v>53</v>
      </c>
      <c r="F761" t="s">
        <v>1743</v>
      </c>
      <c r="G761">
        <v>4</v>
      </c>
      <c r="H761" s="27"/>
      <c r="I761" s="27"/>
      <c r="J761" s="26" t="str">
        <f t="shared" si="11"/>
        <v/>
      </c>
      <c r="K761" s="27">
        <v>1</v>
      </c>
      <c r="L761" s="27">
        <v>1</v>
      </c>
      <c r="N761" t="s">
        <v>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/>
  </sheetViews>
  <sheetFormatPr baseColWidth="10" defaultColWidth="8.83203125" defaultRowHeight="14"/>
  <cols>
    <col min="1" max="12" width="15" customWidth="1"/>
  </cols>
  <sheetData>
    <row r="1" spans="1:12" ht="15">
      <c r="A1" s="3" t="s">
        <v>1731</v>
      </c>
      <c r="B1" s="3" t="s">
        <v>60</v>
      </c>
      <c r="C1" s="3" t="s">
        <v>62</v>
      </c>
      <c r="D1" s="3" t="s">
        <v>33</v>
      </c>
      <c r="E1" s="3" t="s">
        <v>1744</v>
      </c>
      <c r="F1" s="3" t="s">
        <v>1745</v>
      </c>
      <c r="G1" s="3" t="s">
        <v>1746</v>
      </c>
      <c r="H1" s="3" t="s">
        <v>1747</v>
      </c>
      <c r="I1" s="3" t="s">
        <v>1748</v>
      </c>
      <c r="J1" s="3" t="s">
        <v>1749</v>
      </c>
      <c r="K1" s="3" t="s">
        <v>1750</v>
      </c>
      <c r="L1" s="3" t="s">
        <v>1751</v>
      </c>
    </row>
    <row r="3" spans="1:12">
      <c r="A3" s="62" t="s">
        <v>1752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</sheetData>
  <mergeCells count="1">
    <mergeCell ref="A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/>
  </sheetViews>
  <sheetFormatPr baseColWidth="10" defaultColWidth="8.83203125" defaultRowHeight="14"/>
  <cols>
    <col min="1" max="1" width="22" customWidth="1"/>
    <col min="2" max="10" width="15" customWidth="1"/>
  </cols>
  <sheetData>
    <row r="1" spans="1:10" ht="15">
      <c r="A1" s="3" t="s">
        <v>62</v>
      </c>
      <c r="B1" s="3" t="s">
        <v>33</v>
      </c>
      <c r="C1" s="3" t="s">
        <v>64</v>
      </c>
      <c r="D1" s="3" t="s">
        <v>66</v>
      </c>
      <c r="E1" s="3" t="s">
        <v>1753</v>
      </c>
      <c r="F1" s="3" t="s">
        <v>1754</v>
      </c>
      <c r="G1" s="3" t="s">
        <v>1755</v>
      </c>
      <c r="H1" s="3" t="s">
        <v>1756</v>
      </c>
      <c r="I1" s="3" t="s">
        <v>1757</v>
      </c>
      <c r="J1" s="3" t="s">
        <v>1637</v>
      </c>
    </row>
  </sheetData>
  <dataValidations count="1">
    <dataValidation type="list" sqref="E2:F16" xr:uid="{00000000-0002-0000-0700-000000000000}">
      <formula1>"false,true"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/>
  </sheetViews>
  <sheetFormatPr baseColWidth="10" defaultColWidth="8.83203125" defaultRowHeight="14"/>
  <cols>
    <col min="1" max="3" width="22" customWidth="1"/>
  </cols>
  <sheetData>
    <row r="1" spans="1:3" ht="15">
      <c r="A1" s="3" t="s">
        <v>1758</v>
      </c>
      <c r="B1" s="3" t="s">
        <v>1759</v>
      </c>
      <c r="C1" s="3" t="s">
        <v>1760</v>
      </c>
    </row>
    <row r="2" spans="1:3">
      <c r="A2" t="s">
        <v>39</v>
      </c>
      <c r="B2" t="s">
        <v>85</v>
      </c>
      <c r="C2" t="s">
        <v>152</v>
      </c>
    </row>
    <row r="3" spans="1:3">
      <c r="A3" t="s">
        <v>40</v>
      </c>
      <c r="B3" t="s">
        <v>99</v>
      </c>
      <c r="C3" t="s">
        <v>1761</v>
      </c>
    </row>
    <row r="4" spans="1:3">
      <c r="A4" t="s">
        <v>41</v>
      </c>
      <c r="B4" t="s">
        <v>112</v>
      </c>
      <c r="C4" t="s">
        <v>1762</v>
      </c>
    </row>
    <row r="5" spans="1:3">
      <c r="A5" t="s">
        <v>42</v>
      </c>
      <c r="B5" t="s">
        <v>167</v>
      </c>
      <c r="C5" t="s">
        <v>1763</v>
      </c>
    </row>
    <row r="6" spans="1:3">
      <c r="A6" t="s">
        <v>43</v>
      </c>
      <c r="C6" t="s">
        <v>1764</v>
      </c>
    </row>
    <row r="7" spans="1:3">
      <c r="A7" t="s">
        <v>44</v>
      </c>
    </row>
    <row r="8" spans="1:3">
      <c r="A8" t="s">
        <v>45</v>
      </c>
    </row>
    <row r="9" spans="1:3">
      <c r="A9" t="s">
        <v>46</v>
      </c>
    </row>
    <row r="10" spans="1:3">
      <c r="A10" t="s">
        <v>47</v>
      </c>
    </row>
    <row r="11" spans="1:3">
      <c r="A11" t="s">
        <v>48</v>
      </c>
    </row>
    <row r="12" spans="1:3">
      <c r="A12" t="s">
        <v>49</v>
      </c>
    </row>
    <row r="13" spans="1:3">
      <c r="A13" t="s">
        <v>50</v>
      </c>
    </row>
    <row r="14" spans="1:3">
      <c r="A14" t="s">
        <v>51</v>
      </c>
    </row>
    <row r="15" spans="1:3">
      <c r="A15" t="s">
        <v>52</v>
      </c>
    </row>
    <row r="16" spans="1:3">
      <c r="A1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4"/>
  <sheetViews>
    <sheetView workbookViewId="0"/>
  </sheetViews>
  <sheetFormatPr baseColWidth="10" defaultColWidth="8.83203125" defaultRowHeight="14"/>
  <cols>
    <col min="1" max="1" width="20" customWidth="1"/>
    <col min="2" max="2" width="16" customWidth="1"/>
    <col min="3" max="4" width="13" customWidth="1"/>
    <col min="5" max="7" width="15" customWidth="1"/>
    <col min="8" max="9" width="14" customWidth="1"/>
    <col min="10" max="10" width="20" customWidth="1"/>
    <col min="11" max="11" width="16" customWidth="1"/>
    <col min="12" max="12" width="18" customWidth="1"/>
    <col min="13" max="13" width="42" customWidth="1"/>
    <col min="14" max="14" width="46" customWidth="1"/>
  </cols>
  <sheetData>
    <row r="1" spans="1:14" ht="15">
      <c r="A1" s="35" t="s">
        <v>1608</v>
      </c>
      <c r="B1" s="35" t="s">
        <v>1607</v>
      </c>
      <c r="C1" s="35" t="s">
        <v>1658</v>
      </c>
      <c r="D1" s="35" t="s">
        <v>1765</v>
      </c>
      <c r="E1" s="35" t="s">
        <v>1766</v>
      </c>
      <c r="F1" s="35" t="s">
        <v>1767</v>
      </c>
      <c r="G1" s="35" t="s">
        <v>1768</v>
      </c>
      <c r="H1" s="35" t="s">
        <v>1661</v>
      </c>
      <c r="I1" s="35" t="s">
        <v>1662</v>
      </c>
      <c r="J1" s="35" t="s">
        <v>1663</v>
      </c>
      <c r="K1" s="35" t="s">
        <v>75</v>
      </c>
      <c r="L1" s="35" t="s">
        <v>1769</v>
      </c>
      <c r="M1" s="35" t="s">
        <v>1637</v>
      </c>
      <c r="N1" s="35" t="s">
        <v>1636</v>
      </c>
    </row>
    <row r="2" spans="1:14" ht="45">
      <c r="A2" t="s">
        <v>50</v>
      </c>
      <c r="B2" t="s">
        <v>1654</v>
      </c>
      <c r="C2" s="24">
        <v>46</v>
      </c>
      <c r="D2" s="24">
        <v>46.6</v>
      </c>
      <c r="E2" s="26">
        <v>1.0130434782608695</v>
      </c>
      <c r="F2" s="26">
        <v>1.3019021739130434</v>
      </c>
      <c r="G2" s="26">
        <v>1.2851394849785409</v>
      </c>
      <c r="H2" s="1" t="b">
        <v>1</v>
      </c>
      <c r="I2" s="1" t="b">
        <v>1</v>
      </c>
      <c r="J2" t="s">
        <v>945</v>
      </c>
      <c r="K2" s="1" t="b">
        <v>1</v>
      </c>
      <c r="L2" s="39"/>
      <c r="M2" s="31" t="s">
        <v>1770</v>
      </c>
      <c r="N2" s="31" t="s">
        <v>1771</v>
      </c>
    </row>
    <row r="3" spans="1:14" ht="45">
      <c r="A3" t="s">
        <v>45</v>
      </c>
      <c r="B3" t="s">
        <v>1654</v>
      </c>
      <c r="C3" s="24">
        <v>46</v>
      </c>
      <c r="D3" s="24">
        <v>50.2</v>
      </c>
      <c r="E3" s="26">
        <v>1.0913043478260871</v>
      </c>
      <c r="F3" s="26">
        <v>1.3019021739130434</v>
      </c>
      <c r="G3" s="26">
        <v>1.1929780876494023</v>
      </c>
      <c r="H3" s="1" t="b">
        <v>1</v>
      </c>
      <c r="I3" s="1" t="b">
        <v>1</v>
      </c>
      <c r="J3" t="s">
        <v>603</v>
      </c>
      <c r="K3" s="1" t="b">
        <v>0</v>
      </c>
      <c r="L3" s="39"/>
      <c r="M3" s="31" t="s">
        <v>1770</v>
      </c>
      <c r="N3" s="31" t="s">
        <v>1771</v>
      </c>
    </row>
    <row r="4" spans="1:14" ht="45">
      <c r="A4" t="s">
        <v>49</v>
      </c>
      <c r="B4" t="s">
        <v>1654</v>
      </c>
      <c r="C4" s="24">
        <v>46</v>
      </c>
      <c r="D4" s="24">
        <v>80.099999999999994</v>
      </c>
      <c r="E4" s="26">
        <v>1.7413043478260868</v>
      </c>
      <c r="F4" s="26">
        <v>1.3019021739130434</v>
      </c>
      <c r="G4" s="26">
        <v>0.74765917602996257</v>
      </c>
      <c r="H4" s="1" t="b">
        <v>1</v>
      </c>
      <c r="I4" s="1" t="b">
        <v>1</v>
      </c>
      <c r="J4" t="s">
        <v>871</v>
      </c>
      <c r="K4" s="1" t="b">
        <v>0</v>
      </c>
      <c r="L4" s="39"/>
      <c r="M4" s="31" t="s">
        <v>1770</v>
      </c>
      <c r="N4" s="31" t="s">
        <v>1771</v>
      </c>
    </row>
    <row r="5" spans="1:14" ht="45">
      <c r="A5" t="s">
        <v>39</v>
      </c>
      <c r="B5" t="s">
        <v>1642</v>
      </c>
      <c r="C5" s="24">
        <v>38</v>
      </c>
      <c r="D5" s="24">
        <v>28.3</v>
      </c>
      <c r="E5" s="26">
        <v>0.74473684210526314</v>
      </c>
      <c r="F5" s="26">
        <v>1.3977631578947367</v>
      </c>
      <c r="G5" s="26">
        <v>1.8768551236749116</v>
      </c>
      <c r="H5" s="1" t="b">
        <v>1</v>
      </c>
      <c r="I5" s="1" t="b">
        <v>0</v>
      </c>
      <c r="J5" t="s">
        <v>87</v>
      </c>
      <c r="K5" s="1" t="b">
        <v>0</v>
      </c>
      <c r="L5" s="39"/>
      <c r="M5" s="31" t="s">
        <v>1772</v>
      </c>
      <c r="N5" s="31" t="s">
        <v>1773</v>
      </c>
    </row>
    <row r="6" spans="1:14" ht="45">
      <c r="A6" t="s">
        <v>53</v>
      </c>
      <c r="B6" t="s">
        <v>1642</v>
      </c>
      <c r="C6" s="24">
        <v>38</v>
      </c>
      <c r="D6" s="24">
        <v>44.2</v>
      </c>
      <c r="E6" s="26">
        <v>1.1631578947368422</v>
      </c>
      <c r="F6" s="26">
        <v>1.3977631578947367</v>
      </c>
      <c r="G6" s="26">
        <v>1.2016968325791852</v>
      </c>
      <c r="H6" s="1" t="b">
        <v>1</v>
      </c>
      <c r="I6" s="1" t="b">
        <v>0</v>
      </c>
      <c r="J6" t="s">
        <v>1171</v>
      </c>
      <c r="K6" s="1" t="b">
        <v>1</v>
      </c>
      <c r="L6" s="39"/>
      <c r="M6" s="31" t="s">
        <v>1772</v>
      </c>
      <c r="N6" s="31" t="s">
        <v>1773</v>
      </c>
    </row>
    <row r="7" spans="1:14" ht="45">
      <c r="A7" t="s">
        <v>52</v>
      </c>
      <c r="B7" t="s">
        <v>1642</v>
      </c>
      <c r="C7" s="24">
        <v>38</v>
      </c>
      <c r="D7" s="24">
        <v>47.4</v>
      </c>
      <c r="E7" s="26">
        <v>1.2473684210526315</v>
      </c>
      <c r="F7" s="26">
        <v>1.3977631578947367</v>
      </c>
      <c r="G7" s="26">
        <v>1.1205696202531645</v>
      </c>
      <c r="H7" s="1" t="b">
        <v>1</v>
      </c>
      <c r="I7" s="1" t="b">
        <v>0</v>
      </c>
      <c r="J7" t="s">
        <v>1081</v>
      </c>
      <c r="K7" s="1" t="b">
        <v>1</v>
      </c>
      <c r="L7" s="39"/>
      <c r="M7" s="31" t="s">
        <v>1772</v>
      </c>
      <c r="N7" s="31" t="s">
        <v>1773</v>
      </c>
    </row>
    <row r="8" spans="1:14" ht="45">
      <c r="A8" t="s">
        <v>54</v>
      </c>
      <c r="B8" t="s">
        <v>1642</v>
      </c>
      <c r="C8" s="24">
        <v>38</v>
      </c>
      <c r="D8" s="24">
        <v>48.6</v>
      </c>
      <c r="E8" s="26">
        <v>1.2789473684210526</v>
      </c>
      <c r="F8" s="26">
        <v>1.3977631578947367</v>
      </c>
      <c r="G8" s="26">
        <v>1.0929012345679012</v>
      </c>
      <c r="H8" s="1" t="b">
        <v>1</v>
      </c>
      <c r="I8" s="1" t="b">
        <v>0</v>
      </c>
      <c r="J8" t="s">
        <v>1246</v>
      </c>
      <c r="K8" s="1" t="b">
        <v>0</v>
      </c>
      <c r="L8" s="39"/>
      <c r="M8" s="31" t="s">
        <v>1772</v>
      </c>
      <c r="N8" s="31" t="s">
        <v>1773</v>
      </c>
    </row>
    <row r="9" spans="1:14" ht="45">
      <c r="A9" t="s">
        <v>43</v>
      </c>
      <c r="B9" t="s">
        <v>1642</v>
      </c>
      <c r="C9" s="24">
        <v>38</v>
      </c>
      <c r="D9" s="24">
        <v>49.1</v>
      </c>
      <c r="E9" s="26">
        <v>1.2921052631578949</v>
      </c>
      <c r="F9" s="26">
        <v>1.3977631578947367</v>
      </c>
      <c r="G9" s="26">
        <v>1.0817718940936862</v>
      </c>
      <c r="H9" s="1" t="b">
        <v>1</v>
      </c>
      <c r="I9" s="1" t="b">
        <v>0</v>
      </c>
      <c r="J9" t="s">
        <v>423</v>
      </c>
      <c r="K9" s="1" t="b">
        <v>0</v>
      </c>
      <c r="L9" s="39"/>
      <c r="M9" s="31" t="s">
        <v>1772</v>
      </c>
      <c r="N9" s="31" t="s">
        <v>1773</v>
      </c>
    </row>
    <row r="10" spans="1:14" ht="45">
      <c r="A10" t="s">
        <v>55</v>
      </c>
      <c r="B10" t="s">
        <v>1642</v>
      </c>
      <c r="C10" s="24">
        <v>38</v>
      </c>
      <c r="D10" s="24">
        <v>51.3</v>
      </c>
      <c r="E10" s="26">
        <v>1.3499999999999999</v>
      </c>
      <c r="F10" s="26">
        <v>1.3977631578947367</v>
      </c>
      <c r="G10" s="26">
        <v>1.0353801169590644</v>
      </c>
      <c r="H10" s="1" t="b">
        <v>1</v>
      </c>
      <c r="I10" s="1" t="b">
        <v>0</v>
      </c>
      <c r="J10" t="s">
        <v>1333</v>
      </c>
      <c r="K10" s="1" t="b">
        <v>1</v>
      </c>
      <c r="L10" s="39"/>
      <c r="M10" s="31" t="s">
        <v>1772</v>
      </c>
      <c r="N10" s="31" t="s">
        <v>1773</v>
      </c>
    </row>
    <row r="11" spans="1:14" ht="45">
      <c r="A11" t="s">
        <v>46</v>
      </c>
      <c r="B11" t="s">
        <v>1642</v>
      </c>
      <c r="C11" s="24">
        <v>38</v>
      </c>
      <c r="D11" s="24">
        <v>51.9</v>
      </c>
      <c r="E11" s="26">
        <v>1.3657894736842104</v>
      </c>
      <c r="F11" s="26">
        <v>1.3977631578947367</v>
      </c>
      <c r="G11" s="26">
        <v>1.0234104046242773</v>
      </c>
      <c r="H11" s="1" t="b">
        <v>1</v>
      </c>
      <c r="I11" s="1" t="b">
        <v>0</v>
      </c>
      <c r="J11" t="s">
        <v>677</v>
      </c>
      <c r="K11" s="1" t="b">
        <v>1</v>
      </c>
      <c r="L11" s="39"/>
      <c r="M11" s="31" t="s">
        <v>1772</v>
      </c>
      <c r="N11" s="31" t="s">
        <v>1773</v>
      </c>
    </row>
    <row r="12" spans="1:14" ht="45">
      <c r="A12" t="s">
        <v>44</v>
      </c>
      <c r="B12" t="s">
        <v>1642</v>
      </c>
      <c r="C12" s="24">
        <v>38</v>
      </c>
      <c r="D12" s="24">
        <v>52.3</v>
      </c>
      <c r="E12" s="26">
        <v>1.3763157894736842</v>
      </c>
      <c r="F12" s="26">
        <v>1.3977631578947367</v>
      </c>
      <c r="G12" s="26">
        <v>1.0155831739961758</v>
      </c>
      <c r="H12" s="1" t="b">
        <v>1</v>
      </c>
      <c r="I12" s="1" t="b">
        <v>0</v>
      </c>
      <c r="J12" t="s">
        <v>509</v>
      </c>
      <c r="K12" s="1" t="b">
        <v>1</v>
      </c>
      <c r="L12" s="39"/>
      <c r="M12" s="31" t="s">
        <v>1772</v>
      </c>
      <c r="N12" s="31" t="s">
        <v>1773</v>
      </c>
    </row>
    <row r="13" spans="1:14" ht="45">
      <c r="A13" t="s">
        <v>57</v>
      </c>
      <c r="B13" t="s">
        <v>1642</v>
      </c>
      <c r="C13" s="24">
        <v>38</v>
      </c>
      <c r="D13" s="24">
        <v>52.3</v>
      </c>
      <c r="E13" s="26">
        <v>1.3763157894736842</v>
      </c>
      <c r="F13" s="26">
        <v>1.3977631578947367</v>
      </c>
      <c r="G13" s="26">
        <v>1.0155831739961758</v>
      </c>
      <c r="H13" s="1" t="b">
        <v>1</v>
      </c>
      <c r="I13" s="1" t="b">
        <v>0</v>
      </c>
      <c r="J13" t="s">
        <v>1467</v>
      </c>
      <c r="K13" s="1" t="b">
        <v>0</v>
      </c>
      <c r="L13" s="39"/>
      <c r="M13" s="31" t="s">
        <v>1772</v>
      </c>
      <c r="N13" s="31" t="s">
        <v>1773</v>
      </c>
    </row>
    <row r="14" spans="1:14" ht="45">
      <c r="A14" t="s">
        <v>48</v>
      </c>
      <c r="B14" t="s">
        <v>1642</v>
      </c>
      <c r="C14" s="24">
        <v>38</v>
      </c>
      <c r="D14" s="24">
        <v>53.4</v>
      </c>
      <c r="E14" s="26">
        <v>1.4052631578947368</v>
      </c>
      <c r="F14" s="26">
        <v>1.3977631578947367</v>
      </c>
      <c r="G14" s="26">
        <v>0.99466292134831458</v>
      </c>
      <c r="H14" s="1" t="b">
        <v>1</v>
      </c>
      <c r="I14" s="1" t="b">
        <v>0</v>
      </c>
      <c r="J14" t="s">
        <v>817</v>
      </c>
      <c r="K14" s="1" t="b">
        <v>1</v>
      </c>
      <c r="L14" s="39"/>
      <c r="M14" s="31" t="s">
        <v>1772</v>
      </c>
      <c r="N14" s="31" t="s">
        <v>1773</v>
      </c>
    </row>
    <row r="15" spans="1:14" ht="45">
      <c r="A15" t="s">
        <v>40</v>
      </c>
      <c r="B15" t="s">
        <v>1642</v>
      </c>
      <c r="C15" s="24">
        <v>38</v>
      </c>
      <c r="D15" s="24">
        <v>53.9</v>
      </c>
      <c r="E15" s="26">
        <v>1.4184210526315788</v>
      </c>
      <c r="F15" s="26">
        <v>1.3977631578947367</v>
      </c>
      <c r="G15" s="26">
        <v>0.98543599257884973</v>
      </c>
      <c r="H15" s="1" t="b">
        <v>1</v>
      </c>
      <c r="I15" s="1" t="b">
        <v>0</v>
      </c>
      <c r="J15" t="s">
        <v>181</v>
      </c>
      <c r="K15" s="1" t="b">
        <v>0</v>
      </c>
      <c r="L15" s="39"/>
      <c r="M15" s="31" t="s">
        <v>1772</v>
      </c>
      <c r="N15" s="31" t="s">
        <v>1773</v>
      </c>
    </row>
    <row r="16" spans="1:14" ht="45">
      <c r="A16" t="s">
        <v>58</v>
      </c>
      <c r="B16" t="s">
        <v>1642</v>
      </c>
      <c r="C16" s="24">
        <v>38</v>
      </c>
      <c r="D16" s="24">
        <v>54.4</v>
      </c>
      <c r="E16" s="26">
        <v>1.4315789473684211</v>
      </c>
      <c r="F16" s="26">
        <v>1.3977631578947367</v>
      </c>
      <c r="G16" s="26">
        <v>0.97637867647058818</v>
      </c>
      <c r="H16" s="1" t="b">
        <v>1</v>
      </c>
      <c r="I16" s="1" t="b">
        <v>0</v>
      </c>
      <c r="J16" t="s">
        <v>1551</v>
      </c>
      <c r="K16" s="1" t="b">
        <v>0</v>
      </c>
      <c r="L16" s="39"/>
      <c r="M16" s="31" t="s">
        <v>1772</v>
      </c>
      <c r="N16" s="31" t="s">
        <v>1773</v>
      </c>
    </row>
    <row r="17" spans="1:14" ht="45">
      <c r="A17" t="s">
        <v>42</v>
      </c>
      <c r="B17" t="s">
        <v>1642</v>
      </c>
      <c r="C17" s="24">
        <v>38</v>
      </c>
      <c r="D17" s="24">
        <v>54.4</v>
      </c>
      <c r="E17" s="26">
        <v>1.4315789473684211</v>
      </c>
      <c r="F17" s="26">
        <v>1.3977631578947367</v>
      </c>
      <c r="G17" s="26">
        <v>0.97637867647058818</v>
      </c>
      <c r="H17" s="1" t="b">
        <v>1</v>
      </c>
      <c r="I17" s="1" t="b">
        <v>0</v>
      </c>
      <c r="J17" t="s">
        <v>344</v>
      </c>
      <c r="K17" s="1" t="b">
        <v>0</v>
      </c>
      <c r="L17" s="39"/>
      <c r="M17" s="31" t="s">
        <v>1772</v>
      </c>
      <c r="N17" s="31" t="s">
        <v>1773</v>
      </c>
    </row>
    <row r="18" spans="1:14" ht="45">
      <c r="A18" t="s">
        <v>51</v>
      </c>
      <c r="B18" t="s">
        <v>1642</v>
      </c>
      <c r="C18" s="24">
        <v>38</v>
      </c>
      <c r="D18" s="24">
        <v>55.7</v>
      </c>
      <c r="E18" s="26">
        <v>1.4657894736842105</v>
      </c>
      <c r="F18" s="26">
        <v>1.3977631578947367</v>
      </c>
      <c r="G18" s="26">
        <v>0.95359066427289041</v>
      </c>
      <c r="H18" s="1" t="b">
        <v>1</v>
      </c>
      <c r="I18" s="1" t="b">
        <v>0</v>
      </c>
      <c r="J18" t="s">
        <v>1021</v>
      </c>
      <c r="K18" s="1" t="b">
        <v>0</v>
      </c>
      <c r="L18" s="39"/>
      <c r="M18" s="31" t="s">
        <v>1772</v>
      </c>
      <c r="N18" s="31" t="s">
        <v>1773</v>
      </c>
    </row>
    <row r="19" spans="1:14" ht="45">
      <c r="A19" t="s">
        <v>47</v>
      </c>
      <c r="B19" t="s">
        <v>1642</v>
      </c>
      <c r="C19" s="24">
        <v>38</v>
      </c>
      <c r="D19" s="24">
        <v>56.5</v>
      </c>
      <c r="E19" s="26">
        <v>1.486842105263158</v>
      </c>
      <c r="F19" s="26">
        <v>1.3977631578947367</v>
      </c>
      <c r="G19" s="26">
        <v>0.94008849557522112</v>
      </c>
      <c r="H19" s="1" t="b">
        <v>1</v>
      </c>
      <c r="I19" s="1" t="b">
        <v>0</v>
      </c>
      <c r="J19" t="s">
        <v>752</v>
      </c>
      <c r="K19" s="1" t="b">
        <v>0</v>
      </c>
      <c r="L19" s="39"/>
      <c r="M19" s="31" t="s">
        <v>1772</v>
      </c>
      <c r="N19" s="31" t="s">
        <v>1773</v>
      </c>
    </row>
    <row r="20" spans="1:14" ht="45">
      <c r="A20" t="s">
        <v>41</v>
      </c>
      <c r="B20" t="s">
        <v>1642</v>
      </c>
      <c r="C20" s="24">
        <v>38</v>
      </c>
      <c r="D20" s="24">
        <v>56.8</v>
      </c>
      <c r="E20" s="26">
        <v>1.4947368421052631</v>
      </c>
      <c r="F20" s="26">
        <v>1.3977631578947367</v>
      </c>
      <c r="G20" s="26">
        <v>0.93512323943661968</v>
      </c>
      <c r="H20" s="1" t="b">
        <v>1</v>
      </c>
      <c r="I20" s="1" t="b">
        <v>0</v>
      </c>
      <c r="J20" t="s">
        <v>265</v>
      </c>
      <c r="K20" s="1" t="b">
        <v>1</v>
      </c>
      <c r="L20" s="39"/>
      <c r="M20" s="31" t="s">
        <v>1772</v>
      </c>
      <c r="N20" s="31" t="s">
        <v>1773</v>
      </c>
    </row>
    <row r="21" spans="1:14" ht="45">
      <c r="A21" t="s">
        <v>56</v>
      </c>
      <c r="B21" t="s">
        <v>1642</v>
      </c>
      <c r="C21" s="24">
        <v>38</v>
      </c>
      <c r="D21" s="24">
        <v>57.3</v>
      </c>
      <c r="E21" s="26">
        <v>1.5078947368421052</v>
      </c>
      <c r="F21" s="26">
        <v>1.3977631578947367</v>
      </c>
      <c r="G21" s="26">
        <v>0.92696335078534031</v>
      </c>
      <c r="H21" s="1" t="b">
        <v>1</v>
      </c>
      <c r="I21" s="1" t="b">
        <v>0</v>
      </c>
      <c r="J21" t="s">
        <v>1405</v>
      </c>
      <c r="K21" s="1" t="b">
        <v>1</v>
      </c>
      <c r="L21" s="39"/>
      <c r="M21" s="31" t="s">
        <v>1772</v>
      </c>
      <c r="N21" s="31" t="s">
        <v>1773</v>
      </c>
    </row>
    <row r="22" spans="1:14" ht="45">
      <c r="A22" t="s">
        <v>1651</v>
      </c>
      <c r="B22" t="s">
        <v>1642</v>
      </c>
      <c r="C22" s="24">
        <v>38</v>
      </c>
      <c r="D22" s="24">
        <v>59.5</v>
      </c>
      <c r="E22" s="26">
        <v>1.5657894736842106</v>
      </c>
      <c r="F22" s="26">
        <v>1.3977631578947367</v>
      </c>
      <c r="G22" s="26">
        <v>0.89268907563025202</v>
      </c>
      <c r="H22" s="1" t="b">
        <v>0</v>
      </c>
      <c r="I22" s="1" t="b">
        <v>0</v>
      </c>
      <c r="K22" s="1" t="b">
        <v>0</v>
      </c>
      <c r="L22" s="39"/>
      <c r="M22" s="31" t="s">
        <v>1772</v>
      </c>
      <c r="N22" s="31" t="s">
        <v>1773</v>
      </c>
    </row>
    <row r="23" spans="1:14" ht="45">
      <c r="A23" t="s">
        <v>1653</v>
      </c>
      <c r="B23" t="s">
        <v>1642</v>
      </c>
      <c r="C23" s="24">
        <v>38</v>
      </c>
      <c r="D23" s="24">
        <v>59.6</v>
      </c>
      <c r="E23" s="26">
        <v>1.5684210526315789</v>
      </c>
      <c r="F23" s="26">
        <v>1.3977631578947367</v>
      </c>
      <c r="G23" s="26">
        <v>0.89119127516778518</v>
      </c>
      <c r="H23" s="1" t="b">
        <v>0</v>
      </c>
      <c r="I23" s="1" t="b">
        <v>0</v>
      </c>
      <c r="K23" s="1" t="b">
        <v>0</v>
      </c>
      <c r="L23" s="39"/>
      <c r="M23" s="31" t="s">
        <v>1772</v>
      </c>
      <c r="N23" s="31" t="s">
        <v>1773</v>
      </c>
    </row>
    <row r="24" spans="1:14" ht="45">
      <c r="A24" t="s">
        <v>1652</v>
      </c>
      <c r="B24" t="s">
        <v>1642</v>
      </c>
      <c r="C24" s="24">
        <v>38</v>
      </c>
      <c r="D24" s="24">
        <v>75.400000000000006</v>
      </c>
      <c r="E24" s="26">
        <v>1.9842105263157896</v>
      </c>
      <c r="F24" s="26">
        <v>1.3977631578947367</v>
      </c>
      <c r="G24" s="26">
        <v>0.70444297082228102</v>
      </c>
      <c r="H24" s="1" t="b">
        <v>0</v>
      </c>
      <c r="I24" s="1" t="b">
        <v>0</v>
      </c>
      <c r="K24" s="1" t="b">
        <v>0</v>
      </c>
      <c r="L24" s="39"/>
      <c r="M24" s="31" t="s">
        <v>1772</v>
      </c>
      <c r="N24" s="31" t="s">
        <v>1773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568"/>
  <sheetViews>
    <sheetView workbookViewId="0"/>
  </sheetViews>
  <sheetFormatPr baseColWidth="10" defaultColWidth="8.83203125" defaultRowHeight="14"/>
  <cols>
    <col min="1" max="1" width="10" customWidth="1"/>
    <col min="2" max="2" width="17" customWidth="1"/>
    <col min="3" max="3" width="18" customWidth="1"/>
    <col min="4" max="4" width="9" customWidth="1"/>
    <col min="5" max="5" width="17" customWidth="1"/>
    <col min="6" max="6" width="18" customWidth="1"/>
    <col min="7" max="9" width="12" customWidth="1"/>
    <col min="10" max="13" width="13" customWidth="1"/>
    <col min="14" max="14" width="14" customWidth="1"/>
    <col min="15" max="17" width="12" customWidth="1"/>
    <col min="18" max="19" width="13" customWidth="1"/>
    <col min="20" max="20" width="12" customWidth="1"/>
    <col min="21" max="21" width="15" customWidth="1"/>
    <col min="22" max="22" width="14" customWidth="1"/>
    <col min="23" max="23" width="15" customWidth="1"/>
    <col min="24" max="24" width="13" customWidth="1"/>
    <col min="25" max="32" width="14" customWidth="1"/>
    <col min="33" max="33" width="12" customWidth="1"/>
    <col min="34" max="34" width="17" customWidth="1"/>
    <col min="35" max="35" width="13" customWidth="1"/>
    <col min="36" max="36" width="16" customWidth="1"/>
    <col min="37" max="37" width="14" customWidth="1"/>
    <col min="38" max="38" width="34" customWidth="1"/>
    <col min="39" max="39" width="44" customWidth="1"/>
    <col min="40" max="40" width="46" customWidth="1"/>
  </cols>
  <sheetData>
    <row r="1" spans="1:40" ht="15">
      <c r="A1" s="35" t="s">
        <v>60</v>
      </c>
      <c r="B1" s="35" t="s">
        <v>62</v>
      </c>
      <c r="C1" s="35" t="s">
        <v>33</v>
      </c>
      <c r="D1" s="35" t="s">
        <v>64</v>
      </c>
      <c r="E1" s="35" t="s">
        <v>1607</v>
      </c>
      <c r="F1" s="35" t="s">
        <v>1608</v>
      </c>
      <c r="G1" s="35" t="s">
        <v>1609</v>
      </c>
      <c r="H1" s="35" t="s">
        <v>1774</v>
      </c>
      <c r="I1" s="35" t="s">
        <v>1775</v>
      </c>
      <c r="J1" s="35" t="s">
        <v>1776</v>
      </c>
      <c r="K1" s="35" t="s">
        <v>1777</v>
      </c>
      <c r="L1" s="35" t="s">
        <v>1778</v>
      </c>
      <c r="M1" s="35" t="s">
        <v>1779</v>
      </c>
      <c r="N1" s="35" t="s">
        <v>1780</v>
      </c>
      <c r="O1" s="35" t="s">
        <v>1781</v>
      </c>
      <c r="P1" s="35" t="s">
        <v>1782</v>
      </c>
      <c r="Q1" s="35" t="s">
        <v>1783</v>
      </c>
      <c r="R1" s="35" t="s">
        <v>1618</v>
      </c>
      <c r="S1" s="35" t="s">
        <v>1619</v>
      </c>
      <c r="T1" s="35" t="s">
        <v>1620</v>
      </c>
      <c r="U1" s="35" t="s">
        <v>1621</v>
      </c>
      <c r="V1" s="35" t="s">
        <v>75</v>
      </c>
      <c r="W1" s="35" t="s">
        <v>1622</v>
      </c>
      <c r="X1" s="35" t="s">
        <v>1623</v>
      </c>
      <c r="Y1" s="35" t="s">
        <v>1784</v>
      </c>
      <c r="Z1" s="35" t="s">
        <v>1696</v>
      </c>
      <c r="AA1" s="35" t="s">
        <v>1785</v>
      </c>
      <c r="AB1" s="35" t="s">
        <v>1786</v>
      </c>
      <c r="AC1" s="35" t="s">
        <v>1787</v>
      </c>
      <c r="AD1" s="35" t="s">
        <v>1788</v>
      </c>
      <c r="AE1" s="35" t="s">
        <v>1789</v>
      </c>
      <c r="AF1" s="35" t="s">
        <v>1790</v>
      </c>
      <c r="AG1" s="35" t="s">
        <v>1632</v>
      </c>
      <c r="AH1" s="35" t="s">
        <v>1633</v>
      </c>
      <c r="AI1" s="35" t="s">
        <v>1698</v>
      </c>
      <c r="AJ1" s="35" t="s">
        <v>1791</v>
      </c>
      <c r="AK1" s="35" t="s">
        <v>1634</v>
      </c>
      <c r="AL1" s="35" t="s">
        <v>1635</v>
      </c>
      <c r="AM1" s="35" t="s">
        <v>1636</v>
      </c>
      <c r="AN1" s="35" t="s">
        <v>1637</v>
      </c>
    </row>
    <row r="2" spans="1:40" ht="30">
      <c r="A2" s="7">
        <v>1</v>
      </c>
      <c r="B2" s="7" t="s">
        <v>83</v>
      </c>
      <c r="C2" s="7" t="s">
        <v>39</v>
      </c>
      <c r="D2" s="7" t="s">
        <v>85</v>
      </c>
      <c r="E2" s="7" t="s">
        <v>1642</v>
      </c>
      <c r="F2" s="7" t="s">
        <v>39</v>
      </c>
      <c r="G2" s="14">
        <v>3330</v>
      </c>
      <c r="H2" s="14">
        <v>94</v>
      </c>
      <c r="I2" s="15">
        <v>0</v>
      </c>
      <c r="J2" s="14">
        <v>60</v>
      </c>
      <c r="K2" s="15">
        <v>1.62</v>
      </c>
      <c r="L2" s="14">
        <v>26</v>
      </c>
      <c r="M2" s="14">
        <v>19</v>
      </c>
      <c r="N2" s="13">
        <v>0.69767441860465118</v>
      </c>
      <c r="O2" s="14">
        <v>11</v>
      </c>
      <c r="P2" s="14">
        <v>633</v>
      </c>
      <c r="Q2" s="15">
        <v>17.108108108108109</v>
      </c>
      <c r="R2" s="17">
        <f>IFERROR(G2/(G2+Priors!$H$18),0)</f>
        <v>0.76905311778290997</v>
      </c>
      <c r="S2" s="13">
        <v>1</v>
      </c>
      <c r="T2" s="40" t="b">
        <v>0</v>
      </c>
      <c r="U2" s="13">
        <v>1</v>
      </c>
      <c r="V2" s="40" t="b">
        <v>0</v>
      </c>
      <c r="W2" s="13">
        <v>1</v>
      </c>
      <c r="X2" s="17">
        <f t="shared" ref="X2:X65" si="0">R2*S2*U2*W2</f>
        <v>0.76905311778290997</v>
      </c>
      <c r="Y2" s="37">
        <f>VLOOKUP(D2,Priors!$A$18:$B$21,2,FALSE)</f>
        <v>2.6414527990394716</v>
      </c>
      <c r="Z2" s="38">
        <f t="shared" ref="Z2:Z65" si="1">IF(OR(H2="",G2=0),Y2,X2*I2+(1-X2)*Y2)</f>
        <v>0.61003528846177169</v>
      </c>
      <c r="AA2" s="39">
        <v>1</v>
      </c>
      <c r="AB2" s="38">
        <f t="shared" ref="AB2:AB65" si="2">Z2*AA2</f>
        <v>0.61003528846177169</v>
      </c>
      <c r="AC2" s="37">
        <f>Priors!$K$18</f>
        <v>2.7435089299114512</v>
      </c>
      <c r="AD2" s="38">
        <f t="shared" ref="AD2:AD65" si="3">IF(D2&lt;&gt;"GK","",IF(OR(K2="",G2=0),AC2,X2*K2+(1-X2)*AC2))</f>
        <v>1.8794708845061088</v>
      </c>
      <c r="AE2" s="37">
        <f>Priors!$K$19</f>
        <v>0.67280088332719912</v>
      </c>
      <c r="AF2" s="38">
        <f t="shared" ref="AF2:AF65" si="4">IF(D2&lt;&gt;"GK","",IF(OR(N2="",G2=0),AE2,X2*N2+(1-X2)*AE2))</f>
        <v>0.69192995318260675</v>
      </c>
      <c r="AG2" s="17">
        <f t="shared" ref="AG2:AG65" si="5">1-X2</f>
        <v>0.23094688221709003</v>
      </c>
      <c r="AH2" s="7" t="s">
        <v>1643</v>
      </c>
      <c r="AI2" s="7"/>
      <c r="AJ2" s="38" t="str">
        <f t="shared" ref="AJ2:AJ65" si="6">IF(OR(AI2="",AI2=0),"",AB2/AI2)</f>
        <v/>
      </c>
      <c r="AK2" s="9" t="b">
        <f t="shared" ref="AK2:AK65" si="7">OR(AG2&gt;=0.5,E2&lt;&gt;"Premier League",T2=TRUE,V2=TRUE)</f>
        <v>0</v>
      </c>
      <c r="AL2" s="28" t="s">
        <v>1644</v>
      </c>
      <c r="AM2" s="28" t="s">
        <v>1645</v>
      </c>
      <c r="AN2" s="28" t="s">
        <v>1792</v>
      </c>
    </row>
    <row r="3" spans="1:40" ht="30">
      <c r="A3" s="7">
        <v>2</v>
      </c>
      <c r="B3" s="7" t="s">
        <v>91</v>
      </c>
      <c r="C3" s="7" t="s">
        <v>39</v>
      </c>
      <c r="D3" s="7" t="s">
        <v>85</v>
      </c>
      <c r="E3" s="7" t="s">
        <v>1642</v>
      </c>
      <c r="F3" s="7" t="s">
        <v>39</v>
      </c>
      <c r="G3" s="14">
        <v>90</v>
      </c>
      <c r="H3" s="14">
        <v>0</v>
      </c>
      <c r="I3" s="15">
        <v>0</v>
      </c>
      <c r="J3" s="14">
        <v>2</v>
      </c>
      <c r="K3" s="15">
        <v>2</v>
      </c>
      <c r="L3" s="14">
        <v>1</v>
      </c>
      <c r="M3" s="14">
        <v>0</v>
      </c>
      <c r="N3" s="13">
        <v>0.66666666666666663</v>
      </c>
      <c r="O3" s="14">
        <v>0</v>
      </c>
      <c r="P3" s="14">
        <v>11</v>
      </c>
      <c r="Q3" s="15">
        <v>11</v>
      </c>
      <c r="R3" s="17">
        <f>IFERROR(G3/(G3+Priors!$H$18),0)</f>
        <v>8.2568807339449546E-2</v>
      </c>
      <c r="S3" s="13">
        <v>1</v>
      </c>
      <c r="T3" s="40" t="b">
        <v>0</v>
      </c>
      <c r="U3" s="13">
        <v>1</v>
      </c>
      <c r="V3" s="40" t="b">
        <v>0</v>
      </c>
      <c r="W3" s="13">
        <v>1</v>
      </c>
      <c r="X3" s="17">
        <f t="shared" si="0"/>
        <v>8.2568807339449546E-2</v>
      </c>
      <c r="Y3" s="37">
        <f>VLOOKUP(D3,Priors!$A$18:$B$21,2,FALSE)</f>
        <v>2.6414527990394716</v>
      </c>
      <c r="Z3" s="38">
        <f t="shared" si="1"/>
        <v>2.4233511917793318</v>
      </c>
      <c r="AA3" s="39">
        <v>1</v>
      </c>
      <c r="AB3" s="38">
        <f t="shared" si="2"/>
        <v>2.4233511917793318</v>
      </c>
      <c r="AC3" s="37">
        <f>Priors!$K$18</f>
        <v>2.7435089299114512</v>
      </c>
      <c r="AD3" s="38">
        <f t="shared" si="3"/>
        <v>2.6821182843224323</v>
      </c>
      <c r="AE3" s="37">
        <f>Priors!$K$19</f>
        <v>0.67280088332719912</v>
      </c>
      <c r="AF3" s="38">
        <f t="shared" si="4"/>
        <v>0.67229438837357725</v>
      </c>
      <c r="AG3" s="17">
        <f t="shared" si="5"/>
        <v>0.91743119266055051</v>
      </c>
      <c r="AH3" s="7" t="s">
        <v>1643</v>
      </c>
      <c r="AI3" s="7"/>
      <c r="AJ3" s="38" t="str">
        <f t="shared" si="6"/>
        <v/>
      </c>
      <c r="AK3" s="9" t="b">
        <f t="shared" si="7"/>
        <v>1</v>
      </c>
      <c r="AL3" s="28" t="s">
        <v>1644</v>
      </c>
      <c r="AM3" s="28" t="s">
        <v>1645</v>
      </c>
      <c r="AN3" s="28" t="s">
        <v>1792</v>
      </c>
    </row>
    <row r="4" spans="1:40" ht="30">
      <c r="A4" s="7">
        <v>3</v>
      </c>
      <c r="B4" s="7" t="s">
        <v>94</v>
      </c>
      <c r="C4" s="7" t="s">
        <v>39</v>
      </c>
      <c r="D4" s="7" t="s">
        <v>85</v>
      </c>
      <c r="E4" s="7" t="s">
        <v>1642</v>
      </c>
      <c r="F4" s="7" t="s">
        <v>51</v>
      </c>
      <c r="G4" s="14">
        <v>0</v>
      </c>
      <c r="H4" s="14">
        <v>0</v>
      </c>
      <c r="I4" s="15">
        <v>0</v>
      </c>
      <c r="J4" s="14">
        <v>0</v>
      </c>
      <c r="K4" s="15">
        <v>0</v>
      </c>
      <c r="L4" s="14">
        <v>0</v>
      </c>
      <c r="M4" s="14">
        <v>0</v>
      </c>
      <c r="N4" s="13"/>
      <c r="O4" s="14">
        <v>0</v>
      </c>
      <c r="P4" s="14">
        <v>0</v>
      </c>
      <c r="Q4" s="15">
        <v>0</v>
      </c>
      <c r="R4" s="17">
        <f>IFERROR(G4/(G4+Priors!$H$18),0)</f>
        <v>0</v>
      </c>
      <c r="S4" s="13">
        <v>1</v>
      </c>
      <c r="T4" s="40" t="b">
        <v>1</v>
      </c>
      <c r="U4" s="13">
        <v>0.85</v>
      </c>
      <c r="V4" s="40" t="b">
        <v>0</v>
      </c>
      <c r="W4" s="13">
        <v>1</v>
      </c>
      <c r="X4" s="17">
        <f t="shared" si="0"/>
        <v>0</v>
      </c>
      <c r="Y4" s="37">
        <f>VLOOKUP(D4,Priors!$A$18:$B$21,2,FALSE)</f>
        <v>2.6414527990394716</v>
      </c>
      <c r="Z4" s="38">
        <f t="shared" si="1"/>
        <v>2.6414527990394716</v>
      </c>
      <c r="AA4" s="39">
        <v>1</v>
      </c>
      <c r="AB4" s="38">
        <f t="shared" si="2"/>
        <v>2.6414527990394716</v>
      </c>
      <c r="AC4" s="37">
        <f>Priors!$K$18</f>
        <v>2.7435089299114512</v>
      </c>
      <c r="AD4" s="38">
        <f t="shared" si="3"/>
        <v>2.7435089299114512</v>
      </c>
      <c r="AE4" s="37">
        <f>Priors!$K$19</f>
        <v>0.67280088332719912</v>
      </c>
      <c r="AF4" s="38">
        <f t="shared" si="4"/>
        <v>0.67280088332719912</v>
      </c>
      <c r="AG4" s="17">
        <f t="shared" si="5"/>
        <v>1</v>
      </c>
      <c r="AH4" s="7" t="s">
        <v>1643</v>
      </c>
      <c r="AI4" s="7"/>
      <c r="AJ4" s="38" t="str">
        <f t="shared" si="6"/>
        <v/>
      </c>
      <c r="AK4" s="9" t="b">
        <f t="shared" si="7"/>
        <v>1</v>
      </c>
      <c r="AL4" s="28" t="s">
        <v>1644</v>
      </c>
      <c r="AM4" s="28" t="s">
        <v>1645</v>
      </c>
      <c r="AN4" s="28" t="s">
        <v>1792</v>
      </c>
    </row>
    <row r="5" spans="1:40" ht="30">
      <c r="A5" s="7">
        <v>4</v>
      </c>
      <c r="B5" s="7" t="s">
        <v>97</v>
      </c>
      <c r="C5" s="7" t="s">
        <v>39</v>
      </c>
      <c r="D5" s="7" t="s">
        <v>99</v>
      </c>
      <c r="E5" s="7" t="s">
        <v>1642</v>
      </c>
      <c r="F5" s="7" t="s">
        <v>39</v>
      </c>
      <c r="G5" s="14">
        <v>2750</v>
      </c>
      <c r="H5" s="14">
        <v>292</v>
      </c>
      <c r="I5" s="15">
        <v>9.07</v>
      </c>
      <c r="J5" s="14">
        <v>0</v>
      </c>
      <c r="K5" s="15">
        <v>0</v>
      </c>
      <c r="L5" s="14">
        <v>20</v>
      </c>
      <c r="M5" s="14">
        <v>18</v>
      </c>
      <c r="N5" s="13"/>
      <c r="O5" s="14">
        <v>30</v>
      </c>
      <c r="P5" s="14">
        <v>724</v>
      </c>
      <c r="Q5" s="15">
        <v>23.694545454545455</v>
      </c>
      <c r="R5" s="17">
        <f>IFERROR(G5/(G5+Priors!$H$18),0)</f>
        <v>0.73333333333333328</v>
      </c>
      <c r="S5" s="13">
        <v>1</v>
      </c>
      <c r="T5" s="40" t="b">
        <v>0</v>
      </c>
      <c r="U5" s="13">
        <v>1</v>
      </c>
      <c r="V5" s="40" t="b">
        <v>0</v>
      </c>
      <c r="W5" s="13">
        <v>1</v>
      </c>
      <c r="X5" s="17">
        <f t="shared" si="0"/>
        <v>0.73333333333333328</v>
      </c>
      <c r="Y5" s="37">
        <f>VLOOKUP(D5,Priors!$A$18:$B$21,2,FALSE)</f>
        <v>8.7398272304160223</v>
      </c>
      <c r="Z5" s="38">
        <f t="shared" si="1"/>
        <v>8.98195392811094</v>
      </c>
      <c r="AA5" s="39">
        <v>1</v>
      </c>
      <c r="AB5" s="38">
        <f t="shared" si="2"/>
        <v>8.98195392811094</v>
      </c>
      <c r="AC5" s="37">
        <f>Priors!$K$18</f>
        <v>2.7435089299114512</v>
      </c>
      <c r="AD5" s="38" t="str">
        <f t="shared" si="3"/>
        <v/>
      </c>
      <c r="AE5" s="37">
        <f>Priors!$K$19</f>
        <v>0.67280088332719912</v>
      </c>
      <c r="AF5" s="38" t="str">
        <f t="shared" si="4"/>
        <v/>
      </c>
      <c r="AG5" s="17">
        <f t="shared" si="5"/>
        <v>0.26666666666666672</v>
      </c>
      <c r="AH5" s="7" t="s">
        <v>1643</v>
      </c>
      <c r="AI5" s="7">
        <v>10</v>
      </c>
      <c r="AJ5" s="38">
        <f t="shared" si="6"/>
        <v>0.89819539281109395</v>
      </c>
      <c r="AK5" s="9" t="b">
        <f t="shared" si="7"/>
        <v>0</v>
      </c>
      <c r="AL5" s="28" t="s">
        <v>1644</v>
      </c>
      <c r="AM5" s="28" t="s">
        <v>1645</v>
      </c>
      <c r="AN5" s="28" t="s">
        <v>1792</v>
      </c>
    </row>
    <row r="6" spans="1:40" ht="30">
      <c r="A6" s="7">
        <v>5</v>
      </c>
      <c r="B6" s="7" t="s">
        <v>101</v>
      </c>
      <c r="C6" s="7" t="s">
        <v>39</v>
      </c>
      <c r="D6" s="7" t="s">
        <v>99</v>
      </c>
      <c r="E6" s="7" t="s">
        <v>1642</v>
      </c>
      <c r="F6" s="7" t="s">
        <v>39</v>
      </c>
      <c r="G6" s="14">
        <v>2452</v>
      </c>
      <c r="H6" s="14">
        <v>178</v>
      </c>
      <c r="I6" s="15">
        <v>5.43</v>
      </c>
      <c r="J6" s="14">
        <v>0</v>
      </c>
      <c r="K6" s="15">
        <v>0</v>
      </c>
      <c r="L6" s="14">
        <v>20</v>
      </c>
      <c r="M6" s="14">
        <v>13</v>
      </c>
      <c r="N6" s="13"/>
      <c r="O6" s="14">
        <v>9</v>
      </c>
      <c r="P6" s="14">
        <v>532</v>
      </c>
      <c r="Q6" s="15">
        <v>19.526916802610113</v>
      </c>
      <c r="R6" s="17">
        <f>IFERROR(G6/(G6+Priors!$H$18),0)</f>
        <v>0.71031286210892242</v>
      </c>
      <c r="S6" s="13">
        <v>1</v>
      </c>
      <c r="T6" s="40" t="b">
        <v>0</v>
      </c>
      <c r="U6" s="13">
        <v>1</v>
      </c>
      <c r="V6" s="40" t="b">
        <v>0</v>
      </c>
      <c r="W6" s="13">
        <v>1</v>
      </c>
      <c r="X6" s="17">
        <f t="shared" si="0"/>
        <v>0.71031286210892242</v>
      </c>
      <c r="Y6" s="37">
        <f>VLOOKUP(D6,Priors!$A$18:$B$21,2,FALSE)</f>
        <v>8.7398272304160223</v>
      </c>
      <c r="Z6" s="38">
        <f t="shared" si="1"/>
        <v>6.3888143772931691</v>
      </c>
      <c r="AA6" s="39">
        <v>1</v>
      </c>
      <c r="AB6" s="38">
        <f t="shared" si="2"/>
        <v>6.3888143772931691</v>
      </c>
      <c r="AC6" s="37">
        <f>Priors!$K$18</f>
        <v>2.7435089299114512</v>
      </c>
      <c r="AD6" s="38" t="str">
        <f t="shared" si="3"/>
        <v/>
      </c>
      <c r="AE6" s="37">
        <f>Priors!$K$19</f>
        <v>0.67280088332719912</v>
      </c>
      <c r="AF6" s="38" t="str">
        <f t="shared" si="4"/>
        <v/>
      </c>
      <c r="AG6" s="17">
        <f t="shared" si="5"/>
        <v>0.28968713789107758</v>
      </c>
      <c r="AH6" s="7" t="s">
        <v>1643</v>
      </c>
      <c r="AI6" s="7">
        <v>10</v>
      </c>
      <c r="AJ6" s="38">
        <f t="shared" si="6"/>
        <v>0.63888143772931694</v>
      </c>
      <c r="AK6" s="9" t="b">
        <f t="shared" si="7"/>
        <v>0</v>
      </c>
      <c r="AL6" s="28" t="s">
        <v>1644</v>
      </c>
      <c r="AM6" s="28" t="s">
        <v>1645</v>
      </c>
      <c r="AN6" s="28" t="s">
        <v>1792</v>
      </c>
    </row>
    <row r="7" spans="1:40" ht="30">
      <c r="A7" s="7">
        <v>6</v>
      </c>
      <c r="B7" s="7" t="s">
        <v>106</v>
      </c>
      <c r="C7" s="7" t="s">
        <v>39</v>
      </c>
      <c r="D7" s="7" t="s">
        <v>99</v>
      </c>
      <c r="E7" s="7" t="s">
        <v>1642</v>
      </c>
      <c r="F7" s="7" t="s">
        <v>39</v>
      </c>
      <c r="G7" s="14">
        <v>2614</v>
      </c>
      <c r="H7" s="14">
        <v>224</v>
      </c>
      <c r="I7" s="15">
        <v>6.64</v>
      </c>
      <c r="J7" s="14">
        <v>0</v>
      </c>
      <c r="K7" s="15">
        <v>0</v>
      </c>
      <c r="L7" s="14">
        <v>20</v>
      </c>
      <c r="M7" s="14">
        <v>15</v>
      </c>
      <c r="N7" s="13"/>
      <c r="O7" s="14">
        <v>12</v>
      </c>
      <c r="P7" s="14">
        <v>581</v>
      </c>
      <c r="Q7" s="15">
        <v>20.003825554705433</v>
      </c>
      <c r="R7" s="17">
        <f>IFERROR(G7/(G7+Priors!$H$18),0)</f>
        <v>0.72329828444936362</v>
      </c>
      <c r="S7" s="13">
        <v>1</v>
      </c>
      <c r="T7" s="40" t="b">
        <v>0</v>
      </c>
      <c r="U7" s="13">
        <v>1</v>
      </c>
      <c r="V7" s="40" t="b">
        <v>0</v>
      </c>
      <c r="W7" s="13">
        <v>1</v>
      </c>
      <c r="X7" s="17">
        <f t="shared" si="0"/>
        <v>0.72329828444936362</v>
      </c>
      <c r="Y7" s="37">
        <f>VLOOKUP(D7,Priors!$A$18:$B$21,2,FALSE)</f>
        <v>8.7398272304160223</v>
      </c>
      <c r="Z7" s="38">
        <f t="shared" si="1"/>
        <v>7.2210257970160541</v>
      </c>
      <c r="AA7" s="39">
        <v>1</v>
      </c>
      <c r="AB7" s="38">
        <f t="shared" si="2"/>
        <v>7.2210257970160541</v>
      </c>
      <c r="AC7" s="37">
        <f>Priors!$K$18</f>
        <v>2.7435089299114512</v>
      </c>
      <c r="AD7" s="38" t="str">
        <f t="shared" si="3"/>
        <v/>
      </c>
      <c r="AE7" s="37">
        <f>Priors!$K$19</f>
        <v>0.67280088332719912</v>
      </c>
      <c r="AF7" s="38" t="str">
        <f t="shared" si="4"/>
        <v/>
      </c>
      <c r="AG7" s="17">
        <f t="shared" si="5"/>
        <v>0.27670171555063638</v>
      </c>
      <c r="AH7" s="7" t="s">
        <v>1643</v>
      </c>
      <c r="AI7" s="7">
        <v>10</v>
      </c>
      <c r="AJ7" s="38">
        <f t="shared" si="6"/>
        <v>0.72210257970160541</v>
      </c>
      <c r="AK7" s="9" t="b">
        <f t="shared" si="7"/>
        <v>0</v>
      </c>
      <c r="AL7" s="28" t="s">
        <v>1644</v>
      </c>
      <c r="AM7" s="28" t="s">
        <v>1645</v>
      </c>
      <c r="AN7" s="28" t="s">
        <v>1792</v>
      </c>
    </row>
    <row r="8" spans="1:40" ht="30">
      <c r="A8" s="7">
        <v>7</v>
      </c>
      <c r="B8" s="7" t="s">
        <v>110</v>
      </c>
      <c r="C8" s="7" t="s">
        <v>39</v>
      </c>
      <c r="D8" s="7" t="s">
        <v>112</v>
      </c>
      <c r="E8" s="7" t="s">
        <v>1642</v>
      </c>
      <c r="F8" s="7" t="s">
        <v>39</v>
      </c>
      <c r="G8" s="14">
        <v>697</v>
      </c>
      <c r="H8" s="14">
        <v>32</v>
      </c>
      <c r="I8" s="15">
        <v>3.23</v>
      </c>
      <c r="J8" s="14">
        <v>0</v>
      </c>
      <c r="K8" s="15">
        <v>0</v>
      </c>
      <c r="L8" s="14">
        <v>8</v>
      </c>
      <c r="M8" s="14">
        <v>2</v>
      </c>
      <c r="N8" s="13"/>
      <c r="O8" s="14">
        <v>0</v>
      </c>
      <c r="P8" s="14">
        <v>110</v>
      </c>
      <c r="Q8" s="15">
        <v>14.203730272596843</v>
      </c>
      <c r="R8" s="17">
        <f>IFERROR(G8/(G8+Priors!$H$18),0)</f>
        <v>0.41072480848556275</v>
      </c>
      <c r="S8" s="13">
        <v>1</v>
      </c>
      <c r="T8" s="40" t="b">
        <v>0</v>
      </c>
      <c r="U8" s="13">
        <v>1</v>
      </c>
      <c r="V8" s="40" t="b">
        <v>0</v>
      </c>
      <c r="W8" s="13">
        <v>1</v>
      </c>
      <c r="X8" s="17">
        <f t="shared" si="0"/>
        <v>0.41072480848556275</v>
      </c>
      <c r="Y8" s="37">
        <f>VLOOKUP(D8,Priors!$A$18:$B$21,2,FALSE)</f>
        <v>8.4555315342179806</v>
      </c>
      <c r="Z8" s="38">
        <f t="shared" si="1"/>
        <v>6.3092760955910308</v>
      </c>
      <c r="AA8" s="39">
        <v>1</v>
      </c>
      <c r="AB8" s="38">
        <f t="shared" si="2"/>
        <v>6.3092760955910308</v>
      </c>
      <c r="AC8" s="37">
        <f>Priors!$K$18</f>
        <v>2.7435089299114512</v>
      </c>
      <c r="AD8" s="38" t="str">
        <f t="shared" si="3"/>
        <v/>
      </c>
      <c r="AE8" s="37">
        <f>Priors!$K$19</f>
        <v>0.67280088332719912</v>
      </c>
      <c r="AF8" s="38" t="str">
        <f t="shared" si="4"/>
        <v/>
      </c>
      <c r="AG8" s="17">
        <f t="shared" si="5"/>
        <v>0.58927519151443719</v>
      </c>
      <c r="AH8" s="7" t="s">
        <v>1643</v>
      </c>
      <c r="AI8" s="7">
        <v>12</v>
      </c>
      <c r="AJ8" s="38">
        <f t="shared" si="6"/>
        <v>0.52577300796591919</v>
      </c>
      <c r="AK8" s="9" t="b">
        <f t="shared" si="7"/>
        <v>1</v>
      </c>
      <c r="AL8" s="28" t="s">
        <v>1644</v>
      </c>
      <c r="AM8" s="28" t="s">
        <v>1645</v>
      </c>
      <c r="AN8" s="28" t="s">
        <v>1792</v>
      </c>
    </row>
    <row r="9" spans="1:40" ht="30">
      <c r="A9" s="7">
        <v>8</v>
      </c>
      <c r="B9" s="7" t="s">
        <v>114</v>
      </c>
      <c r="C9" s="7" t="s">
        <v>39</v>
      </c>
      <c r="D9" s="7" t="s">
        <v>99</v>
      </c>
      <c r="E9" s="7" t="s">
        <v>1642</v>
      </c>
      <c r="F9" s="7" t="s">
        <v>39</v>
      </c>
      <c r="G9" s="14">
        <v>1697</v>
      </c>
      <c r="H9" s="14">
        <v>141</v>
      </c>
      <c r="I9" s="15">
        <v>5.41</v>
      </c>
      <c r="J9" s="14">
        <v>0</v>
      </c>
      <c r="K9" s="15">
        <v>0</v>
      </c>
      <c r="L9" s="14">
        <v>8</v>
      </c>
      <c r="M9" s="14">
        <v>13</v>
      </c>
      <c r="N9" s="13"/>
      <c r="O9" s="14">
        <v>6</v>
      </c>
      <c r="P9" s="14">
        <v>389</v>
      </c>
      <c r="Q9" s="15">
        <v>20.630524454920447</v>
      </c>
      <c r="R9" s="17">
        <f>IFERROR(G9/(G9+Priors!$H$18),0)</f>
        <v>0.6292176492398962</v>
      </c>
      <c r="S9" s="13">
        <v>1</v>
      </c>
      <c r="T9" s="40" t="b">
        <v>0</v>
      </c>
      <c r="U9" s="13">
        <v>1</v>
      </c>
      <c r="V9" s="40" t="b">
        <v>0</v>
      </c>
      <c r="W9" s="13">
        <v>1</v>
      </c>
      <c r="X9" s="17">
        <f t="shared" si="0"/>
        <v>0.6292176492398962</v>
      </c>
      <c r="Y9" s="37">
        <f>VLOOKUP(D9,Priors!$A$18:$B$21,2,FALSE)</f>
        <v>8.7398272304160223</v>
      </c>
      <c r="Z9" s="38">
        <f t="shared" si="1"/>
        <v>6.6446411681186586</v>
      </c>
      <c r="AA9" s="39">
        <v>1</v>
      </c>
      <c r="AB9" s="38">
        <f t="shared" si="2"/>
        <v>6.6446411681186586</v>
      </c>
      <c r="AC9" s="37">
        <f>Priors!$K$18</f>
        <v>2.7435089299114512</v>
      </c>
      <c r="AD9" s="38" t="str">
        <f t="shared" si="3"/>
        <v/>
      </c>
      <c r="AE9" s="37">
        <f>Priors!$K$19</f>
        <v>0.67280088332719912</v>
      </c>
      <c r="AF9" s="38" t="str">
        <f t="shared" si="4"/>
        <v/>
      </c>
      <c r="AG9" s="17">
        <f t="shared" si="5"/>
        <v>0.3707823507601038</v>
      </c>
      <c r="AH9" s="7" t="s">
        <v>1643</v>
      </c>
      <c r="AI9" s="7">
        <v>10</v>
      </c>
      <c r="AJ9" s="38">
        <f t="shared" si="6"/>
        <v>0.6644641168118659</v>
      </c>
      <c r="AK9" s="9" t="b">
        <f t="shared" si="7"/>
        <v>0</v>
      </c>
      <c r="AL9" s="28" t="s">
        <v>1644</v>
      </c>
      <c r="AM9" s="28" t="s">
        <v>1645</v>
      </c>
      <c r="AN9" s="28" t="s">
        <v>1792</v>
      </c>
    </row>
    <row r="10" spans="1:40" ht="30">
      <c r="A10" s="7">
        <v>9</v>
      </c>
      <c r="B10" s="7" t="s">
        <v>117</v>
      </c>
      <c r="C10" s="7" t="s">
        <v>39</v>
      </c>
      <c r="D10" s="7" t="s">
        <v>99</v>
      </c>
      <c r="E10" s="7" t="s">
        <v>1642</v>
      </c>
      <c r="F10" s="7" t="s">
        <v>39</v>
      </c>
      <c r="G10" s="14">
        <v>1787</v>
      </c>
      <c r="H10" s="14">
        <v>171</v>
      </c>
      <c r="I10" s="15">
        <v>8.61</v>
      </c>
      <c r="J10" s="14">
        <v>0</v>
      </c>
      <c r="K10" s="15">
        <v>0</v>
      </c>
      <c r="L10" s="14">
        <v>19</v>
      </c>
      <c r="M10" s="14">
        <v>5</v>
      </c>
      <c r="N10" s="13"/>
      <c r="O10" s="14">
        <v>7</v>
      </c>
      <c r="P10" s="14">
        <v>335</v>
      </c>
      <c r="Q10" s="15">
        <v>16.871852266368215</v>
      </c>
      <c r="R10" s="17">
        <f>IFERROR(G10/(G10+Priors!$H$18),0)</f>
        <v>0.64119124506637959</v>
      </c>
      <c r="S10" s="13">
        <v>1</v>
      </c>
      <c r="T10" s="40" t="b">
        <v>0</v>
      </c>
      <c r="U10" s="13">
        <v>1</v>
      </c>
      <c r="V10" s="40" t="b">
        <v>0</v>
      </c>
      <c r="W10" s="13">
        <v>1</v>
      </c>
      <c r="X10" s="17">
        <f t="shared" si="0"/>
        <v>0.64119124506637959</v>
      </c>
      <c r="Y10" s="37">
        <f>VLOOKUP(D10,Priors!$A$18:$B$21,2,FALSE)</f>
        <v>8.7398272304160223</v>
      </c>
      <c r="Z10" s="38">
        <f t="shared" si="1"/>
        <v>8.6565831469020527</v>
      </c>
      <c r="AA10" s="39">
        <v>1</v>
      </c>
      <c r="AB10" s="38">
        <f t="shared" si="2"/>
        <v>8.6565831469020527</v>
      </c>
      <c r="AC10" s="37">
        <f>Priors!$K$18</f>
        <v>2.7435089299114512</v>
      </c>
      <c r="AD10" s="38" t="str">
        <f t="shared" si="3"/>
        <v/>
      </c>
      <c r="AE10" s="37">
        <f>Priors!$K$19</f>
        <v>0.67280088332719912</v>
      </c>
      <c r="AF10" s="38" t="str">
        <f t="shared" si="4"/>
        <v/>
      </c>
      <c r="AG10" s="17">
        <f t="shared" si="5"/>
        <v>0.35880875493362041</v>
      </c>
      <c r="AH10" s="7" t="s">
        <v>1643</v>
      </c>
      <c r="AI10" s="7">
        <v>10</v>
      </c>
      <c r="AJ10" s="38">
        <f t="shared" si="6"/>
        <v>0.86565831469020527</v>
      </c>
      <c r="AK10" s="9" t="b">
        <f t="shared" si="7"/>
        <v>0</v>
      </c>
      <c r="AL10" s="28" t="s">
        <v>1644</v>
      </c>
      <c r="AM10" s="28" t="s">
        <v>1645</v>
      </c>
      <c r="AN10" s="28" t="s">
        <v>1792</v>
      </c>
    </row>
    <row r="11" spans="1:40" ht="30">
      <c r="A11" s="7">
        <v>10</v>
      </c>
      <c r="B11" s="7" t="s">
        <v>120</v>
      </c>
      <c r="C11" s="7" t="s">
        <v>39</v>
      </c>
      <c r="D11" s="7" t="s">
        <v>99</v>
      </c>
      <c r="E11" s="7" t="s">
        <v>1642</v>
      </c>
      <c r="F11" s="7" t="s">
        <v>39</v>
      </c>
      <c r="G11" s="14">
        <v>699</v>
      </c>
      <c r="H11" s="14">
        <v>57</v>
      </c>
      <c r="I11" s="15">
        <v>6.82</v>
      </c>
      <c r="J11" s="14">
        <v>0</v>
      </c>
      <c r="K11" s="15">
        <v>0</v>
      </c>
      <c r="L11" s="14">
        <v>6</v>
      </c>
      <c r="M11" s="14">
        <v>5</v>
      </c>
      <c r="N11" s="13"/>
      <c r="O11" s="14">
        <v>3</v>
      </c>
      <c r="P11" s="14">
        <v>181</v>
      </c>
      <c r="Q11" s="15">
        <v>23.30472103004292</v>
      </c>
      <c r="R11" s="17">
        <f>IFERROR(G11/(G11+Priors!$H$18),0)</f>
        <v>0.41141848145968218</v>
      </c>
      <c r="S11" s="13">
        <v>1</v>
      </c>
      <c r="T11" s="40" t="b">
        <v>0</v>
      </c>
      <c r="U11" s="13">
        <v>1</v>
      </c>
      <c r="V11" s="40" t="b">
        <v>0</v>
      </c>
      <c r="W11" s="13">
        <v>1</v>
      </c>
      <c r="X11" s="17">
        <f t="shared" si="0"/>
        <v>0.41141848145968218</v>
      </c>
      <c r="Y11" s="37">
        <f>VLOOKUP(D11,Priors!$A$18:$B$21,2,FALSE)</f>
        <v>8.7398272304160223</v>
      </c>
      <c r="Z11" s="38">
        <f t="shared" si="1"/>
        <v>7.9499748266133148</v>
      </c>
      <c r="AA11" s="39">
        <v>1</v>
      </c>
      <c r="AB11" s="38">
        <f t="shared" si="2"/>
        <v>7.9499748266133148</v>
      </c>
      <c r="AC11" s="37">
        <f>Priors!$K$18</f>
        <v>2.7435089299114512</v>
      </c>
      <c r="AD11" s="38" t="str">
        <f t="shared" si="3"/>
        <v/>
      </c>
      <c r="AE11" s="37">
        <f>Priors!$K$19</f>
        <v>0.67280088332719912</v>
      </c>
      <c r="AF11" s="38" t="str">
        <f t="shared" si="4"/>
        <v/>
      </c>
      <c r="AG11" s="17">
        <f t="shared" si="5"/>
        <v>0.58858151854031782</v>
      </c>
      <c r="AH11" s="7" t="s">
        <v>1643</v>
      </c>
      <c r="AI11" s="7">
        <v>10</v>
      </c>
      <c r="AJ11" s="38">
        <f t="shared" si="6"/>
        <v>0.79499748266133152</v>
      </c>
      <c r="AK11" s="9" t="b">
        <f t="shared" si="7"/>
        <v>1</v>
      </c>
      <c r="AL11" s="28" t="s">
        <v>1644</v>
      </c>
      <c r="AM11" s="28" t="s">
        <v>1645</v>
      </c>
      <c r="AN11" s="28" t="s">
        <v>1792</v>
      </c>
    </row>
    <row r="12" spans="1:40" ht="30">
      <c r="A12" s="7">
        <v>11</v>
      </c>
      <c r="B12" s="7" t="s">
        <v>123</v>
      </c>
      <c r="C12" s="7" t="s">
        <v>39</v>
      </c>
      <c r="D12" s="7" t="s">
        <v>99</v>
      </c>
      <c r="E12" s="7" t="s">
        <v>1642</v>
      </c>
      <c r="F12" s="7" t="s">
        <v>39</v>
      </c>
      <c r="G12" s="14">
        <v>986</v>
      </c>
      <c r="H12" s="14">
        <v>108</v>
      </c>
      <c r="I12" s="15">
        <v>8.67</v>
      </c>
      <c r="J12" s="14">
        <v>0</v>
      </c>
      <c r="K12" s="15">
        <v>0</v>
      </c>
      <c r="L12" s="14">
        <v>8</v>
      </c>
      <c r="M12" s="14">
        <v>3</v>
      </c>
      <c r="N12" s="13"/>
      <c r="O12" s="14">
        <v>1</v>
      </c>
      <c r="P12" s="14">
        <v>195</v>
      </c>
      <c r="Q12" s="15">
        <v>17.799188640973632</v>
      </c>
      <c r="R12" s="17">
        <f>IFERROR(G12/(G12+Priors!$H$18),0)</f>
        <v>0.49647532729103727</v>
      </c>
      <c r="S12" s="13">
        <v>1</v>
      </c>
      <c r="T12" s="40" t="b">
        <v>0</v>
      </c>
      <c r="U12" s="13">
        <v>1</v>
      </c>
      <c r="V12" s="40" t="b">
        <v>0</v>
      </c>
      <c r="W12" s="13">
        <v>1</v>
      </c>
      <c r="X12" s="17">
        <f t="shared" si="0"/>
        <v>0.49647532729103727</v>
      </c>
      <c r="Y12" s="37">
        <f>VLOOKUP(D12,Priors!$A$18:$B$21,2,FALSE)</f>
        <v>8.7398272304160223</v>
      </c>
      <c r="Z12" s="38">
        <f t="shared" si="1"/>
        <v>8.7051597333414001</v>
      </c>
      <c r="AA12" s="39">
        <v>1</v>
      </c>
      <c r="AB12" s="38">
        <f t="shared" si="2"/>
        <v>8.7051597333414001</v>
      </c>
      <c r="AC12" s="37">
        <f>Priors!$K$18</f>
        <v>2.7435089299114512</v>
      </c>
      <c r="AD12" s="38" t="str">
        <f t="shared" si="3"/>
        <v/>
      </c>
      <c r="AE12" s="37">
        <f>Priors!$K$19</f>
        <v>0.67280088332719912</v>
      </c>
      <c r="AF12" s="38" t="str">
        <f t="shared" si="4"/>
        <v/>
      </c>
      <c r="AG12" s="17">
        <f t="shared" si="5"/>
        <v>0.50352467270896273</v>
      </c>
      <c r="AH12" s="7" t="s">
        <v>1643</v>
      </c>
      <c r="AI12" s="7">
        <v>10</v>
      </c>
      <c r="AJ12" s="38">
        <f t="shared" si="6"/>
        <v>0.87051597333413999</v>
      </c>
      <c r="AK12" s="9" t="b">
        <f t="shared" si="7"/>
        <v>1</v>
      </c>
      <c r="AL12" s="28" t="s">
        <v>1644</v>
      </c>
      <c r="AM12" s="28" t="s">
        <v>1645</v>
      </c>
      <c r="AN12" s="28" t="s">
        <v>1792</v>
      </c>
    </row>
    <row r="13" spans="1:40" ht="30">
      <c r="A13" s="7">
        <v>12</v>
      </c>
      <c r="B13" s="7" t="s">
        <v>126</v>
      </c>
      <c r="C13" s="7" t="s">
        <v>39</v>
      </c>
      <c r="D13" s="7" t="s">
        <v>112</v>
      </c>
      <c r="E13" s="7" t="s">
        <v>1642</v>
      </c>
      <c r="F13" s="7" t="s">
        <v>39</v>
      </c>
      <c r="G13" s="14">
        <v>2218</v>
      </c>
      <c r="H13" s="14">
        <v>184</v>
      </c>
      <c r="I13" s="15">
        <v>7.47</v>
      </c>
      <c r="J13" s="14">
        <v>0</v>
      </c>
      <c r="K13" s="15">
        <v>0</v>
      </c>
      <c r="L13" s="14">
        <v>16</v>
      </c>
      <c r="M13" s="14">
        <v>12</v>
      </c>
      <c r="N13" s="13"/>
      <c r="O13" s="14">
        <v>18</v>
      </c>
      <c r="P13" s="14">
        <v>570</v>
      </c>
      <c r="Q13" s="15">
        <v>23.128944995491434</v>
      </c>
      <c r="R13" s="17">
        <f>IFERROR(G13/(G13+Priors!$H$18),0)</f>
        <v>0.68924798011187072</v>
      </c>
      <c r="S13" s="13">
        <v>1</v>
      </c>
      <c r="T13" s="40" t="b">
        <v>0</v>
      </c>
      <c r="U13" s="13">
        <v>1</v>
      </c>
      <c r="V13" s="40" t="b">
        <v>0</v>
      </c>
      <c r="W13" s="13">
        <v>1</v>
      </c>
      <c r="X13" s="17">
        <f t="shared" si="0"/>
        <v>0.68924798011187072</v>
      </c>
      <c r="Y13" s="37">
        <f>VLOOKUP(D13,Priors!$A$18:$B$21,2,FALSE)</f>
        <v>8.4555315342179806</v>
      </c>
      <c r="Z13" s="38">
        <f t="shared" si="1"/>
        <v>7.7762559149216841</v>
      </c>
      <c r="AA13" s="39">
        <v>1</v>
      </c>
      <c r="AB13" s="38">
        <f t="shared" si="2"/>
        <v>7.7762559149216841</v>
      </c>
      <c r="AC13" s="37">
        <f>Priors!$K$18</f>
        <v>2.7435089299114512</v>
      </c>
      <c r="AD13" s="38" t="str">
        <f t="shared" si="3"/>
        <v/>
      </c>
      <c r="AE13" s="37">
        <f>Priors!$K$19</f>
        <v>0.67280088332719912</v>
      </c>
      <c r="AF13" s="38" t="str">
        <f t="shared" si="4"/>
        <v/>
      </c>
      <c r="AG13" s="17">
        <f t="shared" si="5"/>
        <v>0.31075201988812928</v>
      </c>
      <c r="AH13" s="7" t="s">
        <v>1643</v>
      </c>
      <c r="AI13" s="7">
        <v>12</v>
      </c>
      <c r="AJ13" s="38">
        <f t="shared" si="6"/>
        <v>0.64802132624347364</v>
      </c>
      <c r="AK13" s="9" t="b">
        <f t="shared" si="7"/>
        <v>0</v>
      </c>
      <c r="AL13" s="28" t="s">
        <v>1644</v>
      </c>
      <c r="AM13" s="28" t="s">
        <v>1645</v>
      </c>
      <c r="AN13" s="28" t="s">
        <v>1792</v>
      </c>
    </row>
    <row r="14" spans="1:40" ht="30">
      <c r="A14" s="7">
        <v>13</v>
      </c>
      <c r="B14" s="7" t="s">
        <v>129</v>
      </c>
      <c r="C14" s="7" t="s">
        <v>39</v>
      </c>
      <c r="D14" s="7" t="s">
        <v>112</v>
      </c>
      <c r="E14" s="7" t="s">
        <v>1642</v>
      </c>
      <c r="F14" s="7" t="s">
        <v>39</v>
      </c>
      <c r="G14" s="14">
        <v>3093</v>
      </c>
      <c r="H14" s="14">
        <v>376</v>
      </c>
      <c r="I14" s="15">
        <v>10.94</v>
      </c>
      <c r="J14" s="14">
        <v>0</v>
      </c>
      <c r="K14" s="15">
        <v>0</v>
      </c>
      <c r="L14" s="14">
        <v>25</v>
      </c>
      <c r="M14" s="14">
        <v>18</v>
      </c>
      <c r="N14" s="13"/>
      <c r="O14" s="14">
        <v>23</v>
      </c>
      <c r="P14" s="14">
        <v>790</v>
      </c>
      <c r="Q14" s="15">
        <v>22.987390882638216</v>
      </c>
      <c r="R14" s="17">
        <f>IFERROR(G14/(G14+Priors!$H$18),0)</f>
        <v>0.75568043000244323</v>
      </c>
      <c r="S14" s="13">
        <v>1</v>
      </c>
      <c r="T14" s="40" t="b">
        <v>0</v>
      </c>
      <c r="U14" s="13">
        <v>1</v>
      </c>
      <c r="V14" s="40" t="b">
        <v>0</v>
      </c>
      <c r="W14" s="13">
        <v>1</v>
      </c>
      <c r="X14" s="17">
        <f t="shared" si="0"/>
        <v>0.75568043000244323</v>
      </c>
      <c r="Y14" s="37">
        <f>VLOOKUP(D14,Priors!$A$18:$B$21,2,FALSE)</f>
        <v>8.4555315342179806</v>
      </c>
      <c r="Z14" s="38">
        <f t="shared" si="1"/>
        <v>10.332995732767646</v>
      </c>
      <c r="AA14" s="39">
        <v>1</v>
      </c>
      <c r="AB14" s="38">
        <f t="shared" si="2"/>
        <v>10.332995732767646</v>
      </c>
      <c r="AC14" s="37">
        <f>Priors!$K$18</f>
        <v>2.7435089299114512</v>
      </c>
      <c r="AD14" s="38" t="str">
        <f t="shared" si="3"/>
        <v/>
      </c>
      <c r="AE14" s="37">
        <f>Priors!$K$19</f>
        <v>0.67280088332719912</v>
      </c>
      <c r="AF14" s="38" t="str">
        <f t="shared" si="4"/>
        <v/>
      </c>
      <c r="AG14" s="17">
        <f t="shared" si="5"/>
        <v>0.24431956999755677</v>
      </c>
      <c r="AH14" s="7" t="s">
        <v>1643</v>
      </c>
      <c r="AI14" s="7">
        <v>12</v>
      </c>
      <c r="AJ14" s="38">
        <f t="shared" si="6"/>
        <v>0.86108297773063713</v>
      </c>
      <c r="AK14" s="9" t="b">
        <f t="shared" si="7"/>
        <v>0</v>
      </c>
      <c r="AL14" s="28" t="s">
        <v>1644</v>
      </c>
      <c r="AM14" s="28" t="s">
        <v>1645</v>
      </c>
      <c r="AN14" s="28" t="s">
        <v>1792</v>
      </c>
    </row>
    <row r="15" spans="1:40" ht="30">
      <c r="A15" s="7">
        <v>14</v>
      </c>
      <c r="B15" s="7" t="s">
        <v>132</v>
      </c>
      <c r="C15" s="7" t="s">
        <v>39</v>
      </c>
      <c r="D15" s="7" t="s">
        <v>112</v>
      </c>
      <c r="E15" s="7" t="s">
        <v>1642</v>
      </c>
      <c r="F15" s="7" t="s">
        <v>39</v>
      </c>
      <c r="G15" s="14">
        <v>1885</v>
      </c>
      <c r="H15" s="14">
        <v>120</v>
      </c>
      <c r="I15" s="15">
        <v>5.73</v>
      </c>
      <c r="J15" s="14">
        <v>0</v>
      </c>
      <c r="K15" s="15">
        <v>0</v>
      </c>
      <c r="L15" s="14">
        <v>14</v>
      </c>
      <c r="M15" s="14">
        <v>11</v>
      </c>
      <c r="N15" s="13"/>
      <c r="O15" s="14">
        <v>8</v>
      </c>
      <c r="P15" s="14">
        <v>439</v>
      </c>
      <c r="Q15" s="15">
        <v>20.960212201591514</v>
      </c>
      <c r="R15" s="17">
        <f>IFERROR(G15/(G15+Priors!$H$18),0)</f>
        <v>0.65337954939341425</v>
      </c>
      <c r="S15" s="13">
        <v>1</v>
      </c>
      <c r="T15" s="40" t="b">
        <v>0</v>
      </c>
      <c r="U15" s="13">
        <v>1</v>
      </c>
      <c r="V15" s="40" t="b">
        <v>0</v>
      </c>
      <c r="W15" s="13">
        <v>1</v>
      </c>
      <c r="X15" s="17">
        <f t="shared" si="0"/>
        <v>0.65337954939341425</v>
      </c>
      <c r="Y15" s="37">
        <f>VLOOKUP(D15,Priors!$A$18:$B$21,2,FALSE)</f>
        <v>8.4555315342179806</v>
      </c>
      <c r="Z15" s="38">
        <f t="shared" si="1"/>
        <v>6.6747249685330949</v>
      </c>
      <c r="AA15" s="39">
        <v>1</v>
      </c>
      <c r="AB15" s="38">
        <f t="shared" si="2"/>
        <v>6.6747249685330949</v>
      </c>
      <c r="AC15" s="37">
        <f>Priors!$K$18</f>
        <v>2.7435089299114512</v>
      </c>
      <c r="AD15" s="38" t="str">
        <f t="shared" si="3"/>
        <v/>
      </c>
      <c r="AE15" s="37">
        <f>Priors!$K$19</f>
        <v>0.67280088332719912</v>
      </c>
      <c r="AF15" s="38" t="str">
        <f t="shared" si="4"/>
        <v/>
      </c>
      <c r="AG15" s="17">
        <f t="shared" si="5"/>
        <v>0.34662045060658575</v>
      </c>
      <c r="AH15" s="7" t="s">
        <v>1643</v>
      </c>
      <c r="AI15" s="7">
        <v>12</v>
      </c>
      <c r="AJ15" s="38">
        <f t="shared" si="6"/>
        <v>0.55622708071109128</v>
      </c>
      <c r="AK15" s="9" t="b">
        <f t="shared" si="7"/>
        <v>0</v>
      </c>
      <c r="AL15" s="28" t="s">
        <v>1644</v>
      </c>
      <c r="AM15" s="28" t="s">
        <v>1645</v>
      </c>
      <c r="AN15" s="28" t="s">
        <v>1792</v>
      </c>
    </row>
    <row r="16" spans="1:40" ht="30">
      <c r="A16" s="7">
        <v>15</v>
      </c>
      <c r="B16" s="7" t="s">
        <v>135</v>
      </c>
      <c r="C16" s="7" t="s">
        <v>39</v>
      </c>
      <c r="D16" s="7" t="s">
        <v>112</v>
      </c>
      <c r="E16" s="7" t="s">
        <v>1642</v>
      </c>
      <c r="F16" s="7" t="s">
        <v>39</v>
      </c>
      <c r="G16" s="14">
        <v>1363</v>
      </c>
      <c r="H16" s="14">
        <v>102</v>
      </c>
      <c r="I16" s="15">
        <v>6.74</v>
      </c>
      <c r="J16" s="14">
        <v>0</v>
      </c>
      <c r="K16" s="15">
        <v>0</v>
      </c>
      <c r="L16" s="14">
        <v>13</v>
      </c>
      <c r="M16" s="14">
        <v>6</v>
      </c>
      <c r="N16" s="13"/>
      <c r="O16" s="14">
        <v>5</v>
      </c>
      <c r="P16" s="14">
        <v>306</v>
      </c>
      <c r="Q16" s="15">
        <v>20.205429200293469</v>
      </c>
      <c r="R16" s="17">
        <f>IFERROR(G16/(G16+Priors!$H$18),0)</f>
        <v>0.57680914092255609</v>
      </c>
      <c r="S16" s="13">
        <v>1</v>
      </c>
      <c r="T16" s="40" t="b">
        <v>0</v>
      </c>
      <c r="U16" s="13">
        <v>1</v>
      </c>
      <c r="V16" s="40" t="b">
        <v>0</v>
      </c>
      <c r="W16" s="13">
        <v>1</v>
      </c>
      <c r="X16" s="17">
        <f t="shared" si="0"/>
        <v>0.57680914092255609</v>
      </c>
      <c r="Y16" s="37">
        <f>VLOOKUP(D16,Priors!$A$18:$B$21,2,FALSE)</f>
        <v>8.4555315342179806</v>
      </c>
      <c r="Z16" s="38">
        <f t="shared" si="1"/>
        <v>7.465997263740153</v>
      </c>
      <c r="AA16" s="39">
        <v>1</v>
      </c>
      <c r="AB16" s="38">
        <f t="shared" si="2"/>
        <v>7.465997263740153</v>
      </c>
      <c r="AC16" s="37">
        <f>Priors!$K$18</f>
        <v>2.7435089299114512</v>
      </c>
      <c r="AD16" s="38" t="str">
        <f t="shared" si="3"/>
        <v/>
      </c>
      <c r="AE16" s="37">
        <f>Priors!$K$19</f>
        <v>0.67280088332719912</v>
      </c>
      <c r="AF16" s="38" t="str">
        <f t="shared" si="4"/>
        <v/>
      </c>
      <c r="AG16" s="17">
        <f t="shared" si="5"/>
        <v>0.42319085907744391</v>
      </c>
      <c r="AH16" s="7" t="s">
        <v>1643</v>
      </c>
      <c r="AI16" s="7">
        <v>12</v>
      </c>
      <c r="AJ16" s="38">
        <f t="shared" si="6"/>
        <v>0.62216643864501275</v>
      </c>
      <c r="AK16" s="9" t="b">
        <f t="shared" si="7"/>
        <v>0</v>
      </c>
      <c r="AL16" s="28" t="s">
        <v>1644</v>
      </c>
      <c r="AM16" s="28" t="s">
        <v>1645</v>
      </c>
      <c r="AN16" s="28" t="s">
        <v>1792</v>
      </c>
    </row>
    <row r="17" spans="1:40" ht="30">
      <c r="A17" s="7">
        <v>16</v>
      </c>
      <c r="B17" s="7" t="s">
        <v>138</v>
      </c>
      <c r="C17" s="7" t="s">
        <v>39</v>
      </c>
      <c r="D17" s="7" t="s">
        <v>112</v>
      </c>
      <c r="E17" s="7" t="s">
        <v>1642</v>
      </c>
      <c r="F17" s="7" t="s">
        <v>39</v>
      </c>
      <c r="G17" s="14">
        <v>1205</v>
      </c>
      <c r="H17" s="14">
        <v>70</v>
      </c>
      <c r="I17" s="15">
        <v>5.23</v>
      </c>
      <c r="J17" s="14">
        <v>0</v>
      </c>
      <c r="K17" s="15">
        <v>0</v>
      </c>
      <c r="L17" s="14">
        <v>9</v>
      </c>
      <c r="M17" s="14">
        <v>8</v>
      </c>
      <c r="N17" s="13"/>
      <c r="O17" s="14">
        <v>9</v>
      </c>
      <c r="P17" s="14">
        <v>254</v>
      </c>
      <c r="Q17" s="15">
        <v>18.970954356846473</v>
      </c>
      <c r="R17" s="17">
        <f>IFERROR(G17/(G17+Priors!$H$18),0)</f>
        <v>0.54648526077097503</v>
      </c>
      <c r="S17" s="13">
        <v>1</v>
      </c>
      <c r="T17" s="40" t="b">
        <v>0</v>
      </c>
      <c r="U17" s="13">
        <v>1</v>
      </c>
      <c r="V17" s="40" t="b">
        <v>0</v>
      </c>
      <c r="W17" s="13">
        <v>1</v>
      </c>
      <c r="X17" s="17">
        <f t="shared" si="0"/>
        <v>0.54648526077097503</v>
      </c>
      <c r="Y17" s="37">
        <f>VLOOKUP(D17,Priors!$A$18:$B$21,2,FALSE)</f>
        <v>8.4555315342179806</v>
      </c>
      <c r="Z17" s="38">
        <f t="shared" si="1"/>
        <v>6.6928260926158645</v>
      </c>
      <c r="AA17" s="39">
        <v>1</v>
      </c>
      <c r="AB17" s="38">
        <f t="shared" si="2"/>
        <v>6.6928260926158645</v>
      </c>
      <c r="AC17" s="37">
        <f>Priors!$K$18</f>
        <v>2.7435089299114512</v>
      </c>
      <c r="AD17" s="38" t="str">
        <f t="shared" si="3"/>
        <v/>
      </c>
      <c r="AE17" s="37">
        <f>Priors!$K$19</f>
        <v>0.67280088332719912</v>
      </c>
      <c r="AF17" s="38" t="str">
        <f t="shared" si="4"/>
        <v/>
      </c>
      <c r="AG17" s="17">
        <f t="shared" si="5"/>
        <v>0.45351473922902497</v>
      </c>
      <c r="AH17" s="7" t="s">
        <v>1643</v>
      </c>
      <c r="AI17" s="7">
        <v>12</v>
      </c>
      <c r="AJ17" s="38">
        <f t="shared" si="6"/>
        <v>0.55773550771798874</v>
      </c>
      <c r="AK17" s="9" t="b">
        <f t="shared" si="7"/>
        <v>0</v>
      </c>
      <c r="AL17" s="28" t="s">
        <v>1644</v>
      </c>
      <c r="AM17" s="28" t="s">
        <v>1645</v>
      </c>
      <c r="AN17" s="28" t="s">
        <v>1792</v>
      </c>
    </row>
    <row r="18" spans="1:40" ht="30">
      <c r="A18" s="7">
        <v>17</v>
      </c>
      <c r="B18" s="7" t="s">
        <v>141</v>
      </c>
      <c r="C18" s="7" t="s">
        <v>39</v>
      </c>
      <c r="D18" s="7" t="s">
        <v>112</v>
      </c>
      <c r="E18" s="7" t="s">
        <v>1642</v>
      </c>
      <c r="F18" s="7" t="s">
        <v>39</v>
      </c>
      <c r="G18" s="14">
        <v>1024</v>
      </c>
      <c r="H18" s="14">
        <v>113</v>
      </c>
      <c r="I18" s="15">
        <v>9.93</v>
      </c>
      <c r="J18" s="14">
        <v>0</v>
      </c>
      <c r="K18" s="15">
        <v>0</v>
      </c>
      <c r="L18" s="14">
        <v>10</v>
      </c>
      <c r="M18" s="14">
        <v>4</v>
      </c>
      <c r="N18" s="13"/>
      <c r="O18" s="14">
        <v>5</v>
      </c>
      <c r="P18" s="14">
        <v>236</v>
      </c>
      <c r="Q18" s="15">
        <v>20.7421875</v>
      </c>
      <c r="R18" s="17">
        <f>IFERROR(G18/(G18+Priors!$H$18),0)</f>
        <v>0.50592885375494068</v>
      </c>
      <c r="S18" s="13">
        <v>1</v>
      </c>
      <c r="T18" s="40" t="b">
        <v>0</v>
      </c>
      <c r="U18" s="13">
        <v>1</v>
      </c>
      <c r="V18" s="40" t="b">
        <v>0</v>
      </c>
      <c r="W18" s="13">
        <v>1</v>
      </c>
      <c r="X18" s="17">
        <f t="shared" si="0"/>
        <v>0.50592885375494068</v>
      </c>
      <c r="Y18" s="37">
        <f>VLOOKUP(D18,Priors!$A$18:$B$21,2,FALSE)</f>
        <v>8.4555315342179806</v>
      </c>
      <c r="Z18" s="38">
        <f t="shared" si="1"/>
        <v>9.2015076750088838</v>
      </c>
      <c r="AA18" s="39">
        <v>1</v>
      </c>
      <c r="AB18" s="38">
        <f t="shared" si="2"/>
        <v>9.2015076750088838</v>
      </c>
      <c r="AC18" s="37">
        <f>Priors!$K$18</f>
        <v>2.7435089299114512</v>
      </c>
      <c r="AD18" s="38" t="str">
        <f t="shared" si="3"/>
        <v/>
      </c>
      <c r="AE18" s="37">
        <f>Priors!$K$19</f>
        <v>0.67280088332719912</v>
      </c>
      <c r="AF18" s="38" t="str">
        <f t="shared" si="4"/>
        <v/>
      </c>
      <c r="AG18" s="17">
        <f t="shared" si="5"/>
        <v>0.49407114624505932</v>
      </c>
      <c r="AH18" s="7" t="s">
        <v>1643</v>
      </c>
      <c r="AI18" s="7">
        <v>12</v>
      </c>
      <c r="AJ18" s="38">
        <f t="shared" si="6"/>
        <v>0.76679230625074035</v>
      </c>
      <c r="AK18" s="9" t="b">
        <f t="shared" si="7"/>
        <v>0</v>
      </c>
      <c r="AL18" s="28" t="s">
        <v>1644</v>
      </c>
      <c r="AM18" s="28" t="s">
        <v>1645</v>
      </c>
      <c r="AN18" s="28" t="s">
        <v>1792</v>
      </c>
    </row>
    <row r="19" spans="1:40" ht="30">
      <c r="A19" s="7">
        <v>18</v>
      </c>
      <c r="B19" s="7" t="s">
        <v>144</v>
      </c>
      <c r="C19" s="7" t="s">
        <v>39</v>
      </c>
      <c r="D19" s="7" t="s">
        <v>112</v>
      </c>
      <c r="E19" s="7" t="s">
        <v>1642</v>
      </c>
      <c r="F19" s="7" t="s">
        <v>39</v>
      </c>
      <c r="G19" s="14">
        <v>1065</v>
      </c>
      <c r="H19" s="14">
        <v>77</v>
      </c>
      <c r="I19" s="15">
        <v>6.51</v>
      </c>
      <c r="J19" s="14">
        <v>0</v>
      </c>
      <c r="K19" s="15">
        <v>0</v>
      </c>
      <c r="L19" s="14">
        <v>8</v>
      </c>
      <c r="M19" s="14">
        <v>2</v>
      </c>
      <c r="N19" s="13"/>
      <c r="O19" s="14">
        <v>3</v>
      </c>
      <c r="P19" s="14">
        <v>195</v>
      </c>
      <c r="Q19" s="15">
        <v>16.47887323943662</v>
      </c>
      <c r="R19" s="17">
        <f>IFERROR(G19/(G19+Priors!$H$18),0)</f>
        <v>0.5157384987893463</v>
      </c>
      <c r="S19" s="13">
        <v>1</v>
      </c>
      <c r="T19" s="40" t="b">
        <v>0</v>
      </c>
      <c r="U19" s="13">
        <v>1</v>
      </c>
      <c r="V19" s="40" t="b">
        <v>0</v>
      </c>
      <c r="W19" s="13">
        <v>1</v>
      </c>
      <c r="X19" s="17">
        <f t="shared" si="0"/>
        <v>0.5157384987893463</v>
      </c>
      <c r="Y19" s="37">
        <f>VLOOKUP(D19,Priors!$A$18:$B$21,2,FALSE)</f>
        <v>8.4555315342179806</v>
      </c>
      <c r="Z19" s="38">
        <f t="shared" si="1"/>
        <v>7.452146021413065</v>
      </c>
      <c r="AA19" s="39">
        <v>1</v>
      </c>
      <c r="AB19" s="38">
        <f t="shared" si="2"/>
        <v>7.452146021413065</v>
      </c>
      <c r="AC19" s="37">
        <f>Priors!$K$18</f>
        <v>2.7435089299114512</v>
      </c>
      <c r="AD19" s="38" t="str">
        <f t="shared" si="3"/>
        <v/>
      </c>
      <c r="AE19" s="37">
        <f>Priors!$K$19</f>
        <v>0.67280088332719912</v>
      </c>
      <c r="AF19" s="38" t="str">
        <f t="shared" si="4"/>
        <v/>
      </c>
      <c r="AG19" s="17">
        <f t="shared" si="5"/>
        <v>0.4842615012106537</v>
      </c>
      <c r="AH19" s="7" t="s">
        <v>1643</v>
      </c>
      <c r="AI19" s="7">
        <v>12</v>
      </c>
      <c r="AJ19" s="38">
        <f t="shared" si="6"/>
        <v>0.62101216845108875</v>
      </c>
      <c r="AK19" s="9" t="b">
        <f t="shared" si="7"/>
        <v>0</v>
      </c>
      <c r="AL19" s="28" t="s">
        <v>1644</v>
      </c>
      <c r="AM19" s="28" t="s">
        <v>1645</v>
      </c>
      <c r="AN19" s="28" t="s">
        <v>1792</v>
      </c>
    </row>
    <row r="20" spans="1:40" ht="30">
      <c r="A20" s="7">
        <v>19</v>
      </c>
      <c r="B20" s="7" t="s">
        <v>147</v>
      </c>
      <c r="C20" s="7" t="s">
        <v>39</v>
      </c>
      <c r="D20" s="7" t="s">
        <v>112</v>
      </c>
      <c r="E20" s="7" t="s">
        <v>1642</v>
      </c>
      <c r="F20" s="7" t="s">
        <v>39</v>
      </c>
      <c r="G20" s="14">
        <v>2991</v>
      </c>
      <c r="H20" s="14">
        <v>307</v>
      </c>
      <c r="I20" s="15">
        <v>9.24</v>
      </c>
      <c r="J20" s="14">
        <v>0</v>
      </c>
      <c r="K20" s="15">
        <v>0</v>
      </c>
      <c r="L20" s="14">
        <v>25</v>
      </c>
      <c r="M20" s="14">
        <v>16</v>
      </c>
      <c r="N20" s="13"/>
      <c r="O20" s="14">
        <v>9</v>
      </c>
      <c r="P20" s="14">
        <v>604</v>
      </c>
      <c r="Q20" s="15">
        <v>18.174523570712136</v>
      </c>
      <c r="R20" s="17">
        <f>IFERROR(G20/(G20+Priors!$H$18),0)</f>
        <v>0.74943623152092209</v>
      </c>
      <c r="S20" s="13">
        <v>1</v>
      </c>
      <c r="T20" s="40" t="b">
        <v>0</v>
      </c>
      <c r="U20" s="13">
        <v>1</v>
      </c>
      <c r="V20" s="40" t="b">
        <v>0</v>
      </c>
      <c r="W20" s="13">
        <v>1</v>
      </c>
      <c r="X20" s="17">
        <f t="shared" si="0"/>
        <v>0.74943623152092209</v>
      </c>
      <c r="Y20" s="37">
        <f>VLOOKUP(D20,Priors!$A$18:$B$21,2,FALSE)</f>
        <v>8.4555315342179806</v>
      </c>
      <c r="Z20" s="38">
        <f t="shared" si="1"/>
        <v>9.043440624960656</v>
      </c>
      <c r="AA20" s="39">
        <v>1</v>
      </c>
      <c r="AB20" s="38">
        <f t="shared" si="2"/>
        <v>9.043440624960656</v>
      </c>
      <c r="AC20" s="37">
        <f>Priors!$K$18</f>
        <v>2.7435089299114512</v>
      </c>
      <c r="AD20" s="38" t="str">
        <f t="shared" si="3"/>
        <v/>
      </c>
      <c r="AE20" s="37">
        <f>Priors!$K$19</f>
        <v>0.67280088332719912</v>
      </c>
      <c r="AF20" s="38" t="str">
        <f t="shared" si="4"/>
        <v/>
      </c>
      <c r="AG20" s="17">
        <f t="shared" si="5"/>
        <v>0.25056376847907791</v>
      </c>
      <c r="AH20" s="7" t="s">
        <v>1643</v>
      </c>
      <c r="AI20" s="7">
        <v>12</v>
      </c>
      <c r="AJ20" s="38">
        <f t="shared" si="6"/>
        <v>0.75362005208005467</v>
      </c>
      <c r="AK20" s="9" t="b">
        <f t="shared" si="7"/>
        <v>0</v>
      </c>
      <c r="AL20" s="28" t="s">
        <v>1644</v>
      </c>
      <c r="AM20" s="28" t="s">
        <v>1645</v>
      </c>
      <c r="AN20" s="28" t="s">
        <v>1792</v>
      </c>
    </row>
    <row r="21" spans="1:40" ht="30">
      <c r="A21" s="7">
        <v>20</v>
      </c>
      <c r="B21" s="7" t="s">
        <v>150</v>
      </c>
      <c r="C21" s="7" t="s">
        <v>39</v>
      </c>
      <c r="D21" s="7" t="s">
        <v>112</v>
      </c>
      <c r="E21" s="7" t="s">
        <v>1642</v>
      </c>
      <c r="F21" s="7" t="s">
        <v>39</v>
      </c>
      <c r="G21" s="14">
        <v>152</v>
      </c>
      <c r="H21" s="14">
        <v>16</v>
      </c>
      <c r="I21" s="15">
        <v>9.4700000000000006</v>
      </c>
      <c r="J21" s="14">
        <v>0</v>
      </c>
      <c r="K21" s="15">
        <v>0</v>
      </c>
      <c r="L21" s="14">
        <v>1</v>
      </c>
      <c r="M21" s="14">
        <v>1</v>
      </c>
      <c r="N21" s="13"/>
      <c r="O21" s="14">
        <v>0</v>
      </c>
      <c r="P21" s="14">
        <v>51</v>
      </c>
      <c r="Q21" s="15">
        <v>30.19736842105263</v>
      </c>
      <c r="R21" s="17">
        <f>IFERROR(G21/(G21+Priors!$H$18),0)</f>
        <v>0.13194444444444445</v>
      </c>
      <c r="S21" s="13">
        <v>1</v>
      </c>
      <c r="T21" s="40" t="b">
        <v>0</v>
      </c>
      <c r="U21" s="13">
        <v>1</v>
      </c>
      <c r="V21" s="40" t="b">
        <v>0</v>
      </c>
      <c r="W21" s="13">
        <v>1</v>
      </c>
      <c r="X21" s="17">
        <f t="shared" si="0"/>
        <v>0.13194444444444445</v>
      </c>
      <c r="Y21" s="37">
        <f>VLOOKUP(D21,Priors!$A$18:$B$21,2,FALSE)</f>
        <v>8.4555315342179806</v>
      </c>
      <c r="Z21" s="38">
        <f t="shared" si="1"/>
        <v>8.5893850123419977</v>
      </c>
      <c r="AA21" s="39">
        <v>1</v>
      </c>
      <c r="AB21" s="38">
        <f t="shared" si="2"/>
        <v>8.5893850123419977</v>
      </c>
      <c r="AC21" s="37">
        <f>Priors!$K$18</f>
        <v>2.7435089299114512</v>
      </c>
      <c r="AD21" s="38" t="str">
        <f t="shared" si="3"/>
        <v/>
      </c>
      <c r="AE21" s="37">
        <f>Priors!$K$19</f>
        <v>0.67280088332719912</v>
      </c>
      <c r="AF21" s="38" t="str">
        <f t="shared" si="4"/>
        <v/>
      </c>
      <c r="AG21" s="17">
        <f t="shared" si="5"/>
        <v>0.86805555555555558</v>
      </c>
      <c r="AH21" s="7" t="s">
        <v>1643</v>
      </c>
      <c r="AI21" s="7">
        <v>12</v>
      </c>
      <c r="AJ21" s="38">
        <f t="shared" si="6"/>
        <v>0.7157820843618331</v>
      </c>
      <c r="AK21" s="9" t="b">
        <f t="shared" si="7"/>
        <v>1</v>
      </c>
      <c r="AL21" s="28" t="s">
        <v>1644</v>
      </c>
      <c r="AM21" s="28" t="s">
        <v>1645</v>
      </c>
      <c r="AN21" s="28" t="s">
        <v>1792</v>
      </c>
    </row>
    <row r="22" spans="1:40" ht="30">
      <c r="A22" s="7">
        <v>21</v>
      </c>
      <c r="B22" s="7" t="s">
        <v>153</v>
      </c>
      <c r="C22" s="7" t="s">
        <v>39</v>
      </c>
      <c r="D22" s="7" t="s">
        <v>112</v>
      </c>
      <c r="E22" s="7" t="s">
        <v>1642</v>
      </c>
      <c r="F22" s="7" t="s">
        <v>39</v>
      </c>
      <c r="G22" s="14">
        <v>101</v>
      </c>
      <c r="H22" s="14">
        <v>16</v>
      </c>
      <c r="I22" s="15">
        <v>14.26</v>
      </c>
      <c r="J22" s="14">
        <v>0</v>
      </c>
      <c r="K22" s="15">
        <v>0</v>
      </c>
      <c r="L22" s="14">
        <v>1</v>
      </c>
      <c r="M22" s="14">
        <v>0</v>
      </c>
      <c r="N22" s="13"/>
      <c r="O22" s="14">
        <v>0</v>
      </c>
      <c r="P22" s="14">
        <v>28</v>
      </c>
      <c r="Q22" s="15">
        <v>24.950495049504951</v>
      </c>
      <c r="R22" s="17">
        <f>IFERROR(G22/(G22+Priors!$H$18),0)</f>
        <v>9.1734786557674836E-2</v>
      </c>
      <c r="S22" s="13">
        <v>1</v>
      </c>
      <c r="T22" s="40" t="b">
        <v>0</v>
      </c>
      <c r="U22" s="13">
        <v>1</v>
      </c>
      <c r="V22" s="40" t="b">
        <v>0</v>
      </c>
      <c r="W22" s="13">
        <v>1</v>
      </c>
      <c r="X22" s="17">
        <f t="shared" si="0"/>
        <v>9.1734786557674836E-2</v>
      </c>
      <c r="Y22" s="37">
        <f>VLOOKUP(D22,Priors!$A$18:$B$21,2,FALSE)</f>
        <v>8.4555315342179806</v>
      </c>
      <c r="Z22" s="38">
        <f t="shared" si="1"/>
        <v>8.988003210007248</v>
      </c>
      <c r="AA22" s="39">
        <v>1</v>
      </c>
      <c r="AB22" s="38">
        <f t="shared" si="2"/>
        <v>8.988003210007248</v>
      </c>
      <c r="AC22" s="37">
        <f>Priors!$K$18</f>
        <v>2.7435089299114512</v>
      </c>
      <c r="AD22" s="38" t="str">
        <f t="shared" si="3"/>
        <v/>
      </c>
      <c r="AE22" s="37">
        <f>Priors!$K$19</f>
        <v>0.67280088332719912</v>
      </c>
      <c r="AF22" s="38" t="str">
        <f t="shared" si="4"/>
        <v/>
      </c>
      <c r="AG22" s="17">
        <f t="shared" si="5"/>
        <v>0.90826521344232514</v>
      </c>
      <c r="AH22" s="7" t="s">
        <v>1643</v>
      </c>
      <c r="AI22" s="7">
        <v>12</v>
      </c>
      <c r="AJ22" s="38">
        <f t="shared" si="6"/>
        <v>0.749000267500604</v>
      </c>
      <c r="AK22" s="9" t="b">
        <f t="shared" si="7"/>
        <v>1</v>
      </c>
      <c r="AL22" s="28" t="s">
        <v>1644</v>
      </c>
      <c r="AM22" s="28" t="s">
        <v>1645</v>
      </c>
      <c r="AN22" s="28" t="s">
        <v>1792</v>
      </c>
    </row>
    <row r="23" spans="1:40" ht="30">
      <c r="A23" s="7">
        <v>22</v>
      </c>
      <c r="B23" s="7" t="s">
        <v>156</v>
      </c>
      <c r="C23" s="7" t="s">
        <v>39</v>
      </c>
      <c r="D23" s="7" t="s">
        <v>112</v>
      </c>
      <c r="E23" s="7" t="s">
        <v>1642</v>
      </c>
      <c r="F23" s="7" t="s">
        <v>39</v>
      </c>
      <c r="G23" s="14">
        <v>165</v>
      </c>
      <c r="H23" s="14">
        <v>13</v>
      </c>
      <c r="I23" s="15">
        <v>7.09</v>
      </c>
      <c r="J23" s="14">
        <v>0</v>
      </c>
      <c r="K23" s="15">
        <v>0</v>
      </c>
      <c r="L23" s="14">
        <v>0</v>
      </c>
      <c r="M23" s="14">
        <v>1</v>
      </c>
      <c r="N23" s="13"/>
      <c r="O23" s="14">
        <v>0</v>
      </c>
      <c r="P23" s="14">
        <v>20</v>
      </c>
      <c r="Q23" s="15">
        <v>10.909090909090908</v>
      </c>
      <c r="R23" s="17">
        <f>IFERROR(G23/(G23+Priors!$H$18),0)</f>
        <v>0.14163090128755365</v>
      </c>
      <c r="S23" s="13">
        <v>1</v>
      </c>
      <c r="T23" s="40" t="b">
        <v>0</v>
      </c>
      <c r="U23" s="13">
        <v>1</v>
      </c>
      <c r="V23" s="40" t="b">
        <v>0</v>
      </c>
      <c r="W23" s="13">
        <v>1</v>
      </c>
      <c r="X23" s="17">
        <f t="shared" si="0"/>
        <v>0.14163090128755365</v>
      </c>
      <c r="Y23" s="37">
        <f>VLOOKUP(D23,Priors!$A$18:$B$21,2,FALSE)</f>
        <v>8.4555315342179806</v>
      </c>
      <c r="Z23" s="38">
        <f t="shared" si="1"/>
        <v>8.2621300722901125</v>
      </c>
      <c r="AA23" s="39">
        <v>1</v>
      </c>
      <c r="AB23" s="38">
        <f t="shared" si="2"/>
        <v>8.2621300722901125</v>
      </c>
      <c r="AC23" s="37">
        <f>Priors!$K$18</f>
        <v>2.7435089299114512</v>
      </c>
      <c r="AD23" s="38" t="str">
        <f t="shared" si="3"/>
        <v/>
      </c>
      <c r="AE23" s="37">
        <f>Priors!$K$19</f>
        <v>0.67280088332719912</v>
      </c>
      <c r="AF23" s="38" t="str">
        <f t="shared" si="4"/>
        <v/>
      </c>
      <c r="AG23" s="17">
        <f t="shared" si="5"/>
        <v>0.85836909871244638</v>
      </c>
      <c r="AH23" s="7" t="s">
        <v>1643</v>
      </c>
      <c r="AI23" s="7">
        <v>12</v>
      </c>
      <c r="AJ23" s="38">
        <f t="shared" si="6"/>
        <v>0.68851083935750934</v>
      </c>
      <c r="AK23" s="9" t="b">
        <f t="shared" si="7"/>
        <v>1</v>
      </c>
      <c r="AL23" s="28" t="s">
        <v>1644</v>
      </c>
      <c r="AM23" s="28" t="s">
        <v>1645</v>
      </c>
      <c r="AN23" s="28" t="s">
        <v>1792</v>
      </c>
    </row>
    <row r="24" spans="1:40" ht="30">
      <c r="A24" s="7">
        <v>23</v>
      </c>
      <c r="B24" s="7" t="s">
        <v>159</v>
      </c>
      <c r="C24" s="7" t="s">
        <v>39</v>
      </c>
      <c r="D24" s="7" t="s">
        <v>112</v>
      </c>
      <c r="E24" s="7" t="s">
        <v>1642</v>
      </c>
      <c r="F24" s="7" t="s">
        <v>39</v>
      </c>
      <c r="G24" s="14">
        <v>0</v>
      </c>
      <c r="H24" s="14">
        <v>0</v>
      </c>
      <c r="I24" s="15">
        <v>0</v>
      </c>
      <c r="J24" s="14">
        <v>0</v>
      </c>
      <c r="K24" s="15">
        <v>0</v>
      </c>
      <c r="L24" s="14">
        <v>0</v>
      </c>
      <c r="M24" s="14">
        <v>0</v>
      </c>
      <c r="N24" s="13"/>
      <c r="O24" s="14">
        <v>0</v>
      </c>
      <c r="P24" s="14">
        <v>0</v>
      </c>
      <c r="Q24" s="15">
        <v>0</v>
      </c>
      <c r="R24" s="17">
        <f>IFERROR(G24/(G24+Priors!$H$18),0)</f>
        <v>0</v>
      </c>
      <c r="S24" s="13">
        <v>1</v>
      </c>
      <c r="T24" s="40" t="b">
        <v>0</v>
      </c>
      <c r="U24" s="13">
        <v>1</v>
      </c>
      <c r="V24" s="40" t="b">
        <v>0</v>
      </c>
      <c r="W24" s="13">
        <v>1</v>
      </c>
      <c r="X24" s="17">
        <f t="shared" si="0"/>
        <v>0</v>
      </c>
      <c r="Y24" s="37">
        <f>VLOOKUP(D24,Priors!$A$18:$B$21,2,FALSE)</f>
        <v>8.4555315342179806</v>
      </c>
      <c r="Z24" s="38">
        <f t="shared" si="1"/>
        <v>8.4555315342179806</v>
      </c>
      <c r="AA24" s="39">
        <v>1</v>
      </c>
      <c r="AB24" s="38">
        <f t="shared" si="2"/>
        <v>8.4555315342179806</v>
      </c>
      <c r="AC24" s="37">
        <f>Priors!$K$18</f>
        <v>2.7435089299114512</v>
      </c>
      <c r="AD24" s="38" t="str">
        <f t="shared" si="3"/>
        <v/>
      </c>
      <c r="AE24" s="37">
        <f>Priors!$K$19</f>
        <v>0.67280088332719912</v>
      </c>
      <c r="AF24" s="38" t="str">
        <f t="shared" si="4"/>
        <v/>
      </c>
      <c r="AG24" s="17">
        <f t="shared" si="5"/>
        <v>1</v>
      </c>
      <c r="AH24" s="7" t="s">
        <v>1643</v>
      </c>
      <c r="AI24" s="7">
        <v>12</v>
      </c>
      <c r="AJ24" s="38">
        <f t="shared" si="6"/>
        <v>0.70462762785149835</v>
      </c>
      <c r="AK24" s="9" t="b">
        <f t="shared" si="7"/>
        <v>1</v>
      </c>
      <c r="AL24" s="28" t="s">
        <v>1644</v>
      </c>
      <c r="AM24" s="28" t="s">
        <v>1645</v>
      </c>
      <c r="AN24" s="28" t="s">
        <v>1792</v>
      </c>
    </row>
    <row r="25" spans="1:40" ht="30">
      <c r="A25" s="7">
        <v>24</v>
      </c>
      <c r="B25" s="7" t="s">
        <v>162</v>
      </c>
      <c r="C25" s="7" t="s">
        <v>39</v>
      </c>
      <c r="D25" s="7" t="s">
        <v>112</v>
      </c>
      <c r="E25" s="7" t="s">
        <v>1642</v>
      </c>
      <c r="F25" s="7" t="s">
        <v>42</v>
      </c>
      <c r="G25" s="14">
        <v>118</v>
      </c>
      <c r="H25" s="14">
        <v>23</v>
      </c>
      <c r="I25" s="15">
        <v>17.54</v>
      </c>
      <c r="J25" s="14">
        <v>0</v>
      </c>
      <c r="K25" s="15">
        <v>0</v>
      </c>
      <c r="L25" s="14">
        <v>2</v>
      </c>
      <c r="M25" s="14">
        <v>0</v>
      </c>
      <c r="N25" s="13"/>
      <c r="O25" s="14">
        <v>0</v>
      </c>
      <c r="P25" s="14">
        <v>39</v>
      </c>
      <c r="Q25" s="15">
        <v>29.745762711864408</v>
      </c>
      <c r="R25" s="17">
        <f>IFERROR(G25/(G25+Priors!$H$18),0)</f>
        <v>0.10554561717352415</v>
      </c>
      <c r="S25" s="13">
        <v>1</v>
      </c>
      <c r="T25" s="40" t="b">
        <v>1</v>
      </c>
      <c r="U25" s="13">
        <v>0.85</v>
      </c>
      <c r="V25" s="40" t="b">
        <v>0</v>
      </c>
      <c r="W25" s="13">
        <v>1</v>
      </c>
      <c r="X25" s="17">
        <f t="shared" si="0"/>
        <v>8.9713774597495521E-2</v>
      </c>
      <c r="Y25" s="37">
        <f>VLOOKUP(D25,Priors!$A$18:$B$21,2,FALSE)</f>
        <v>8.4555315342179806</v>
      </c>
      <c r="Z25" s="38">
        <f t="shared" si="1"/>
        <v>9.2705334904952039</v>
      </c>
      <c r="AA25" s="39">
        <v>1</v>
      </c>
      <c r="AB25" s="38">
        <f t="shared" si="2"/>
        <v>9.2705334904952039</v>
      </c>
      <c r="AC25" s="37">
        <f>Priors!$K$18</f>
        <v>2.7435089299114512</v>
      </c>
      <c r="AD25" s="38" t="str">
        <f t="shared" si="3"/>
        <v/>
      </c>
      <c r="AE25" s="37">
        <f>Priors!$K$19</f>
        <v>0.67280088332719912</v>
      </c>
      <c r="AF25" s="38" t="str">
        <f t="shared" si="4"/>
        <v/>
      </c>
      <c r="AG25" s="17">
        <f t="shared" si="5"/>
        <v>0.91028622540250448</v>
      </c>
      <c r="AH25" s="7" t="s">
        <v>1643</v>
      </c>
      <c r="AI25" s="7">
        <v>12</v>
      </c>
      <c r="AJ25" s="38">
        <f t="shared" si="6"/>
        <v>0.77254445754126699</v>
      </c>
      <c r="AK25" s="9" t="b">
        <f t="shared" si="7"/>
        <v>1</v>
      </c>
      <c r="AL25" s="28" t="s">
        <v>1644</v>
      </c>
      <c r="AM25" s="28" t="s">
        <v>1645</v>
      </c>
      <c r="AN25" s="28" t="s">
        <v>1792</v>
      </c>
    </row>
    <row r="26" spans="1:40" ht="30">
      <c r="A26" s="7">
        <v>25</v>
      </c>
      <c r="B26" s="7" t="s">
        <v>165</v>
      </c>
      <c r="C26" s="7" t="s">
        <v>39</v>
      </c>
      <c r="D26" s="7" t="s">
        <v>167</v>
      </c>
      <c r="E26" s="7" t="s">
        <v>1642</v>
      </c>
      <c r="F26" s="7" t="s">
        <v>39</v>
      </c>
      <c r="G26" s="14">
        <v>2217</v>
      </c>
      <c r="H26" s="14">
        <v>85</v>
      </c>
      <c r="I26" s="15">
        <v>3.45</v>
      </c>
      <c r="J26" s="14">
        <v>0</v>
      </c>
      <c r="K26" s="15">
        <v>0</v>
      </c>
      <c r="L26" s="14">
        <v>14</v>
      </c>
      <c r="M26" s="14">
        <v>12</v>
      </c>
      <c r="N26" s="13"/>
      <c r="O26" s="14">
        <v>16</v>
      </c>
      <c r="P26" s="14">
        <v>474</v>
      </c>
      <c r="Q26" s="15">
        <v>19.242219215155615</v>
      </c>
      <c r="R26" s="17">
        <f>IFERROR(G26/(G26+Priors!$H$18),0)</f>
        <v>0.6891513832763444</v>
      </c>
      <c r="S26" s="13">
        <v>1</v>
      </c>
      <c r="T26" s="40" t="b">
        <v>0</v>
      </c>
      <c r="U26" s="13">
        <v>1</v>
      </c>
      <c r="V26" s="40" t="b">
        <v>0</v>
      </c>
      <c r="W26" s="13">
        <v>1</v>
      </c>
      <c r="X26" s="17">
        <f t="shared" si="0"/>
        <v>0.6891513832763444</v>
      </c>
      <c r="Y26" s="37">
        <f>VLOOKUP(D26,Priors!$A$18:$B$21,2,FALSE)</f>
        <v>4.5137422563476139</v>
      </c>
      <c r="Z26" s="38">
        <f t="shared" si="1"/>
        <v>3.7806628089361558</v>
      </c>
      <c r="AA26" s="39">
        <v>1</v>
      </c>
      <c r="AB26" s="38">
        <f t="shared" si="2"/>
        <v>3.7806628089361558</v>
      </c>
      <c r="AC26" s="37">
        <f>Priors!$K$18</f>
        <v>2.7435089299114512</v>
      </c>
      <c r="AD26" s="38" t="str">
        <f t="shared" si="3"/>
        <v/>
      </c>
      <c r="AE26" s="37">
        <f>Priors!$K$19</f>
        <v>0.67280088332719912</v>
      </c>
      <c r="AF26" s="38" t="str">
        <f t="shared" si="4"/>
        <v/>
      </c>
      <c r="AG26" s="17">
        <f t="shared" si="5"/>
        <v>0.3108486167236556</v>
      </c>
      <c r="AH26" s="7" t="s">
        <v>1643</v>
      </c>
      <c r="AI26" s="7">
        <v>12</v>
      </c>
      <c r="AJ26" s="38">
        <f t="shared" si="6"/>
        <v>0.315055234078013</v>
      </c>
      <c r="AK26" s="9" t="b">
        <f t="shared" si="7"/>
        <v>0</v>
      </c>
      <c r="AL26" s="28" t="s">
        <v>1644</v>
      </c>
      <c r="AM26" s="28" t="s">
        <v>1645</v>
      </c>
      <c r="AN26" s="28" t="s">
        <v>1792</v>
      </c>
    </row>
    <row r="27" spans="1:40" ht="30">
      <c r="A27" s="7">
        <v>26</v>
      </c>
      <c r="B27" s="7" t="s">
        <v>169</v>
      </c>
      <c r="C27" s="7" t="s">
        <v>39</v>
      </c>
      <c r="D27" s="7" t="s">
        <v>167</v>
      </c>
      <c r="E27" s="7" t="s">
        <v>1642</v>
      </c>
      <c r="F27" s="7" t="s">
        <v>39</v>
      </c>
      <c r="G27" s="14">
        <v>577</v>
      </c>
      <c r="H27" s="14">
        <v>32</v>
      </c>
      <c r="I27" s="15">
        <v>4.99</v>
      </c>
      <c r="J27" s="14">
        <v>0</v>
      </c>
      <c r="K27" s="15">
        <v>0</v>
      </c>
      <c r="L27" s="14">
        <v>4</v>
      </c>
      <c r="M27" s="14">
        <v>4</v>
      </c>
      <c r="N27" s="13"/>
      <c r="O27" s="14">
        <v>3</v>
      </c>
      <c r="P27" s="14">
        <v>143</v>
      </c>
      <c r="Q27" s="15">
        <v>22.305025996533796</v>
      </c>
      <c r="R27" s="17">
        <f>IFERROR(G27/(G27+Priors!$H$18),0)</f>
        <v>0.3658845909955612</v>
      </c>
      <c r="S27" s="13">
        <v>1</v>
      </c>
      <c r="T27" s="40" t="b">
        <v>0</v>
      </c>
      <c r="U27" s="13">
        <v>1</v>
      </c>
      <c r="V27" s="40" t="b">
        <v>0</v>
      </c>
      <c r="W27" s="13">
        <v>1</v>
      </c>
      <c r="X27" s="17">
        <f t="shared" si="0"/>
        <v>0.3658845909955612</v>
      </c>
      <c r="Y27" s="37">
        <f>VLOOKUP(D27,Priors!$A$18:$B$21,2,FALSE)</f>
        <v>4.5137422563476139</v>
      </c>
      <c r="Z27" s="38">
        <f t="shared" si="1"/>
        <v>4.6879976260923355</v>
      </c>
      <c r="AA27" s="39">
        <v>1</v>
      </c>
      <c r="AB27" s="38">
        <f t="shared" si="2"/>
        <v>4.6879976260923355</v>
      </c>
      <c r="AC27" s="37">
        <f>Priors!$K$18</f>
        <v>2.7435089299114512</v>
      </c>
      <c r="AD27" s="38" t="str">
        <f t="shared" si="3"/>
        <v/>
      </c>
      <c r="AE27" s="37">
        <f>Priors!$K$19</f>
        <v>0.67280088332719912</v>
      </c>
      <c r="AF27" s="38" t="str">
        <f t="shared" si="4"/>
        <v/>
      </c>
      <c r="AG27" s="17">
        <f t="shared" si="5"/>
        <v>0.63411540900443875</v>
      </c>
      <c r="AH27" s="7" t="s">
        <v>1643</v>
      </c>
      <c r="AI27" s="7">
        <v>12</v>
      </c>
      <c r="AJ27" s="38">
        <f t="shared" si="6"/>
        <v>0.39066646884102796</v>
      </c>
      <c r="AK27" s="9" t="b">
        <f t="shared" si="7"/>
        <v>1</v>
      </c>
      <c r="AL27" s="28" t="s">
        <v>1644</v>
      </c>
      <c r="AM27" s="28" t="s">
        <v>1645</v>
      </c>
      <c r="AN27" s="28" t="s">
        <v>1792</v>
      </c>
    </row>
    <row r="28" spans="1:40" ht="30">
      <c r="A28" s="7">
        <v>27</v>
      </c>
      <c r="B28" s="7" t="s">
        <v>172</v>
      </c>
      <c r="C28" s="7" t="s">
        <v>39</v>
      </c>
      <c r="D28" s="7" t="s">
        <v>167</v>
      </c>
      <c r="E28" s="7" t="s">
        <v>1642</v>
      </c>
      <c r="F28" s="7" t="s">
        <v>39</v>
      </c>
      <c r="G28" s="14">
        <v>418</v>
      </c>
      <c r="H28" s="14">
        <v>30</v>
      </c>
      <c r="I28" s="15">
        <v>6.46</v>
      </c>
      <c r="J28" s="14">
        <v>0</v>
      </c>
      <c r="K28" s="15">
        <v>0</v>
      </c>
      <c r="L28" s="14">
        <v>6</v>
      </c>
      <c r="M28" s="14">
        <v>1</v>
      </c>
      <c r="N28" s="13"/>
      <c r="O28" s="14">
        <v>0</v>
      </c>
      <c r="P28" s="14">
        <v>92</v>
      </c>
      <c r="Q28" s="15">
        <v>19.808612440191389</v>
      </c>
      <c r="R28" s="17">
        <f>IFERROR(G28/(G28+Priors!$H$18),0)</f>
        <v>0.29478138222849082</v>
      </c>
      <c r="S28" s="13">
        <v>1</v>
      </c>
      <c r="T28" s="40" t="b">
        <v>0</v>
      </c>
      <c r="U28" s="13">
        <v>1</v>
      </c>
      <c r="V28" s="40" t="b">
        <v>0</v>
      </c>
      <c r="W28" s="13">
        <v>1</v>
      </c>
      <c r="X28" s="17">
        <f t="shared" si="0"/>
        <v>0.29478138222849082</v>
      </c>
      <c r="Y28" s="37">
        <f>VLOOKUP(D28,Priors!$A$18:$B$21,2,FALSE)</f>
        <v>4.5137422563476139</v>
      </c>
      <c r="Z28" s="38">
        <f t="shared" si="1"/>
        <v>5.0874628041943684</v>
      </c>
      <c r="AA28" s="39">
        <v>1</v>
      </c>
      <c r="AB28" s="38">
        <f t="shared" si="2"/>
        <v>5.0874628041943684</v>
      </c>
      <c r="AC28" s="37">
        <f>Priors!$K$18</f>
        <v>2.7435089299114512</v>
      </c>
      <c r="AD28" s="38" t="str">
        <f t="shared" si="3"/>
        <v/>
      </c>
      <c r="AE28" s="37">
        <f>Priors!$K$19</f>
        <v>0.67280088332719912</v>
      </c>
      <c r="AF28" s="38" t="str">
        <f t="shared" si="4"/>
        <v/>
      </c>
      <c r="AG28" s="17">
        <f t="shared" si="5"/>
        <v>0.70521861777150918</v>
      </c>
      <c r="AH28" s="7" t="s">
        <v>1643</v>
      </c>
      <c r="AI28" s="7">
        <v>12</v>
      </c>
      <c r="AJ28" s="38">
        <f t="shared" si="6"/>
        <v>0.42395523368286403</v>
      </c>
      <c r="AK28" s="9" t="b">
        <f t="shared" si="7"/>
        <v>1</v>
      </c>
      <c r="AL28" s="28" t="s">
        <v>1644</v>
      </c>
      <c r="AM28" s="28" t="s">
        <v>1645</v>
      </c>
      <c r="AN28" s="28" t="s">
        <v>1792</v>
      </c>
    </row>
    <row r="29" spans="1:40" ht="30">
      <c r="A29" s="7">
        <v>28</v>
      </c>
      <c r="B29" s="7" t="s">
        <v>178</v>
      </c>
      <c r="C29" s="7" t="s">
        <v>40</v>
      </c>
      <c r="D29" s="7" t="s">
        <v>85</v>
      </c>
      <c r="E29" s="7" t="s">
        <v>1642</v>
      </c>
      <c r="F29" s="7" t="s">
        <v>40</v>
      </c>
      <c r="G29" s="14">
        <v>2835</v>
      </c>
      <c r="H29" s="14">
        <v>78</v>
      </c>
      <c r="I29" s="15">
        <v>0</v>
      </c>
      <c r="J29" s="14">
        <v>95</v>
      </c>
      <c r="K29" s="15">
        <v>3.02</v>
      </c>
      <c r="L29" s="14">
        <v>39</v>
      </c>
      <c r="M29" s="14">
        <v>7</v>
      </c>
      <c r="N29" s="13">
        <v>0.70895522388059706</v>
      </c>
      <c r="O29" s="14">
        <v>11</v>
      </c>
      <c r="P29" s="14">
        <v>530</v>
      </c>
      <c r="Q29" s="15">
        <v>16.825396825396826</v>
      </c>
      <c r="R29" s="17">
        <f>IFERROR(G29/(G29+Priors!$H$18),0)</f>
        <v>0.73924380704041726</v>
      </c>
      <c r="S29" s="13">
        <v>1</v>
      </c>
      <c r="T29" s="40" t="b">
        <v>0</v>
      </c>
      <c r="U29" s="13">
        <v>1</v>
      </c>
      <c r="V29" s="40" t="b">
        <v>0</v>
      </c>
      <c r="W29" s="13">
        <v>1</v>
      </c>
      <c r="X29" s="17">
        <f t="shared" si="0"/>
        <v>0.73924380704041726</v>
      </c>
      <c r="Y29" s="37">
        <f>VLOOKUP(D29,Priors!$A$18:$B$21,2,FALSE)</f>
        <v>2.6414527990394716</v>
      </c>
      <c r="Z29" s="38">
        <f t="shared" si="1"/>
        <v>0.68877517575996638</v>
      </c>
      <c r="AA29" s="39">
        <v>1</v>
      </c>
      <c r="AB29" s="38">
        <f t="shared" si="2"/>
        <v>0.68877517575996638</v>
      </c>
      <c r="AC29" s="37">
        <f>Priors!$K$18</f>
        <v>2.7435089299114512</v>
      </c>
      <c r="AD29" s="38">
        <f t="shared" si="3"/>
        <v>2.9479032411763892</v>
      </c>
      <c r="AE29" s="37">
        <f>Priors!$K$19</f>
        <v>0.67280088332719912</v>
      </c>
      <c r="AF29" s="38">
        <f t="shared" si="4"/>
        <v>0.69952775567892878</v>
      </c>
      <c r="AG29" s="17">
        <f t="shared" si="5"/>
        <v>0.26075619295958274</v>
      </c>
      <c r="AH29" s="7" t="s">
        <v>1643</v>
      </c>
      <c r="AI29" s="7"/>
      <c r="AJ29" s="38" t="str">
        <f t="shared" si="6"/>
        <v/>
      </c>
      <c r="AK29" s="9" t="b">
        <f t="shared" si="7"/>
        <v>0</v>
      </c>
      <c r="AL29" s="28" t="s">
        <v>1644</v>
      </c>
      <c r="AM29" s="28" t="s">
        <v>1645</v>
      </c>
      <c r="AN29" s="28" t="s">
        <v>1792</v>
      </c>
    </row>
    <row r="30" spans="1:40" ht="30">
      <c r="A30" s="7">
        <v>29</v>
      </c>
      <c r="B30" s="7" t="s">
        <v>183</v>
      </c>
      <c r="C30" s="7" t="s">
        <v>40</v>
      </c>
      <c r="D30" s="7" t="s">
        <v>85</v>
      </c>
      <c r="E30" s="7" t="s">
        <v>1642</v>
      </c>
      <c r="F30" s="7" t="s">
        <v>40</v>
      </c>
      <c r="G30" s="14">
        <v>585</v>
      </c>
      <c r="H30" s="14">
        <v>23</v>
      </c>
      <c r="I30" s="15">
        <v>0</v>
      </c>
      <c r="J30" s="14">
        <v>19</v>
      </c>
      <c r="K30" s="15">
        <v>2.92</v>
      </c>
      <c r="L30" s="14">
        <v>10</v>
      </c>
      <c r="M30" s="14">
        <v>1</v>
      </c>
      <c r="N30" s="13">
        <v>0.65517241379310343</v>
      </c>
      <c r="O30" s="14">
        <v>0</v>
      </c>
      <c r="P30" s="14">
        <v>75</v>
      </c>
      <c r="Q30" s="15">
        <v>11.538461538461538</v>
      </c>
      <c r="R30" s="17">
        <f>IFERROR(G30/(G30+Priors!$H$18),0)</f>
        <v>0.36908517350157727</v>
      </c>
      <c r="S30" s="13">
        <v>1</v>
      </c>
      <c r="T30" s="40" t="b">
        <v>0</v>
      </c>
      <c r="U30" s="13">
        <v>1</v>
      </c>
      <c r="V30" s="40" t="b">
        <v>0</v>
      </c>
      <c r="W30" s="13">
        <v>1</v>
      </c>
      <c r="X30" s="17">
        <f t="shared" si="0"/>
        <v>0.36908517350157727</v>
      </c>
      <c r="Y30" s="37">
        <f>VLOOKUP(D30,Priors!$A$18:$B$21,2,FALSE)</f>
        <v>2.6414527990394716</v>
      </c>
      <c r="Z30" s="38">
        <f t="shared" si="1"/>
        <v>1.6665317344097614</v>
      </c>
      <c r="AA30" s="39">
        <v>1</v>
      </c>
      <c r="AB30" s="38">
        <f t="shared" si="2"/>
        <v>1.6665317344097614</v>
      </c>
      <c r="AC30" s="37">
        <f>Priors!$K$18</f>
        <v>2.7435089299114512</v>
      </c>
      <c r="AD30" s="38">
        <f t="shared" si="3"/>
        <v>2.8086491671365623</v>
      </c>
      <c r="AE30" s="37">
        <f>Priors!$K$19</f>
        <v>0.67280088332719912</v>
      </c>
      <c r="AF30" s="38">
        <f t="shared" si="4"/>
        <v>0.66629447659064023</v>
      </c>
      <c r="AG30" s="17">
        <f t="shared" si="5"/>
        <v>0.63091482649842279</v>
      </c>
      <c r="AH30" s="7" t="s">
        <v>1643</v>
      </c>
      <c r="AI30" s="7"/>
      <c r="AJ30" s="38" t="str">
        <f t="shared" si="6"/>
        <v/>
      </c>
      <c r="AK30" s="9" t="b">
        <f t="shared" si="7"/>
        <v>1</v>
      </c>
      <c r="AL30" s="28" t="s">
        <v>1644</v>
      </c>
      <c r="AM30" s="28" t="s">
        <v>1645</v>
      </c>
      <c r="AN30" s="28" t="s">
        <v>1792</v>
      </c>
    </row>
    <row r="31" spans="1:40" ht="30">
      <c r="A31" s="7">
        <v>30</v>
      </c>
      <c r="B31" s="7" t="s">
        <v>186</v>
      </c>
      <c r="C31" s="7" t="s">
        <v>40</v>
      </c>
      <c r="D31" s="7" t="s">
        <v>99</v>
      </c>
      <c r="E31" s="7" t="s">
        <v>1642</v>
      </c>
      <c r="F31" s="7" t="s">
        <v>40</v>
      </c>
      <c r="G31" s="14">
        <v>1842</v>
      </c>
      <c r="H31" s="14">
        <v>137</v>
      </c>
      <c r="I31" s="15">
        <v>5.52</v>
      </c>
      <c r="J31" s="14">
        <v>0</v>
      </c>
      <c r="K31" s="15">
        <v>0</v>
      </c>
      <c r="L31" s="14">
        <v>23</v>
      </c>
      <c r="M31" s="14">
        <v>7</v>
      </c>
      <c r="N31" s="13"/>
      <c r="O31" s="14">
        <v>5</v>
      </c>
      <c r="P31" s="14">
        <v>381</v>
      </c>
      <c r="Q31" s="15">
        <v>18.615635179153095</v>
      </c>
      <c r="R31" s="17">
        <f>IFERROR(G31/(G31+Priors!$H$18),0)</f>
        <v>0.64813511611541164</v>
      </c>
      <c r="S31" s="13">
        <v>1</v>
      </c>
      <c r="T31" s="40" t="b">
        <v>0</v>
      </c>
      <c r="U31" s="13">
        <v>1</v>
      </c>
      <c r="V31" s="40" t="b">
        <v>0</v>
      </c>
      <c r="W31" s="13">
        <v>1</v>
      </c>
      <c r="X31" s="17">
        <f t="shared" si="0"/>
        <v>0.64813511611541164</v>
      </c>
      <c r="Y31" s="37">
        <f>VLOOKUP(D31,Priors!$A$18:$B$21,2,FALSE)</f>
        <v>8.7398272304160223</v>
      </c>
      <c r="Z31" s="38">
        <f t="shared" si="1"/>
        <v>6.6529441345587692</v>
      </c>
      <c r="AA31" s="39">
        <v>1</v>
      </c>
      <c r="AB31" s="38">
        <f t="shared" si="2"/>
        <v>6.6529441345587692</v>
      </c>
      <c r="AC31" s="37">
        <f>Priors!$K$18</f>
        <v>2.7435089299114512</v>
      </c>
      <c r="AD31" s="38" t="str">
        <f t="shared" si="3"/>
        <v/>
      </c>
      <c r="AE31" s="37">
        <f>Priors!$K$19</f>
        <v>0.67280088332719912</v>
      </c>
      <c r="AF31" s="38" t="str">
        <f t="shared" si="4"/>
        <v/>
      </c>
      <c r="AG31" s="17">
        <f t="shared" si="5"/>
        <v>0.35186488388458836</v>
      </c>
      <c r="AH31" s="7" t="s">
        <v>1643</v>
      </c>
      <c r="AI31" s="7">
        <v>10</v>
      </c>
      <c r="AJ31" s="38">
        <f t="shared" si="6"/>
        <v>0.66529441345587692</v>
      </c>
      <c r="AK31" s="9" t="b">
        <f t="shared" si="7"/>
        <v>0</v>
      </c>
      <c r="AL31" s="28" t="s">
        <v>1644</v>
      </c>
      <c r="AM31" s="28" t="s">
        <v>1645</v>
      </c>
      <c r="AN31" s="28" t="s">
        <v>1792</v>
      </c>
    </row>
    <row r="32" spans="1:40" ht="30">
      <c r="A32" s="7">
        <v>31</v>
      </c>
      <c r="B32" s="7" t="s">
        <v>189</v>
      </c>
      <c r="C32" s="7" t="s">
        <v>40</v>
      </c>
      <c r="D32" s="7" t="s">
        <v>99</v>
      </c>
      <c r="E32" s="7" t="s">
        <v>1642</v>
      </c>
      <c r="F32" s="7" t="s">
        <v>40</v>
      </c>
      <c r="G32" s="14">
        <v>3035</v>
      </c>
      <c r="H32" s="14">
        <v>223</v>
      </c>
      <c r="I32" s="15">
        <v>5.81</v>
      </c>
      <c r="J32" s="14">
        <v>0</v>
      </c>
      <c r="K32" s="15">
        <v>0</v>
      </c>
      <c r="L32" s="14">
        <v>44</v>
      </c>
      <c r="M32" s="14">
        <v>9</v>
      </c>
      <c r="N32" s="13"/>
      <c r="O32" s="14">
        <v>3</v>
      </c>
      <c r="P32" s="14">
        <v>497</v>
      </c>
      <c r="Q32" s="15">
        <v>14.738056013179571</v>
      </c>
      <c r="R32" s="17">
        <f>IFERROR(G32/(G32+Priors!$H$18),0)</f>
        <v>0.75216852540272616</v>
      </c>
      <c r="S32" s="13">
        <v>1</v>
      </c>
      <c r="T32" s="40" t="b">
        <v>0</v>
      </c>
      <c r="U32" s="13">
        <v>1</v>
      </c>
      <c r="V32" s="40" t="b">
        <v>0</v>
      </c>
      <c r="W32" s="13">
        <v>1</v>
      </c>
      <c r="X32" s="17">
        <f t="shared" si="0"/>
        <v>0.75216852540272616</v>
      </c>
      <c r="Y32" s="37">
        <f>VLOOKUP(D32,Priors!$A$18:$B$21,2,FALSE)</f>
        <v>8.7398272304160223</v>
      </c>
      <c r="Z32" s="38">
        <f t="shared" si="1"/>
        <v>6.5361034028292488</v>
      </c>
      <c r="AA32" s="39">
        <v>1</v>
      </c>
      <c r="AB32" s="38">
        <f t="shared" si="2"/>
        <v>6.5361034028292488</v>
      </c>
      <c r="AC32" s="37">
        <f>Priors!$K$18</f>
        <v>2.7435089299114512</v>
      </c>
      <c r="AD32" s="38" t="str">
        <f t="shared" si="3"/>
        <v/>
      </c>
      <c r="AE32" s="37">
        <f>Priors!$K$19</f>
        <v>0.67280088332719912</v>
      </c>
      <c r="AF32" s="38" t="str">
        <f t="shared" si="4"/>
        <v/>
      </c>
      <c r="AG32" s="17">
        <f t="shared" si="5"/>
        <v>0.24783147459727384</v>
      </c>
      <c r="AH32" s="7" t="s">
        <v>1643</v>
      </c>
      <c r="AI32" s="7">
        <v>10</v>
      </c>
      <c r="AJ32" s="38">
        <f t="shared" si="6"/>
        <v>0.65361034028292486</v>
      </c>
      <c r="AK32" s="9" t="b">
        <f t="shared" si="7"/>
        <v>0</v>
      </c>
      <c r="AL32" s="28" t="s">
        <v>1644</v>
      </c>
      <c r="AM32" s="28" t="s">
        <v>1645</v>
      </c>
      <c r="AN32" s="28" t="s">
        <v>1792</v>
      </c>
    </row>
    <row r="33" spans="1:40" ht="30">
      <c r="A33" s="7">
        <v>32</v>
      </c>
      <c r="B33" s="7" t="s">
        <v>192</v>
      </c>
      <c r="C33" s="7" t="s">
        <v>40</v>
      </c>
      <c r="D33" s="7" t="s">
        <v>99</v>
      </c>
      <c r="E33" s="7" t="s">
        <v>1642</v>
      </c>
      <c r="F33" s="7" t="s">
        <v>40</v>
      </c>
      <c r="G33" s="14">
        <v>3016</v>
      </c>
      <c r="H33" s="14">
        <v>209</v>
      </c>
      <c r="I33" s="15">
        <v>5.55</v>
      </c>
      <c r="J33" s="14">
        <v>0</v>
      </c>
      <c r="K33" s="15">
        <v>0</v>
      </c>
      <c r="L33" s="14">
        <v>38</v>
      </c>
      <c r="M33" s="14">
        <v>8</v>
      </c>
      <c r="N33" s="13"/>
      <c r="O33" s="14">
        <v>7</v>
      </c>
      <c r="P33" s="14">
        <v>450</v>
      </c>
      <c r="Q33" s="15">
        <v>13.428381962864721</v>
      </c>
      <c r="R33" s="17">
        <f>IFERROR(G33/(G33+Priors!$H$18),0)</f>
        <v>0.75099601593625498</v>
      </c>
      <c r="S33" s="13">
        <v>1</v>
      </c>
      <c r="T33" s="40" t="b">
        <v>0</v>
      </c>
      <c r="U33" s="13">
        <v>1</v>
      </c>
      <c r="V33" s="40" t="b">
        <v>0</v>
      </c>
      <c r="W33" s="13">
        <v>1</v>
      </c>
      <c r="X33" s="17">
        <f t="shared" si="0"/>
        <v>0.75099601593625498</v>
      </c>
      <c r="Y33" s="37">
        <f>VLOOKUP(D33,Priors!$A$18:$B$21,2,FALSE)</f>
        <v>8.7398272304160223</v>
      </c>
      <c r="Z33" s="38">
        <f t="shared" si="1"/>
        <v>6.3442796888486104</v>
      </c>
      <c r="AA33" s="39">
        <v>1</v>
      </c>
      <c r="AB33" s="38">
        <f t="shared" si="2"/>
        <v>6.3442796888486104</v>
      </c>
      <c r="AC33" s="37">
        <f>Priors!$K$18</f>
        <v>2.7435089299114512</v>
      </c>
      <c r="AD33" s="38" t="str">
        <f t="shared" si="3"/>
        <v/>
      </c>
      <c r="AE33" s="37">
        <f>Priors!$K$19</f>
        <v>0.67280088332719912</v>
      </c>
      <c r="AF33" s="38" t="str">
        <f t="shared" si="4"/>
        <v/>
      </c>
      <c r="AG33" s="17">
        <f t="shared" si="5"/>
        <v>0.24900398406374502</v>
      </c>
      <c r="AH33" s="7" t="s">
        <v>1643</v>
      </c>
      <c r="AI33" s="7">
        <v>10</v>
      </c>
      <c r="AJ33" s="38">
        <f t="shared" si="6"/>
        <v>0.63442796888486108</v>
      </c>
      <c r="AK33" s="9" t="b">
        <f t="shared" si="7"/>
        <v>0</v>
      </c>
      <c r="AL33" s="28" t="s">
        <v>1644</v>
      </c>
      <c r="AM33" s="28" t="s">
        <v>1645</v>
      </c>
      <c r="AN33" s="28" t="s">
        <v>1792</v>
      </c>
    </row>
    <row r="34" spans="1:40" ht="30">
      <c r="A34" s="7">
        <v>33</v>
      </c>
      <c r="B34" s="7" t="s">
        <v>195</v>
      </c>
      <c r="C34" s="7" t="s">
        <v>40</v>
      </c>
      <c r="D34" s="7" t="s">
        <v>99</v>
      </c>
      <c r="E34" s="7" t="s">
        <v>1642</v>
      </c>
      <c r="F34" s="7" t="s">
        <v>40</v>
      </c>
      <c r="G34" s="14">
        <v>1322</v>
      </c>
      <c r="H34" s="14">
        <v>123</v>
      </c>
      <c r="I34" s="15">
        <v>7.28</v>
      </c>
      <c r="J34" s="14">
        <v>0</v>
      </c>
      <c r="K34" s="15">
        <v>0</v>
      </c>
      <c r="L34" s="14">
        <v>23</v>
      </c>
      <c r="M34" s="14">
        <v>3</v>
      </c>
      <c r="N34" s="13"/>
      <c r="O34" s="14">
        <v>4</v>
      </c>
      <c r="P34" s="14">
        <v>169</v>
      </c>
      <c r="Q34" s="15">
        <v>11.505295007564296</v>
      </c>
      <c r="R34" s="17">
        <f>IFERROR(G34/(G34+Priors!$H$18),0)</f>
        <v>0.56933677863910426</v>
      </c>
      <c r="S34" s="13">
        <v>1</v>
      </c>
      <c r="T34" s="40" t="b">
        <v>0</v>
      </c>
      <c r="U34" s="13">
        <v>1</v>
      </c>
      <c r="V34" s="40" t="b">
        <v>0</v>
      </c>
      <c r="W34" s="13">
        <v>1</v>
      </c>
      <c r="X34" s="17">
        <f t="shared" si="0"/>
        <v>0.56933677863910426</v>
      </c>
      <c r="Y34" s="37">
        <f>VLOOKUP(D34,Priors!$A$18:$B$21,2,FALSE)</f>
        <v>8.7398272304160223</v>
      </c>
      <c r="Z34" s="38">
        <f t="shared" si="1"/>
        <v>7.908693897681319</v>
      </c>
      <c r="AA34" s="39">
        <v>1</v>
      </c>
      <c r="AB34" s="38">
        <f t="shared" si="2"/>
        <v>7.908693897681319</v>
      </c>
      <c r="AC34" s="37">
        <f>Priors!$K$18</f>
        <v>2.7435089299114512</v>
      </c>
      <c r="AD34" s="38" t="str">
        <f t="shared" si="3"/>
        <v/>
      </c>
      <c r="AE34" s="37">
        <f>Priors!$K$19</f>
        <v>0.67280088332719912</v>
      </c>
      <c r="AF34" s="38" t="str">
        <f t="shared" si="4"/>
        <v/>
      </c>
      <c r="AG34" s="17">
        <f t="shared" si="5"/>
        <v>0.43066322136089574</v>
      </c>
      <c r="AH34" s="7" t="s">
        <v>1643</v>
      </c>
      <c r="AI34" s="7">
        <v>10</v>
      </c>
      <c r="AJ34" s="38">
        <f t="shared" si="6"/>
        <v>0.79086938976813193</v>
      </c>
      <c r="AK34" s="9" t="b">
        <f t="shared" si="7"/>
        <v>0</v>
      </c>
      <c r="AL34" s="28" t="s">
        <v>1644</v>
      </c>
      <c r="AM34" s="28" t="s">
        <v>1645</v>
      </c>
      <c r="AN34" s="28" t="s">
        <v>1792</v>
      </c>
    </row>
    <row r="35" spans="1:40" ht="30">
      <c r="A35" s="7">
        <v>34</v>
      </c>
      <c r="B35" s="7" t="s">
        <v>198</v>
      </c>
      <c r="C35" s="7" t="s">
        <v>40</v>
      </c>
      <c r="D35" s="7" t="s">
        <v>99</v>
      </c>
      <c r="E35" s="7" t="s">
        <v>1642</v>
      </c>
      <c r="F35" s="7" t="s">
        <v>40</v>
      </c>
      <c r="G35" s="14">
        <v>1673</v>
      </c>
      <c r="H35" s="14">
        <v>139</v>
      </c>
      <c r="I35" s="15">
        <v>6.03</v>
      </c>
      <c r="J35" s="14">
        <v>0</v>
      </c>
      <c r="K35" s="15">
        <v>0</v>
      </c>
      <c r="L35" s="14">
        <v>19</v>
      </c>
      <c r="M35" s="14">
        <v>5</v>
      </c>
      <c r="N35" s="13"/>
      <c r="O35" s="14">
        <v>2</v>
      </c>
      <c r="P35" s="14">
        <v>280</v>
      </c>
      <c r="Q35" s="15">
        <v>15.06276150627615</v>
      </c>
      <c r="R35" s="17">
        <f>IFERROR(G35/(G35+Priors!$H$18),0)</f>
        <v>0.6258885147774037</v>
      </c>
      <c r="S35" s="13">
        <v>1</v>
      </c>
      <c r="T35" s="40" t="b">
        <v>0</v>
      </c>
      <c r="U35" s="13">
        <v>1</v>
      </c>
      <c r="V35" s="40" t="b">
        <v>0</v>
      </c>
      <c r="W35" s="13">
        <v>1</v>
      </c>
      <c r="X35" s="17">
        <f t="shared" si="0"/>
        <v>0.6258885147774037</v>
      </c>
      <c r="Y35" s="37">
        <f>VLOOKUP(D35,Priors!$A$18:$B$21,2,FALSE)</f>
        <v>8.7398272304160223</v>
      </c>
      <c r="Z35" s="38">
        <f t="shared" si="1"/>
        <v>7.0437774898675727</v>
      </c>
      <c r="AA35" s="39">
        <v>1</v>
      </c>
      <c r="AB35" s="38">
        <f t="shared" si="2"/>
        <v>7.0437774898675727</v>
      </c>
      <c r="AC35" s="37">
        <f>Priors!$K$18</f>
        <v>2.7435089299114512</v>
      </c>
      <c r="AD35" s="38" t="str">
        <f t="shared" si="3"/>
        <v/>
      </c>
      <c r="AE35" s="37">
        <f>Priors!$K$19</f>
        <v>0.67280088332719912</v>
      </c>
      <c r="AF35" s="38" t="str">
        <f t="shared" si="4"/>
        <v/>
      </c>
      <c r="AG35" s="17">
        <f t="shared" si="5"/>
        <v>0.3741114852225963</v>
      </c>
      <c r="AH35" s="7" t="s">
        <v>1643</v>
      </c>
      <c r="AI35" s="7">
        <v>10</v>
      </c>
      <c r="AJ35" s="38">
        <f t="shared" si="6"/>
        <v>0.70437774898675731</v>
      </c>
      <c r="AK35" s="9" t="b">
        <f t="shared" si="7"/>
        <v>0</v>
      </c>
      <c r="AL35" s="28" t="s">
        <v>1644</v>
      </c>
      <c r="AM35" s="28" t="s">
        <v>1645</v>
      </c>
      <c r="AN35" s="28" t="s">
        <v>1792</v>
      </c>
    </row>
    <row r="36" spans="1:40" ht="30">
      <c r="A36" s="7">
        <v>35</v>
      </c>
      <c r="B36" s="7" t="s">
        <v>201</v>
      </c>
      <c r="C36" s="7" t="s">
        <v>40</v>
      </c>
      <c r="D36" s="7" t="s">
        <v>112</v>
      </c>
      <c r="E36" s="7" t="s">
        <v>1642</v>
      </c>
      <c r="F36" s="7" t="s">
        <v>40</v>
      </c>
      <c r="G36" s="14">
        <v>1042</v>
      </c>
      <c r="H36" s="14">
        <v>69</v>
      </c>
      <c r="I36" s="15">
        <v>5.18</v>
      </c>
      <c r="J36" s="14">
        <v>0</v>
      </c>
      <c r="K36" s="15">
        <v>0</v>
      </c>
      <c r="L36" s="14">
        <v>17</v>
      </c>
      <c r="M36" s="14">
        <v>2</v>
      </c>
      <c r="N36" s="13"/>
      <c r="O36" s="14">
        <v>4</v>
      </c>
      <c r="P36" s="14">
        <v>121</v>
      </c>
      <c r="Q36" s="15">
        <v>10.4510556621881</v>
      </c>
      <c r="R36" s="17">
        <f>IFERROR(G36/(G36+Priors!$H$18),0)</f>
        <v>0.51028403525954946</v>
      </c>
      <c r="S36" s="13">
        <v>1</v>
      </c>
      <c r="T36" s="40" t="b">
        <v>0</v>
      </c>
      <c r="U36" s="13">
        <v>1</v>
      </c>
      <c r="V36" s="40" t="b">
        <v>0</v>
      </c>
      <c r="W36" s="13">
        <v>1</v>
      </c>
      <c r="X36" s="17">
        <f t="shared" si="0"/>
        <v>0.51028403525954946</v>
      </c>
      <c r="Y36" s="37">
        <f>VLOOKUP(D36,Priors!$A$18:$B$21,2,FALSE)</f>
        <v>8.4555315342179806</v>
      </c>
      <c r="Z36" s="38">
        <f t="shared" si="1"/>
        <v>6.784080085317326</v>
      </c>
      <c r="AA36" s="39">
        <v>1</v>
      </c>
      <c r="AB36" s="38">
        <f t="shared" si="2"/>
        <v>6.784080085317326</v>
      </c>
      <c r="AC36" s="37">
        <f>Priors!$K$18</f>
        <v>2.7435089299114512</v>
      </c>
      <c r="AD36" s="38" t="str">
        <f t="shared" si="3"/>
        <v/>
      </c>
      <c r="AE36" s="37">
        <f>Priors!$K$19</f>
        <v>0.67280088332719912</v>
      </c>
      <c r="AF36" s="38" t="str">
        <f t="shared" si="4"/>
        <v/>
      </c>
      <c r="AG36" s="17">
        <f t="shared" si="5"/>
        <v>0.48971596474045054</v>
      </c>
      <c r="AH36" s="7" t="s">
        <v>1643</v>
      </c>
      <c r="AI36" s="7">
        <v>12</v>
      </c>
      <c r="AJ36" s="38">
        <f t="shared" si="6"/>
        <v>0.56534000710977717</v>
      </c>
      <c r="AK36" s="9" t="b">
        <f t="shared" si="7"/>
        <v>0</v>
      </c>
      <c r="AL36" s="28" t="s">
        <v>1644</v>
      </c>
      <c r="AM36" s="28" t="s">
        <v>1645</v>
      </c>
      <c r="AN36" s="28" t="s">
        <v>1792</v>
      </c>
    </row>
    <row r="37" spans="1:40" ht="30">
      <c r="A37" s="7">
        <v>36</v>
      </c>
      <c r="B37" s="7" t="s">
        <v>204</v>
      </c>
      <c r="C37" s="7" t="s">
        <v>40</v>
      </c>
      <c r="D37" s="7" t="s">
        <v>99</v>
      </c>
      <c r="E37" s="7" t="s">
        <v>1642</v>
      </c>
      <c r="F37" s="7" t="s">
        <v>40</v>
      </c>
      <c r="G37" s="14">
        <v>1590</v>
      </c>
      <c r="H37" s="14">
        <v>140</v>
      </c>
      <c r="I37" s="15">
        <v>7.25</v>
      </c>
      <c r="J37" s="14">
        <v>0</v>
      </c>
      <c r="K37" s="15">
        <v>0</v>
      </c>
      <c r="L37" s="14">
        <v>27</v>
      </c>
      <c r="M37" s="14">
        <v>2</v>
      </c>
      <c r="N37" s="13"/>
      <c r="O37" s="14">
        <v>1</v>
      </c>
      <c r="P37" s="14">
        <v>242</v>
      </c>
      <c r="Q37" s="15">
        <v>13.69811320754717</v>
      </c>
      <c r="R37" s="17">
        <f>IFERROR(G37/(G37+Priors!$H$18),0)</f>
        <v>0.61389961389961389</v>
      </c>
      <c r="S37" s="13">
        <v>1</v>
      </c>
      <c r="T37" s="40" t="b">
        <v>0</v>
      </c>
      <c r="U37" s="13">
        <v>1</v>
      </c>
      <c r="V37" s="40" t="b">
        <v>0</v>
      </c>
      <c r="W37" s="13">
        <v>1</v>
      </c>
      <c r="X37" s="17">
        <f t="shared" si="0"/>
        <v>0.61389961389961389</v>
      </c>
      <c r="Y37" s="37">
        <f>VLOOKUP(D37,Priors!$A$18:$B$21,2,FALSE)</f>
        <v>8.7398272304160223</v>
      </c>
      <c r="Z37" s="38">
        <f t="shared" si="1"/>
        <v>7.8252228688864953</v>
      </c>
      <c r="AA37" s="39">
        <v>1</v>
      </c>
      <c r="AB37" s="38">
        <f t="shared" si="2"/>
        <v>7.8252228688864953</v>
      </c>
      <c r="AC37" s="37">
        <f>Priors!$K$18</f>
        <v>2.7435089299114512</v>
      </c>
      <c r="AD37" s="38" t="str">
        <f t="shared" si="3"/>
        <v/>
      </c>
      <c r="AE37" s="37">
        <f>Priors!$K$19</f>
        <v>0.67280088332719912</v>
      </c>
      <c r="AF37" s="38" t="str">
        <f t="shared" si="4"/>
        <v/>
      </c>
      <c r="AG37" s="17">
        <f t="shared" si="5"/>
        <v>0.38610038610038611</v>
      </c>
      <c r="AH37" s="7" t="s">
        <v>1643</v>
      </c>
      <c r="AI37" s="7">
        <v>10</v>
      </c>
      <c r="AJ37" s="38">
        <f t="shared" si="6"/>
        <v>0.78252228688864955</v>
      </c>
      <c r="AK37" s="9" t="b">
        <f t="shared" si="7"/>
        <v>0</v>
      </c>
      <c r="AL37" s="28" t="s">
        <v>1644</v>
      </c>
      <c r="AM37" s="28" t="s">
        <v>1645</v>
      </c>
      <c r="AN37" s="28" t="s">
        <v>1792</v>
      </c>
    </row>
    <row r="38" spans="1:40" ht="30">
      <c r="A38" s="7">
        <v>37</v>
      </c>
      <c r="B38" s="7" t="s">
        <v>207</v>
      </c>
      <c r="C38" s="7" t="s">
        <v>40</v>
      </c>
      <c r="D38" s="7" t="s">
        <v>99</v>
      </c>
      <c r="E38" s="7" t="s">
        <v>1642</v>
      </c>
      <c r="F38" s="7" t="s">
        <v>40</v>
      </c>
      <c r="G38" s="14">
        <v>942</v>
      </c>
      <c r="H38" s="14">
        <v>54</v>
      </c>
      <c r="I38" s="15">
        <v>5.16</v>
      </c>
      <c r="J38" s="14">
        <v>0</v>
      </c>
      <c r="K38" s="15">
        <v>0</v>
      </c>
      <c r="L38" s="14">
        <v>15</v>
      </c>
      <c r="M38" s="14">
        <v>1</v>
      </c>
      <c r="N38" s="13"/>
      <c r="O38" s="14">
        <v>0</v>
      </c>
      <c r="P38" s="14">
        <v>124</v>
      </c>
      <c r="Q38" s="15">
        <v>11.847133757961783</v>
      </c>
      <c r="R38" s="17">
        <f>IFERROR(G38/(G38+Priors!$H$18),0)</f>
        <v>0.48506694129763128</v>
      </c>
      <c r="S38" s="13">
        <v>1</v>
      </c>
      <c r="T38" s="40" t="b">
        <v>0</v>
      </c>
      <c r="U38" s="13">
        <v>1</v>
      </c>
      <c r="V38" s="40" t="b">
        <v>0</v>
      </c>
      <c r="W38" s="13">
        <v>1</v>
      </c>
      <c r="X38" s="17">
        <f t="shared" si="0"/>
        <v>0.48506694129763128</v>
      </c>
      <c r="Y38" s="37">
        <f>VLOOKUP(D38,Priors!$A$18:$B$21,2,FALSE)</f>
        <v>8.7398272304160223</v>
      </c>
      <c r="Z38" s="38">
        <f t="shared" si="1"/>
        <v>7.0033713853841508</v>
      </c>
      <c r="AA38" s="39">
        <v>1</v>
      </c>
      <c r="AB38" s="38">
        <f t="shared" si="2"/>
        <v>7.0033713853841508</v>
      </c>
      <c r="AC38" s="37">
        <f>Priors!$K$18</f>
        <v>2.7435089299114512</v>
      </c>
      <c r="AD38" s="38" t="str">
        <f t="shared" si="3"/>
        <v/>
      </c>
      <c r="AE38" s="37">
        <f>Priors!$K$19</f>
        <v>0.67280088332719912</v>
      </c>
      <c r="AF38" s="38" t="str">
        <f t="shared" si="4"/>
        <v/>
      </c>
      <c r="AG38" s="17">
        <f t="shared" si="5"/>
        <v>0.51493305870236872</v>
      </c>
      <c r="AH38" s="7" t="s">
        <v>1643</v>
      </c>
      <c r="AI38" s="7">
        <v>10</v>
      </c>
      <c r="AJ38" s="38">
        <f t="shared" si="6"/>
        <v>0.70033713853841506</v>
      </c>
      <c r="AK38" s="9" t="b">
        <f t="shared" si="7"/>
        <v>1</v>
      </c>
      <c r="AL38" s="28" t="s">
        <v>1644</v>
      </c>
      <c r="AM38" s="28" t="s">
        <v>1645</v>
      </c>
      <c r="AN38" s="28" t="s">
        <v>1792</v>
      </c>
    </row>
    <row r="39" spans="1:40" ht="30">
      <c r="A39" s="7">
        <v>38</v>
      </c>
      <c r="B39" s="7" t="s">
        <v>210</v>
      </c>
      <c r="C39" s="7" t="s">
        <v>40</v>
      </c>
      <c r="D39" s="7" t="s">
        <v>99</v>
      </c>
      <c r="E39" s="7" t="s">
        <v>1642</v>
      </c>
      <c r="F39" s="7" t="s">
        <v>40</v>
      </c>
      <c r="G39" s="14">
        <v>83</v>
      </c>
      <c r="H39" s="14">
        <v>10</v>
      </c>
      <c r="I39" s="15">
        <v>10.84</v>
      </c>
      <c r="J39" s="14">
        <v>0</v>
      </c>
      <c r="K39" s="15">
        <v>0</v>
      </c>
      <c r="L39" s="14">
        <v>3</v>
      </c>
      <c r="M39" s="14">
        <v>0</v>
      </c>
      <c r="N39" s="13"/>
      <c r="O39" s="14">
        <v>0</v>
      </c>
      <c r="P39" s="14">
        <v>12</v>
      </c>
      <c r="Q39" s="15">
        <v>13.012048192771084</v>
      </c>
      <c r="R39" s="17">
        <f>IFERROR(G39/(G39+Priors!$H$18),0)</f>
        <v>7.663896583564174E-2</v>
      </c>
      <c r="S39" s="13">
        <v>1</v>
      </c>
      <c r="T39" s="40" t="b">
        <v>0</v>
      </c>
      <c r="U39" s="13">
        <v>1</v>
      </c>
      <c r="V39" s="40" t="b">
        <v>0</v>
      </c>
      <c r="W39" s="13">
        <v>1</v>
      </c>
      <c r="X39" s="17">
        <f t="shared" si="0"/>
        <v>7.663896583564174E-2</v>
      </c>
      <c r="Y39" s="37">
        <f>VLOOKUP(D39,Priors!$A$18:$B$21,2,FALSE)</f>
        <v>8.7398272304160223</v>
      </c>
      <c r="Z39" s="38">
        <f t="shared" si="1"/>
        <v>8.9007822995531125</v>
      </c>
      <c r="AA39" s="39">
        <v>1</v>
      </c>
      <c r="AB39" s="38">
        <f t="shared" si="2"/>
        <v>8.9007822995531125</v>
      </c>
      <c r="AC39" s="37">
        <f>Priors!$K$18</f>
        <v>2.7435089299114512</v>
      </c>
      <c r="AD39" s="38" t="str">
        <f t="shared" si="3"/>
        <v/>
      </c>
      <c r="AE39" s="37">
        <f>Priors!$K$19</f>
        <v>0.67280088332719912</v>
      </c>
      <c r="AF39" s="38" t="str">
        <f t="shared" si="4"/>
        <v/>
      </c>
      <c r="AG39" s="17">
        <f t="shared" si="5"/>
        <v>0.92336103416435822</v>
      </c>
      <c r="AH39" s="7" t="s">
        <v>1643</v>
      </c>
      <c r="AI39" s="7">
        <v>10</v>
      </c>
      <c r="AJ39" s="38">
        <f t="shared" si="6"/>
        <v>0.89007822995531127</v>
      </c>
      <c r="AK39" s="9" t="b">
        <f t="shared" si="7"/>
        <v>1</v>
      </c>
      <c r="AL39" s="28" t="s">
        <v>1644</v>
      </c>
      <c r="AM39" s="28" t="s">
        <v>1645</v>
      </c>
      <c r="AN39" s="28" t="s">
        <v>1792</v>
      </c>
    </row>
    <row r="40" spans="1:40" ht="30">
      <c r="A40" s="7">
        <v>39</v>
      </c>
      <c r="B40" s="7" t="s">
        <v>212</v>
      </c>
      <c r="C40" s="7" t="s">
        <v>40</v>
      </c>
      <c r="D40" s="7" t="s">
        <v>99</v>
      </c>
      <c r="E40" s="7" t="s">
        <v>1647</v>
      </c>
      <c r="F40" s="7"/>
      <c r="G40" s="14">
        <v>0</v>
      </c>
      <c r="H40" s="14"/>
      <c r="I40" s="15"/>
      <c r="J40" s="14"/>
      <c r="K40" s="15"/>
      <c r="L40" s="14"/>
      <c r="M40" s="14"/>
      <c r="N40" s="13"/>
      <c r="O40" s="14"/>
      <c r="P40" s="14"/>
      <c r="Q40" s="15"/>
      <c r="R40" s="17">
        <f>IFERROR(G40/(G40+Priors!$H$18),0)</f>
        <v>0</v>
      </c>
      <c r="S40" s="13">
        <v>0</v>
      </c>
      <c r="T40" s="40" t="b">
        <v>0</v>
      </c>
      <c r="U40" s="13">
        <v>1</v>
      </c>
      <c r="V40" s="40" t="b">
        <v>0</v>
      </c>
      <c r="W40" s="13">
        <v>1</v>
      </c>
      <c r="X40" s="17">
        <f t="shared" si="0"/>
        <v>0</v>
      </c>
      <c r="Y40" s="37">
        <f>VLOOKUP(D40,Priors!$A$18:$B$21,2,FALSE)</f>
        <v>8.7398272304160223</v>
      </c>
      <c r="Z40" s="38">
        <f t="shared" si="1"/>
        <v>8.7398272304160223</v>
      </c>
      <c r="AA40" s="39">
        <v>1</v>
      </c>
      <c r="AB40" s="38">
        <f t="shared" si="2"/>
        <v>8.7398272304160223</v>
      </c>
      <c r="AC40" s="37">
        <f>Priors!$K$18</f>
        <v>2.7435089299114512</v>
      </c>
      <c r="AD40" s="38" t="str">
        <f t="shared" si="3"/>
        <v/>
      </c>
      <c r="AE40" s="37">
        <f>Priors!$K$19</f>
        <v>0.67280088332719912</v>
      </c>
      <c r="AF40" s="38" t="str">
        <f t="shared" si="4"/>
        <v/>
      </c>
      <c r="AG40" s="17">
        <f t="shared" si="5"/>
        <v>1</v>
      </c>
      <c r="AH40" s="7" t="s">
        <v>1793</v>
      </c>
      <c r="AI40" s="7">
        <v>10</v>
      </c>
      <c r="AJ40" s="38">
        <f t="shared" si="6"/>
        <v>0.87398272304160218</v>
      </c>
      <c r="AK40" s="9" t="b">
        <f t="shared" si="7"/>
        <v>1</v>
      </c>
      <c r="AL40" s="28" t="s">
        <v>1794</v>
      </c>
      <c r="AM40" s="28"/>
      <c r="AN40" s="28" t="s">
        <v>1792</v>
      </c>
    </row>
    <row r="41" spans="1:40" ht="30">
      <c r="A41" s="7">
        <v>40</v>
      </c>
      <c r="B41" s="7" t="s">
        <v>506</v>
      </c>
      <c r="C41" s="7" t="s">
        <v>44</v>
      </c>
      <c r="D41" s="7" t="s">
        <v>112</v>
      </c>
      <c r="E41" s="7" t="s">
        <v>1642</v>
      </c>
      <c r="F41" s="7" t="s">
        <v>40</v>
      </c>
      <c r="G41" s="14">
        <v>3280</v>
      </c>
      <c r="H41" s="14">
        <v>230</v>
      </c>
      <c r="I41" s="15">
        <v>6.31</v>
      </c>
      <c r="J41" s="14">
        <v>0</v>
      </c>
      <c r="K41" s="15">
        <v>0</v>
      </c>
      <c r="L41" s="14">
        <v>48</v>
      </c>
      <c r="M41" s="14">
        <v>9</v>
      </c>
      <c r="N41" s="13"/>
      <c r="O41" s="14">
        <v>17</v>
      </c>
      <c r="P41" s="14">
        <v>605</v>
      </c>
      <c r="Q41" s="15">
        <v>16.600609756097562</v>
      </c>
      <c r="R41" s="17">
        <f>IFERROR(G41/(G41+Priors!$H$18),0)</f>
        <v>0.76635514018691586</v>
      </c>
      <c r="S41" s="13">
        <v>1</v>
      </c>
      <c r="T41" s="40" t="b">
        <v>1</v>
      </c>
      <c r="U41" s="13">
        <v>0.85</v>
      </c>
      <c r="V41" s="40" t="b">
        <v>1</v>
      </c>
      <c r="W41" s="13">
        <v>0.9</v>
      </c>
      <c r="X41" s="17">
        <f t="shared" si="0"/>
        <v>0.58626168224299058</v>
      </c>
      <c r="Y41" s="37">
        <f>VLOOKUP(D41,Priors!$A$18:$B$21,2,FALSE)</f>
        <v>8.4555315342179806</v>
      </c>
      <c r="Z41" s="38">
        <f t="shared" si="1"/>
        <v>7.1976886076619628</v>
      </c>
      <c r="AA41" s="39">
        <v>1</v>
      </c>
      <c r="AB41" s="38">
        <f t="shared" si="2"/>
        <v>7.1976886076619628</v>
      </c>
      <c r="AC41" s="37">
        <f>Priors!$K$18</f>
        <v>2.7435089299114512</v>
      </c>
      <c r="AD41" s="38" t="str">
        <f t="shared" si="3"/>
        <v/>
      </c>
      <c r="AE41" s="37">
        <f>Priors!$K$19</f>
        <v>0.67280088332719912</v>
      </c>
      <c r="AF41" s="38" t="str">
        <f t="shared" si="4"/>
        <v/>
      </c>
      <c r="AG41" s="17">
        <f t="shared" si="5"/>
        <v>0.41373831775700942</v>
      </c>
      <c r="AH41" s="7" t="s">
        <v>1643</v>
      </c>
      <c r="AI41" s="7">
        <v>12</v>
      </c>
      <c r="AJ41" s="38">
        <f t="shared" si="6"/>
        <v>0.5998073839718302</v>
      </c>
      <c r="AK41" s="9" t="b">
        <f t="shared" si="7"/>
        <v>1</v>
      </c>
      <c r="AL41" s="28" t="s">
        <v>1644</v>
      </c>
      <c r="AM41" s="28" t="s">
        <v>1645</v>
      </c>
      <c r="AN41" s="28" t="s">
        <v>1792</v>
      </c>
    </row>
    <row r="42" spans="1:40" ht="30">
      <c r="A42" s="7">
        <v>41</v>
      </c>
      <c r="B42" s="7" t="s">
        <v>215</v>
      </c>
      <c r="C42" s="7" t="s">
        <v>40</v>
      </c>
      <c r="D42" s="7" t="s">
        <v>112</v>
      </c>
      <c r="E42" s="7" t="s">
        <v>1642</v>
      </c>
      <c r="F42" s="7" t="s">
        <v>40</v>
      </c>
      <c r="G42" s="14">
        <v>1753</v>
      </c>
      <c r="H42" s="14">
        <v>197</v>
      </c>
      <c r="I42" s="15">
        <v>10.11</v>
      </c>
      <c r="J42" s="14">
        <v>0</v>
      </c>
      <c r="K42" s="15">
        <v>0</v>
      </c>
      <c r="L42" s="14">
        <v>24</v>
      </c>
      <c r="M42" s="14">
        <v>3</v>
      </c>
      <c r="N42" s="13"/>
      <c r="O42" s="14">
        <v>10</v>
      </c>
      <c r="P42" s="14">
        <v>382</v>
      </c>
      <c r="Q42" s="15">
        <v>19.612093553907588</v>
      </c>
      <c r="R42" s="17">
        <f>IFERROR(G42/(G42+Priors!$H$18),0)</f>
        <v>0.63675989829277158</v>
      </c>
      <c r="S42" s="13">
        <v>1</v>
      </c>
      <c r="T42" s="40" t="b">
        <v>0</v>
      </c>
      <c r="U42" s="13">
        <v>1</v>
      </c>
      <c r="V42" s="40" t="b">
        <v>0</v>
      </c>
      <c r="W42" s="13">
        <v>1</v>
      </c>
      <c r="X42" s="17">
        <f t="shared" si="0"/>
        <v>0.63675989829277158</v>
      </c>
      <c r="Y42" s="37">
        <f>VLOOKUP(D42,Priors!$A$18:$B$21,2,FALSE)</f>
        <v>8.4555315342179806</v>
      </c>
      <c r="Z42" s="38">
        <f t="shared" si="1"/>
        <v>9.5090307062179367</v>
      </c>
      <c r="AA42" s="39">
        <v>1</v>
      </c>
      <c r="AB42" s="38">
        <f t="shared" si="2"/>
        <v>9.5090307062179367</v>
      </c>
      <c r="AC42" s="37">
        <f>Priors!$K$18</f>
        <v>2.7435089299114512</v>
      </c>
      <c r="AD42" s="38" t="str">
        <f t="shared" si="3"/>
        <v/>
      </c>
      <c r="AE42" s="37">
        <f>Priors!$K$19</f>
        <v>0.67280088332719912</v>
      </c>
      <c r="AF42" s="38" t="str">
        <f t="shared" si="4"/>
        <v/>
      </c>
      <c r="AG42" s="17">
        <f t="shared" si="5"/>
        <v>0.36324010170722842</v>
      </c>
      <c r="AH42" s="7" t="s">
        <v>1643</v>
      </c>
      <c r="AI42" s="7">
        <v>12</v>
      </c>
      <c r="AJ42" s="38">
        <f t="shared" si="6"/>
        <v>0.79241922551816135</v>
      </c>
      <c r="AK42" s="9" t="b">
        <f t="shared" si="7"/>
        <v>0</v>
      </c>
      <c r="AL42" s="28" t="s">
        <v>1644</v>
      </c>
      <c r="AM42" s="28" t="s">
        <v>1645</v>
      </c>
      <c r="AN42" s="28" t="s">
        <v>1792</v>
      </c>
    </row>
    <row r="43" spans="1:40" ht="30">
      <c r="A43" s="7">
        <v>42</v>
      </c>
      <c r="B43" s="7" t="s">
        <v>218</v>
      </c>
      <c r="C43" s="7" t="s">
        <v>40</v>
      </c>
      <c r="D43" s="7" t="s">
        <v>112</v>
      </c>
      <c r="E43" s="7" t="s">
        <v>1642</v>
      </c>
      <c r="F43" s="7" t="s">
        <v>46</v>
      </c>
      <c r="G43" s="14">
        <v>909</v>
      </c>
      <c r="H43" s="14">
        <v>83</v>
      </c>
      <c r="I43" s="15">
        <v>8.2200000000000006</v>
      </c>
      <c r="J43" s="14">
        <v>0</v>
      </c>
      <c r="K43" s="15">
        <v>0</v>
      </c>
      <c r="L43" s="14">
        <v>15</v>
      </c>
      <c r="M43" s="14">
        <v>2</v>
      </c>
      <c r="N43" s="13"/>
      <c r="O43" s="14">
        <v>0</v>
      </c>
      <c r="P43" s="14">
        <v>143</v>
      </c>
      <c r="Q43" s="15">
        <v>14.158415841584159</v>
      </c>
      <c r="R43" s="17">
        <f>IFERROR(G43/(G43+Priors!$H$18),0)</f>
        <v>0.47616553169198533</v>
      </c>
      <c r="S43" s="13">
        <v>1</v>
      </c>
      <c r="T43" s="40" t="b">
        <v>1</v>
      </c>
      <c r="U43" s="13">
        <v>0.85</v>
      </c>
      <c r="V43" s="40" t="b">
        <v>0</v>
      </c>
      <c r="W43" s="13">
        <v>1</v>
      </c>
      <c r="X43" s="17">
        <f t="shared" si="0"/>
        <v>0.40474070193818751</v>
      </c>
      <c r="Y43" s="37">
        <f>VLOOKUP(D43,Priors!$A$18:$B$21,2,FALSE)</f>
        <v>8.4555315342179806</v>
      </c>
      <c r="Z43" s="38">
        <f t="shared" si="1"/>
        <v>8.3602023357300173</v>
      </c>
      <c r="AA43" s="39">
        <v>1</v>
      </c>
      <c r="AB43" s="38">
        <f t="shared" si="2"/>
        <v>8.3602023357300173</v>
      </c>
      <c r="AC43" s="37">
        <f>Priors!$K$18</f>
        <v>2.7435089299114512</v>
      </c>
      <c r="AD43" s="38" t="str">
        <f t="shared" si="3"/>
        <v/>
      </c>
      <c r="AE43" s="37">
        <f>Priors!$K$19</f>
        <v>0.67280088332719912</v>
      </c>
      <c r="AF43" s="38" t="str">
        <f t="shared" si="4"/>
        <v/>
      </c>
      <c r="AG43" s="17">
        <f t="shared" si="5"/>
        <v>0.59525929806181255</v>
      </c>
      <c r="AH43" s="7" t="s">
        <v>1643</v>
      </c>
      <c r="AI43" s="7">
        <v>12</v>
      </c>
      <c r="AJ43" s="38">
        <f t="shared" si="6"/>
        <v>0.69668352797750144</v>
      </c>
      <c r="AK43" s="9" t="b">
        <f t="shared" si="7"/>
        <v>1</v>
      </c>
      <c r="AL43" s="28" t="s">
        <v>1644</v>
      </c>
      <c r="AM43" s="28" t="s">
        <v>1645</v>
      </c>
      <c r="AN43" s="28" t="s">
        <v>1792</v>
      </c>
    </row>
    <row r="44" spans="1:40" ht="30">
      <c r="A44" s="7">
        <v>43</v>
      </c>
      <c r="B44" s="7" t="s">
        <v>1244</v>
      </c>
      <c r="C44" s="7" t="s">
        <v>54</v>
      </c>
      <c r="D44" s="7" t="s">
        <v>112</v>
      </c>
      <c r="E44" s="7" t="s">
        <v>1642</v>
      </c>
      <c r="F44" s="7" t="s">
        <v>40</v>
      </c>
      <c r="G44" s="14">
        <v>1857</v>
      </c>
      <c r="H44" s="14">
        <v>203</v>
      </c>
      <c r="I44" s="15">
        <v>9.84</v>
      </c>
      <c r="J44" s="14">
        <v>0</v>
      </c>
      <c r="K44" s="15">
        <v>0</v>
      </c>
      <c r="L44" s="14">
        <v>27</v>
      </c>
      <c r="M44" s="14">
        <v>4</v>
      </c>
      <c r="N44" s="13"/>
      <c r="O44" s="14">
        <v>3</v>
      </c>
      <c r="P44" s="14">
        <v>417</v>
      </c>
      <c r="Q44" s="15">
        <v>20.210016155088852</v>
      </c>
      <c r="R44" s="17">
        <f>IFERROR(G44/(G44+Priors!$H$18),0)</f>
        <v>0.6499824991249562</v>
      </c>
      <c r="S44" s="13">
        <v>1</v>
      </c>
      <c r="T44" s="40" t="b">
        <v>1</v>
      </c>
      <c r="U44" s="13">
        <v>0.85</v>
      </c>
      <c r="V44" s="40" t="b">
        <v>0</v>
      </c>
      <c r="W44" s="13">
        <v>1</v>
      </c>
      <c r="X44" s="17">
        <f t="shared" si="0"/>
        <v>0.55248512425621277</v>
      </c>
      <c r="Y44" s="37">
        <f>VLOOKUP(D44,Priors!$A$18:$B$21,2,FALSE)</f>
        <v>8.4555315342179806</v>
      </c>
      <c r="Z44" s="38">
        <f t="shared" si="1"/>
        <v>9.2204297665643686</v>
      </c>
      <c r="AA44" s="39">
        <v>1</v>
      </c>
      <c r="AB44" s="38">
        <f t="shared" si="2"/>
        <v>9.2204297665643686</v>
      </c>
      <c r="AC44" s="37">
        <f>Priors!$K$18</f>
        <v>2.7435089299114512</v>
      </c>
      <c r="AD44" s="38" t="str">
        <f t="shared" si="3"/>
        <v/>
      </c>
      <c r="AE44" s="37">
        <f>Priors!$K$19</f>
        <v>0.67280088332719912</v>
      </c>
      <c r="AF44" s="38" t="str">
        <f t="shared" si="4"/>
        <v/>
      </c>
      <c r="AG44" s="17">
        <f t="shared" si="5"/>
        <v>0.44751487574378723</v>
      </c>
      <c r="AH44" s="7" t="s">
        <v>1643</v>
      </c>
      <c r="AI44" s="7">
        <v>12</v>
      </c>
      <c r="AJ44" s="38">
        <f t="shared" si="6"/>
        <v>0.76836914721369742</v>
      </c>
      <c r="AK44" s="9" t="b">
        <f t="shared" si="7"/>
        <v>1</v>
      </c>
      <c r="AL44" s="28" t="s">
        <v>1644</v>
      </c>
      <c r="AM44" s="28" t="s">
        <v>1645</v>
      </c>
      <c r="AN44" s="28" t="s">
        <v>1792</v>
      </c>
    </row>
    <row r="45" spans="1:40" ht="30">
      <c r="A45" s="7">
        <v>44</v>
      </c>
      <c r="B45" s="7" t="s">
        <v>221</v>
      </c>
      <c r="C45" s="7" t="s">
        <v>40</v>
      </c>
      <c r="D45" s="7" t="s">
        <v>112</v>
      </c>
      <c r="E45" s="7" t="s">
        <v>1642</v>
      </c>
      <c r="F45" s="7" t="s">
        <v>40</v>
      </c>
      <c r="G45" s="14">
        <v>450</v>
      </c>
      <c r="H45" s="14">
        <v>48</v>
      </c>
      <c r="I45" s="15">
        <v>9.6</v>
      </c>
      <c r="J45" s="14">
        <v>0</v>
      </c>
      <c r="K45" s="15">
        <v>0</v>
      </c>
      <c r="L45" s="14">
        <v>9</v>
      </c>
      <c r="M45" s="14">
        <v>0</v>
      </c>
      <c r="N45" s="13"/>
      <c r="O45" s="14">
        <v>0</v>
      </c>
      <c r="P45" s="14">
        <v>69</v>
      </c>
      <c r="Q45" s="15">
        <v>13.8</v>
      </c>
      <c r="R45" s="17">
        <f>IFERROR(G45/(G45+Priors!$H$18),0)</f>
        <v>0.31034482758620691</v>
      </c>
      <c r="S45" s="13">
        <v>1</v>
      </c>
      <c r="T45" s="40" t="b">
        <v>0</v>
      </c>
      <c r="U45" s="13">
        <v>1</v>
      </c>
      <c r="V45" s="40" t="b">
        <v>0</v>
      </c>
      <c r="W45" s="13">
        <v>1</v>
      </c>
      <c r="X45" s="17">
        <f t="shared" si="0"/>
        <v>0.31034482758620691</v>
      </c>
      <c r="Y45" s="37">
        <f>VLOOKUP(D45,Priors!$A$18:$B$21,2,FALSE)</f>
        <v>8.4555315342179806</v>
      </c>
      <c r="Z45" s="38">
        <f t="shared" si="1"/>
        <v>8.8107114029089519</v>
      </c>
      <c r="AA45" s="39">
        <v>1</v>
      </c>
      <c r="AB45" s="38">
        <f t="shared" si="2"/>
        <v>8.8107114029089519</v>
      </c>
      <c r="AC45" s="37">
        <f>Priors!$K$18</f>
        <v>2.7435089299114512</v>
      </c>
      <c r="AD45" s="38" t="str">
        <f t="shared" si="3"/>
        <v/>
      </c>
      <c r="AE45" s="37">
        <f>Priors!$K$19</f>
        <v>0.67280088332719912</v>
      </c>
      <c r="AF45" s="38" t="str">
        <f t="shared" si="4"/>
        <v/>
      </c>
      <c r="AG45" s="17">
        <f t="shared" si="5"/>
        <v>0.68965517241379315</v>
      </c>
      <c r="AH45" s="7" t="s">
        <v>1643</v>
      </c>
      <c r="AI45" s="7">
        <v>12</v>
      </c>
      <c r="AJ45" s="38">
        <f t="shared" si="6"/>
        <v>0.73422595024241266</v>
      </c>
      <c r="AK45" s="9" t="b">
        <f t="shared" si="7"/>
        <v>1</v>
      </c>
      <c r="AL45" s="28" t="s">
        <v>1644</v>
      </c>
      <c r="AM45" s="28" t="s">
        <v>1645</v>
      </c>
      <c r="AN45" s="28" t="s">
        <v>1792</v>
      </c>
    </row>
    <row r="46" spans="1:40" ht="30">
      <c r="A46" s="7">
        <v>45</v>
      </c>
      <c r="B46" s="7" t="s">
        <v>224</v>
      </c>
      <c r="C46" s="7" t="s">
        <v>40</v>
      </c>
      <c r="D46" s="7" t="s">
        <v>112</v>
      </c>
      <c r="E46" s="7" t="s">
        <v>1642</v>
      </c>
      <c r="F46" s="7" t="s">
        <v>40</v>
      </c>
      <c r="G46" s="14">
        <v>2136</v>
      </c>
      <c r="H46" s="14">
        <v>150</v>
      </c>
      <c r="I46" s="15">
        <v>6.32</v>
      </c>
      <c r="J46" s="14">
        <v>0</v>
      </c>
      <c r="K46" s="15">
        <v>0</v>
      </c>
      <c r="L46" s="14">
        <v>28</v>
      </c>
      <c r="M46" s="14">
        <v>8</v>
      </c>
      <c r="N46" s="13"/>
      <c r="O46" s="14">
        <v>6</v>
      </c>
      <c r="P46" s="14">
        <v>443</v>
      </c>
      <c r="Q46" s="15">
        <v>18.665730337078653</v>
      </c>
      <c r="R46" s="17">
        <f>IFERROR(G46/(G46+Priors!$H$18),0)</f>
        <v>0.68112244897959184</v>
      </c>
      <c r="S46" s="13">
        <v>1</v>
      </c>
      <c r="T46" s="40" t="b">
        <v>0</v>
      </c>
      <c r="U46" s="13">
        <v>1</v>
      </c>
      <c r="V46" s="40" t="b">
        <v>0</v>
      </c>
      <c r="W46" s="13">
        <v>1</v>
      </c>
      <c r="X46" s="17">
        <f t="shared" si="0"/>
        <v>0.68112244897959184</v>
      </c>
      <c r="Y46" s="37">
        <f>VLOOKUP(D46,Priors!$A$18:$B$21,2,FALSE)</f>
        <v>8.4555315342179806</v>
      </c>
      <c r="Z46" s="38">
        <f t="shared" si="1"/>
        <v>7.0009730657582843</v>
      </c>
      <c r="AA46" s="39">
        <v>1</v>
      </c>
      <c r="AB46" s="38">
        <f t="shared" si="2"/>
        <v>7.0009730657582843</v>
      </c>
      <c r="AC46" s="37">
        <f>Priors!$K$18</f>
        <v>2.7435089299114512</v>
      </c>
      <c r="AD46" s="38" t="str">
        <f t="shared" si="3"/>
        <v/>
      </c>
      <c r="AE46" s="37">
        <f>Priors!$K$19</f>
        <v>0.67280088332719912</v>
      </c>
      <c r="AF46" s="38" t="str">
        <f t="shared" si="4"/>
        <v/>
      </c>
      <c r="AG46" s="17">
        <f t="shared" si="5"/>
        <v>0.31887755102040816</v>
      </c>
      <c r="AH46" s="7" t="s">
        <v>1643</v>
      </c>
      <c r="AI46" s="7">
        <v>12</v>
      </c>
      <c r="AJ46" s="38">
        <f t="shared" si="6"/>
        <v>0.58341442214652373</v>
      </c>
      <c r="AK46" s="9" t="b">
        <f t="shared" si="7"/>
        <v>0</v>
      </c>
      <c r="AL46" s="28" t="s">
        <v>1644</v>
      </c>
      <c r="AM46" s="28" t="s">
        <v>1645</v>
      </c>
      <c r="AN46" s="28" t="s">
        <v>1792</v>
      </c>
    </row>
    <row r="47" spans="1:40" ht="30">
      <c r="A47" s="7">
        <v>46</v>
      </c>
      <c r="B47" s="7" t="s">
        <v>227</v>
      </c>
      <c r="C47" s="7" t="s">
        <v>40</v>
      </c>
      <c r="D47" s="7" t="s">
        <v>112</v>
      </c>
      <c r="E47" s="7" t="s">
        <v>1642</v>
      </c>
      <c r="F47" s="7" t="s">
        <v>40</v>
      </c>
      <c r="G47" s="14">
        <v>844</v>
      </c>
      <c r="H47" s="14">
        <v>74</v>
      </c>
      <c r="I47" s="15">
        <v>7.89</v>
      </c>
      <c r="J47" s="14">
        <v>0</v>
      </c>
      <c r="K47" s="15">
        <v>0</v>
      </c>
      <c r="L47" s="14">
        <v>15</v>
      </c>
      <c r="M47" s="14">
        <v>1</v>
      </c>
      <c r="N47" s="13"/>
      <c r="O47" s="14">
        <v>5</v>
      </c>
      <c r="P47" s="14">
        <v>221</v>
      </c>
      <c r="Q47" s="15">
        <v>23.566350710900473</v>
      </c>
      <c r="R47" s="17">
        <f>IFERROR(G47/(G47+Priors!$H$18),0)</f>
        <v>0.45770065075921906</v>
      </c>
      <c r="S47" s="13">
        <v>1</v>
      </c>
      <c r="T47" s="40" t="b">
        <v>0</v>
      </c>
      <c r="U47" s="13">
        <v>1</v>
      </c>
      <c r="V47" s="40" t="b">
        <v>0</v>
      </c>
      <c r="W47" s="13">
        <v>1</v>
      </c>
      <c r="X47" s="17">
        <f t="shared" si="0"/>
        <v>0.45770065075921906</v>
      </c>
      <c r="Y47" s="37">
        <f>VLOOKUP(D47,Priors!$A$18:$B$21,2,FALSE)</f>
        <v>8.4555315342179806</v>
      </c>
      <c r="Z47" s="38">
        <f t="shared" si="1"/>
        <v>8.1966873829815512</v>
      </c>
      <c r="AA47" s="39">
        <v>1</v>
      </c>
      <c r="AB47" s="38">
        <f t="shared" si="2"/>
        <v>8.1966873829815512</v>
      </c>
      <c r="AC47" s="37">
        <f>Priors!$K$18</f>
        <v>2.7435089299114512</v>
      </c>
      <c r="AD47" s="38" t="str">
        <f t="shared" si="3"/>
        <v/>
      </c>
      <c r="AE47" s="37">
        <f>Priors!$K$19</f>
        <v>0.67280088332719912</v>
      </c>
      <c r="AF47" s="38" t="str">
        <f t="shared" si="4"/>
        <v/>
      </c>
      <c r="AG47" s="17">
        <f t="shared" si="5"/>
        <v>0.54229934924078094</v>
      </c>
      <c r="AH47" s="7" t="s">
        <v>1643</v>
      </c>
      <c r="AI47" s="7">
        <v>12</v>
      </c>
      <c r="AJ47" s="38">
        <f t="shared" si="6"/>
        <v>0.68305728191512927</v>
      </c>
      <c r="AK47" s="9" t="b">
        <f t="shared" si="7"/>
        <v>1</v>
      </c>
      <c r="AL47" s="28" t="s">
        <v>1644</v>
      </c>
      <c r="AM47" s="28" t="s">
        <v>1645</v>
      </c>
      <c r="AN47" s="28" t="s">
        <v>1792</v>
      </c>
    </row>
    <row r="48" spans="1:40" ht="30">
      <c r="A48" s="7">
        <v>47</v>
      </c>
      <c r="B48" s="7" t="s">
        <v>230</v>
      </c>
      <c r="C48" s="7" t="s">
        <v>40</v>
      </c>
      <c r="D48" s="7" t="s">
        <v>112</v>
      </c>
      <c r="E48" s="7" t="s">
        <v>1642</v>
      </c>
      <c r="F48" s="7" t="s">
        <v>40</v>
      </c>
      <c r="G48" s="14">
        <v>1410</v>
      </c>
      <c r="H48" s="14">
        <v>149</v>
      </c>
      <c r="I48" s="15">
        <v>9.51</v>
      </c>
      <c r="J48" s="14">
        <v>0</v>
      </c>
      <c r="K48" s="15">
        <v>0</v>
      </c>
      <c r="L48" s="14">
        <v>15</v>
      </c>
      <c r="M48" s="14">
        <v>5</v>
      </c>
      <c r="N48" s="13"/>
      <c r="O48" s="14">
        <v>7</v>
      </c>
      <c r="P48" s="14">
        <v>282</v>
      </c>
      <c r="Q48" s="15">
        <v>18</v>
      </c>
      <c r="R48" s="17">
        <f>IFERROR(G48/(G48+Priors!$H$18),0)</f>
        <v>0.58506224066390045</v>
      </c>
      <c r="S48" s="13">
        <v>1</v>
      </c>
      <c r="T48" s="40" t="b">
        <v>0</v>
      </c>
      <c r="U48" s="13">
        <v>1</v>
      </c>
      <c r="V48" s="40" t="b">
        <v>0</v>
      </c>
      <c r="W48" s="13">
        <v>1</v>
      </c>
      <c r="X48" s="17">
        <f t="shared" si="0"/>
        <v>0.58506224066390045</v>
      </c>
      <c r="Y48" s="37">
        <f>VLOOKUP(D48,Priors!$A$18:$B$21,2,FALSE)</f>
        <v>8.4555315342179806</v>
      </c>
      <c r="Z48" s="38">
        <f t="shared" si="1"/>
        <v>9.0724612175178336</v>
      </c>
      <c r="AA48" s="39">
        <v>1</v>
      </c>
      <c r="AB48" s="38">
        <f t="shared" si="2"/>
        <v>9.0724612175178336</v>
      </c>
      <c r="AC48" s="37">
        <f>Priors!$K$18</f>
        <v>2.7435089299114512</v>
      </c>
      <c r="AD48" s="38" t="str">
        <f t="shared" si="3"/>
        <v/>
      </c>
      <c r="AE48" s="37">
        <f>Priors!$K$19</f>
        <v>0.67280088332719912</v>
      </c>
      <c r="AF48" s="38" t="str">
        <f t="shared" si="4"/>
        <v/>
      </c>
      <c r="AG48" s="17">
        <f t="shared" si="5"/>
        <v>0.41493775933609955</v>
      </c>
      <c r="AH48" s="7" t="s">
        <v>1643</v>
      </c>
      <c r="AI48" s="7">
        <v>12</v>
      </c>
      <c r="AJ48" s="38">
        <f t="shared" si="6"/>
        <v>0.7560384347931528</v>
      </c>
      <c r="AK48" s="9" t="b">
        <f t="shared" si="7"/>
        <v>0</v>
      </c>
      <c r="AL48" s="28" t="s">
        <v>1644</v>
      </c>
      <c r="AM48" s="28" t="s">
        <v>1645</v>
      </c>
      <c r="AN48" s="28" t="s">
        <v>1792</v>
      </c>
    </row>
    <row r="49" spans="1:40" ht="30">
      <c r="A49" s="7">
        <v>48</v>
      </c>
      <c r="B49" s="7" t="s">
        <v>235</v>
      </c>
      <c r="C49" s="7" t="s">
        <v>40</v>
      </c>
      <c r="D49" s="7" t="s">
        <v>112</v>
      </c>
      <c r="E49" s="7" t="s">
        <v>1642</v>
      </c>
      <c r="F49" s="7" t="s">
        <v>40</v>
      </c>
      <c r="G49" s="14">
        <v>1755</v>
      </c>
      <c r="H49" s="14">
        <v>219</v>
      </c>
      <c r="I49" s="15">
        <v>11.23</v>
      </c>
      <c r="J49" s="14">
        <v>0</v>
      </c>
      <c r="K49" s="15">
        <v>0</v>
      </c>
      <c r="L49" s="14">
        <v>26</v>
      </c>
      <c r="M49" s="14">
        <v>6</v>
      </c>
      <c r="N49" s="13"/>
      <c r="O49" s="14">
        <v>4</v>
      </c>
      <c r="P49" s="14">
        <v>353</v>
      </c>
      <c r="Q49" s="15">
        <v>18.102564102564102</v>
      </c>
      <c r="R49" s="17">
        <f>IFERROR(G49/(G49+Priors!$H$18),0)</f>
        <v>0.63702359346642468</v>
      </c>
      <c r="S49" s="13">
        <v>1</v>
      </c>
      <c r="T49" s="40" t="b">
        <v>0</v>
      </c>
      <c r="U49" s="13">
        <v>1</v>
      </c>
      <c r="V49" s="40" t="b">
        <v>0</v>
      </c>
      <c r="W49" s="13">
        <v>1</v>
      </c>
      <c r="X49" s="17">
        <f t="shared" si="0"/>
        <v>0.63702359346642468</v>
      </c>
      <c r="Y49" s="37">
        <f>VLOOKUP(D49,Priors!$A$18:$B$21,2,FALSE)</f>
        <v>8.4555315342179806</v>
      </c>
      <c r="Z49" s="38">
        <f t="shared" si="1"/>
        <v>10.222933406249721</v>
      </c>
      <c r="AA49" s="39">
        <v>1</v>
      </c>
      <c r="AB49" s="38">
        <f t="shared" si="2"/>
        <v>10.222933406249721</v>
      </c>
      <c r="AC49" s="37">
        <f>Priors!$K$18</f>
        <v>2.7435089299114512</v>
      </c>
      <c r="AD49" s="38" t="str">
        <f t="shared" si="3"/>
        <v/>
      </c>
      <c r="AE49" s="37">
        <f>Priors!$K$19</f>
        <v>0.67280088332719912</v>
      </c>
      <c r="AF49" s="38" t="str">
        <f t="shared" si="4"/>
        <v/>
      </c>
      <c r="AG49" s="17">
        <f t="shared" si="5"/>
        <v>0.36297640653357532</v>
      </c>
      <c r="AH49" s="7" t="s">
        <v>1643</v>
      </c>
      <c r="AI49" s="7">
        <v>12</v>
      </c>
      <c r="AJ49" s="38">
        <f t="shared" si="6"/>
        <v>0.85191111718747681</v>
      </c>
      <c r="AK49" s="9" t="b">
        <f t="shared" si="7"/>
        <v>0</v>
      </c>
      <c r="AL49" s="28" t="s">
        <v>1644</v>
      </c>
      <c r="AM49" s="28" t="s">
        <v>1645</v>
      </c>
      <c r="AN49" s="28" t="s">
        <v>1792</v>
      </c>
    </row>
    <row r="50" spans="1:40" ht="30">
      <c r="A50" s="7">
        <v>49</v>
      </c>
      <c r="B50" s="7" t="s">
        <v>239</v>
      </c>
      <c r="C50" s="7" t="s">
        <v>40</v>
      </c>
      <c r="D50" s="7" t="s">
        <v>112</v>
      </c>
      <c r="E50" s="7" t="s">
        <v>1642</v>
      </c>
      <c r="F50" s="7" t="s">
        <v>40</v>
      </c>
      <c r="G50" s="14">
        <v>0</v>
      </c>
      <c r="H50" s="14">
        <v>0</v>
      </c>
      <c r="I50" s="15">
        <v>0</v>
      </c>
      <c r="J50" s="14">
        <v>0</v>
      </c>
      <c r="K50" s="15">
        <v>0</v>
      </c>
      <c r="L50" s="14">
        <v>0</v>
      </c>
      <c r="M50" s="14">
        <v>0</v>
      </c>
      <c r="N50" s="13"/>
      <c r="O50" s="14">
        <v>0</v>
      </c>
      <c r="P50" s="14">
        <v>0</v>
      </c>
      <c r="Q50" s="15">
        <v>0</v>
      </c>
      <c r="R50" s="17">
        <f>IFERROR(G50/(G50+Priors!$H$18),0)</f>
        <v>0</v>
      </c>
      <c r="S50" s="13">
        <v>1</v>
      </c>
      <c r="T50" s="40" t="b">
        <v>0</v>
      </c>
      <c r="U50" s="13">
        <v>1</v>
      </c>
      <c r="V50" s="40" t="b">
        <v>0</v>
      </c>
      <c r="W50" s="13">
        <v>1</v>
      </c>
      <c r="X50" s="17">
        <f t="shared" si="0"/>
        <v>0</v>
      </c>
      <c r="Y50" s="37">
        <f>VLOOKUP(D50,Priors!$A$18:$B$21,2,FALSE)</f>
        <v>8.4555315342179806</v>
      </c>
      <c r="Z50" s="38">
        <f t="shared" si="1"/>
        <v>8.4555315342179806</v>
      </c>
      <c r="AA50" s="39">
        <v>1</v>
      </c>
      <c r="AB50" s="38">
        <f t="shared" si="2"/>
        <v>8.4555315342179806</v>
      </c>
      <c r="AC50" s="37">
        <f>Priors!$K$18</f>
        <v>2.7435089299114512</v>
      </c>
      <c r="AD50" s="38" t="str">
        <f t="shared" si="3"/>
        <v/>
      </c>
      <c r="AE50" s="37">
        <f>Priors!$K$19</f>
        <v>0.67280088332719912</v>
      </c>
      <c r="AF50" s="38" t="str">
        <f t="shared" si="4"/>
        <v/>
      </c>
      <c r="AG50" s="17">
        <f t="shared" si="5"/>
        <v>1</v>
      </c>
      <c r="AH50" s="7" t="s">
        <v>1643</v>
      </c>
      <c r="AI50" s="7">
        <v>12</v>
      </c>
      <c r="AJ50" s="38">
        <f t="shared" si="6"/>
        <v>0.70462762785149835</v>
      </c>
      <c r="AK50" s="9" t="b">
        <f t="shared" si="7"/>
        <v>1</v>
      </c>
      <c r="AL50" s="28" t="s">
        <v>1644</v>
      </c>
      <c r="AM50" s="28" t="s">
        <v>1645</v>
      </c>
      <c r="AN50" s="28" t="s">
        <v>1792</v>
      </c>
    </row>
    <row r="51" spans="1:40" ht="30">
      <c r="A51" s="7">
        <v>50</v>
      </c>
      <c r="B51" s="7" t="s">
        <v>241</v>
      </c>
      <c r="C51" s="7" t="s">
        <v>40</v>
      </c>
      <c r="D51" s="7" t="s">
        <v>112</v>
      </c>
      <c r="E51" s="7" t="s">
        <v>1642</v>
      </c>
      <c r="F51" s="7" t="s">
        <v>40</v>
      </c>
      <c r="G51" s="14">
        <v>16</v>
      </c>
      <c r="H51" s="14">
        <v>1</v>
      </c>
      <c r="I51" s="15">
        <v>5.62</v>
      </c>
      <c r="J51" s="14">
        <v>0</v>
      </c>
      <c r="K51" s="15">
        <v>0</v>
      </c>
      <c r="L51" s="14">
        <v>1</v>
      </c>
      <c r="M51" s="14">
        <v>0</v>
      </c>
      <c r="N51" s="13"/>
      <c r="O51" s="14">
        <v>0</v>
      </c>
      <c r="P51" s="14">
        <v>3</v>
      </c>
      <c r="Q51" s="15">
        <v>16.875</v>
      </c>
      <c r="R51" s="17">
        <f>IFERROR(G51/(G51+Priors!$H$18),0)</f>
        <v>1.5748031496062992E-2</v>
      </c>
      <c r="S51" s="13">
        <v>1</v>
      </c>
      <c r="T51" s="40" t="b">
        <v>0</v>
      </c>
      <c r="U51" s="13">
        <v>1</v>
      </c>
      <c r="V51" s="40" t="b">
        <v>0</v>
      </c>
      <c r="W51" s="13">
        <v>1</v>
      </c>
      <c r="X51" s="17">
        <f t="shared" si="0"/>
        <v>1.5748031496062992E-2</v>
      </c>
      <c r="Y51" s="37">
        <f>VLOOKUP(D51,Priors!$A$18:$B$21,2,FALSE)</f>
        <v>8.4555315342179806</v>
      </c>
      <c r="Z51" s="38">
        <f t="shared" si="1"/>
        <v>8.4108774943090356</v>
      </c>
      <c r="AA51" s="39">
        <v>1</v>
      </c>
      <c r="AB51" s="38">
        <f t="shared" si="2"/>
        <v>8.4108774943090356</v>
      </c>
      <c r="AC51" s="37">
        <f>Priors!$K$18</f>
        <v>2.7435089299114512</v>
      </c>
      <c r="AD51" s="38" t="str">
        <f t="shared" si="3"/>
        <v/>
      </c>
      <c r="AE51" s="37">
        <f>Priors!$K$19</f>
        <v>0.67280088332719912</v>
      </c>
      <c r="AF51" s="38" t="str">
        <f t="shared" si="4"/>
        <v/>
      </c>
      <c r="AG51" s="17">
        <f t="shared" si="5"/>
        <v>0.98425196850393704</v>
      </c>
      <c r="AH51" s="7" t="s">
        <v>1643</v>
      </c>
      <c r="AI51" s="7">
        <v>12</v>
      </c>
      <c r="AJ51" s="38">
        <f t="shared" si="6"/>
        <v>0.70090645785908634</v>
      </c>
      <c r="AK51" s="9" t="b">
        <f t="shared" si="7"/>
        <v>1</v>
      </c>
      <c r="AL51" s="28" t="s">
        <v>1644</v>
      </c>
      <c r="AM51" s="28" t="s">
        <v>1645</v>
      </c>
      <c r="AN51" s="28" t="s">
        <v>1792</v>
      </c>
    </row>
    <row r="52" spans="1:40" ht="30">
      <c r="A52" s="7">
        <v>51</v>
      </c>
      <c r="B52" s="7" t="s">
        <v>243</v>
      </c>
      <c r="C52" s="7" t="s">
        <v>40</v>
      </c>
      <c r="D52" s="7" t="s">
        <v>112</v>
      </c>
      <c r="E52" s="7" t="s">
        <v>1642</v>
      </c>
      <c r="F52" s="7" t="s">
        <v>40</v>
      </c>
      <c r="G52" s="14">
        <v>25</v>
      </c>
      <c r="H52" s="14">
        <v>1</v>
      </c>
      <c r="I52" s="15">
        <v>3.6</v>
      </c>
      <c r="J52" s="14">
        <v>0</v>
      </c>
      <c r="K52" s="15">
        <v>0</v>
      </c>
      <c r="L52" s="14">
        <v>0</v>
      </c>
      <c r="M52" s="14">
        <v>0</v>
      </c>
      <c r="N52" s="13"/>
      <c r="O52" s="14">
        <v>0</v>
      </c>
      <c r="P52" s="14">
        <v>5</v>
      </c>
      <c r="Q52" s="15">
        <v>18</v>
      </c>
      <c r="R52" s="17">
        <f>IFERROR(G52/(G52+Priors!$H$18),0)</f>
        <v>2.4390243902439025E-2</v>
      </c>
      <c r="S52" s="13">
        <v>1</v>
      </c>
      <c r="T52" s="40" t="b">
        <v>0</v>
      </c>
      <c r="U52" s="13">
        <v>1</v>
      </c>
      <c r="V52" s="40" t="b">
        <v>0</v>
      </c>
      <c r="W52" s="13">
        <v>1</v>
      </c>
      <c r="X52" s="17">
        <f t="shared" si="0"/>
        <v>2.4390243902439025E-2</v>
      </c>
      <c r="Y52" s="37">
        <f>VLOOKUP(D52,Priors!$A$18:$B$21,2,FALSE)</f>
        <v>8.4555315342179806</v>
      </c>
      <c r="Z52" s="38">
        <f t="shared" si="1"/>
        <v>8.3371039358224195</v>
      </c>
      <c r="AA52" s="39">
        <v>1</v>
      </c>
      <c r="AB52" s="38">
        <f t="shared" si="2"/>
        <v>8.3371039358224195</v>
      </c>
      <c r="AC52" s="37">
        <f>Priors!$K$18</f>
        <v>2.7435089299114512</v>
      </c>
      <c r="AD52" s="38" t="str">
        <f t="shared" si="3"/>
        <v/>
      </c>
      <c r="AE52" s="37">
        <f>Priors!$K$19</f>
        <v>0.67280088332719912</v>
      </c>
      <c r="AF52" s="38" t="str">
        <f t="shared" si="4"/>
        <v/>
      </c>
      <c r="AG52" s="17">
        <f t="shared" si="5"/>
        <v>0.97560975609756095</v>
      </c>
      <c r="AH52" s="7" t="s">
        <v>1643</v>
      </c>
      <c r="AI52" s="7">
        <v>12</v>
      </c>
      <c r="AJ52" s="38">
        <f t="shared" si="6"/>
        <v>0.69475866131853492</v>
      </c>
      <c r="AK52" s="9" t="b">
        <f t="shared" si="7"/>
        <v>1</v>
      </c>
      <c r="AL52" s="28" t="s">
        <v>1644</v>
      </c>
      <c r="AM52" s="28" t="s">
        <v>1645</v>
      </c>
      <c r="AN52" s="28" t="s">
        <v>1792</v>
      </c>
    </row>
    <row r="53" spans="1:40" ht="30">
      <c r="A53" s="7">
        <v>52</v>
      </c>
      <c r="B53" s="7" t="s">
        <v>244</v>
      </c>
      <c r="C53" s="7" t="s">
        <v>40</v>
      </c>
      <c r="D53" s="7" t="s">
        <v>112</v>
      </c>
      <c r="E53" s="7" t="s">
        <v>1642</v>
      </c>
      <c r="F53" s="7" t="s">
        <v>40</v>
      </c>
      <c r="G53" s="14">
        <v>47</v>
      </c>
      <c r="H53" s="14">
        <v>4</v>
      </c>
      <c r="I53" s="15">
        <v>7.66</v>
      </c>
      <c r="J53" s="14">
        <v>0</v>
      </c>
      <c r="K53" s="15">
        <v>0</v>
      </c>
      <c r="L53" s="14">
        <v>2</v>
      </c>
      <c r="M53" s="14">
        <v>0</v>
      </c>
      <c r="N53" s="13"/>
      <c r="O53" s="14">
        <v>0</v>
      </c>
      <c r="P53" s="14">
        <v>11</v>
      </c>
      <c r="Q53" s="15">
        <v>21.063829787234042</v>
      </c>
      <c r="R53" s="17">
        <f>IFERROR(G53/(G53+Priors!$H$18),0)</f>
        <v>4.4890162368672396E-2</v>
      </c>
      <c r="S53" s="13">
        <v>1</v>
      </c>
      <c r="T53" s="40" t="b">
        <v>0</v>
      </c>
      <c r="U53" s="13">
        <v>1</v>
      </c>
      <c r="V53" s="40" t="b">
        <v>0</v>
      </c>
      <c r="W53" s="13">
        <v>1</v>
      </c>
      <c r="X53" s="17">
        <f t="shared" si="0"/>
        <v>4.4890162368672396E-2</v>
      </c>
      <c r="Y53" s="37">
        <f>VLOOKUP(D53,Priors!$A$18:$B$21,2,FALSE)</f>
        <v>8.4555315342179806</v>
      </c>
      <c r="Z53" s="38">
        <f t="shared" si="1"/>
        <v>8.4198199944775372</v>
      </c>
      <c r="AA53" s="39">
        <v>1</v>
      </c>
      <c r="AB53" s="38">
        <f t="shared" si="2"/>
        <v>8.4198199944775372</v>
      </c>
      <c r="AC53" s="37">
        <f>Priors!$K$18</f>
        <v>2.7435089299114512</v>
      </c>
      <c r="AD53" s="38" t="str">
        <f t="shared" si="3"/>
        <v/>
      </c>
      <c r="AE53" s="37">
        <f>Priors!$K$19</f>
        <v>0.67280088332719912</v>
      </c>
      <c r="AF53" s="38" t="str">
        <f t="shared" si="4"/>
        <v/>
      </c>
      <c r="AG53" s="17">
        <f t="shared" si="5"/>
        <v>0.95510983763132762</v>
      </c>
      <c r="AH53" s="7" t="s">
        <v>1643</v>
      </c>
      <c r="AI53" s="7">
        <v>12</v>
      </c>
      <c r="AJ53" s="38">
        <f t="shared" si="6"/>
        <v>0.70165166620646147</v>
      </c>
      <c r="AK53" s="9" t="b">
        <f t="shared" si="7"/>
        <v>1</v>
      </c>
      <c r="AL53" s="28" t="s">
        <v>1644</v>
      </c>
      <c r="AM53" s="28" t="s">
        <v>1645</v>
      </c>
      <c r="AN53" s="28" t="s">
        <v>1792</v>
      </c>
    </row>
    <row r="54" spans="1:40" ht="30">
      <c r="A54" s="7">
        <v>53</v>
      </c>
      <c r="B54" s="7" t="s">
        <v>247</v>
      </c>
      <c r="C54" s="7" t="s">
        <v>40</v>
      </c>
      <c r="D54" s="7" t="s">
        <v>112</v>
      </c>
      <c r="E54" s="7" t="s">
        <v>1647</v>
      </c>
      <c r="F54" s="7"/>
      <c r="G54" s="14">
        <v>0</v>
      </c>
      <c r="H54" s="14"/>
      <c r="I54" s="15"/>
      <c r="J54" s="14"/>
      <c r="K54" s="15"/>
      <c r="L54" s="14"/>
      <c r="M54" s="14"/>
      <c r="N54" s="13"/>
      <c r="O54" s="14"/>
      <c r="P54" s="14"/>
      <c r="Q54" s="15"/>
      <c r="R54" s="17">
        <f>IFERROR(G54/(G54+Priors!$H$18),0)</f>
        <v>0</v>
      </c>
      <c r="S54" s="13">
        <v>0</v>
      </c>
      <c r="T54" s="40" t="b">
        <v>0</v>
      </c>
      <c r="U54" s="13">
        <v>1</v>
      </c>
      <c r="V54" s="40" t="b">
        <v>0</v>
      </c>
      <c r="W54" s="13">
        <v>1</v>
      </c>
      <c r="X54" s="17">
        <f t="shared" si="0"/>
        <v>0</v>
      </c>
      <c r="Y54" s="37">
        <f>VLOOKUP(D54,Priors!$A$18:$B$21,2,FALSE)</f>
        <v>8.4555315342179806</v>
      </c>
      <c r="Z54" s="38">
        <f t="shared" si="1"/>
        <v>8.4555315342179806</v>
      </c>
      <c r="AA54" s="39">
        <v>1</v>
      </c>
      <c r="AB54" s="38">
        <f t="shared" si="2"/>
        <v>8.4555315342179806</v>
      </c>
      <c r="AC54" s="37">
        <f>Priors!$K$18</f>
        <v>2.7435089299114512</v>
      </c>
      <c r="AD54" s="38" t="str">
        <f t="shared" si="3"/>
        <v/>
      </c>
      <c r="AE54" s="37">
        <f>Priors!$K$19</f>
        <v>0.67280088332719912</v>
      </c>
      <c r="AF54" s="38" t="str">
        <f t="shared" si="4"/>
        <v/>
      </c>
      <c r="AG54" s="17">
        <f t="shared" si="5"/>
        <v>1</v>
      </c>
      <c r="AH54" s="7" t="s">
        <v>1793</v>
      </c>
      <c r="AI54" s="7">
        <v>12</v>
      </c>
      <c r="AJ54" s="38">
        <f t="shared" si="6"/>
        <v>0.70462762785149835</v>
      </c>
      <c r="AK54" s="9" t="b">
        <f t="shared" si="7"/>
        <v>1</v>
      </c>
      <c r="AL54" s="28" t="s">
        <v>1794</v>
      </c>
      <c r="AM54" s="28"/>
      <c r="AN54" s="28" t="s">
        <v>1792</v>
      </c>
    </row>
    <row r="55" spans="1:40" ht="30">
      <c r="A55" s="7">
        <v>54</v>
      </c>
      <c r="B55" s="7" t="s">
        <v>250</v>
      </c>
      <c r="C55" s="7" t="s">
        <v>40</v>
      </c>
      <c r="D55" s="7" t="s">
        <v>112</v>
      </c>
      <c r="E55" s="7" t="s">
        <v>1642</v>
      </c>
      <c r="F55" s="7" t="s">
        <v>1651</v>
      </c>
      <c r="G55" s="14">
        <v>2829</v>
      </c>
      <c r="H55" s="14">
        <v>387</v>
      </c>
      <c r="I55" s="15">
        <v>12.31</v>
      </c>
      <c r="J55" s="14">
        <v>0</v>
      </c>
      <c r="K55" s="15">
        <v>0</v>
      </c>
      <c r="L55" s="14">
        <v>56</v>
      </c>
      <c r="M55" s="14">
        <v>4</v>
      </c>
      <c r="N55" s="13"/>
      <c r="O55" s="14">
        <v>6</v>
      </c>
      <c r="P55" s="14">
        <v>529</v>
      </c>
      <c r="Q55" s="15">
        <v>16.829268292682926</v>
      </c>
      <c r="R55" s="17">
        <f>IFERROR(G55/(G55+Priors!$H$18),0)</f>
        <v>0.73883520501436406</v>
      </c>
      <c r="S55" s="13">
        <v>1</v>
      </c>
      <c r="T55" s="40" t="b">
        <v>1</v>
      </c>
      <c r="U55" s="13">
        <v>0.85</v>
      </c>
      <c r="V55" s="40" t="b">
        <v>0</v>
      </c>
      <c r="W55" s="13">
        <v>1</v>
      </c>
      <c r="X55" s="17">
        <f t="shared" si="0"/>
        <v>0.62800992426220947</v>
      </c>
      <c r="Y55" s="37">
        <f>VLOOKUP(D55,Priors!$A$18:$B$21,2,FALSE)</f>
        <v>8.4555315342179806</v>
      </c>
      <c r="Z55" s="38">
        <f t="shared" si="1"/>
        <v>10.876175983484822</v>
      </c>
      <c r="AA55" s="39">
        <v>1</v>
      </c>
      <c r="AB55" s="38">
        <f t="shared" si="2"/>
        <v>10.876175983484822</v>
      </c>
      <c r="AC55" s="37">
        <f>Priors!$K$18</f>
        <v>2.7435089299114512</v>
      </c>
      <c r="AD55" s="38" t="str">
        <f t="shared" si="3"/>
        <v/>
      </c>
      <c r="AE55" s="37">
        <f>Priors!$K$19</f>
        <v>0.67280088332719912</v>
      </c>
      <c r="AF55" s="38" t="str">
        <f t="shared" si="4"/>
        <v/>
      </c>
      <c r="AG55" s="17">
        <f t="shared" si="5"/>
        <v>0.37199007573779053</v>
      </c>
      <c r="AH55" s="7" t="s">
        <v>1643</v>
      </c>
      <c r="AI55" s="7">
        <v>12</v>
      </c>
      <c r="AJ55" s="38">
        <f t="shared" si="6"/>
        <v>0.90634799862373516</v>
      </c>
      <c r="AK55" s="9" t="b">
        <f t="shared" si="7"/>
        <v>1</v>
      </c>
      <c r="AL55" s="28" t="s">
        <v>1644</v>
      </c>
      <c r="AM55" s="28" t="s">
        <v>1645</v>
      </c>
      <c r="AN55" s="28" t="s">
        <v>1792</v>
      </c>
    </row>
    <row r="56" spans="1:40" ht="30">
      <c r="A56" s="7">
        <v>55</v>
      </c>
      <c r="B56" s="7" t="s">
        <v>253</v>
      </c>
      <c r="C56" s="7" t="s">
        <v>40</v>
      </c>
      <c r="D56" s="7" t="s">
        <v>167</v>
      </c>
      <c r="E56" s="7" t="s">
        <v>1642</v>
      </c>
      <c r="F56" s="7" t="s">
        <v>40</v>
      </c>
      <c r="G56" s="14">
        <v>2833</v>
      </c>
      <c r="H56" s="14">
        <v>94</v>
      </c>
      <c r="I56" s="15">
        <v>2.99</v>
      </c>
      <c r="J56" s="14">
        <v>0</v>
      </c>
      <c r="K56" s="15">
        <v>0</v>
      </c>
      <c r="L56" s="14">
        <v>38</v>
      </c>
      <c r="M56" s="14">
        <v>9</v>
      </c>
      <c r="N56" s="13"/>
      <c r="O56" s="14">
        <v>26</v>
      </c>
      <c r="P56" s="14">
        <v>623</v>
      </c>
      <c r="Q56" s="15">
        <v>19.791740204729969</v>
      </c>
      <c r="R56" s="17">
        <f>IFERROR(G56/(G56+Priors!$H$18),0)</f>
        <v>0.7391077484998696</v>
      </c>
      <c r="S56" s="13">
        <v>1</v>
      </c>
      <c r="T56" s="40" t="b">
        <v>0</v>
      </c>
      <c r="U56" s="13">
        <v>1</v>
      </c>
      <c r="V56" s="40" t="b">
        <v>0</v>
      </c>
      <c r="W56" s="13">
        <v>1</v>
      </c>
      <c r="X56" s="17">
        <f t="shared" si="0"/>
        <v>0.7391077484998696</v>
      </c>
      <c r="Y56" s="37">
        <f>VLOOKUP(D56,Priors!$A$18:$B$21,2,FALSE)</f>
        <v>4.5137422563476139</v>
      </c>
      <c r="Z56" s="38">
        <f t="shared" si="1"/>
        <v>3.3875325479644181</v>
      </c>
      <c r="AA56" s="39">
        <v>1</v>
      </c>
      <c r="AB56" s="38">
        <f t="shared" si="2"/>
        <v>3.3875325479644181</v>
      </c>
      <c r="AC56" s="37">
        <f>Priors!$K$18</f>
        <v>2.7435089299114512</v>
      </c>
      <c r="AD56" s="38" t="str">
        <f t="shared" si="3"/>
        <v/>
      </c>
      <c r="AE56" s="37">
        <f>Priors!$K$19</f>
        <v>0.67280088332719912</v>
      </c>
      <c r="AF56" s="38" t="str">
        <f t="shared" si="4"/>
        <v/>
      </c>
      <c r="AG56" s="17">
        <f t="shared" si="5"/>
        <v>0.2608922515001304</v>
      </c>
      <c r="AH56" s="7" t="s">
        <v>1643</v>
      </c>
      <c r="AI56" s="7">
        <v>12</v>
      </c>
      <c r="AJ56" s="38">
        <f t="shared" si="6"/>
        <v>0.28229437899703486</v>
      </c>
      <c r="AK56" s="9" t="b">
        <f t="shared" si="7"/>
        <v>0</v>
      </c>
      <c r="AL56" s="28" t="s">
        <v>1644</v>
      </c>
      <c r="AM56" s="28" t="s">
        <v>1645</v>
      </c>
      <c r="AN56" s="28" t="s">
        <v>1792</v>
      </c>
    </row>
    <row r="57" spans="1:40" ht="30">
      <c r="A57" s="7">
        <v>56</v>
      </c>
      <c r="B57" s="7" t="s">
        <v>256</v>
      </c>
      <c r="C57" s="7" t="s">
        <v>40</v>
      </c>
      <c r="D57" s="7" t="s">
        <v>167</v>
      </c>
      <c r="E57" s="7" t="s">
        <v>1642</v>
      </c>
      <c r="F57" s="7" t="s">
        <v>40</v>
      </c>
      <c r="G57" s="14">
        <v>278</v>
      </c>
      <c r="H57" s="14">
        <v>13</v>
      </c>
      <c r="I57" s="15">
        <v>4.21</v>
      </c>
      <c r="J57" s="14">
        <v>0</v>
      </c>
      <c r="K57" s="15">
        <v>0</v>
      </c>
      <c r="L57" s="14">
        <v>8</v>
      </c>
      <c r="M57" s="14">
        <v>0</v>
      </c>
      <c r="N57" s="13"/>
      <c r="O57" s="14">
        <v>2</v>
      </c>
      <c r="P57" s="14">
        <v>93</v>
      </c>
      <c r="Q57" s="15">
        <v>30.107913669064747</v>
      </c>
      <c r="R57" s="17">
        <f>IFERROR(G57/(G57+Priors!$H$18),0)</f>
        <v>0.21752738654147105</v>
      </c>
      <c r="S57" s="13">
        <v>1</v>
      </c>
      <c r="T57" s="40" t="b">
        <v>0</v>
      </c>
      <c r="U57" s="13">
        <v>1</v>
      </c>
      <c r="V57" s="40" t="b">
        <v>0</v>
      </c>
      <c r="W57" s="13">
        <v>1</v>
      </c>
      <c r="X57" s="17">
        <f t="shared" si="0"/>
        <v>0.21752738654147105</v>
      </c>
      <c r="Y57" s="37">
        <f>VLOOKUP(D57,Priors!$A$18:$B$21,2,FALSE)</f>
        <v>4.5137422563476139</v>
      </c>
      <c r="Z57" s="38">
        <f t="shared" si="1"/>
        <v>4.4476699971421079</v>
      </c>
      <c r="AA57" s="39">
        <v>1</v>
      </c>
      <c r="AB57" s="38">
        <f t="shared" si="2"/>
        <v>4.4476699971421079</v>
      </c>
      <c r="AC57" s="37">
        <f>Priors!$K$18</f>
        <v>2.7435089299114512</v>
      </c>
      <c r="AD57" s="38" t="str">
        <f t="shared" si="3"/>
        <v/>
      </c>
      <c r="AE57" s="37">
        <f>Priors!$K$19</f>
        <v>0.67280088332719912</v>
      </c>
      <c r="AF57" s="38" t="str">
        <f t="shared" si="4"/>
        <v/>
      </c>
      <c r="AG57" s="17">
        <f t="shared" si="5"/>
        <v>0.78247261345852892</v>
      </c>
      <c r="AH57" s="7" t="s">
        <v>1643</v>
      </c>
      <c r="AI57" s="7">
        <v>12</v>
      </c>
      <c r="AJ57" s="38">
        <f t="shared" si="6"/>
        <v>0.37063916642850897</v>
      </c>
      <c r="AK57" s="9" t="b">
        <f t="shared" si="7"/>
        <v>1</v>
      </c>
      <c r="AL57" s="28" t="s">
        <v>1644</v>
      </c>
      <c r="AM57" s="28" t="s">
        <v>1645</v>
      </c>
      <c r="AN57" s="28" t="s">
        <v>1792</v>
      </c>
    </row>
    <row r="58" spans="1:40" ht="30">
      <c r="A58" s="7">
        <v>57</v>
      </c>
      <c r="B58" s="7" t="s">
        <v>262</v>
      </c>
      <c r="C58" s="7" t="s">
        <v>41</v>
      </c>
      <c r="D58" s="7" t="s">
        <v>85</v>
      </c>
      <c r="E58" s="7" t="s">
        <v>1642</v>
      </c>
      <c r="F58" s="7" t="s">
        <v>41</v>
      </c>
      <c r="G58" s="14">
        <v>3420</v>
      </c>
      <c r="H58" s="14">
        <v>98</v>
      </c>
      <c r="I58" s="15">
        <v>0</v>
      </c>
      <c r="J58" s="14">
        <v>109</v>
      </c>
      <c r="K58" s="15">
        <v>2.87</v>
      </c>
      <c r="L58" s="14">
        <v>54</v>
      </c>
      <c r="M58" s="14">
        <v>11</v>
      </c>
      <c r="N58" s="13">
        <v>0.66871165644171782</v>
      </c>
      <c r="O58" s="14">
        <v>5</v>
      </c>
      <c r="P58" s="14">
        <v>512</v>
      </c>
      <c r="Q58" s="15">
        <v>13.473684210526315</v>
      </c>
      <c r="R58" s="17">
        <f>IFERROR(G58/(G58+Priors!$H$18),0)</f>
        <v>0.77375565610859731</v>
      </c>
      <c r="S58" s="13">
        <v>1</v>
      </c>
      <c r="T58" s="40" t="b">
        <v>0</v>
      </c>
      <c r="U58" s="13">
        <v>1</v>
      </c>
      <c r="V58" s="40" t="b">
        <v>1</v>
      </c>
      <c r="W58" s="13">
        <v>0.9</v>
      </c>
      <c r="X58" s="17">
        <f t="shared" si="0"/>
        <v>0.69638009049773764</v>
      </c>
      <c r="Y58" s="37">
        <f>VLOOKUP(D58,Priors!$A$18:$B$21,2,FALSE)</f>
        <v>2.6414527990394716</v>
      </c>
      <c r="Z58" s="38">
        <f t="shared" si="1"/>
        <v>0.80199765979886195</v>
      </c>
      <c r="AA58" s="39">
        <v>1</v>
      </c>
      <c r="AB58" s="38">
        <f t="shared" si="2"/>
        <v>0.80199765979886195</v>
      </c>
      <c r="AC58" s="37">
        <f>Priors!$K$18</f>
        <v>2.7435089299114512</v>
      </c>
      <c r="AD58" s="38">
        <f t="shared" si="3"/>
        <v>2.8315947927468708</v>
      </c>
      <c r="AE58" s="37">
        <f>Priors!$K$19</f>
        <v>0.67280088332719912</v>
      </c>
      <c r="AF58" s="38">
        <f t="shared" si="4"/>
        <v>0.66995322713862182</v>
      </c>
      <c r="AG58" s="17">
        <f t="shared" si="5"/>
        <v>0.30361990950226236</v>
      </c>
      <c r="AH58" s="7" t="s">
        <v>1643</v>
      </c>
      <c r="AI58" s="7"/>
      <c r="AJ58" s="38" t="str">
        <f t="shared" si="6"/>
        <v/>
      </c>
      <c r="AK58" s="9" t="b">
        <f t="shared" si="7"/>
        <v>1</v>
      </c>
      <c r="AL58" s="28" t="s">
        <v>1644</v>
      </c>
      <c r="AM58" s="28" t="s">
        <v>1645</v>
      </c>
      <c r="AN58" s="28" t="s">
        <v>1792</v>
      </c>
    </row>
    <row r="59" spans="1:40" ht="30">
      <c r="A59" s="7">
        <v>58</v>
      </c>
      <c r="B59" s="7" t="s">
        <v>267</v>
      </c>
      <c r="C59" s="7" t="s">
        <v>41</v>
      </c>
      <c r="D59" s="7" t="s">
        <v>85</v>
      </c>
      <c r="E59" s="7" t="s">
        <v>1642</v>
      </c>
      <c r="F59" s="7" t="s">
        <v>41</v>
      </c>
      <c r="G59" s="14">
        <v>0</v>
      </c>
      <c r="H59" s="14">
        <v>0</v>
      </c>
      <c r="I59" s="15">
        <v>0</v>
      </c>
      <c r="J59" s="14">
        <v>0</v>
      </c>
      <c r="K59" s="15">
        <v>0</v>
      </c>
      <c r="L59" s="14">
        <v>0</v>
      </c>
      <c r="M59" s="14">
        <v>0</v>
      </c>
      <c r="N59" s="13"/>
      <c r="O59" s="14">
        <v>0</v>
      </c>
      <c r="P59" s="14">
        <v>0</v>
      </c>
      <c r="Q59" s="15">
        <v>0</v>
      </c>
      <c r="R59" s="17">
        <f>IFERROR(G59/(G59+Priors!$H$18),0)</f>
        <v>0</v>
      </c>
      <c r="S59" s="13">
        <v>1</v>
      </c>
      <c r="T59" s="40" t="b">
        <v>0</v>
      </c>
      <c r="U59" s="13">
        <v>1</v>
      </c>
      <c r="V59" s="40" t="b">
        <v>1</v>
      </c>
      <c r="W59" s="13">
        <v>0.9</v>
      </c>
      <c r="X59" s="17">
        <f t="shared" si="0"/>
        <v>0</v>
      </c>
      <c r="Y59" s="37">
        <f>VLOOKUP(D59,Priors!$A$18:$B$21,2,FALSE)</f>
        <v>2.6414527990394716</v>
      </c>
      <c r="Z59" s="38">
        <f t="shared" si="1"/>
        <v>2.6414527990394716</v>
      </c>
      <c r="AA59" s="39">
        <v>1</v>
      </c>
      <c r="AB59" s="38">
        <f t="shared" si="2"/>
        <v>2.6414527990394716</v>
      </c>
      <c r="AC59" s="37">
        <f>Priors!$K$18</f>
        <v>2.7435089299114512</v>
      </c>
      <c r="AD59" s="38">
        <f t="shared" si="3"/>
        <v>2.7435089299114512</v>
      </c>
      <c r="AE59" s="37">
        <f>Priors!$K$19</f>
        <v>0.67280088332719912</v>
      </c>
      <c r="AF59" s="38">
        <f t="shared" si="4"/>
        <v>0.67280088332719912</v>
      </c>
      <c r="AG59" s="17">
        <f t="shared" si="5"/>
        <v>1</v>
      </c>
      <c r="AH59" s="7" t="s">
        <v>1643</v>
      </c>
      <c r="AI59" s="7"/>
      <c r="AJ59" s="38" t="str">
        <f t="shared" si="6"/>
        <v/>
      </c>
      <c r="AK59" s="9" t="b">
        <f t="shared" si="7"/>
        <v>1</v>
      </c>
      <c r="AL59" s="28" t="s">
        <v>1644</v>
      </c>
      <c r="AM59" s="28" t="s">
        <v>1645</v>
      </c>
      <c r="AN59" s="28" t="s">
        <v>1792</v>
      </c>
    </row>
    <row r="60" spans="1:40" ht="30">
      <c r="A60" s="7">
        <v>59</v>
      </c>
      <c r="B60" s="7" t="s">
        <v>270</v>
      </c>
      <c r="C60" s="7" t="s">
        <v>41</v>
      </c>
      <c r="D60" s="7" t="s">
        <v>85</v>
      </c>
      <c r="E60" s="7" t="s">
        <v>1642</v>
      </c>
      <c r="F60" s="7" t="s">
        <v>41</v>
      </c>
      <c r="G60" s="14">
        <v>0</v>
      </c>
      <c r="H60" s="14">
        <v>0</v>
      </c>
      <c r="I60" s="15">
        <v>0</v>
      </c>
      <c r="J60" s="14">
        <v>0</v>
      </c>
      <c r="K60" s="15">
        <v>0</v>
      </c>
      <c r="L60" s="14">
        <v>0</v>
      </c>
      <c r="M60" s="14">
        <v>0</v>
      </c>
      <c r="N60" s="13"/>
      <c r="O60" s="14">
        <v>0</v>
      </c>
      <c r="P60" s="14">
        <v>0</v>
      </c>
      <c r="Q60" s="15">
        <v>0</v>
      </c>
      <c r="R60" s="17">
        <f>IFERROR(G60/(G60+Priors!$H$18),0)</f>
        <v>0</v>
      </c>
      <c r="S60" s="13">
        <v>1</v>
      </c>
      <c r="T60" s="40" t="b">
        <v>0</v>
      </c>
      <c r="U60" s="13">
        <v>1</v>
      </c>
      <c r="V60" s="40" t="b">
        <v>1</v>
      </c>
      <c r="W60" s="13">
        <v>0.9</v>
      </c>
      <c r="X60" s="17">
        <f t="shared" si="0"/>
        <v>0</v>
      </c>
      <c r="Y60" s="37">
        <f>VLOOKUP(D60,Priors!$A$18:$B$21,2,FALSE)</f>
        <v>2.6414527990394716</v>
      </c>
      <c r="Z60" s="38">
        <f t="shared" si="1"/>
        <v>2.6414527990394716</v>
      </c>
      <c r="AA60" s="39">
        <v>1</v>
      </c>
      <c r="AB60" s="38">
        <f t="shared" si="2"/>
        <v>2.6414527990394716</v>
      </c>
      <c r="AC60" s="37">
        <f>Priors!$K$18</f>
        <v>2.7435089299114512</v>
      </c>
      <c r="AD60" s="38">
        <f t="shared" si="3"/>
        <v>2.7435089299114512</v>
      </c>
      <c r="AE60" s="37">
        <f>Priors!$K$19</f>
        <v>0.67280088332719912</v>
      </c>
      <c r="AF60" s="38">
        <f t="shared" si="4"/>
        <v>0.67280088332719912</v>
      </c>
      <c r="AG60" s="17">
        <f t="shared" si="5"/>
        <v>1</v>
      </c>
      <c r="AH60" s="7" t="s">
        <v>1643</v>
      </c>
      <c r="AI60" s="7"/>
      <c r="AJ60" s="38" t="str">
        <f t="shared" si="6"/>
        <v/>
      </c>
      <c r="AK60" s="9" t="b">
        <f t="shared" si="7"/>
        <v>1</v>
      </c>
      <c r="AL60" s="28" t="s">
        <v>1644</v>
      </c>
      <c r="AM60" s="28" t="s">
        <v>1645</v>
      </c>
      <c r="AN60" s="28" t="s">
        <v>1792</v>
      </c>
    </row>
    <row r="61" spans="1:40" ht="30">
      <c r="A61" s="7">
        <v>60</v>
      </c>
      <c r="B61" s="7" t="s">
        <v>273</v>
      </c>
      <c r="C61" s="7" t="s">
        <v>41</v>
      </c>
      <c r="D61" s="7" t="s">
        <v>99</v>
      </c>
      <c r="E61" s="7" t="s">
        <v>1642</v>
      </c>
      <c r="F61" s="7" t="s">
        <v>41</v>
      </c>
      <c r="G61" s="14">
        <v>2102</v>
      </c>
      <c r="H61" s="14">
        <v>269</v>
      </c>
      <c r="I61" s="15">
        <v>11.13</v>
      </c>
      <c r="J61" s="14">
        <v>0</v>
      </c>
      <c r="K61" s="15">
        <v>0</v>
      </c>
      <c r="L61" s="14">
        <v>24</v>
      </c>
      <c r="M61" s="14">
        <v>8</v>
      </c>
      <c r="N61" s="13"/>
      <c r="O61" s="14">
        <v>4</v>
      </c>
      <c r="P61" s="14">
        <v>386</v>
      </c>
      <c r="Q61" s="15">
        <v>16.527117031398667</v>
      </c>
      <c r="R61" s="17">
        <f>IFERROR(G61/(G61+Priors!$H$18),0)</f>
        <v>0.67762733720180524</v>
      </c>
      <c r="S61" s="13">
        <v>1</v>
      </c>
      <c r="T61" s="40" t="b">
        <v>0</v>
      </c>
      <c r="U61" s="13">
        <v>1</v>
      </c>
      <c r="V61" s="40" t="b">
        <v>1</v>
      </c>
      <c r="W61" s="13">
        <v>0.9</v>
      </c>
      <c r="X61" s="17">
        <f t="shared" si="0"/>
        <v>0.60986460348162475</v>
      </c>
      <c r="Y61" s="37">
        <f>VLOOKUP(D61,Priors!$A$18:$B$21,2,FALSE)</f>
        <v>8.7398272304160223</v>
      </c>
      <c r="Z61" s="38">
        <f t="shared" si="1"/>
        <v>10.197508998790934</v>
      </c>
      <c r="AA61" s="39">
        <v>1</v>
      </c>
      <c r="AB61" s="38">
        <f t="shared" si="2"/>
        <v>10.197508998790934</v>
      </c>
      <c r="AC61" s="37">
        <f>Priors!$K$18</f>
        <v>2.7435089299114512</v>
      </c>
      <c r="AD61" s="38" t="str">
        <f t="shared" si="3"/>
        <v/>
      </c>
      <c r="AE61" s="37">
        <f>Priors!$K$19</f>
        <v>0.67280088332719912</v>
      </c>
      <c r="AF61" s="38" t="str">
        <f t="shared" si="4"/>
        <v/>
      </c>
      <c r="AG61" s="17">
        <f t="shared" si="5"/>
        <v>0.39013539651837525</v>
      </c>
      <c r="AH61" s="7" t="s">
        <v>1643</v>
      </c>
      <c r="AI61" s="7">
        <v>10</v>
      </c>
      <c r="AJ61" s="38">
        <f t="shared" si="6"/>
        <v>1.0197508998790934</v>
      </c>
      <c r="AK61" s="9" t="b">
        <f t="shared" si="7"/>
        <v>1</v>
      </c>
      <c r="AL61" s="28" t="s">
        <v>1644</v>
      </c>
      <c r="AM61" s="28" t="s">
        <v>1645</v>
      </c>
      <c r="AN61" s="28" t="s">
        <v>1792</v>
      </c>
    </row>
    <row r="62" spans="1:40" ht="30">
      <c r="A62" s="7">
        <v>61</v>
      </c>
      <c r="B62" s="7" t="s">
        <v>276</v>
      </c>
      <c r="C62" s="7" t="s">
        <v>41</v>
      </c>
      <c r="D62" s="7" t="s">
        <v>99</v>
      </c>
      <c r="E62" s="7" t="s">
        <v>1642</v>
      </c>
      <c r="F62" s="7" t="s">
        <v>41</v>
      </c>
      <c r="G62" s="14">
        <v>3378</v>
      </c>
      <c r="H62" s="14">
        <v>351</v>
      </c>
      <c r="I62" s="15">
        <v>8.02</v>
      </c>
      <c r="J62" s="14">
        <v>0</v>
      </c>
      <c r="K62" s="15">
        <v>0</v>
      </c>
      <c r="L62" s="14">
        <v>51</v>
      </c>
      <c r="M62" s="14">
        <v>11</v>
      </c>
      <c r="N62" s="13"/>
      <c r="O62" s="14">
        <v>19</v>
      </c>
      <c r="P62" s="14">
        <v>607</v>
      </c>
      <c r="Q62" s="15">
        <v>16.172291296625222</v>
      </c>
      <c r="R62" s="17">
        <f>IFERROR(G62/(G62+Priors!$H$18),0)</f>
        <v>0.77158519872087716</v>
      </c>
      <c r="S62" s="13">
        <v>1</v>
      </c>
      <c r="T62" s="40" t="b">
        <v>0</v>
      </c>
      <c r="U62" s="13">
        <v>1</v>
      </c>
      <c r="V62" s="40" t="b">
        <v>1</v>
      </c>
      <c r="W62" s="13">
        <v>0.9</v>
      </c>
      <c r="X62" s="17">
        <f t="shared" si="0"/>
        <v>0.6944266788487895</v>
      </c>
      <c r="Y62" s="37">
        <f>VLOOKUP(D62,Priors!$A$18:$B$21,2,FALSE)</f>
        <v>8.7398272304160223</v>
      </c>
      <c r="Z62" s="38">
        <f t="shared" si="1"/>
        <v>8.2399599974533011</v>
      </c>
      <c r="AA62" s="39">
        <v>1</v>
      </c>
      <c r="AB62" s="38">
        <f t="shared" si="2"/>
        <v>8.2399599974533011</v>
      </c>
      <c r="AC62" s="37">
        <f>Priors!$K$18</f>
        <v>2.7435089299114512</v>
      </c>
      <c r="AD62" s="38" t="str">
        <f t="shared" si="3"/>
        <v/>
      </c>
      <c r="AE62" s="37">
        <f>Priors!$K$19</f>
        <v>0.67280088332719912</v>
      </c>
      <c r="AF62" s="38" t="str">
        <f t="shared" si="4"/>
        <v/>
      </c>
      <c r="AG62" s="17">
        <f t="shared" si="5"/>
        <v>0.3055733211512105</v>
      </c>
      <c r="AH62" s="7" t="s">
        <v>1643</v>
      </c>
      <c r="AI62" s="7">
        <v>10</v>
      </c>
      <c r="AJ62" s="38">
        <f t="shared" si="6"/>
        <v>0.82399599974533011</v>
      </c>
      <c r="AK62" s="9" t="b">
        <f t="shared" si="7"/>
        <v>1</v>
      </c>
      <c r="AL62" s="28" t="s">
        <v>1644</v>
      </c>
      <c r="AM62" s="28" t="s">
        <v>1645</v>
      </c>
      <c r="AN62" s="28" t="s">
        <v>1792</v>
      </c>
    </row>
    <row r="63" spans="1:40" ht="30">
      <c r="A63" s="7">
        <v>62</v>
      </c>
      <c r="B63" s="7" t="s">
        <v>279</v>
      </c>
      <c r="C63" s="7" t="s">
        <v>41</v>
      </c>
      <c r="D63" s="7" t="s">
        <v>99</v>
      </c>
      <c r="E63" s="7" t="s">
        <v>1642</v>
      </c>
      <c r="F63" s="7" t="s">
        <v>41</v>
      </c>
      <c r="G63" s="14">
        <v>1275</v>
      </c>
      <c r="H63" s="14">
        <v>147</v>
      </c>
      <c r="I63" s="15">
        <v>8.26</v>
      </c>
      <c r="J63" s="14">
        <v>0</v>
      </c>
      <c r="K63" s="15">
        <v>0</v>
      </c>
      <c r="L63" s="14">
        <v>27</v>
      </c>
      <c r="M63" s="14">
        <v>4</v>
      </c>
      <c r="N63" s="13"/>
      <c r="O63" s="14">
        <v>2</v>
      </c>
      <c r="P63" s="14">
        <v>164</v>
      </c>
      <c r="Q63" s="15">
        <v>11.576470588235294</v>
      </c>
      <c r="R63" s="17">
        <f>IFERROR(G63/(G63+Priors!$H$18),0)</f>
        <v>0.56043956043956045</v>
      </c>
      <c r="S63" s="13">
        <v>1</v>
      </c>
      <c r="T63" s="40" t="b">
        <v>0</v>
      </c>
      <c r="U63" s="13">
        <v>1</v>
      </c>
      <c r="V63" s="40" t="b">
        <v>1</v>
      </c>
      <c r="W63" s="13">
        <v>0.9</v>
      </c>
      <c r="X63" s="17">
        <f t="shared" si="0"/>
        <v>0.50439560439560438</v>
      </c>
      <c r="Y63" s="37">
        <f>VLOOKUP(D63,Priors!$A$18:$B$21,2,FALSE)</f>
        <v>8.7398272304160223</v>
      </c>
      <c r="Z63" s="38">
        <f t="shared" si="1"/>
        <v>8.4978044845248633</v>
      </c>
      <c r="AA63" s="39">
        <v>1</v>
      </c>
      <c r="AB63" s="38">
        <f t="shared" si="2"/>
        <v>8.4978044845248633</v>
      </c>
      <c r="AC63" s="37">
        <f>Priors!$K$18</f>
        <v>2.7435089299114512</v>
      </c>
      <c r="AD63" s="38" t="str">
        <f t="shared" si="3"/>
        <v/>
      </c>
      <c r="AE63" s="37">
        <f>Priors!$K$19</f>
        <v>0.67280088332719912</v>
      </c>
      <c r="AF63" s="38" t="str">
        <f t="shared" si="4"/>
        <v/>
      </c>
      <c r="AG63" s="17">
        <f t="shared" si="5"/>
        <v>0.49560439560439562</v>
      </c>
      <c r="AH63" s="7" t="s">
        <v>1643</v>
      </c>
      <c r="AI63" s="7">
        <v>10</v>
      </c>
      <c r="AJ63" s="38">
        <f t="shared" si="6"/>
        <v>0.84978044845248635</v>
      </c>
      <c r="AK63" s="9" t="b">
        <f t="shared" si="7"/>
        <v>1</v>
      </c>
      <c r="AL63" s="28" t="s">
        <v>1644</v>
      </c>
      <c r="AM63" s="28" t="s">
        <v>1645</v>
      </c>
      <c r="AN63" s="28" t="s">
        <v>1792</v>
      </c>
    </row>
    <row r="64" spans="1:40" ht="30">
      <c r="A64" s="7">
        <v>63</v>
      </c>
      <c r="B64" s="7" t="s">
        <v>282</v>
      </c>
      <c r="C64" s="7" t="s">
        <v>41</v>
      </c>
      <c r="D64" s="7" t="s">
        <v>99</v>
      </c>
      <c r="E64" s="7" t="s">
        <v>1642</v>
      </c>
      <c r="F64" s="7" t="s">
        <v>41</v>
      </c>
      <c r="G64" s="14">
        <v>367</v>
      </c>
      <c r="H64" s="14">
        <v>42</v>
      </c>
      <c r="I64" s="15">
        <v>9.56</v>
      </c>
      <c r="J64" s="14">
        <v>0</v>
      </c>
      <c r="K64" s="15">
        <v>0</v>
      </c>
      <c r="L64" s="14">
        <v>6</v>
      </c>
      <c r="M64" s="14">
        <v>1</v>
      </c>
      <c r="N64" s="13"/>
      <c r="O64" s="14">
        <v>0</v>
      </c>
      <c r="P64" s="14">
        <v>63</v>
      </c>
      <c r="Q64" s="15">
        <v>15.449591280653951</v>
      </c>
      <c r="R64" s="17">
        <f>IFERROR(G64/(G64+Priors!$H$18),0)</f>
        <v>0.26847110460863205</v>
      </c>
      <c r="S64" s="13">
        <v>1</v>
      </c>
      <c r="T64" s="40" t="b">
        <v>0</v>
      </c>
      <c r="U64" s="13">
        <v>1</v>
      </c>
      <c r="V64" s="40" t="b">
        <v>1</v>
      </c>
      <c r="W64" s="13">
        <v>0.9</v>
      </c>
      <c r="X64" s="17">
        <f t="shared" si="0"/>
        <v>0.24162399414776886</v>
      </c>
      <c r="Y64" s="37">
        <f>VLOOKUP(D64,Priors!$A$18:$B$21,2,FALSE)</f>
        <v>8.7398272304160223</v>
      </c>
      <c r="Z64" s="38">
        <f t="shared" si="1"/>
        <v>8.9380006508941392</v>
      </c>
      <c r="AA64" s="39">
        <v>1</v>
      </c>
      <c r="AB64" s="38">
        <f t="shared" si="2"/>
        <v>8.9380006508941392</v>
      </c>
      <c r="AC64" s="37">
        <f>Priors!$K$18</f>
        <v>2.7435089299114512</v>
      </c>
      <c r="AD64" s="38" t="str">
        <f t="shared" si="3"/>
        <v/>
      </c>
      <c r="AE64" s="37">
        <f>Priors!$K$19</f>
        <v>0.67280088332719912</v>
      </c>
      <c r="AF64" s="38" t="str">
        <f t="shared" si="4"/>
        <v/>
      </c>
      <c r="AG64" s="17">
        <f t="shared" si="5"/>
        <v>0.75837600585223108</v>
      </c>
      <c r="AH64" s="7" t="s">
        <v>1643</v>
      </c>
      <c r="AI64" s="7">
        <v>10</v>
      </c>
      <c r="AJ64" s="38">
        <f t="shared" si="6"/>
        <v>0.8938000650894139</v>
      </c>
      <c r="AK64" s="9" t="b">
        <f t="shared" si="7"/>
        <v>1</v>
      </c>
      <c r="AL64" s="28" t="s">
        <v>1644</v>
      </c>
      <c r="AM64" s="28" t="s">
        <v>1645</v>
      </c>
      <c r="AN64" s="28" t="s">
        <v>1792</v>
      </c>
    </row>
    <row r="65" spans="1:40" ht="30">
      <c r="A65" s="7">
        <v>64</v>
      </c>
      <c r="B65" s="7" t="s">
        <v>284</v>
      </c>
      <c r="C65" s="7" t="s">
        <v>41</v>
      </c>
      <c r="D65" s="7" t="s">
        <v>99</v>
      </c>
      <c r="E65" s="7" t="s">
        <v>1642</v>
      </c>
      <c r="F65" s="7" t="s">
        <v>41</v>
      </c>
      <c r="G65" s="14">
        <v>1073</v>
      </c>
      <c r="H65" s="14">
        <v>73</v>
      </c>
      <c r="I65" s="15">
        <v>5.87</v>
      </c>
      <c r="J65" s="14">
        <v>0</v>
      </c>
      <c r="K65" s="15">
        <v>0</v>
      </c>
      <c r="L65" s="14">
        <v>16</v>
      </c>
      <c r="M65" s="14">
        <v>6</v>
      </c>
      <c r="N65" s="13"/>
      <c r="O65" s="14">
        <v>4</v>
      </c>
      <c r="P65" s="14">
        <v>185</v>
      </c>
      <c r="Q65" s="15">
        <v>15.517241379310345</v>
      </c>
      <c r="R65" s="17">
        <f>IFERROR(G65/(G65+Priors!$H$18),0)</f>
        <v>0.51760733236854795</v>
      </c>
      <c r="S65" s="13">
        <v>1</v>
      </c>
      <c r="T65" s="40" t="b">
        <v>0</v>
      </c>
      <c r="U65" s="13">
        <v>1</v>
      </c>
      <c r="V65" s="40" t="b">
        <v>1</v>
      </c>
      <c r="W65" s="13">
        <v>0.9</v>
      </c>
      <c r="X65" s="17">
        <f t="shared" si="0"/>
        <v>0.46584659913169318</v>
      </c>
      <c r="Y65" s="37">
        <f>VLOOKUP(D65,Priors!$A$18:$B$21,2,FALSE)</f>
        <v>8.7398272304160223</v>
      </c>
      <c r="Z65" s="38">
        <f t="shared" si="1"/>
        <v>7.4029279750311927</v>
      </c>
      <c r="AA65" s="39">
        <v>1</v>
      </c>
      <c r="AB65" s="38">
        <f t="shared" si="2"/>
        <v>7.4029279750311927</v>
      </c>
      <c r="AC65" s="37">
        <f>Priors!$K$18</f>
        <v>2.7435089299114512</v>
      </c>
      <c r="AD65" s="38" t="str">
        <f t="shared" si="3"/>
        <v/>
      </c>
      <c r="AE65" s="37">
        <f>Priors!$K$19</f>
        <v>0.67280088332719912</v>
      </c>
      <c r="AF65" s="38" t="str">
        <f t="shared" si="4"/>
        <v/>
      </c>
      <c r="AG65" s="17">
        <f t="shared" si="5"/>
        <v>0.53415340086830687</v>
      </c>
      <c r="AH65" s="7" t="s">
        <v>1643</v>
      </c>
      <c r="AI65" s="7">
        <v>10</v>
      </c>
      <c r="AJ65" s="38">
        <f t="shared" si="6"/>
        <v>0.74029279750311927</v>
      </c>
      <c r="AK65" s="9" t="b">
        <f t="shared" si="7"/>
        <v>1</v>
      </c>
      <c r="AL65" s="28" t="s">
        <v>1644</v>
      </c>
      <c r="AM65" s="28" t="s">
        <v>1645</v>
      </c>
      <c r="AN65" s="28" t="s">
        <v>1792</v>
      </c>
    </row>
    <row r="66" spans="1:40" ht="30">
      <c r="A66" s="7">
        <v>65</v>
      </c>
      <c r="B66" s="7" t="s">
        <v>287</v>
      </c>
      <c r="C66" s="7" t="s">
        <v>41</v>
      </c>
      <c r="D66" s="7" t="s">
        <v>99</v>
      </c>
      <c r="E66" s="7" t="s">
        <v>1642</v>
      </c>
      <c r="F66" s="7" t="s">
        <v>41</v>
      </c>
      <c r="G66" s="14">
        <v>0</v>
      </c>
      <c r="H66" s="14">
        <v>0</v>
      </c>
      <c r="I66" s="15">
        <v>0</v>
      </c>
      <c r="J66" s="14">
        <v>0</v>
      </c>
      <c r="K66" s="15">
        <v>0</v>
      </c>
      <c r="L66" s="14">
        <v>0</v>
      </c>
      <c r="M66" s="14">
        <v>0</v>
      </c>
      <c r="N66" s="13"/>
      <c r="O66" s="14">
        <v>0</v>
      </c>
      <c r="P66" s="14">
        <v>0</v>
      </c>
      <c r="Q66" s="15">
        <v>0</v>
      </c>
      <c r="R66" s="17">
        <f>IFERROR(G66/(G66+Priors!$H$18),0)</f>
        <v>0</v>
      </c>
      <c r="S66" s="13">
        <v>1</v>
      </c>
      <c r="T66" s="40" t="b">
        <v>0</v>
      </c>
      <c r="U66" s="13">
        <v>1</v>
      </c>
      <c r="V66" s="40" t="b">
        <v>1</v>
      </c>
      <c r="W66" s="13">
        <v>0.9</v>
      </c>
      <c r="X66" s="17">
        <f t="shared" ref="X66:X129" si="8">R66*S66*U66*W66</f>
        <v>0</v>
      </c>
      <c r="Y66" s="37">
        <f>VLOOKUP(D66,Priors!$A$18:$B$21,2,FALSE)</f>
        <v>8.7398272304160223</v>
      </c>
      <c r="Z66" s="38">
        <f t="shared" ref="Z66:Z129" si="9">IF(OR(H66="",G66=0),Y66,X66*I66+(1-X66)*Y66)</f>
        <v>8.7398272304160223</v>
      </c>
      <c r="AA66" s="39">
        <v>1</v>
      </c>
      <c r="AB66" s="38">
        <f t="shared" ref="AB66:AB129" si="10">Z66*AA66</f>
        <v>8.7398272304160223</v>
      </c>
      <c r="AC66" s="37">
        <f>Priors!$K$18</f>
        <v>2.7435089299114512</v>
      </c>
      <c r="AD66" s="38" t="str">
        <f t="shared" ref="AD66:AD129" si="11">IF(D66&lt;&gt;"GK","",IF(OR(K66="",G66=0),AC66,X66*K66+(1-X66)*AC66))</f>
        <v/>
      </c>
      <c r="AE66" s="37">
        <f>Priors!$K$19</f>
        <v>0.67280088332719912</v>
      </c>
      <c r="AF66" s="38" t="str">
        <f t="shared" ref="AF66:AF129" si="12">IF(D66&lt;&gt;"GK","",IF(OR(N66="",G66=0),AE66,X66*N66+(1-X66)*AE66))</f>
        <v/>
      </c>
      <c r="AG66" s="17">
        <f t="shared" ref="AG66:AG129" si="13">1-X66</f>
        <v>1</v>
      </c>
      <c r="AH66" s="7" t="s">
        <v>1643</v>
      </c>
      <c r="AI66" s="7">
        <v>10</v>
      </c>
      <c r="AJ66" s="38">
        <f t="shared" ref="AJ66:AJ129" si="14">IF(OR(AI66="",AI66=0),"",AB66/AI66)</f>
        <v>0.87398272304160218</v>
      </c>
      <c r="AK66" s="9" t="b">
        <f t="shared" ref="AK66:AK129" si="15">OR(AG66&gt;=0.5,E66&lt;&gt;"Premier League",T66=TRUE,V66=TRUE)</f>
        <v>1</v>
      </c>
      <c r="AL66" s="28" t="s">
        <v>1644</v>
      </c>
      <c r="AM66" s="28" t="s">
        <v>1645</v>
      </c>
      <c r="AN66" s="28" t="s">
        <v>1792</v>
      </c>
    </row>
    <row r="67" spans="1:40" ht="30">
      <c r="A67" s="7">
        <v>66</v>
      </c>
      <c r="B67" s="7" t="s">
        <v>290</v>
      </c>
      <c r="C67" s="7" t="s">
        <v>41</v>
      </c>
      <c r="D67" s="7" t="s">
        <v>99</v>
      </c>
      <c r="E67" s="7" t="s">
        <v>1642</v>
      </c>
      <c r="F67" s="7" t="s">
        <v>41</v>
      </c>
      <c r="G67" s="14">
        <v>34</v>
      </c>
      <c r="H67" s="14">
        <v>1</v>
      </c>
      <c r="I67" s="15">
        <v>2.65</v>
      </c>
      <c r="J67" s="14">
        <v>0</v>
      </c>
      <c r="K67" s="15">
        <v>0</v>
      </c>
      <c r="L67" s="14">
        <v>2</v>
      </c>
      <c r="M67" s="14">
        <v>0</v>
      </c>
      <c r="N67" s="13"/>
      <c r="O67" s="14">
        <v>0</v>
      </c>
      <c r="P67" s="14">
        <v>2</v>
      </c>
      <c r="Q67" s="15">
        <v>5.2941176470588234</v>
      </c>
      <c r="R67" s="17">
        <f>IFERROR(G67/(G67+Priors!$H$18),0)</f>
        <v>3.2882011605415859E-2</v>
      </c>
      <c r="S67" s="13">
        <v>1</v>
      </c>
      <c r="T67" s="40" t="b">
        <v>0</v>
      </c>
      <c r="U67" s="13">
        <v>1</v>
      </c>
      <c r="V67" s="40" t="b">
        <v>1</v>
      </c>
      <c r="W67" s="13">
        <v>0.9</v>
      </c>
      <c r="X67" s="17">
        <f t="shared" si="8"/>
        <v>2.9593810444874274E-2</v>
      </c>
      <c r="Y67" s="37">
        <f>VLOOKUP(D67,Priors!$A$18:$B$21,2,FALSE)</f>
        <v>8.7398272304160223</v>
      </c>
      <c r="Z67" s="38">
        <f t="shared" si="9"/>
        <v>8.5596060377170566</v>
      </c>
      <c r="AA67" s="39">
        <v>1</v>
      </c>
      <c r="AB67" s="38">
        <f t="shared" si="10"/>
        <v>8.5596060377170566</v>
      </c>
      <c r="AC67" s="37">
        <f>Priors!$K$18</f>
        <v>2.7435089299114512</v>
      </c>
      <c r="AD67" s="38" t="str">
        <f t="shared" si="11"/>
        <v/>
      </c>
      <c r="AE67" s="37">
        <f>Priors!$K$19</f>
        <v>0.67280088332719912</v>
      </c>
      <c r="AF67" s="38" t="str">
        <f t="shared" si="12"/>
        <v/>
      </c>
      <c r="AG67" s="17">
        <f t="shared" si="13"/>
        <v>0.9704061895551257</v>
      </c>
      <c r="AH67" s="7" t="s">
        <v>1643</v>
      </c>
      <c r="AI67" s="7">
        <v>10</v>
      </c>
      <c r="AJ67" s="38">
        <f t="shared" si="14"/>
        <v>0.85596060377170569</v>
      </c>
      <c r="AK67" s="9" t="b">
        <f t="shared" si="15"/>
        <v>1</v>
      </c>
      <c r="AL67" s="28" t="s">
        <v>1644</v>
      </c>
      <c r="AM67" s="28" t="s">
        <v>1645</v>
      </c>
      <c r="AN67" s="28" t="s">
        <v>1792</v>
      </c>
    </row>
    <row r="68" spans="1:40" ht="30">
      <c r="A68" s="7">
        <v>67</v>
      </c>
      <c r="B68" s="7" t="s">
        <v>293</v>
      </c>
      <c r="C68" s="7" t="s">
        <v>41</v>
      </c>
      <c r="D68" s="7" t="s">
        <v>112</v>
      </c>
      <c r="E68" s="7" t="s">
        <v>1642</v>
      </c>
      <c r="F68" s="7" t="s">
        <v>41</v>
      </c>
      <c r="G68" s="14">
        <v>1110</v>
      </c>
      <c r="H68" s="14">
        <v>82</v>
      </c>
      <c r="I68" s="15">
        <v>6.65</v>
      </c>
      <c r="J68" s="14">
        <v>0</v>
      </c>
      <c r="K68" s="15">
        <v>0</v>
      </c>
      <c r="L68" s="14">
        <v>10</v>
      </c>
      <c r="M68" s="14">
        <v>6</v>
      </c>
      <c r="N68" s="13"/>
      <c r="O68" s="14">
        <v>3</v>
      </c>
      <c r="P68" s="14">
        <v>238</v>
      </c>
      <c r="Q68" s="15">
        <v>19.297297297297298</v>
      </c>
      <c r="R68" s="17">
        <f>IFERROR(G68/(G68+Priors!$H$18),0)</f>
        <v>0.52606635071090047</v>
      </c>
      <c r="S68" s="13">
        <v>1</v>
      </c>
      <c r="T68" s="40" t="b">
        <v>0</v>
      </c>
      <c r="U68" s="13">
        <v>1</v>
      </c>
      <c r="V68" s="40" t="b">
        <v>1</v>
      </c>
      <c r="W68" s="13">
        <v>0.9</v>
      </c>
      <c r="X68" s="17">
        <f t="shared" si="8"/>
        <v>0.47345971563981043</v>
      </c>
      <c r="Y68" s="37">
        <f>VLOOKUP(D68,Priors!$A$18:$B$21,2,FALSE)</f>
        <v>8.4555315342179806</v>
      </c>
      <c r="Z68" s="38">
        <f t="shared" si="9"/>
        <v>7.6006850874484257</v>
      </c>
      <c r="AA68" s="39">
        <v>1</v>
      </c>
      <c r="AB68" s="38">
        <f t="shared" si="10"/>
        <v>7.6006850874484257</v>
      </c>
      <c r="AC68" s="37">
        <f>Priors!$K$18</f>
        <v>2.7435089299114512</v>
      </c>
      <c r="AD68" s="38" t="str">
        <f t="shared" si="11"/>
        <v/>
      </c>
      <c r="AE68" s="37">
        <f>Priors!$K$19</f>
        <v>0.67280088332719912</v>
      </c>
      <c r="AF68" s="38" t="str">
        <f t="shared" si="12"/>
        <v/>
      </c>
      <c r="AG68" s="17">
        <f t="shared" si="13"/>
        <v>0.52654028436018963</v>
      </c>
      <c r="AH68" s="7" t="s">
        <v>1643</v>
      </c>
      <c r="AI68" s="7">
        <v>12</v>
      </c>
      <c r="AJ68" s="38">
        <f t="shared" si="14"/>
        <v>0.63339042395403544</v>
      </c>
      <c r="AK68" s="9" t="b">
        <f t="shared" si="15"/>
        <v>1</v>
      </c>
      <c r="AL68" s="28" t="s">
        <v>1644</v>
      </c>
      <c r="AM68" s="28" t="s">
        <v>1645</v>
      </c>
      <c r="AN68" s="28" t="s">
        <v>1792</v>
      </c>
    </row>
    <row r="69" spans="1:40" ht="30">
      <c r="A69" s="7">
        <v>68</v>
      </c>
      <c r="B69" s="7" t="s">
        <v>295</v>
      </c>
      <c r="C69" s="7" t="s">
        <v>41</v>
      </c>
      <c r="D69" s="7" t="s">
        <v>112</v>
      </c>
      <c r="E69" s="7" t="s">
        <v>1642</v>
      </c>
      <c r="F69" s="7" t="s">
        <v>41</v>
      </c>
      <c r="G69" s="14">
        <v>2732</v>
      </c>
      <c r="H69" s="14">
        <v>251</v>
      </c>
      <c r="I69" s="15">
        <v>8.27</v>
      </c>
      <c r="J69" s="14">
        <v>0</v>
      </c>
      <c r="K69" s="15">
        <v>0</v>
      </c>
      <c r="L69" s="14">
        <v>44</v>
      </c>
      <c r="M69" s="14">
        <v>11</v>
      </c>
      <c r="N69" s="13"/>
      <c r="O69" s="14">
        <v>14</v>
      </c>
      <c r="P69" s="14">
        <v>552</v>
      </c>
      <c r="Q69" s="15">
        <v>18.184480234260615</v>
      </c>
      <c r="R69" s="17">
        <f>IFERROR(G69/(G69+Priors!$H$18),0)</f>
        <v>0.73204715969989287</v>
      </c>
      <c r="S69" s="13">
        <v>1</v>
      </c>
      <c r="T69" s="40" t="b">
        <v>0</v>
      </c>
      <c r="U69" s="13">
        <v>1</v>
      </c>
      <c r="V69" s="40" t="b">
        <v>1</v>
      </c>
      <c r="W69" s="13">
        <v>0.9</v>
      </c>
      <c r="X69" s="17">
        <f t="shared" si="8"/>
        <v>0.65884244372990364</v>
      </c>
      <c r="Y69" s="37">
        <f>VLOOKUP(D69,Priors!$A$18:$B$21,2,FALSE)</f>
        <v>8.4555315342179806</v>
      </c>
      <c r="Z69" s="38">
        <f t="shared" si="9"/>
        <v>8.3332954848248484</v>
      </c>
      <c r="AA69" s="39">
        <v>1</v>
      </c>
      <c r="AB69" s="38">
        <f t="shared" si="10"/>
        <v>8.3332954848248484</v>
      </c>
      <c r="AC69" s="37">
        <f>Priors!$K$18</f>
        <v>2.7435089299114512</v>
      </c>
      <c r="AD69" s="38" t="str">
        <f t="shared" si="11"/>
        <v/>
      </c>
      <c r="AE69" s="37">
        <f>Priors!$K$19</f>
        <v>0.67280088332719912</v>
      </c>
      <c r="AF69" s="38" t="str">
        <f t="shared" si="12"/>
        <v/>
      </c>
      <c r="AG69" s="17">
        <f t="shared" si="13"/>
        <v>0.34115755627009636</v>
      </c>
      <c r="AH69" s="7" t="s">
        <v>1643</v>
      </c>
      <c r="AI69" s="7">
        <v>12</v>
      </c>
      <c r="AJ69" s="38">
        <f t="shared" si="14"/>
        <v>0.6944412904020707</v>
      </c>
      <c r="AK69" s="9" t="b">
        <f t="shared" si="15"/>
        <v>1</v>
      </c>
      <c r="AL69" s="28" t="s">
        <v>1644</v>
      </c>
      <c r="AM69" s="28" t="s">
        <v>1645</v>
      </c>
      <c r="AN69" s="28" t="s">
        <v>1792</v>
      </c>
    </row>
    <row r="70" spans="1:40" ht="30">
      <c r="A70" s="7">
        <v>69</v>
      </c>
      <c r="B70" s="7" t="s">
        <v>298</v>
      </c>
      <c r="C70" s="7" t="s">
        <v>41</v>
      </c>
      <c r="D70" s="7" t="s">
        <v>112</v>
      </c>
      <c r="E70" s="7" t="s">
        <v>1642</v>
      </c>
      <c r="F70" s="7" t="s">
        <v>41</v>
      </c>
      <c r="G70" s="14">
        <v>2848</v>
      </c>
      <c r="H70" s="14">
        <v>386</v>
      </c>
      <c r="I70" s="15">
        <v>12.2</v>
      </c>
      <c r="J70" s="14">
        <v>0</v>
      </c>
      <c r="K70" s="15">
        <v>0</v>
      </c>
      <c r="L70" s="14">
        <v>41</v>
      </c>
      <c r="M70" s="14">
        <v>11</v>
      </c>
      <c r="N70" s="13"/>
      <c r="O70" s="14">
        <v>9</v>
      </c>
      <c r="P70" s="14">
        <v>603</v>
      </c>
      <c r="Q70" s="15">
        <v>19.055477528089888</v>
      </c>
      <c r="R70" s="17">
        <f>IFERROR(G70/(G70+Priors!$H$18),0)</f>
        <v>0.74012474012474017</v>
      </c>
      <c r="S70" s="13">
        <v>1</v>
      </c>
      <c r="T70" s="40" t="b">
        <v>0</v>
      </c>
      <c r="U70" s="13">
        <v>1</v>
      </c>
      <c r="V70" s="40" t="b">
        <v>1</v>
      </c>
      <c r="W70" s="13">
        <v>0.9</v>
      </c>
      <c r="X70" s="17">
        <f t="shared" si="8"/>
        <v>0.66611226611226615</v>
      </c>
      <c r="Y70" s="37">
        <f>VLOOKUP(D70,Priors!$A$18:$B$21,2,FALSE)</f>
        <v>8.4555315342179806</v>
      </c>
      <c r="Z70" s="38">
        <f t="shared" si="9"/>
        <v>10.949767909345962</v>
      </c>
      <c r="AA70" s="39">
        <v>1</v>
      </c>
      <c r="AB70" s="38">
        <f t="shared" si="10"/>
        <v>10.949767909345962</v>
      </c>
      <c r="AC70" s="37">
        <f>Priors!$K$18</f>
        <v>2.7435089299114512</v>
      </c>
      <c r="AD70" s="38" t="str">
        <f t="shared" si="11"/>
        <v/>
      </c>
      <c r="AE70" s="37">
        <f>Priors!$K$19</f>
        <v>0.67280088332719912</v>
      </c>
      <c r="AF70" s="38" t="str">
        <f t="shared" si="12"/>
        <v/>
      </c>
      <c r="AG70" s="17">
        <f t="shared" si="13"/>
        <v>0.33388773388773385</v>
      </c>
      <c r="AH70" s="7" t="s">
        <v>1643</v>
      </c>
      <c r="AI70" s="7">
        <v>12</v>
      </c>
      <c r="AJ70" s="38">
        <f t="shared" si="14"/>
        <v>0.91248065911216347</v>
      </c>
      <c r="AK70" s="9" t="b">
        <f t="shared" si="15"/>
        <v>1</v>
      </c>
      <c r="AL70" s="28" t="s">
        <v>1644</v>
      </c>
      <c r="AM70" s="28" t="s">
        <v>1645</v>
      </c>
      <c r="AN70" s="28" t="s">
        <v>1792</v>
      </c>
    </row>
    <row r="71" spans="1:40" ht="30">
      <c r="A71" s="7">
        <v>70</v>
      </c>
      <c r="B71" s="7" t="s">
        <v>301</v>
      </c>
      <c r="C71" s="7" t="s">
        <v>41</v>
      </c>
      <c r="D71" s="7" t="s">
        <v>112</v>
      </c>
      <c r="E71" s="7" t="s">
        <v>1642</v>
      </c>
      <c r="F71" s="7" t="s">
        <v>41</v>
      </c>
      <c r="G71" s="14">
        <v>945</v>
      </c>
      <c r="H71" s="14">
        <v>65</v>
      </c>
      <c r="I71" s="15">
        <v>6.19</v>
      </c>
      <c r="J71" s="14">
        <v>0</v>
      </c>
      <c r="K71" s="15">
        <v>0</v>
      </c>
      <c r="L71" s="14">
        <v>19</v>
      </c>
      <c r="M71" s="14">
        <v>4</v>
      </c>
      <c r="N71" s="13"/>
      <c r="O71" s="14">
        <v>3</v>
      </c>
      <c r="P71" s="14">
        <v>147</v>
      </c>
      <c r="Q71" s="15">
        <v>14</v>
      </c>
      <c r="R71" s="17">
        <f>IFERROR(G71/(G71+Priors!$H$18),0)</f>
        <v>0.48586118251928023</v>
      </c>
      <c r="S71" s="13">
        <v>1</v>
      </c>
      <c r="T71" s="40" t="b">
        <v>0</v>
      </c>
      <c r="U71" s="13">
        <v>1</v>
      </c>
      <c r="V71" s="40" t="b">
        <v>1</v>
      </c>
      <c r="W71" s="13">
        <v>0.9</v>
      </c>
      <c r="X71" s="17">
        <f t="shared" si="8"/>
        <v>0.43727506426735224</v>
      </c>
      <c r="Y71" s="37">
        <f>VLOOKUP(D71,Priors!$A$18:$B$21,2,FALSE)</f>
        <v>8.4555315342179806</v>
      </c>
      <c r="Z71" s="38">
        <f t="shared" si="9"/>
        <v>7.4648710869931012</v>
      </c>
      <c r="AA71" s="39">
        <v>1</v>
      </c>
      <c r="AB71" s="38">
        <f t="shared" si="10"/>
        <v>7.4648710869931012</v>
      </c>
      <c r="AC71" s="37">
        <f>Priors!$K$18</f>
        <v>2.7435089299114512</v>
      </c>
      <c r="AD71" s="38" t="str">
        <f t="shared" si="11"/>
        <v/>
      </c>
      <c r="AE71" s="37">
        <f>Priors!$K$19</f>
        <v>0.67280088332719912</v>
      </c>
      <c r="AF71" s="38" t="str">
        <f t="shared" si="12"/>
        <v/>
      </c>
      <c r="AG71" s="17">
        <f t="shared" si="13"/>
        <v>0.56272493573264781</v>
      </c>
      <c r="AH71" s="7" t="s">
        <v>1643</v>
      </c>
      <c r="AI71" s="7">
        <v>12</v>
      </c>
      <c r="AJ71" s="38">
        <f t="shared" si="14"/>
        <v>0.62207259058275843</v>
      </c>
      <c r="AK71" s="9" t="b">
        <f t="shared" si="15"/>
        <v>1</v>
      </c>
      <c r="AL71" s="28" t="s">
        <v>1644</v>
      </c>
      <c r="AM71" s="28" t="s">
        <v>1645</v>
      </c>
      <c r="AN71" s="28" t="s">
        <v>1792</v>
      </c>
    </row>
    <row r="72" spans="1:40" ht="30">
      <c r="A72" s="7">
        <v>71</v>
      </c>
      <c r="B72" s="7" t="s">
        <v>304</v>
      </c>
      <c r="C72" s="7" t="s">
        <v>41</v>
      </c>
      <c r="D72" s="7" t="s">
        <v>112</v>
      </c>
      <c r="E72" s="7" t="s">
        <v>1642</v>
      </c>
      <c r="F72" s="7" t="s">
        <v>41</v>
      </c>
      <c r="G72" s="14">
        <v>872</v>
      </c>
      <c r="H72" s="14">
        <v>143</v>
      </c>
      <c r="I72" s="15">
        <v>14.76</v>
      </c>
      <c r="J72" s="14">
        <v>0</v>
      </c>
      <c r="K72" s="15">
        <v>0</v>
      </c>
      <c r="L72" s="14">
        <v>19</v>
      </c>
      <c r="M72" s="14">
        <v>1</v>
      </c>
      <c r="N72" s="13"/>
      <c r="O72" s="14">
        <v>0</v>
      </c>
      <c r="P72" s="14">
        <v>190</v>
      </c>
      <c r="Q72" s="15">
        <v>19.610091743119266</v>
      </c>
      <c r="R72" s="17">
        <f>IFERROR(G72/(G72+Priors!$H$18),0)</f>
        <v>0.46581196581196582</v>
      </c>
      <c r="S72" s="13">
        <v>1</v>
      </c>
      <c r="T72" s="40" t="b">
        <v>0</v>
      </c>
      <c r="U72" s="13">
        <v>1</v>
      </c>
      <c r="V72" s="40" t="b">
        <v>1</v>
      </c>
      <c r="W72" s="13">
        <v>0.9</v>
      </c>
      <c r="X72" s="17">
        <f t="shared" si="8"/>
        <v>0.41923076923076924</v>
      </c>
      <c r="Y72" s="37">
        <f>VLOOKUP(D72,Priors!$A$18:$B$21,2,FALSE)</f>
        <v>8.4555315342179806</v>
      </c>
      <c r="Z72" s="38">
        <f t="shared" si="9"/>
        <v>11.098558698718904</v>
      </c>
      <c r="AA72" s="39">
        <v>1</v>
      </c>
      <c r="AB72" s="38">
        <f t="shared" si="10"/>
        <v>11.098558698718904</v>
      </c>
      <c r="AC72" s="37">
        <f>Priors!$K$18</f>
        <v>2.7435089299114512</v>
      </c>
      <c r="AD72" s="38" t="str">
        <f t="shared" si="11"/>
        <v/>
      </c>
      <c r="AE72" s="37">
        <f>Priors!$K$19</f>
        <v>0.67280088332719912</v>
      </c>
      <c r="AF72" s="38" t="str">
        <f t="shared" si="12"/>
        <v/>
      </c>
      <c r="AG72" s="17">
        <f t="shared" si="13"/>
        <v>0.5807692307692307</v>
      </c>
      <c r="AH72" s="7" t="s">
        <v>1643</v>
      </c>
      <c r="AI72" s="7">
        <v>12</v>
      </c>
      <c r="AJ72" s="38">
        <f t="shared" si="14"/>
        <v>0.92487989155990868</v>
      </c>
      <c r="AK72" s="9" t="b">
        <f t="shared" si="15"/>
        <v>1</v>
      </c>
      <c r="AL72" s="28" t="s">
        <v>1644</v>
      </c>
      <c r="AM72" s="28" t="s">
        <v>1645</v>
      </c>
      <c r="AN72" s="28" t="s">
        <v>1792</v>
      </c>
    </row>
    <row r="73" spans="1:40" ht="30">
      <c r="A73" s="7">
        <v>72</v>
      </c>
      <c r="B73" s="7" t="s">
        <v>307</v>
      </c>
      <c r="C73" s="7" t="s">
        <v>41</v>
      </c>
      <c r="D73" s="7" t="s">
        <v>112</v>
      </c>
      <c r="E73" s="7" t="s">
        <v>1642</v>
      </c>
      <c r="F73" s="7" t="s">
        <v>41</v>
      </c>
      <c r="G73" s="14">
        <v>105</v>
      </c>
      <c r="H73" s="14">
        <v>13</v>
      </c>
      <c r="I73" s="15">
        <v>11.14</v>
      </c>
      <c r="J73" s="14">
        <v>0</v>
      </c>
      <c r="K73" s="15">
        <v>0</v>
      </c>
      <c r="L73" s="14">
        <v>1</v>
      </c>
      <c r="M73" s="14">
        <v>0</v>
      </c>
      <c r="N73" s="13"/>
      <c r="O73" s="14">
        <v>0</v>
      </c>
      <c r="P73" s="14">
        <v>33</v>
      </c>
      <c r="Q73" s="15">
        <v>28.285714285714285</v>
      </c>
      <c r="R73" s="17">
        <f>IFERROR(G73/(G73+Priors!$H$18),0)</f>
        <v>9.5022624434389136E-2</v>
      </c>
      <c r="S73" s="13">
        <v>1</v>
      </c>
      <c r="T73" s="40" t="b">
        <v>0</v>
      </c>
      <c r="U73" s="13">
        <v>1</v>
      </c>
      <c r="V73" s="40" t="b">
        <v>1</v>
      </c>
      <c r="W73" s="13">
        <v>0.9</v>
      </c>
      <c r="X73" s="17">
        <f t="shared" si="8"/>
        <v>8.5520361990950228E-2</v>
      </c>
      <c r="Y73" s="37">
        <f>VLOOKUP(D73,Priors!$A$18:$B$21,2,FALSE)</f>
        <v>8.4555315342179806</v>
      </c>
      <c r="Z73" s="38">
        <f t="shared" si="9"/>
        <v>8.6851082491649496</v>
      </c>
      <c r="AA73" s="39">
        <v>1</v>
      </c>
      <c r="AB73" s="38">
        <f t="shared" si="10"/>
        <v>8.6851082491649496</v>
      </c>
      <c r="AC73" s="37">
        <f>Priors!$K$18</f>
        <v>2.7435089299114512</v>
      </c>
      <c r="AD73" s="38" t="str">
        <f t="shared" si="11"/>
        <v/>
      </c>
      <c r="AE73" s="37">
        <f>Priors!$K$19</f>
        <v>0.67280088332719912</v>
      </c>
      <c r="AF73" s="38" t="str">
        <f t="shared" si="12"/>
        <v/>
      </c>
      <c r="AG73" s="17">
        <f t="shared" si="13"/>
        <v>0.91447963800904974</v>
      </c>
      <c r="AH73" s="7" t="s">
        <v>1643</v>
      </c>
      <c r="AI73" s="7">
        <v>12</v>
      </c>
      <c r="AJ73" s="38">
        <f t="shared" si="14"/>
        <v>0.72375902076374576</v>
      </c>
      <c r="AK73" s="9" t="b">
        <f t="shared" si="15"/>
        <v>1</v>
      </c>
      <c r="AL73" s="28" t="s">
        <v>1644</v>
      </c>
      <c r="AM73" s="28" t="s">
        <v>1645</v>
      </c>
      <c r="AN73" s="28" t="s">
        <v>1792</v>
      </c>
    </row>
    <row r="74" spans="1:40" ht="30">
      <c r="A74" s="7">
        <v>73</v>
      </c>
      <c r="B74" s="7" t="s">
        <v>310</v>
      </c>
      <c r="C74" s="7" t="s">
        <v>41</v>
      </c>
      <c r="D74" s="7" t="s">
        <v>112</v>
      </c>
      <c r="E74" s="7" t="s">
        <v>1642</v>
      </c>
      <c r="F74" s="7" t="s">
        <v>41</v>
      </c>
      <c r="G74" s="14">
        <v>1769</v>
      </c>
      <c r="H74" s="14">
        <v>232</v>
      </c>
      <c r="I74" s="15">
        <v>11.8</v>
      </c>
      <c r="J74" s="14">
        <v>0</v>
      </c>
      <c r="K74" s="15">
        <v>0</v>
      </c>
      <c r="L74" s="14">
        <v>28</v>
      </c>
      <c r="M74" s="14">
        <v>7</v>
      </c>
      <c r="N74" s="13"/>
      <c r="O74" s="14">
        <v>3</v>
      </c>
      <c r="P74" s="14">
        <v>346</v>
      </c>
      <c r="Q74" s="15">
        <v>17.603165630299603</v>
      </c>
      <c r="R74" s="17">
        <f>IFERROR(G74/(G74+Priors!$H$18),0)</f>
        <v>0.63885879378837129</v>
      </c>
      <c r="S74" s="13">
        <v>1</v>
      </c>
      <c r="T74" s="40" t="b">
        <v>0</v>
      </c>
      <c r="U74" s="13">
        <v>1</v>
      </c>
      <c r="V74" s="40" t="b">
        <v>1</v>
      </c>
      <c r="W74" s="13">
        <v>0.9</v>
      </c>
      <c r="X74" s="17">
        <f t="shared" si="8"/>
        <v>0.57497291440953413</v>
      </c>
      <c r="Y74" s="37">
        <f>VLOOKUP(D74,Priors!$A$18:$B$21,2,FALSE)</f>
        <v>8.4555315342179806</v>
      </c>
      <c r="Z74" s="38">
        <f t="shared" si="9"/>
        <v>10.378510315139451</v>
      </c>
      <c r="AA74" s="39">
        <v>1</v>
      </c>
      <c r="AB74" s="38">
        <f t="shared" si="10"/>
        <v>10.378510315139451</v>
      </c>
      <c r="AC74" s="37">
        <f>Priors!$K$18</f>
        <v>2.7435089299114512</v>
      </c>
      <c r="AD74" s="38" t="str">
        <f t="shared" si="11"/>
        <v/>
      </c>
      <c r="AE74" s="37">
        <f>Priors!$K$19</f>
        <v>0.67280088332719912</v>
      </c>
      <c r="AF74" s="38" t="str">
        <f t="shared" si="12"/>
        <v/>
      </c>
      <c r="AG74" s="17">
        <f t="shared" si="13"/>
        <v>0.42502708559046587</v>
      </c>
      <c r="AH74" s="7" t="s">
        <v>1643</v>
      </c>
      <c r="AI74" s="7">
        <v>12</v>
      </c>
      <c r="AJ74" s="38">
        <f t="shared" si="14"/>
        <v>0.86487585959495428</v>
      </c>
      <c r="AK74" s="9" t="b">
        <f t="shared" si="15"/>
        <v>1</v>
      </c>
      <c r="AL74" s="28" t="s">
        <v>1644</v>
      </c>
      <c r="AM74" s="28" t="s">
        <v>1645</v>
      </c>
      <c r="AN74" s="28" t="s">
        <v>1792</v>
      </c>
    </row>
    <row r="75" spans="1:40" ht="30">
      <c r="A75" s="7">
        <v>74</v>
      </c>
      <c r="B75" s="7" t="s">
        <v>313</v>
      </c>
      <c r="C75" s="7" t="s">
        <v>41</v>
      </c>
      <c r="D75" s="7" t="s">
        <v>112</v>
      </c>
      <c r="E75" s="7" t="s">
        <v>1642</v>
      </c>
      <c r="F75" s="7" t="s">
        <v>41</v>
      </c>
      <c r="G75" s="14">
        <v>1188</v>
      </c>
      <c r="H75" s="14">
        <v>94</v>
      </c>
      <c r="I75" s="15">
        <v>7.12</v>
      </c>
      <c r="J75" s="14">
        <v>0</v>
      </c>
      <c r="K75" s="15">
        <v>0</v>
      </c>
      <c r="L75" s="14">
        <v>20</v>
      </c>
      <c r="M75" s="14">
        <v>5</v>
      </c>
      <c r="N75" s="13"/>
      <c r="O75" s="14">
        <v>4</v>
      </c>
      <c r="P75" s="14">
        <v>215</v>
      </c>
      <c r="Q75" s="15">
        <v>16.287878787878789</v>
      </c>
      <c r="R75" s="17">
        <f>IFERROR(G75/(G75+Priors!$H$18),0)</f>
        <v>0.54296160877513711</v>
      </c>
      <c r="S75" s="13">
        <v>1</v>
      </c>
      <c r="T75" s="40" t="b">
        <v>0</v>
      </c>
      <c r="U75" s="13">
        <v>1</v>
      </c>
      <c r="V75" s="40" t="b">
        <v>1</v>
      </c>
      <c r="W75" s="13">
        <v>0.9</v>
      </c>
      <c r="X75" s="17">
        <f t="shared" si="8"/>
        <v>0.4886654478976234</v>
      </c>
      <c r="Y75" s="37">
        <f>VLOOKUP(D75,Priors!$A$18:$B$21,2,FALSE)</f>
        <v>8.4555315342179806</v>
      </c>
      <c r="Z75" s="38">
        <f t="shared" si="9"/>
        <v>7.8029034188679507</v>
      </c>
      <c r="AA75" s="39">
        <v>1</v>
      </c>
      <c r="AB75" s="38">
        <f t="shared" si="10"/>
        <v>7.8029034188679507</v>
      </c>
      <c r="AC75" s="37">
        <f>Priors!$K$18</f>
        <v>2.7435089299114512</v>
      </c>
      <c r="AD75" s="38" t="str">
        <f t="shared" si="11"/>
        <v/>
      </c>
      <c r="AE75" s="37">
        <f>Priors!$K$19</f>
        <v>0.67280088332719912</v>
      </c>
      <c r="AF75" s="38" t="str">
        <f t="shared" si="12"/>
        <v/>
      </c>
      <c r="AG75" s="17">
        <f t="shared" si="13"/>
        <v>0.51133455210237666</v>
      </c>
      <c r="AH75" s="7" t="s">
        <v>1643</v>
      </c>
      <c r="AI75" s="7">
        <v>12</v>
      </c>
      <c r="AJ75" s="38">
        <f t="shared" si="14"/>
        <v>0.65024195157232922</v>
      </c>
      <c r="AK75" s="9" t="b">
        <f t="shared" si="15"/>
        <v>1</v>
      </c>
      <c r="AL75" s="28" t="s">
        <v>1644</v>
      </c>
      <c r="AM75" s="28" t="s">
        <v>1645</v>
      </c>
      <c r="AN75" s="28" t="s">
        <v>1792</v>
      </c>
    </row>
    <row r="76" spans="1:40" ht="30">
      <c r="A76" s="7">
        <v>75</v>
      </c>
      <c r="B76" s="7" t="s">
        <v>316</v>
      </c>
      <c r="C76" s="7" t="s">
        <v>41</v>
      </c>
      <c r="D76" s="7" t="s">
        <v>112</v>
      </c>
      <c r="E76" s="7" t="s">
        <v>1642</v>
      </c>
      <c r="F76" s="7" t="s">
        <v>41</v>
      </c>
      <c r="G76" s="14">
        <v>978</v>
      </c>
      <c r="H76" s="14">
        <v>123</v>
      </c>
      <c r="I76" s="15">
        <v>11.32</v>
      </c>
      <c r="J76" s="14">
        <v>0</v>
      </c>
      <c r="K76" s="15">
        <v>0</v>
      </c>
      <c r="L76" s="14">
        <v>14</v>
      </c>
      <c r="M76" s="14">
        <v>3</v>
      </c>
      <c r="N76" s="13"/>
      <c r="O76" s="14">
        <v>2</v>
      </c>
      <c r="P76" s="14">
        <v>214</v>
      </c>
      <c r="Q76" s="15">
        <v>19.69325153374233</v>
      </c>
      <c r="R76" s="17">
        <f>IFERROR(G76/(G76+Priors!$H$18),0)</f>
        <v>0.49443882709807885</v>
      </c>
      <c r="S76" s="13">
        <v>1</v>
      </c>
      <c r="T76" s="40" t="b">
        <v>0</v>
      </c>
      <c r="U76" s="13">
        <v>1</v>
      </c>
      <c r="V76" s="40" t="b">
        <v>1</v>
      </c>
      <c r="W76" s="13">
        <v>0.9</v>
      </c>
      <c r="X76" s="17">
        <f t="shared" si="8"/>
        <v>0.44499494438827097</v>
      </c>
      <c r="Y76" s="37">
        <f>VLOOKUP(D76,Priors!$A$18:$B$21,2,FALSE)</f>
        <v>8.4555315342179806</v>
      </c>
      <c r="Z76" s="38">
        <f t="shared" si="9"/>
        <v>9.7302055198506068</v>
      </c>
      <c r="AA76" s="39">
        <v>1</v>
      </c>
      <c r="AB76" s="38">
        <f t="shared" si="10"/>
        <v>9.7302055198506068</v>
      </c>
      <c r="AC76" s="37">
        <f>Priors!$K$18</f>
        <v>2.7435089299114512</v>
      </c>
      <c r="AD76" s="38" t="str">
        <f t="shared" si="11"/>
        <v/>
      </c>
      <c r="AE76" s="37">
        <f>Priors!$K$19</f>
        <v>0.67280088332719912</v>
      </c>
      <c r="AF76" s="38" t="str">
        <f t="shared" si="12"/>
        <v/>
      </c>
      <c r="AG76" s="17">
        <f t="shared" si="13"/>
        <v>0.55500505561172897</v>
      </c>
      <c r="AH76" s="7" t="s">
        <v>1643</v>
      </c>
      <c r="AI76" s="7">
        <v>12</v>
      </c>
      <c r="AJ76" s="38">
        <f t="shared" si="14"/>
        <v>0.81085045998755056</v>
      </c>
      <c r="AK76" s="9" t="b">
        <f t="shared" si="15"/>
        <v>1</v>
      </c>
      <c r="AL76" s="28" t="s">
        <v>1644</v>
      </c>
      <c r="AM76" s="28" t="s">
        <v>1645</v>
      </c>
      <c r="AN76" s="28" t="s">
        <v>1792</v>
      </c>
    </row>
    <row r="77" spans="1:40" ht="30">
      <c r="A77" s="7">
        <v>76</v>
      </c>
      <c r="B77" s="7" t="s">
        <v>321</v>
      </c>
      <c r="C77" s="7" t="s">
        <v>41</v>
      </c>
      <c r="D77" s="7" t="s">
        <v>112</v>
      </c>
      <c r="E77" s="7" t="s">
        <v>1642</v>
      </c>
      <c r="F77" s="7" t="s">
        <v>41</v>
      </c>
      <c r="G77" s="14">
        <v>135</v>
      </c>
      <c r="H77" s="14">
        <v>17</v>
      </c>
      <c r="I77" s="15">
        <v>11.33</v>
      </c>
      <c r="J77" s="14">
        <v>0</v>
      </c>
      <c r="K77" s="15">
        <v>0</v>
      </c>
      <c r="L77" s="14">
        <v>3</v>
      </c>
      <c r="M77" s="14">
        <v>0</v>
      </c>
      <c r="N77" s="13"/>
      <c r="O77" s="14">
        <v>0</v>
      </c>
      <c r="P77" s="14">
        <v>32</v>
      </c>
      <c r="Q77" s="15">
        <v>21.333333333333332</v>
      </c>
      <c r="R77" s="17">
        <f>IFERROR(G77/(G77+Priors!$H$18),0)</f>
        <v>0.11894273127753303</v>
      </c>
      <c r="S77" s="13">
        <v>1</v>
      </c>
      <c r="T77" s="40" t="b">
        <v>0</v>
      </c>
      <c r="U77" s="13">
        <v>1</v>
      </c>
      <c r="V77" s="40" t="b">
        <v>1</v>
      </c>
      <c r="W77" s="13">
        <v>0.9</v>
      </c>
      <c r="X77" s="17">
        <f t="shared" si="8"/>
        <v>0.10704845814977973</v>
      </c>
      <c r="Y77" s="37">
        <f>VLOOKUP(D77,Priors!$A$18:$B$21,2,FALSE)</f>
        <v>8.4555315342179806</v>
      </c>
      <c r="Z77" s="38">
        <f t="shared" si="9"/>
        <v>8.7632389514801083</v>
      </c>
      <c r="AA77" s="39">
        <v>1</v>
      </c>
      <c r="AB77" s="38">
        <f t="shared" si="10"/>
        <v>8.7632389514801083</v>
      </c>
      <c r="AC77" s="37">
        <f>Priors!$K$18</f>
        <v>2.7435089299114512</v>
      </c>
      <c r="AD77" s="38" t="str">
        <f t="shared" si="11"/>
        <v/>
      </c>
      <c r="AE77" s="37">
        <f>Priors!$K$19</f>
        <v>0.67280088332719912</v>
      </c>
      <c r="AF77" s="38" t="str">
        <f t="shared" si="12"/>
        <v/>
      </c>
      <c r="AG77" s="17">
        <f t="shared" si="13"/>
        <v>0.8929515418502203</v>
      </c>
      <c r="AH77" s="7" t="s">
        <v>1643</v>
      </c>
      <c r="AI77" s="7">
        <v>12</v>
      </c>
      <c r="AJ77" s="38">
        <f t="shared" si="14"/>
        <v>0.7302699126233424</v>
      </c>
      <c r="AK77" s="9" t="b">
        <f t="shared" si="15"/>
        <v>1</v>
      </c>
      <c r="AL77" s="28" t="s">
        <v>1644</v>
      </c>
      <c r="AM77" s="28" t="s">
        <v>1645</v>
      </c>
      <c r="AN77" s="28" t="s">
        <v>1792</v>
      </c>
    </row>
    <row r="78" spans="1:40" ht="30">
      <c r="A78" s="7">
        <v>77</v>
      </c>
      <c r="B78" s="7" t="s">
        <v>324</v>
      </c>
      <c r="C78" s="7" t="s">
        <v>41</v>
      </c>
      <c r="D78" s="7" t="s">
        <v>112</v>
      </c>
      <c r="E78" s="7" t="s">
        <v>1642</v>
      </c>
      <c r="F78" s="7" t="s">
        <v>41</v>
      </c>
      <c r="G78" s="14">
        <v>1074</v>
      </c>
      <c r="H78" s="14">
        <v>123</v>
      </c>
      <c r="I78" s="15">
        <v>10.31</v>
      </c>
      <c r="J78" s="14">
        <v>0</v>
      </c>
      <c r="K78" s="15">
        <v>0</v>
      </c>
      <c r="L78" s="14">
        <v>17</v>
      </c>
      <c r="M78" s="14">
        <v>3</v>
      </c>
      <c r="N78" s="13"/>
      <c r="O78" s="14">
        <v>4</v>
      </c>
      <c r="P78" s="14">
        <v>241</v>
      </c>
      <c r="Q78" s="15">
        <v>20.195530726256983</v>
      </c>
      <c r="R78" s="17">
        <f>IFERROR(G78/(G78+Priors!$H$18),0)</f>
        <v>0.51783992285438762</v>
      </c>
      <c r="S78" s="13">
        <v>1</v>
      </c>
      <c r="T78" s="40" t="b">
        <v>0</v>
      </c>
      <c r="U78" s="13">
        <v>1</v>
      </c>
      <c r="V78" s="40" t="b">
        <v>1</v>
      </c>
      <c r="W78" s="13">
        <v>0.9</v>
      </c>
      <c r="X78" s="17">
        <f t="shared" si="8"/>
        <v>0.4660559305689489</v>
      </c>
      <c r="Y78" s="37">
        <f>VLOOKUP(D78,Priors!$A$18:$B$21,2,FALSE)</f>
        <v>8.4555315342179806</v>
      </c>
      <c r="Z78" s="38">
        <f t="shared" si="9"/>
        <v>9.3198175607487919</v>
      </c>
      <c r="AA78" s="39">
        <v>1</v>
      </c>
      <c r="AB78" s="38">
        <f t="shared" si="10"/>
        <v>9.3198175607487919</v>
      </c>
      <c r="AC78" s="37">
        <f>Priors!$K$18</f>
        <v>2.7435089299114512</v>
      </c>
      <c r="AD78" s="38" t="str">
        <f t="shared" si="11"/>
        <v/>
      </c>
      <c r="AE78" s="37">
        <f>Priors!$K$19</f>
        <v>0.67280088332719912</v>
      </c>
      <c r="AF78" s="38" t="str">
        <f t="shared" si="12"/>
        <v/>
      </c>
      <c r="AG78" s="17">
        <f t="shared" si="13"/>
        <v>0.5339440694310511</v>
      </c>
      <c r="AH78" s="7" t="s">
        <v>1643</v>
      </c>
      <c r="AI78" s="7">
        <v>12</v>
      </c>
      <c r="AJ78" s="38">
        <f t="shared" si="14"/>
        <v>0.77665146339573266</v>
      </c>
      <c r="AK78" s="9" t="b">
        <f t="shared" si="15"/>
        <v>1</v>
      </c>
      <c r="AL78" s="28" t="s">
        <v>1644</v>
      </c>
      <c r="AM78" s="28" t="s">
        <v>1645</v>
      </c>
      <c r="AN78" s="28" t="s">
        <v>1792</v>
      </c>
    </row>
    <row r="79" spans="1:40" ht="30">
      <c r="A79" s="7">
        <v>78</v>
      </c>
      <c r="B79" s="7" t="s">
        <v>327</v>
      </c>
      <c r="C79" s="7" t="s">
        <v>41</v>
      </c>
      <c r="D79" s="7" t="s">
        <v>112</v>
      </c>
      <c r="E79" s="7" t="s">
        <v>1642</v>
      </c>
      <c r="F79" s="7" t="s">
        <v>41</v>
      </c>
      <c r="G79" s="14">
        <v>1663</v>
      </c>
      <c r="H79" s="14">
        <v>112</v>
      </c>
      <c r="I79" s="15">
        <v>6.06</v>
      </c>
      <c r="J79" s="14">
        <v>0</v>
      </c>
      <c r="K79" s="15">
        <v>0</v>
      </c>
      <c r="L79" s="14">
        <v>21</v>
      </c>
      <c r="M79" s="14">
        <v>10</v>
      </c>
      <c r="N79" s="13"/>
      <c r="O79" s="14">
        <v>13</v>
      </c>
      <c r="P79" s="14">
        <v>480</v>
      </c>
      <c r="Q79" s="15">
        <v>25.97714972940469</v>
      </c>
      <c r="R79" s="17">
        <f>IFERROR(G79/(G79+Priors!$H$18),0)</f>
        <v>0.6244836650394292</v>
      </c>
      <c r="S79" s="13">
        <v>1</v>
      </c>
      <c r="T79" s="40" t="b">
        <v>0</v>
      </c>
      <c r="U79" s="13">
        <v>1</v>
      </c>
      <c r="V79" s="40" t="b">
        <v>1</v>
      </c>
      <c r="W79" s="13">
        <v>0.9</v>
      </c>
      <c r="X79" s="17">
        <f t="shared" si="8"/>
        <v>0.56203529853548628</v>
      </c>
      <c r="Y79" s="37">
        <f>VLOOKUP(D79,Priors!$A$18:$B$21,2,FALSE)</f>
        <v>8.4555315342179806</v>
      </c>
      <c r="Z79" s="38">
        <f t="shared" si="9"/>
        <v>7.1091582532326054</v>
      </c>
      <c r="AA79" s="39">
        <v>1</v>
      </c>
      <c r="AB79" s="38">
        <f t="shared" si="10"/>
        <v>7.1091582532326054</v>
      </c>
      <c r="AC79" s="37">
        <f>Priors!$K$18</f>
        <v>2.7435089299114512</v>
      </c>
      <c r="AD79" s="38" t="str">
        <f t="shared" si="11"/>
        <v/>
      </c>
      <c r="AE79" s="37">
        <f>Priors!$K$19</f>
        <v>0.67280088332719912</v>
      </c>
      <c r="AF79" s="38" t="str">
        <f t="shared" si="12"/>
        <v/>
      </c>
      <c r="AG79" s="17">
        <f t="shared" si="13"/>
        <v>0.43796470146451372</v>
      </c>
      <c r="AH79" s="7" t="s">
        <v>1643</v>
      </c>
      <c r="AI79" s="7">
        <v>12</v>
      </c>
      <c r="AJ79" s="38">
        <f t="shared" si="14"/>
        <v>0.59242985443605045</v>
      </c>
      <c r="AK79" s="9" t="b">
        <f t="shared" si="15"/>
        <v>1</v>
      </c>
      <c r="AL79" s="28" t="s">
        <v>1644</v>
      </c>
      <c r="AM79" s="28" t="s">
        <v>1645</v>
      </c>
      <c r="AN79" s="28" t="s">
        <v>1792</v>
      </c>
    </row>
    <row r="80" spans="1:40" ht="30">
      <c r="A80" s="7">
        <v>79</v>
      </c>
      <c r="B80" s="7" t="s">
        <v>331</v>
      </c>
      <c r="C80" s="7" t="s">
        <v>41</v>
      </c>
      <c r="D80" s="7" t="s">
        <v>167</v>
      </c>
      <c r="E80" s="7" t="s">
        <v>1642</v>
      </c>
      <c r="F80" s="7" t="s">
        <v>41</v>
      </c>
      <c r="G80" s="14">
        <v>2741</v>
      </c>
      <c r="H80" s="14">
        <v>135</v>
      </c>
      <c r="I80" s="15">
        <v>4.43</v>
      </c>
      <c r="J80" s="14">
        <v>0</v>
      </c>
      <c r="K80" s="15">
        <v>0</v>
      </c>
      <c r="L80" s="14">
        <v>40</v>
      </c>
      <c r="M80" s="14">
        <v>11</v>
      </c>
      <c r="N80" s="13"/>
      <c r="O80" s="14">
        <v>6</v>
      </c>
      <c r="P80" s="14">
        <v>412</v>
      </c>
      <c r="Q80" s="15">
        <v>13.527909522072237</v>
      </c>
      <c r="R80" s="17">
        <f>IFERROR(G80/(G80+Priors!$H$18),0)</f>
        <v>0.73269179363806469</v>
      </c>
      <c r="S80" s="13">
        <v>1</v>
      </c>
      <c r="T80" s="40" t="b">
        <v>0</v>
      </c>
      <c r="U80" s="13">
        <v>1</v>
      </c>
      <c r="V80" s="40" t="b">
        <v>1</v>
      </c>
      <c r="W80" s="13">
        <v>0.9</v>
      </c>
      <c r="X80" s="17">
        <f t="shared" si="8"/>
        <v>0.65942261427425819</v>
      </c>
      <c r="Y80" s="37">
        <f>VLOOKUP(D80,Priors!$A$18:$B$21,2,FALSE)</f>
        <v>4.5137422563476139</v>
      </c>
      <c r="Z80" s="38">
        <f t="shared" si="9"/>
        <v>4.4585207187416449</v>
      </c>
      <c r="AA80" s="39">
        <v>1</v>
      </c>
      <c r="AB80" s="38">
        <f t="shared" si="10"/>
        <v>4.4585207187416449</v>
      </c>
      <c r="AC80" s="37">
        <f>Priors!$K$18</f>
        <v>2.7435089299114512</v>
      </c>
      <c r="AD80" s="38" t="str">
        <f t="shared" si="11"/>
        <v/>
      </c>
      <c r="AE80" s="37">
        <f>Priors!$K$19</f>
        <v>0.67280088332719912</v>
      </c>
      <c r="AF80" s="38" t="str">
        <f t="shared" si="12"/>
        <v/>
      </c>
      <c r="AG80" s="17">
        <f t="shared" si="13"/>
        <v>0.34057738572574181</v>
      </c>
      <c r="AH80" s="7" t="s">
        <v>1643</v>
      </c>
      <c r="AI80" s="7">
        <v>12</v>
      </c>
      <c r="AJ80" s="38">
        <f t="shared" si="14"/>
        <v>0.37154339322847041</v>
      </c>
      <c r="AK80" s="9" t="b">
        <f t="shared" si="15"/>
        <v>1</v>
      </c>
      <c r="AL80" s="28" t="s">
        <v>1644</v>
      </c>
      <c r="AM80" s="28" t="s">
        <v>1645</v>
      </c>
      <c r="AN80" s="28" t="s">
        <v>1792</v>
      </c>
    </row>
    <row r="81" spans="1:40" ht="30">
      <c r="A81" s="7">
        <v>80</v>
      </c>
      <c r="B81" s="7" t="s">
        <v>334</v>
      </c>
      <c r="C81" s="7" t="s">
        <v>41</v>
      </c>
      <c r="D81" s="7" t="s">
        <v>167</v>
      </c>
      <c r="E81" s="7" t="s">
        <v>1642</v>
      </c>
      <c r="F81" s="7" t="s">
        <v>41</v>
      </c>
      <c r="G81" s="14">
        <v>214</v>
      </c>
      <c r="H81" s="14">
        <v>23</v>
      </c>
      <c r="I81" s="15">
        <v>9.67</v>
      </c>
      <c r="J81" s="14">
        <v>0</v>
      </c>
      <c r="K81" s="15">
        <v>0</v>
      </c>
      <c r="L81" s="14">
        <v>3</v>
      </c>
      <c r="M81" s="14">
        <v>0</v>
      </c>
      <c r="N81" s="13"/>
      <c r="O81" s="14">
        <v>1</v>
      </c>
      <c r="P81" s="14">
        <v>83</v>
      </c>
      <c r="Q81" s="15">
        <v>34.90654205607477</v>
      </c>
      <c r="R81" s="17">
        <f>IFERROR(G81/(G81+Priors!$H$18),0)</f>
        <v>0.17627677100494235</v>
      </c>
      <c r="S81" s="13">
        <v>1</v>
      </c>
      <c r="T81" s="40" t="b">
        <v>0</v>
      </c>
      <c r="U81" s="13">
        <v>1</v>
      </c>
      <c r="V81" s="40" t="b">
        <v>1</v>
      </c>
      <c r="W81" s="13">
        <v>0.9</v>
      </c>
      <c r="X81" s="17">
        <f t="shared" si="8"/>
        <v>0.15864909390444812</v>
      </c>
      <c r="Y81" s="37">
        <f>VLOOKUP(D81,Priors!$A$18:$B$21,2,FALSE)</f>
        <v>4.5137422563476139</v>
      </c>
      <c r="Z81" s="38">
        <f t="shared" si="9"/>
        <v>5.3317778753158596</v>
      </c>
      <c r="AA81" s="39">
        <v>1</v>
      </c>
      <c r="AB81" s="38">
        <f t="shared" si="10"/>
        <v>5.3317778753158596</v>
      </c>
      <c r="AC81" s="37">
        <f>Priors!$K$18</f>
        <v>2.7435089299114512</v>
      </c>
      <c r="AD81" s="38" t="str">
        <f t="shared" si="11"/>
        <v/>
      </c>
      <c r="AE81" s="37">
        <f>Priors!$K$19</f>
        <v>0.67280088332719912</v>
      </c>
      <c r="AF81" s="38" t="str">
        <f t="shared" si="12"/>
        <v/>
      </c>
      <c r="AG81" s="17">
        <f t="shared" si="13"/>
        <v>0.84135090609555185</v>
      </c>
      <c r="AH81" s="7" t="s">
        <v>1643</v>
      </c>
      <c r="AI81" s="7">
        <v>12</v>
      </c>
      <c r="AJ81" s="38">
        <f t="shared" si="14"/>
        <v>0.4443148229429883</v>
      </c>
      <c r="AK81" s="9" t="b">
        <f t="shared" si="15"/>
        <v>1</v>
      </c>
      <c r="AL81" s="28" t="s">
        <v>1644</v>
      </c>
      <c r="AM81" s="28" t="s">
        <v>1645</v>
      </c>
      <c r="AN81" s="28" t="s">
        <v>1792</v>
      </c>
    </row>
    <row r="82" spans="1:40" ht="30">
      <c r="A82" s="7">
        <v>81</v>
      </c>
      <c r="B82" s="7" t="s">
        <v>335</v>
      </c>
      <c r="C82" s="7" t="s">
        <v>41</v>
      </c>
      <c r="D82" s="7" t="s">
        <v>167</v>
      </c>
      <c r="E82" s="7" t="s">
        <v>1647</v>
      </c>
      <c r="F82" s="7"/>
      <c r="G82" s="14">
        <v>0</v>
      </c>
      <c r="H82" s="14"/>
      <c r="I82" s="15"/>
      <c r="J82" s="14"/>
      <c r="K82" s="15"/>
      <c r="L82" s="14"/>
      <c r="M82" s="14"/>
      <c r="N82" s="13"/>
      <c r="O82" s="14"/>
      <c r="P82" s="14"/>
      <c r="Q82" s="15"/>
      <c r="R82" s="17">
        <f>IFERROR(G82/(G82+Priors!$H$18),0)</f>
        <v>0</v>
      </c>
      <c r="S82" s="13">
        <v>0</v>
      </c>
      <c r="T82" s="40" t="b">
        <v>0</v>
      </c>
      <c r="U82" s="13">
        <v>1</v>
      </c>
      <c r="V82" s="40" t="b">
        <v>1</v>
      </c>
      <c r="W82" s="13">
        <v>0.9</v>
      </c>
      <c r="X82" s="17">
        <f t="shared" si="8"/>
        <v>0</v>
      </c>
      <c r="Y82" s="37">
        <f>VLOOKUP(D82,Priors!$A$18:$B$21,2,FALSE)</f>
        <v>4.5137422563476139</v>
      </c>
      <c r="Z82" s="38">
        <f t="shared" si="9"/>
        <v>4.5137422563476139</v>
      </c>
      <c r="AA82" s="39">
        <v>1</v>
      </c>
      <c r="AB82" s="38">
        <f t="shared" si="10"/>
        <v>4.5137422563476139</v>
      </c>
      <c r="AC82" s="37">
        <f>Priors!$K$18</f>
        <v>2.7435089299114512</v>
      </c>
      <c r="AD82" s="38" t="str">
        <f t="shared" si="11"/>
        <v/>
      </c>
      <c r="AE82" s="37">
        <f>Priors!$K$19</f>
        <v>0.67280088332719912</v>
      </c>
      <c r="AF82" s="38" t="str">
        <f t="shared" si="12"/>
        <v/>
      </c>
      <c r="AG82" s="17">
        <f t="shared" si="13"/>
        <v>1</v>
      </c>
      <c r="AH82" s="7" t="s">
        <v>1793</v>
      </c>
      <c r="AI82" s="7">
        <v>12</v>
      </c>
      <c r="AJ82" s="38">
        <f t="shared" si="14"/>
        <v>0.37614518802896785</v>
      </c>
      <c r="AK82" s="9" t="b">
        <f t="shared" si="15"/>
        <v>1</v>
      </c>
      <c r="AL82" s="28" t="s">
        <v>1794</v>
      </c>
      <c r="AM82" s="28"/>
      <c r="AN82" s="28" t="s">
        <v>1792</v>
      </c>
    </row>
    <row r="83" spans="1:40" ht="30">
      <c r="A83" s="7">
        <v>82</v>
      </c>
      <c r="B83" s="7" t="s">
        <v>341</v>
      </c>
      <c r="C83" s="7" t="s">
        <v>42</v>
      </c>
      <c r="D83" s="7" t="s">
        <v>85</v>
      </c>
      <c r="E83" s="7" t="s">
        <v>1642</v>
      </c>
      <c r="F83" s="7" t="s">
        <v>42</v>
      </c>
      <c r="G83" s="14">
        <v>3330</v>
      </c>
      <c r="H83" s="14">
        <v>95</v>
      </c>
      <c r="I83" s="15">
        <v>0</v>
      </c>
      <c r="J83" s="14">
        <v>109</v>
      </c>
      <c r="K83" s="15">
        <v>2.95</v>
      </c>
      <c r="L83" s="14">
        <v>49</v>
      </c>
      <c r="M83" s="14">
        <v>10</v>
      </c>
      <c r="N83" s="13">
        <v>0.689873417721519</v>
      </c>
      <c r="O83" s="14">
        <v>11</v>
      </c>
      <c r="P83" s="14">
        <v>570</v>
      </c>
      <c r="Q83" s="15">
        <v>15.405405405405405</v>
      </c>
      <c r="R83" s="17">
        <f>IFERROR(G83/(G83+Priors!$H$18),0)</f>
        <v>0.76905311778290997</v>
      </c>
      <c r="S83" s="13">
        <v>1</v>
      </c>
      <c r="T83" s="40" t="b">
        <v>0</v>
      </c>
      <c r="U83" s="13">
        <v>1</v>
      </c>
      <c r="V83" s="40" t="b">
        <v>0</v>
      </c>
      <c r="W83" s="13">
        <v>1</v>
      </c>
      <c r="X83" s="17">
        <f t="shared" si="8"/>
        <v>0.76905311778290997</v>
      </c>
      <c r="Y83" s="37">
        <f>VLOOKUP(D83,Priors!$A$18:$B$21,2,FALSE)</f>
        <v>2.6414527990394716</v>
      </c>
      <c r="Z83" s="38">
        <f t="shared" si="9"/>
        <v>0.61003528846177169</v>
      </c>
      <c r="AA83" s="39">
        <v>1</v>
      </c>
      <c r="AB83" s="38">
        <f t="shared" si="10"/>
        <v>0.61003528846177169</v>
      </c>
      <c r="AC83" s="37">
        <f>Priors!$K$18</f>
        <v>2.7435089299114512</v>
      </c>
      <c r="AD83" s="38">
        <f t="shared" si="11"/>
        <v>2.9023115311573795</v>
      </c>
      <c r="AE83" s="37">
        <f>Priors!$K$19</f>
        <v>0.67280088332719912</v>
      </c>
      <c r="AF83" s="38">
        <f t="shared" si="12"/>
        <v>0.68593056913160677</v>
      </c>
      <c r="AG83" s="17">
        <f t="shared" si="13"/>
        <v>0.23094688221709003</v>
      </c>
      <c r="AH83" s="7" t="s">
        <v>1643</v>
      </c>
      <c r="AI83" s="7"/>
      <c r="AJ83" s="38" t="str">
        <f t="shared" si="14"/>
        <v/>
      </c>
      <c r="AK83" s="9" t="b">
        <f t="shared" si="15"/>
        <v>0</v>
      </c>
      <c r="AL83" s="28" t="s">
        <v>1644</v>
      </c>
      <c r="AM83" s="28" t="s">
        <v>1645</v>
      </c>
      <c r="AN83" s="28" t="s">
        <v>1792</v>
      </c>
    </row>
    <row r="84" spans="1:40" ht="30">
      <c r="A84" s="7">
        <v>83</v>
      </c>
      <c r="B84" s="7" t="s">
        <v>346</v>
      </c>
      <c r="C84" s="7" t="s">
        <v>42</v>
      </c>
      <c r="D84" s="7" t="s">
        <v>85</v>
      </c>
      <c r="E84" s="7" t="s">
        <v>1642</v>
      </c>
      <c r="F84" s="7" t="s">
        <v>42</v>
      </c>
      <c r="G84" s="14">
        <v>90</v>
      </c>
      <c r="H84" s="14">
        <v>0</v>
      </c>
      <c r="I84" s="15">
        <v>0</v>
      </c>
      <c r="J84" s="14">
        <v>1</v>
      </c>
      <c r="K84" s="15">
        <v>1</v>
      </c>
      <c r="L84" s="14">
        <v>3</v>
      </c>
      <c r="M84" s="14">
        <v>0</v>
      </c>
      <c r="N84" s="13">
        <v>0.25</v>
      </c>
      <c r="O84" s="14">
        <v>0</v>
      </c>
      <c r="P84" s="14">
        <v>1</v>
      </c>
      <c r="Q84" s="15">
        <v>1</v>
      </c>
      <c r="R84" s="17">
        <f>IFERROR(G84/(G84+Priors!$H$18),0)</f>
        <v>8.2568807339449546E-2</v>
      </c>
      <c r="S84" s="13">
        <v>1</v>
      </c>
      <c r="T84" s="40" t="b">
        <v>0</v>
      </c>
      <c r="U84" s="13">
        <v>1</v>
      </c>
      <c r="V84" s="40" t="b">
        <v>0</v>
      </c>
      <c r="W84" s="13">
        <v>1</v>
      </c>
      <c r="X84" s="17">
        <f t="shared" si="8"/>
        <v>8.2568807339449546E-2</v>
      </c>
      <c r="Y84" s="37">
        <f>VLOOKUP(D84,Priors!$A$18:$B$21,2,FALSE)</f>
        <v>2.6414527990394716</v>
      </c>
      <c r="Z84" s="38">
        <f t="shared" si="9"/>
        <v>2.4233511917793318</v>
      </c>
      <c r="AA84" s="39">
        <v>1</v>
      </c>
      <c r="AB84" s="38">
        <f t="shared" si="10"/>
        <v>2.4233511917793318</v>
      </c>
      <c r="AC84" s="37">
        <f>Priors!$K$18</f>
        <v>2.7435089299114512</v>
      </c>
      <c r="AD84" s="38">
        <f t="shared" si="11"/>
        <v>2.599549476982983</v>
      </c>
      <c r="AE84" s="37">
        <f>Priors!$K$19</f>
        <v>0.67280088332719912</v>
      </c>
      <c r="AF84" s="38">
        <f t="shared" si="12"/>
        <v>0.63789071864880664</v>
      </c>
      <c r="AG84" s="17">
        <f t="shared" si="13"/>
        <v>0.91743119266055051</v>
      </c>
      <c r="AH84" s="7" t="s">
        <v>1643</v>
      </c>
      <c r="AI84" s="7"/>
      <c r="AJ84" s="38" t="str">
        <f t="shared" si="14"/>
        <v/>
      </c>
      <c r="AK84" s="9" t="b">
        <f t="shared" si="15"/>
        <v>1</v>
      </c>
      <c r="AL84" s="28" t="s">
        <v>1644</v>
      </c>
      <c r="AM84" s="28" t="s">
        <v>1645</v>
      </c>
      <c r="AN84" s="28" t="s">
        <v>1792</v>
      </c>
    </row>
    <row r="85" spans="1:40" ht="30">
      <c r="A85" s="7">
        <v>84</v>
      </c>
      <c r="B85" s="7" t="s">
        <v>349</v>
      </c>
      <c r="C85" s="7" t="s">
        <v>42</v>
      </c>
      <c r="D85" s="7" t="s">
        <v>99</v>
      </c>
      <c r="E85" s="7" t="s">
        <v>1642</v>
      </c>
      <c r="F85" s="7" t="s">
        <v>42</v>
      </c>
      <c r="G85" s="14">
        <v>2971</v>
      </c>
      <c r="H85" s="14">
        <v>351</v>
      </c>
      <c r="I85" s="15">
        <v>9.66</v>
      </c>
      <c r="J85" s="14">
        <v>0</v>
      </c>
      <c r="K85" s="15">
        <v>0</v>
      </c>
      <c r="L85" s="14">
        <v>44</v>
      </c>
      <c r="M85" s="14">
        <v>9</v>
      </c>
      <c r="N85" s="13"/>
      <c r="O85" s="14">
        <v>7</v>
      </c>
      <c r="P85" s="14">
        <v>450</v>
      </c>
      <c r="Q85" s="15">
        <v>13.631773813530797</v>
      </c>
      <c r="R85" s="17">
        <f>IFERROR(G85/(G85+Priors!$H$18),0)</f>
        <v>0.74817426340972049</v>
      </c>
      <c r="S85" s="13">
        <v>1</v>
      </c>
      <c r="T85" s="40" t="b">
        <v>0</v>
      </c>
      <c r="U85" s="13">
        <v>1</v>
      </c>
      <c r="V85" s="40" t="b">
        <v>0</v>
      </c>
      <c r="W85" s="13">
        <v>1</v>
      </c>
      <c r="X85" s="17">
        <f t="shared" si="8"/>
        <v>0.74817426340972049</v>
      </c>
      <c r="Y85" s="37">
        <f>VLOOKUP(D85,Priors!$A$18:$B$21,2,FALSE)</f>
        <v>8.7398272304160223</v>
      </c>
      <c r="Z85" s="38">
        <f t="shared" si="9"/>
        <v>9.4282768145091964</v>
      </c>
      <c r="AA85" s="39">
        <v>1</v>
      </c>
      <c r="AB85" s="38">
        <f t="shared" si="10"/>
        <v>9.4282768145091964</v>
      </c>
      <c r="AC85" s="37">
        <f>Priors!$K$18</f>
        <v>2.7435089299114512</v>
      </c>
      <c r="AD85" s="38" t="str">
        <f t="shared" si="11"/>
        <v/>
      </c>
      <c r="AE85" s="37">
        <f>Priors!$K$19</f>
        <v>0.67280088332719912</v>
      </c>
      <c r="AF85" s="38" t="str">
        <f t="shared" si="12"/>
        <v/>
      </c>
      <c r="AG85" s="17">
        <f t="shared" si="13"/>
        <v>0.25182573659027951</v>
      </c>
      <c r="AH85" s="7" t="s">
        <v>1643</v>
      </c>
      <c r="AI85" s="7">
        <v>10</v>
      </c>
      <c r="AJ85" s="38">
        <f t="shared" si="14"/>
        <v>0.94282768145091966</v>
      </c>
      <c r="AK85" s="9" t="b">
        <f t="shared" si="15"/>
        <v>0</v>
      </c>
      <c r="AL85" s="28" t="s">
        <v>1644</v>
      </c>
      <c r="AM85" s="28" t="s">
        <v>1645</v>
      </c>
      <c r="AN85" s="28" t="s">
        <v>1792</v>
      </c>
    </row>
    <row r="86" spans="1:40" ht="30">
      <c r="A86" s="7">
        <v>85</v>
      </c>
      <c r="B86" s="7" t="s">
        <v>352</v>
      </c>
      <c r="C86" s="7" t="s">
        <v>42</v>
      </c>
      <c r="D86" s="7" t="s">
        <v>99</v>
      </c>
      <c r="E86" s="7" t="s">
        <v>1642</v>
      </c>
      <c r="F86" s="7" t="s">
        <v>42</v>
      </c>
      <c r="G86" s="14">
        <v>2761</v>
      </c>
      <c r="H86" s="14">
        <v>302</v>
      </c>
      <c r="I86" s="15">
        <v>8.8699999999999992</v>
      </c>
      <c r="J86" s="14">
        <v>0</v>
      </c>
      <c r="K86" s="15">
        <v>0</v>
      </c>
      <c r="L86" s="14">
        <v>41</v>
      </c>
      <c r="M86" s="14">
        <v>8</v>
      </c>
      <c r="N86" s="13"/>
      <c r="O86" s="14">
        <v>3</v>
      </c>
      <c r="P86" s="14">
        <v>435</v>
      </c>
      <c r="Q86" s="15">
        <v>14.17964505613908</v>
      </c>
      <c r="R86" s="17">
        <f>IFERROR(G86/(G86+Priors!$H$18),0)</f>
        <v>0.73411326774793939</v>
      </c>
      <c r="S86" s="13">
        <v>1</v>
      </c>
      <c r="T86" s="40" t="b">
        <v>0</v>
      </c>
      <c r="U86" s="13">
        <v>1</v>
      </c>
      <c r="V86" s="40" t="b">
        <v>0</v>
      </c>
      <c r="W86" s="13">
        <v>1</v>
      </c>
      <c r="X86" s="17">
        <f t="shared" si="8"/>
        <v>0.73411326774793939</v>
      </c>
      <c r="Y86" s="37">
        <f>VLOOKUP(D86,Priors!$A$18:$B$21,2,FALSE)</f>
        <v>8.7398272304160223</v>
      </c>
      <c r="Z86" s="38">
        <f t="shared" si="9"/>
        <v>8.8353887876671156</v>
      </c>
      <c r="AA86" s="39">
        <v>1</v>
      </c>
      <c r="AB86" s="38">
        <f t="shared" si="10"/>
        <v>8.8353887876671156</v>
      </c>
      <c r="AC86" s="37">
        <f>Priors!$K$18</f>
        <v>2.7435089299114512</v>
      </c>
      <c r="AD86" s="38" t="str">
        <f t="shared" si="11"/>
        <v/>
      </c>
      <c r="AE86" s="37">
        <f>Priors!$K$19</f>
        <v>0.67280088332719912</v>
      </c>
      <c r="AF86" s="38" t="str">
        <f t="shared" si="12"/>
        <v/>
      </c>
      <c r="AG86" s="17">
        <f t="shared" si="13"/>
        <v>0.26588673225206061</v>
      </c>
      <c r="AH86" s="7" t="s">
        <v>1643</v>
      </c>
      <c r="AI86" s="7">
        <v>10</v>
      </c>
      <c r="AJ86" s="38">
        <f t="shared" si="14"/>
        <v>0.88353887876671156</v>
      </c>
      <c r="AK86" s="9" t="b">
        <f t="shared" si="15"/>
        <v>0</v>
      </c>
      <c r="AL86" s="28" t="s">
        <v>1644</v>
      </c>
      <c r="AM86" s="28" t="s">
        <v>1645</v>
      </c>
      <c r="AN86" s="28" t="s">
        <v>1792</v>
      </c>
    </row>
    <row r="87" spans="1:40" ht="30">
      <c r="A87" s="7">
        <v>86</v>
      </c>
      <c r="B87" s="7" t="s">
        <v>355</v>
      </c>
      <c r="C87" s="7" t="s">
        <v>42</v>
      </c>
      <c r="D87" s="7" t="s">
        <v>112</v>
      </c>
      <c r="E87" s="7" t="s">
        <v>1642</v>
      </c>
      <c r="F87" s="7" t="s">
        <v>42</v>
      </c>
      <c r="G87" s="14">
        <v>1960</v>
      </c>
      <c r="H87" s="14">
        <v>93</v>
      </c>
      <c r="I87" s="15">
        <v>3.4</v>
      </c>
      <c r="J87" s="14">
        <v>0</v>
      </c>
      <c r="K87" s="15">
        <v>0</v>
      </c>
      <c r="L87" s="14">
        <v>32</v>
      </c>
      <c r="M87" s="14">
        <v>9</v>
      </c>
      <c r="N87" s="13"/>
      <c r="O87" s="14">
        <v>5</v>
      </c>
      <c r="P87" s="14">
        <v>356</v>
      </c>
      <c r="Q87" s="15">
        <v>16.346938775510203</v>
      </c>
      <c r="R87" s="17">
        <f>IFERROR(G87/(G87+Priors!$H$18),0)</f>
        <v>0.66216216216216217</v>
      </c>
      <c r="S87" s="13">
        <v>1</v>
      </c>
      <c r="T87" s="40" t="b">
        <v>0</v>
      </c>
      <c r="U87" s="13">
        <v>1</v>
      </c>
      <c r="V87" s="40" t="b">
        <v>0</v>
      </c>
      <c r="W87" s="13">
        <v>1</v>
      </c>
      <c r="X87" s="17">
        <f t="shared" si="8"/>
        <v>0.66216216216216217</v>
      </c>
      <c r="Y87" s="37">
        <f>VLOOKUP(D87,Priors!$A$18:$B$21,2,FALSE)</f>
        <v>8.4555315342179806</v>
      </c>
      <c r="Z87" s="38">
        <f t="shared" si="9"/>
        <v>5.1079498426412098</v>
      </c>
      <c r="AA87" s="39">
        <v>1</v>
      </c>
      <c r="AB87" s="38">
        <f t="shared" si="10"/>
        <v>5.1079498426412098</v>
      </c>
      <c r="AC87" s="37">
        <f>Priors!$K$18</f>
        <v>2.7435089299114512</v>
      </c>
      <c r="AD87" s="38" t="str">
        <f t="shared" si="11"/>
        <v/>
      </c>
      <c r="AE87" s="37">
        <f>Priors!$K$19</f>
        <v>0.67280088332719912</v>
      </c>
      <c r="AF87" s="38" t="str">
        <f t="shared" si="12"/>
        <v/>
      </c>
      <c r="AG87" s="17">
        <f t="shared" si="13"/>
        <v>0.33783783783783783</v>
      </c>
      <c r="AH87" s="7" t="s">
        <v>1643</v>
      </c>
      <c r="AI87" s="7">
        <v>12</v>
      </c>
      <c r="AJ87" s="38">
        <f t="shared" si="14"/>
        <v>0.4256624868867675</v>
      </c>
      <c r="AK87" s="9" t="b">
        <f t="shared" si="15"/>
        <v>0</v>
      </c>
      <c r="AL87" s="28" t="s">
        <v>1644</v>
      </c>
      <c r="AM87" s="28" t="s">
        <v>1645</v>
      </c>
      <c r="AN87" s="28" t="s">
        <v>1792</v>
      </c>
    </row>
    <row r="88" spans="1:40" ht="30">
      <c r="A88" s="7">
        <v>87</v>
      </c>
      <c r="B88" s="7" t="s">
        <v>358</v>
      </c>
      <c r="C88" s="7" t="s">
        <v>42</v>
      </c>
      <c r="D88" s="7" t="s">
        <v>99</v>
      </c>
      <c r="E88" s="7" t="s">
        <v>1642</v>
      </c>
      <c r="F88" s="7" t="s">
        <v>42</v>
      </c>
      <c r="G88" s="14">
        <v>1805</v>
      </c>
      <c r="H88" s="14">
        <v>199</v>
      </c>
      <c r="I88" s="15">
        <v>9.57</v>
      </c>
      <c r="J88" s="14">
        <v>0</v>
      </c>
      <c r="K88" s="15">
        <v>0</v>
      </c>
      <c r="L88" s="14">
        <v>32</v>
      </c>
      <c r="M88" s="14">
        <v>5</v>
      </c>
      <c r="N88" s="13"/>
      <c r="O88" s="14">
        <v>1</v>
      </c>
      <c r="P88" s="14">
        <v>211</v>
      </c>
      <c r="Q88" s="15">
        <v>10.520775623268698</v>
      </c>
      <c r="R88" s="17">
        <f>IFERROR(G88/(G88+Priors!$H$18),0)</f>
        <v>0.64349376114082002</v>
      </c>
      <c r="S88" s="13">
        <v>1</v>
      </c>
      <c r="T88" s="40" t="b">
        <v>0</v>
      </c>
      <c r="U88" s="13">
        <v>1</v>
      </c>
      <c r="V88" s="40" t="b">
        <v>0</v>
      </c>
      <c r="W88" s="13">
        <v>1</v>
      </c>
      <c r="X88" s="17">
        <f t="shared" si="8"/>
        <v>0.64349376114082002</v>
      </c>
      <c r="Y88" s="37">
        <f>VLOOKUP(D88,Priors!$A$18:$B$21,2,FALSE)</f>
        <v>8.7398272304160223</v>
      </c>
      <c r="Z88" s="38">
        <f t="shared" si="9"/>
        <v>9.2740382283123068</v>
      </c>
      <c r="AA88" s="39">
        <v>1</v>
      </c>
      <c r="AB88" s="38">
        <f t="shared" si="10"/>
        <v>9.2740382283123068</v>
      </c>
      <c r="AC88" s="37">
        <f>Priors!$K$18</f>
        <v>2.7435089299114512</v>
      </c>
      <c r="AD88" s="38" t="str">
        <f t="shared" si="11"/>
        <v/>
      </c>
      <c r="AE88" s="37">
        <f>Priors!$K$19</f>
        <v>0.67280088332719912</v>
      </c>
      <c r="AF88" s="38" t="str">
        <f t="shared" si="12"/>
        <v/>
      </c>
      <c r="AG88" s="17">
        <f t="shared" si="13"/>
        <v>0.35650623885917998</v>
      </c>
      <c r="AH88" s="7" t="s">
        <v>1643</v>
      </c>
      <c r="AI88" s="7">
        <v>10</v>
      </c>
      <c r="AJ88" s="38">
        <f t="shared" si="14"/>
        <v>0.92740382283123068</v>
      </c>
      <c r="AK88" s="9" t="b">
        <f t="shared" si="15"/>
        <v>0</v>
      </c>
      <c r="AL88" s="28" t="s">
        <v>1644</v>
      </c>
      <c r="AM88" s="28" t="s">
        <v>1645</v>
      </c>
      <c r="AN88" s="28" t="s">
        <v>1792</v>
      </c>
    </row>
    <row r="89" spans="1:40" ht="30">
      <c r="A89" s="7">
        <v>88</v>
      </c>
      <c r="B89" s="7" t="s">
        <v>361</v>
      </c>
      <c r="C89" s="7" t="s">
        <v>42</v>
      </c>
      <c r="D89" s="7" t="s">
        <v>99</v>
      </c>
      <c r="E89" s="7" t="s">
        <v>1642</v>
      </c>
      <c r="F89" s="7" t="s">
        <v>42</v>
      </c>
      <c r="G89" s="14">
        <v>3258</v>
      </c>
      <c r="H89" s="14">
        <v>264</v>
      </c>
      <c r="I89" s="15">
        <v>6.05</v>
      </c>
      <c r="J89" s="14">
        <v>0</v>
      </c>
      <c r="K89" s="15">
        <v>0</v>
      </c>
      <c r="L89" s="14">
        <v>49</v>
      </c>
      <c r="M89" s="14">
        <v>10</v>
      </c>
      <c r="N89" s="13"/>
      <c r="O89" s="14">
        <v>9</v>
      </c>
      <c r="P89" s="14">
        <v>494</v>
      </c>
      <c r="Q89" s="15">
        <v>13.646408839779005</v>
      </c>
      <c r="R89" s="17">
        <f>IFERROR(G89/(G89+Priors!$H$18),0)</f>
        <v>0.76514795678722403</v>
      </c>
      <c r="S89" s="13">
        <v>1</v>
      </c>
      <c r="T89" s="40" t="b">
        <v>0</v>
      </c>
      <c r="U89" s="13">
        <v>1</v>
      </c>
      <c r="V89" s="40" t="b">
        <v>0</v>
      </c>
      <c r="W89" s="13">
        <v>1</v>
      </c>
      <c r="X89" s="17">
        <f t="shared" si="8"/>
        <v>0.76514795678722403</v>
      </c>
      <c r="Y89" s="37">
        <f>VLOOKUP(D89,Priors!$A$18:$B$21,2,FALSE)</f>
        <v>8.7398272304160223</v>
      </c>
      <c r="Z89" s="38">
        <f t="shared" si="9"/>
        <v>6.6817114209525652</v>
      </c>
      <c r="AA89" s="39">
        <v>1</v>
      </c>
      <c r="AB89" s="38">
        <f t="shared" si="10"/>
        <v>6.6817114209525652</v>
      </c>
      <c r="AC89" s="37">
        <f>Priors!$K$18</f>
        <v>2.7435089299114512</v>
      </c>
      <c r="AD89" s="38" t="str">
        <f t="shared" si="11"/>
        <v/>
      </c>
      <c r="AE89" s="37">
        <f>Priors!$K$19</f>
        <v>0.67280088332719912</v>
      </c>
      <c r="AF89" s="38" t="str">
        <f t="shared" si="12"/>
        <v/>
      </c>
      <c r="AG89" s="17">
        <f t="shared" si="13"/>
        <v>0.23485204321277597</v>
      </c>
      <c r="AH89" s="7" t="s">
        <v>1643</v>
      </c>
      <c r="AI89" s="7">
        <v>10</v>
      </c>
      <c r="AJ89" s="38">
        <f t="shared" si="14"/>
        <v>0.66817114209525652</v>
      </c>
      <c r="AK89" s="9" t="b">
        <f t="shared" si="15"/>
        <v>0</v>
      </c>
      <c r="AL89" s="28" t="s">
        <v>1644</v>
      </c>
      <c r="AM89" s="28" t="s">
        <v>1645</v>
      </c>
      <c r="AN89" s="28" t="s">
        <v>1792</v>
      </c>
    </row>
    <row r="90" spans="1:40" ht="30">
      <c r="A90" s="7">
        <v>89</v>
      </c>
      <c r="B90" s="7" t="s">
        <v>363</v>
      </c>
      <c r="C90" s="7" t="s">
        <v>42</v>
      </c>
      <c r="D90" s="7" t="s">
        <v>99</v>
      </c>
      <c r="E90" s="7" t="s">
        <v>1642</v>
      </c>
      <c r="F90" s="7" t="s">
        <v>42</v>
      </c>
      <c r="G90" s="14">
        <v>1322</v>
      </c>
      <c r="H90" s="14">
        <v>78</v>
      </c>
      <c r="I90" s="15">
        <v>4.63</v>
      </c>
      <c r="J90" s="14">
        <v>0</v>
      </c>
      <c r="K90" s="15">
        <v>0</v>
      </c>
      <c r="L90" s="14">
        <v>22</v>
      </c>
      <c r="M90" s="14">
        <v>4</v>
      </c>
      <c r="N90" s="13"/>
      <c r="O90" s="14">
        <v>0</v>
      </c>
      <c r="P90" s="14">
        <v>144</v>
      </c>
      <c r="Q90" s="15">
        <v>9.8033282904689862</v>
      </c>
      <c r="R90" s="17">
        <f>IFERROR(G90/(G90+Priors!$H$18),0)</f>
        <v>0.56933677863910426</v>
      </c>
      <c r="S90" s="13">
        <v>1</v>
      </c>
      <c r="T90" s="40" t="b">
        <v>0</v>
      </c>
      <c r="U90" s="13">
        <v>1</v>
      </c>
      <c r="V90" s="40" t="b">
        <v>0</v>
      </c>
      <c r="W90" s="13">
        <v>1</v>
      </c>
      <c r="X90" s="17">
        <f t="shared" si="8"/>
        <v>0.56933677863910426</v>
      </c>
      <c r="Y90" s="37">
        <f>VLOOKUP(D90,Priors!$A$18:$B$21,2,FALSE)</f>
        <v>8.7398272304160223</v>
      </c>
      <c r="Z90" s="38">
        <f t="shared" si="9"/>
        <v>6.3999514342876918</v>
      </c>
      <c r="AA90" s="39">
        <v>1</v>
      </c>
      <c r="AB90" s="38">
        <f t="shared" si="10"/>
        <v>6.3999514342876918</v>
      </c>
      <c r="AC90" s="37">
        <f>Priors!$K$18</f>
        <v>2.7435089299114512</v>
      </c>
      <c r="AD90" s="38" t="str">
        <f t="shared" si="11"/>
        <v/>
      </c>
      <c r="AE90" s="37">
        <f>Priors!$K$19</f>
        <v>0.67280088332719912</v>
      </c>
      <c r="AF90" s="38" t="str">
        <f t="shared" si="12"/>
        <v/>
      </c>
      <c r="AG90" s="17">
        <f t="shared" si="13"/>
        <v>0.43066322136089574</v>
      </c>
      <c r="AH90" s="7" t="s">
        <v>1643</v>
      </c>
      <c r="AI90" s="7">
        <v>10</v>
      </c>
      <c r="AJ90" s="38">
        <f t="shared" si="14"/>
        <v>0.63999514342876918</v>
      </c>
      <c r="AK90" s="9" t="b">
        <f t="shared" si="15"/>
        <v>0</v>
      </c>
      <c r="AL90" s="28" t="s">
        <v>1644</v>
      </c>
      <c r="AM90" s="28" t="s">
        <v>1645</v>
      </c>
      <c r="AN90" s="28" t="s">
        <v>1792</v>
      </c>
    </row>
    <row r="91" spans="1:40" ht="30">
      <c r="A91" s="7">
        <v>90</v>
      </c>
      <c r="B91" s="7" t="s">
        <v>366</v>
      </c>
      <c r="C91" s="7" t="s">
        <v>42</v>
      </c>
      <c r="D91" s="7" t="s">
        <v>99</v>
      </c>
      <c r="E91" s="7" t="s">
        <v>1642</v>
      </c>
      <c r="F91" s="7" t="s">
        <v>42</v>
      </c>
      <c r="G91" s="14">
        <v>679</v>
      </c>
      <c r="H91" s="14">
        <v>58</v>
      </c>
      <c r="I91" s="15">
        <v>6.76</v>
      </c>
      <c r="J91" s="14">
        <v>0</v>
      </c>
      <c r="K91" s="15">
        <v>0</v>
      </c>
      <c r="L91" s="14">
        <v>9</v>
      </c>
      <c r="M91" s="14">
        <v>2</v>
      </c>
      <c r="N91" s="13"/>
      <c r="O91" s="14">
        <v>0</v>
      </c>
      <c r="P91" s="14">
        <v>105</v>
      </c>
      <c r="Q91" s="15">
        <v>13.917525773195877</v>
      </c>
      <c r="R91" s="17">
        <f>IFERROR(G91/(G91+Priors!$H$18),0)</f>
        <v>0.40440738534842169</v>
      </c>
      <c r="S91" s="13">
        <v>1</v>
      </c>
      <c r="T91" s="40" t="b">
        <v>0</v>
      </c>
      <c r="U91" s="13">
        <v>1</v>
      </c>
      <c r="V91" s="40" t="b">
        <v>0</v>
      </c>
      <c r="W91" s="13">
        <v>1</v>
      </c>
      <c r="X91" s="17">
        <f t="shared" si="8"/>
        <v>0.40440738534842169</v>
      </c>
      <c r="Y91" s="37">
        <f>VLOOKUP(D91,Priors!$A$18:$B$21,2,FALSE)</f>
        <v>8.7398272304160223</v>
      </c>
      <c r="Z91" s="38">
        <f t="shared" si="9"/>
        <v>7.9391704767218716</v>
      </c>
      <c r="AA91" s="39">
        <v>1</v>
      </c>
      <c r="AB91" s="38">
        <f t="shared" si="10"/>
        <v>7.9391704767218716</v>
      </c>
      <c r="AC91" s="37">
        <f>Priors!$K$18</f>
        <v>2.7435089299114512</v>
      </c>
      <c r="AD91" s="38" t="str">
        <f t="shared" si="11"/>
        <v/>
      </c>
      <c r="AE91" s="37">
        <f>Priors!$K$19</f>
        <v>0.67280088332719912</v>
      </c>
      <c r="AF91" s="38" t="str">
        <f t="shared" si="12"/>
        <v/>
      </c>
      <c r="AG91" s="17">
        <f t="shared" si="13"/>
        <v>0.59559261465157831</v>
      </c>
      <c r="AH91" s="7" t="s">
        <v>1643</v>
      </c>
      <c r="AI91" s="7">
        <v>10</v>
      </c>
      <c r="AJ91" s="38">
        <f t="shared" si="14"/>
        <v>0.79391704767218718</v>
      </c>
      <c r="AK91" s="9" t="b">
        <f t="shared" si="15"/>
        <v>1</v>
      </c>
      <c r="AL91" s="28" t="s">
        <v>1644</v>
      </c>
      <c r="AM91" s="28" t="s">
        <v>1645</v>
      </c>
      <c r="AN91" s="28" t="s">
        <v>1792</v>
      </c>
    </row>
    <row r="92" spans="1:40" ht="30">
      <c r="A92" s="7">
        <v>91</v>
      </c>
      <c r="B92" s="7" t="s">
        <v>369</v>
      </c>
      <c r="C92" s="7" t="s">
        <v>42</v>
      </c>
      <c r="D92" s="7" t="s">
        <v>99</v>
      </c>
      <c r="E92" s="7" t="s">
        <v>1642</v>
      </c>
      <c r="F92" s="7" t="s">
        <v>42</v>
      </c>
      <c r="G92" s="14">
        <v>318</v>
      </c>
      <c r="H92" s="14">
        <v>46</v>
      </c>
      <c r="I92" s="15">
        <v>11.89</v>
      </c>
      <c r="J92" s="14">
        <v>0</v>
      </c>
      <c r="K92" s="15">
        <v>0</v>
      </c>
      <c r="L92" s="14">
        <v>5</v>
      </c>
      <c r="M92" s="14">
        <v>1</v>
      </c>
      <c r="N92" s="13"/>
      <c r="O92" s="14">
        <v>2</v>
      </c>
      <c r="P92" s="14">
        <v>53</v>
      </c>
      <c r="Q92" s="15">
        <v>15</v>
      </c>
      <c r="R92" s="17">
        <f>IFERROR(G92/(G92+Priors!$H$18),0)</f>
        <v>0.24127465857359637</v>
      </c>
      <c r="S92" s="13">
        <v>1</v>
      </c>
      <c r="T92" s="40" t="b">
        <v>0</v>
      </c>
      <c r="U92" s="13">
        <v>1</v>
      </c>
      <c r="V92" s="40" t="b">
        <v>0</v>
      </c>
      <c r="W92" s="13">
        <v>1</v>
      </c>
      <c r="X92" s="17">
        <f t="shared" si="8"/>
        <v>0.24127465857359637</v>
      </c>
      <c r="Y92" s="37">
        <f>VLOOKUP(D92,Priors!$A$18:$B$21,2,FALSE)</f>
        <v>8.7398272304160223</v>
      </c>
      <c r="Z92" s="38">
        <f t="shared" si="9"/>
        <v>9.4998840898452386</v>
      </c>
      <c r="AA92" s="39">
        <v>1</v>
      </c>
      <c r="AB92" s="38">
        <f t="shared" si="10"/>
        <v>9.4998840898452386</v>
      </c>
      <c r="AC92" s="37">
        <f>Priors!$K$18</f>
        <v>2.7435089299114512</v>
      </c>
      <c r="AD92" s="38" t="str">
        <f t="shared" si="11"/>
        <v/>
      </c>
      <c r="AE92" s="37">
        <f>Priors!$K$19</f>
        <v>0.67280088332719912</v>
      </c>
      <c r="AF92" s="38" t="str">
        <f t="shared" si="12"/>
        <v/>
      </c>
      <c r="AG92" s="17">
        <f t="shared" si="13"/>
        <v>0.75872534142640369</v>
      </c>
      <c r="AH92" s="7" t="s">
        <v>1643</v>
      </c>
      <c r="AI92" s="7">
        <v>10</v>
      </c>
      <c r="AJ92" s="38">
        <f t="shared" si="14"/>
        <v>0.94998840898452386</v>
      </c>
      <c r="AK92" s="9" t="b">
        <f t="shared" si="15"/>
        <v>1</v>
      </c>
      <c r="AL92" s="28" t="s">
        <v>1644</v>
      </c>
      <c r="AM92" s="28" t="s">
        <v>1645</v>
      </c>
      <c r="AN92" s="28" t="s">
        <v>1792</v>
      </c>
    </row>
    <row r="93" spans="1:40" ht="30">
      <c r="A93" s="7">
        <v>92</v>
      </c>
      <c r="B93" s="7" t="s">
        <v>372</v>
      </c>
      <c r="C93" s="7" t="s">
        <v>42</v>
      </c>
      <c r="D93" s="7" t="s">
        <v>99</v>
      </c>
      <c r="E93" s="7" t="s">
        <v>1642</v>
      </c>
      <c r="F93" s="7" t="s">
        <v>42</v>
      </c>
      <c r="G93" s="14">
        <v>0</v>
      </c>
      <c r="H93" s="14">
        <v>0</v>
      </c>
      <c r="I93" s="15">
        <v>0</v>
      </c>
      <c r="J93" s="14">
        <v>0</v>
      </c>
      <c r="K93" s="15">
        <v>0</v>
      </c>
      <c r="L93" s="14">
        <v>0</v>
      </c>
      <c r="M93" s="14">
        <v>0</v>
      </c>
      <c r="N93" s="13"/>
      <c r="O93" s="14">
        <v>0</v>
      </c>
      <c r="P93" s="14">
        <v>0</v>
      </c>
      <c r="Q93" s="15">
        <v>0</v>
      </c>
      <c r="R93" s="17">
        <f>IFERROR(G93/(G93+Priors!$H$18),0)</f>
        <v>0</v>
      </c>
      <c r="S93" s="13">
        <v>1</v>
      </c>
      <c r="T93" s="40" t="b">
        <v>0</v>
      </c>
      <c r="U93" s="13">
        <v>1</v>
      </c>
      <c r="V93" s="40" t="b">
        <v>0</v>
      </c>
      <c r="W93" s="13">
        <v>1</v>
      </c>
      <c r="X93" s="17">
        <f t="shared" si="8"/>
        <v>0</v>
      </c>
      <c r="Y93" s="37">
        <f>VLOOKUP(D93,Priors!$A$18:$B$21,2,FALSE)</f>
        <v>8.7398272304160223</v>
      </c>
      <c r="Z93" s="38">
        <f t="shared" si="9"/>
        <v>8.7398272304160223</v>
      </c>
      <c r="AA93" s="39">
        <v>1</v>
      </c>
      <c r="AB93" s="38">
        <f t="shared" si="10"/>
        <v>8.7398272304160223</v>
      </c>
      <c r="AC93" s="37">
        <f>Priors!$K$18</f>
        <v>2.7435089299114512</v>
      </c>
      <c r="AD93" s="38" t="str">
        <f t="shared" si="11"/>
        <v/>
      </c>
      <c r="AE93" s="37">
        <f>Priors!$K$19</f>
        <v>0.67280088332719912</v>
      </c>
      <c r="AF93" s="38" t="str">
        <f t="shared" si="12"/>
        <v/>
      </c>
      <c r="AG93" s="17">
        <f t="shared" si="13"/>
        <v>1</v>
      </c>
      <c r="AH93" s="7" t="s">
        <v>1643</v>
      </c>
      <c r="AI93" s="7">
        <v>10</v>
      </c>
      <c r="AJ93" s="38">
        <f t="shared" si="14"/>
        <v>0.87398272304160218</v>
      </c>
      <c r="AK93" s="9" t="b">
        <f t="shared" si="15"/>
        <v>1</v>
      </c>
      <c r="AL93" s="28" t="s">
        <v>1644</v>
      </c>
      <c r="AM93" s="28" t="s">
        <v>1645</v>
      </c>
      <c r="AN93" s="28" t="s">
        <v>1792</v>
      </c>
    </row>
    <row r="94" spans="1:40" ht="30">
      <c r="A94" s="7">
        <v>93</v>
      </c>
      <c r="B94" s="7" t="s">
        <v>375</v>
      </c>
      <c r="C94" s="7" t="s">
        <v>42</v>
      </c>
      <c r="D94" s="7" t="s">
        <v>99</v>
      </c>
      <c r="E94" s="7" t="s">
        <v>1647</v>
      </c>
      <c r="F94" s="7"/>
      <c r="G94" s="14">
        <v>0</v>
      </c>
      <c r="H94" s="14"/>
      <c r="I94" s="15"/>
      <c r="J94" s="14"/>
      <c r="K94" s="15"/>
      <c r="L94" s="14"/>
      <c r="M94" s="14"/>
      <c r="N94" s="13"/>
      <c r="O94" s="14"/>
      <c r="P94" s="14"/>
      <c r="Q94" s="15"/>
      <c r="R94" s="17">
        <f>IFERROR(G94/(G94+Priors!$H$18),0)</f>
        <v>0</v>
      </c>
      <c r="S94" s="13">
        <v>0</v>
      </c>
      <c r="T94" s="40" t="b">
        <v>0</v>
      </c>
      <c r="U94" s="13">
        <v>1</v>
      </c>
      <c r="V94" s="40" t="b">
        <v>0</v>
      </c>
      <c r="W94" s="13">
        <v>1</v>
      </c>
      <c r="X94" s="17">
        <f t="shared" si="8"/>
        <v>0</v>
      </c>
      <c r="Y94" s="37">
        <f>VLOOKUP(D94,Priors!$A$18:$B$21,2,FALSE)</f>
        <v>8.7398272304160223</v>
      </c>
      <c r="Z94" s="38">
        <f t="shared" si="9"/>
        <v>8.7398272304160223</v>
      </c>
      <c r="AA94" s="39">
        <v>1</v>
      </c>
      <c r="AB94" s="38">
        <f t="shared" si="10"/>
        <v>8.7398272304160223</v>
      </c>
      <c r="AC94" s="37">
        <f>Priors!$K$18</f>
        <v>2.7435089299114512</v>
      </c>
      <c r="AD94" s="38" t="str">
        <f t="shared" si="11"/>
        <v/>
      </c>
      <c r="AE94" s="37">
        <f>Priors!$K$19</f>
        <v>0.67280088332719912</v>
      </c>
      <c r="AF94" s="38" t="str">
        <f t="shared" si="12"/>
        <v/>
      </c>
      <c r="AG94" s="17">
        <f t="shared" si="13"/>
        <v>1</v>
      </c>
      <c r="AH94" s="7" t="s">
        <v>1793</v>
      </c>
      <c r="AI94" s="7">
        <v>10</v>
      </c>
      <c r="AJ94" s="38">
        <f t="shared" si="14"/>
        <v>0.87398272304160218</v>
      </c>
      <c r="AK94" s="9" t="b">
        <f t="shared" si="15"/>
        <v>1</v>
      </c>
      <c r="AL94" s="28" t="s">
        <v>1794</v>
      </c>
      <c r="AM94" s="28"/>
      <c r="AN94" s="28" t="s">
        <v>1792</v>
      </c>
    </row>
    <row r="95" spans="1:40" ht="30">
      <c r="A95" s="7">
        <v>94</v>
      </c>
      <c r="B95" s="7" t="s">
        <v>378</v>
      </c>
      <c r="C95" s="7" t="s">
        <v>42</v>
      </c>
      <c r="D95" s="7" t="s">
        <v>112</v>
      </c>
      <c r="E95" s="7" t="s">
        <v>1642</v>
      </c>
      <c r="F95" s="7" t="s">
        <v>42</v>
      </c>
      <c r="G95" s="14">
        <v>2744</v>
      </c>
      <c r="H95" s="14">
        <v>190</v>
      </c>
      <c r="I95" s="15">
        <v>6.23</v>
      </c>
      <c r="J95" s="14">
        <v>0</v>
      </c>
      <c r="K95" s="15">
        <v>0</v>
      </c>
      <c r="L95" s="14">
        <v>34</v>
      </c>
      <c r="M95" s="14">
        <v>11</v>
      </c>
      <c r="N95" s="13"/>
      <c r="O95" s="14">
        <v>5</v>
      </c>
      <c r="P95" s="14">
        <v>385</v>
      </c>
      <c r="Q95" s="15">
        <v>12.627551020408163</v>
      </c>
      <c r="R95" s="17">
        <f>IFERROR(G95/(G95+Priors!$H$18),0)</f>
        <v>0.73290598290598286</v>
      </c>
      <c r="S95" s="13">
        <v>1</v>
      </c>
      <c r="T95" s="40" t="b">
        <v>0</v>
      </c>
      <c r="U95" s="13">
        <v>1</v>
      </c>
      <c r="V95" s="40" t="b">
        <v>0</v>
      </c>
      <c r="W95" s="13">
        <v>1</v>
      </c>
      <c r="X95" s="17">
        <f t="shared" si="8"/>
        <v>0.73290598290598286</v>
      </c>
      <c r="Y95" s="37">
        <f>VLOOKUP(D95,Priors!$A$18:$B$21,2,FALSE)</f>
        <v>8.4555315342179806</v>
      </c>
      <c r="Z95" s="38">
        <f t="shared" si="9"/>
        <v>6.8244261576436926</v>
      </c>
      <c r="AA95" s="39">
        <v>1</v>
      </c>
      <c r="AB95" s="38">
        <f t="shared" si="10"/>
        <v>6.8244261576436926</v>
      </c>
      <c r="AC95" s="37">
        <f>Priors!$K$18</f>
        <v>2.7435089299114512</v>
      </c>
      <c r="AD95" s="38" t="str">
        <f t="shared" si="11"/>
        <v/>
      </c>
      <c r="AE95" s="37">
        <f>Priors!$K$19</f>
        <v>0.67280088332719912</v>
      </c>
      <c r="AF95" s="38" t="str">
        <f t="shared" si="12"/>
        <v/>
      </c>
      <c r="AG95" s="17">
        <f t="shared" si="13"/>
        <v>0.26709401709401714</v>
      </c>
      <c r="AH95" s="7" t="s">
        <v>1643</v>
      </c>
      <c r="AI95" s="7">
        <v>12</v>
      </c>
      <c r="AJ95" s="38">
        <f t="shared" si="14"/>
        <v>0.56870217980364102</v>
      </c>
      <c r="AK95" s="9" t="b">
        <f t="shared" si="15"/>
        <v>0</v>
      </c>
      <c r="AL95" s="28" t="s">
        <v>1644</v>
      </c>
      <c r="AM95" s="28" t="s">
        <v>1645</v>
      </c>
      <c r="AN95" s="28" t="s">
        <v>1792</v>
      </c>
    </row>
    <row r="96" spans="1:40" ht="30">
      <c r="A96" s="7">
        <v>95</v>
      </c>
      <c r="B96" s="7" t="s">
        <v>380</v>
      </c>
      <c r="C96" s="7" t="s">
        <v>42</v>
      </c>
      <c r="D96" s="7" t="s">
        <v>112</v>
      </c>
      <c r="E96" s="7" t="s">
        <v>1642</v>
      </c>
      <c r="F96" s="7" t="s">
        <v>42</v>
      </c>
      <c r="G96" s="14">
        <v>2271</v>
      </c>
      <c r="H96" s="14">
        <v>185</v>
      </c>
      <c r="I96" s="15">
        <v>7.33</v>
      </c>
      <c r="J96" s="14">
        <v>0</v>
      </c>
      <c r="K96" s="15">
        <v>0</v>
      </c>
      <c r="L96" s="14">
        <v>35</v>
      </c>
      <c r="M96" s="14">
        <v>6</v>
      </c>
      <c r="N96" s="13"/>
      <c r="O96" s="14">
        <v>16</v>
      </c>
      <c r="P96" s="14">
        <v>429</v>
      </c>
      <c r="Q96" s="15">
        <v>17.00132100396301</v>
      </c>
      <c r="R96" s="17">
        <f>IFERROR(G96/(G96+Priors!$H$18),0)</f>
        <v>0.69428309385509024</v>
      </c>
      <c r="S96" s="13">
        <v>1</v>
      </c>
      <c r="T96" s="40" t="b">
        <v>0</v>
      </c>
      <c r="U96" s="13">
        <v>1</v>
      </c>
      <c r="V96" s="40" t="b">
        <v>0</v>
      </c>
      <c r="W96" s="13">
        <v>1</v>
      </c>
      <c r="X96" s="17">
        <f t="shared" si="8"/>
        <v>0.69428309385509024</v>
      </c>
      <c r="Y96" s="37">
        <f>VLOOKUP(D96,Priors!$A$18:$B$21,2,FALSE)</f>
        <v>8.4555315342179806</v>
      </c>
      <c r="Z96" s="38">
        <f t="shared" si="9"/>
        <v>7.6740940184096544</v>
      </c>
      <c r="AA96" s="39">
        <v>1</v>
      </c>
      <c r="AB96" s="38">
        <f t="shared" si="10"/>
        <v>7.6740940184096544</v>
      </c>
      <c r="AC96" s="37">
        <f>Priors!$K$18</f>
        <v>2.7435089299114512</v>
      </c>
      <c r="AD96" s="38" t="str">
        <f t="shared" si="11"/>
        <v/>
      </c>
      <c r="AE96" s="37">
        <f>Priors!$K$19</f>
        <v>0.67280088332719912</v>
      </c>
      <c r="AF96" s="38" t="str">
        <f t="shared" si="12"/>
        <v/>
      </c>
      <c r="AG96" s="17">
        <f t="shared" si="13"/>
        <v>0.30571690614490976</v>
      </c>
      <c r="AH96" s="7" t="s">
        <v>1643</v>
      </c>
      <c r="AI96" s="7">
        <v>12</v>
      </c>
      <c r="AJ96" s="38">
        <f t="shared" si="14"/>
        <v>0.6395078348674712</v>
      </c>
      <c r="AK96" s="9" t="b">
        <f t="shared" si="15"/>
        <v>0</v>
      </c>
      <c r="AL96" s="28" t="s">
        <v>1644</v>
      </c>
      <c r="AM96" s="28" t="s">
        <v>1645</v>
      </c>
      <c r="AN96" s="28" t="s">
        <v>1792</v>
      </c>
    </row>
    <row r="97" spans="1:40" ht="30">
      <c r="A97" s="7">
        <v>96</v>
      </c>
      <c r="B97" s="7" t="s">
        <v>383</v>
      </c>
      <c r="C97" s="7" t="s">
        <v>42</v>
      </c>
      <c r="D97" s="7" t="s">
        <v>112</v>
      </c>
      <c r="E97" s="7" t="s">
        <v>1642</v>
      </c>
      <c r="F97" s="7" t="s">
        <v>42</v>
      </c>
      <c r="G97" s="14">
        <v>2046</v>
      </c>
      <c r="H97" s="14">
        <v>241</v>
      </c>
      <c r="I97" s="15">
        <v>10.6</v>
      </c>
      <c r="J97" s="14">
        <v>0</v>
      </c>
      <c r="K97" s="15">
        <v>0</v>
      </c>
      <c r="L97" s="14">
        <v>32</v>
      </c>
      <c r="M97" s="14">
        <v>5</v>
      </c>
      <c r="N97" s="13"/>
      <c r="O97" s="14">
        <v>9</v>
      </c>
      <c r="P97" s="14">
        <v>467</v>
      </c>
      <c r="Q97" s="15">
        <v>20.542521994134898</v>
      </c>
      <c r="R97" s="17">
        <f>IFERROR(G97/(G97+Priors!$H$18),0)</f>
        <v>0.6717005909389363</v>
      </c>
      <c r="S97" s="13">
        <v>1</v>
      </c>
      <c r="T97" s="40" t="b">
        <v>0</v>
      </c>
      <c r="U97" s="13">
        <v>1</v>
      </c>
      <c r="V97" s="40" t="b">
        <v>0</v>
      </c>
      <c r="W97" s="13">
        <v>1</v>
      </c>
      <c r="X97" s="17">
        <f t="shared" si="8"/>
        <v>0.6717005909389363</v>
      </c>
      <c r="Y97" s="37">
        <f>VLOOKUP(D97,Priors!$A$18:$B$21,2,FALSE)</f>
        <v>8.4555315342179806</v>
      </c>
      <c r="Z97" s="38">
        <f t="shared" si="9"/>
        <v>9.8959722699336776</v>
      </c>
      <c r="AA97" s="39">
        <v>1</v>
      </c>
      <c r="AB97" s="38">
        <f t="shared" si="10"/>
        <v>9.8959722699336776</v>
      </c>
      <c r="AC97" s="37">
        <f>Priors!$K$18</f>
        <v>2.7435089299114512</v>
      </c>
      <c r="AD97" s="38" t="str">
        <f t="shared" si="11"/>
        <v/>
      </c>
      <c r="AE97" s="37">
        <f>Priors!$K$19</f>
        <v>0.67280088332719912</v>
      </c>
      <c r="AF97" s="38" t="str">
        <f t="shared" si="12"/>
        <v/>
      </c>
      <c r="AG97" s="17">
        <f t="shared" si="13"/>
        <v>0.3282994090610637</v>
      </c>
      <c r="AH97" s="7" t="s">
        <v>1643</v>
      </c>
      <c r="AI97" s="7">
        <v>12</v>
      </c>
      <c r="AJ97" s="38">
        <f t="shared" si="14"/>
        <v>0.82466435582780651</v>
      </c>
      <c r="AK97" s="9" t="b">
        <f t="shared" si="15"/>
        <v>0</v>
      </c>
      <c r="AL97" s="28" t="s">
        <v>1644</v>
      </c>
      <c r="AM97" s="28" t="s">
        <v>1645</v>
      </c>
      <c r="AN97" s="28" t="s">
        <v>1792</v>
      </c>
    </row>
    <row r="98" spans="1:40" ht="30">
      <c r="A98" s="7">
        <v>97</v>
      </c>
      <c r="B98" s="7" t="s">
        <v>386</v>
      </c>
      <c r="C98" s="7" t="s">
        <v>42</v>
      </c>
      <c r="D98" s="7" t="s">
        <v>112</v>
      </c>
      <c r="E98" s="7" t="s">
        <v>1642</v>
      </c>
      <c r="F98" s="7" t="s">
        <v>42</v>
      </c>
      <c r="G98" s="14">
        <v>2239</v>
      </c>
      <c r="H98" s="14">
        <v>220</v>
      </c>
      <c r="I98" s="15">
        <v>8.84</v>
      </c>
      <c r="J98" s="14">
        <v>0</v>
      </c>
      <c r="K98" s="15">
        <v>0</v>
      </c>
      <c r="L98" s="14">
        <v>33</v>
      </c>
      <c r="M98" s="14">
        <v>9</v>
      </c>
      <c r="N98" s="13"/>
      <c r="O98" s="14">
        <v>1</v>
      </c>
      <c r="P98" s="14">
        <v>465</v>
      </c>
      <c r="Q98" s="15">
        <v>18.691380080393031</v>
      </c>
      <c r="R98" s="17">
        <f>IFERROR(G98/(G98+Priors!$H$18),0)</f>
        <v>0.69126273541216421</v>
      </c>
      <c r="S98" s="13">
        <v>1</v>
      </c>
      <c r="T98" s="40" t="b">
        <v>0</v>
      </c>
      <c r="U98" s="13">
        <v>1</v>
      </c>
      <c r="V98" s="40" t="b">
        <v>0</v>
      </c>
      <c r="W98" s="13">
        <v>1</v>
      </c>
      <c r="X98" s="17">
        <f t="shared" si="8"/>
        <v>0.69126273541216421</v>
      </c>
      <c r="Y98" s="37">
        <f>VLOOKUP(D98,Priors!$A$18:$B$21,2,FALSE)</f>
        <v>8.4555315342179806</v>
      </c>
      <c r="Z98" s="38">
        <f t="shared" si="9"/>
        <v>8.7213002575541765</v>
      </c>
      <c r="AA98" s="39">
        <v>1</v>
      </c>
      <c r="AB98" s="38">
        <f t="shared" si="10"/>
        <v>8.7213002575541765</v>
      </c>
      <c r="AC98" s="37">
        <f>Priors!$K$18</f>
        <v>2.7435089299114512</v>
      </c>
      <c r="AD98" s="38" t="str">
        <f t="shared" si="11"/>
        <v/>
      </c>
      <c r="AE98" s="37">
        <f>Priors!$K$19</f>
        <v>0.67280088332719912</v>
      </c>
      <c r="AF98" s="38" t="str">
        <f t="shared" si="12"/>
        <v/>
      </c>
      <c r="AG98" s="17">
        <f t="shared" si="13"/>
        <v>0.30873726458783579</v>
      </c>
      <c r="AH98" s="7" t="s">
        <v>1643</v>
      </c>
      <c r="AI98" s="7">
        <v>12</v>
      </c>
      <c r="AJ98" s="38">
        <f t="shared" si="14"/>
        <v>0.726775021462848</v>
      </c>
      <c r="AK98" s="9" t="b">
        <f t="shared" si="15"/>
        <v>0</v>
      </c>
      <c r="AL98" s="28" t="s">
        <v>1644</v>
      </c>
      <c r="AM98" s="28" t="s">
        <v>1645</v>
      </c>
      <c r="AN98" s="28" t="s">
        <v>1792</v>
      </c>
    </row>
    <row r="99" spans="1:40" ht="30">
      <c r="A99" s="7">
        <v>98</v>
      </c>
      <c r="B99" s="7" t="s">
        <v>389</v>
      </c>
      <c r="C99" s="7" t="s">
        <v>42</v>
      </c>
      <c r="D99" s="7" t="s">
        <v>112</v>
      </c>
      <c r="E99" s="7" t="s">
        <v>1642</v>
      </c>
      <c r="F99" s="7" t="s">
        <v>42</v>
      </c>
      <c r="G99" s="14">
        <v>1434</v>
      </c>
      <c r="H99" s="14">
        <v>183</v>
      </c>
      <c r="I99" s="15">
        <v>11.49</v>
      </c>
      <c r="J99" s="14">
        <v>0</v>
      </c>
      <c r="K99" s="15">
        <v>0</v>
      </c>
      <c r="L99" s="14">
        <v>21</v>
      </c>
      <c r="M99" s="14">
        <v>5</v>
      </c>
      <c r="N99" s="13"/>
      <c r="O99" s="14">
        <v>6</v>
      </c>
      <c r="P99" s="14">
        <v>334</v>
      </c>
      <c r="Q99" s="15">
        <v>20.96234309623431</v>
      </c>
      <c r="R99" s="17">
        <f>IFERROR(G99/(G99+Priors!$H$18),0)</f>
        <v>0.58915365653245688</v>
      </c>
      <c r="S99" s="13">
        <v>1</v>
      </c>
      <c r="T99" s="40" t="b">
        <v>0</v>
      </c>
      <c r="U99" s="13">
        <v>1</v>
      </c>
      <c r="V99" s="40" t="b">
        <v>0</v>
      </c>
      <c r="W99" s="13">
        <v>1</v>
      </c>
      <c r="X99" s="17">
        <f t="shared" si="8"/>
        <v>0.58915365653245688</v>
      </c>
      <c r="Y99" s="37">
        <f>VLOOKUP(D99,Priors!$A$18:$B$21,2,FALSE)</f>
        <v>8.4555315342179806</v>
      </c>
      <c r="Z99" s="38">
        <f t="shared" si="9"/>
        <v>10.243299726465892</v>
      </c>
      <c r="AA99" s="39">
        <v>1</v>
      </c>
      <c r="AB99" s="38">
        <f t="shared" si="10"/>
        <v>10.243299726465892</v>
      </c>
      <c r="AC99" s="37">
        <f>Priors!$K$18</f>
        <v>2.7435089299114512</v>
      </c>
      <c r="AD99" s="38" t="str">
        <f t="shared" si="11"/>
        <v/>
      </c>
      <c r="AE99" s="37">
        <f>Priors!$K$19</f>
        <v>0.67280088332719912</v>
      </c>
      <c r="AF99" s="38" t="str">
        <f t="shared" si="12"/>
        <v/>
      </c>
      <c r="AG99" s="17">
        <f t="shared" si="13"/>
        <v>0.41084634346754312</v>
      </c>
      <c r="AH99" s="7" t="s">
        <v>1643</v>
      </c>
      <c r="AI99" s="7">
        <v>12</v>
      </c>
      <c r="AJ99" s="38">
        <f t="shared" si="14"/>
        <v>0.85360831053882436</v>
      </c>
      <c r="AK99" s="9" t="b">
        <f t="shared" si="15"/>
        <v>0</v>
      </c>
      <c r="AL99" s="28" t="s">
        <v>1644</v>
      </c>
      <c r="AM99" s="28" t="s">
        <v>1645</v>
      </c>
      <c r="AN99" s="28" t="s">
        <v>1792</v>
      </c>
    </row>
    <row r="100" spans="1:40" ht="30">
      <c r="A100" s="7">
        <v>99</v>
      </c>
      <c r="B100" s="7" t="s">
        <v>392</v>
      </c>
      <c r="C100" s="7" t="s">
        <v>42</v>
      </c>
      <c r="D100" s="7" t="s">
        <v>112</v>
      </c>
      <c r="E100" s="7" t="s">
        <v>1642</v>
      </c>
      <c r="F100" s="7" t="s">
        <v>42</v>
      </c>
      <c r="G100" s="14">
        <v>45</v>
      </c>
      <c r="H100" s="14">
        <v>4</v>
      </c>
      <c r="I100" s="15">
        <v>8</v>
      </c>
      <c r="J100" s="14">
        <v>0</v>
      </c>
      <c r="K100" s="15">
        <v>0</v>
      </c>
      <c r="L100" s="14">
        <v>3</v>
      </c>
      <c r="M100" s="14">
        <v>0</v>
      </c>
      <c r="N100" s="13"/>
      <c r="O100" s="14">
        <v>0</v>
      </c>
      <c r="P100" s="14">
        <v>5</v>
      </c>
      <c r="Q100" s="15">
        <v>10</v>
      </c>
      <c r="R100" s="17">
        <f>IFERROR(G100/(G100+Priors!$H$18),0)</f>
        <v>4.3062200956937802E-2</v>
      </c>
      <c r="S100" s="13">
        <v>1</v>
      </c>
      <c r="T100" s="40" t="b">
        <v>0</v>
      </c>
      <c r="U100" s="13">
        <v>1</v>
      </c>
      <c r="V100" s="40" t="b">
        <v>0</v>
      </c>
      <c r="W100" s="13">
        <v>1</v>
      </c>
      <c r="X100" s="17">
        <f t="shared" si="8"/>
        <v>4.3062200956937802E-2</v>
      </c>
      <c r="Y100" s="37">
        <f>VLOOKUP(D100,Priors!$A$18:$B$21,2,FALSE)</f>
        <v>8.4555315342179806</v>
      </c>
      <c r="Z100" s="38">
        <f t="shared" si="9"/>
        <v>8.4359153437492651</v>
      </c>
      <c r="AA100" s="39">
        <v>1</v>
      </c>
      <c r="AB100" s="38">
        <f t="shared" si="10"/>
        <v>8.4359153437492651</v>
      </c>
      <c r="AC100" s="37">
        <f>Priors!$K$18</f>
        <v>2.7435089299114512</v>
      </c>
      <c r="AD100" s="38" t="str">
        <f t="shared" si="11"/>
        <v/>
      </c>
      <c r="AE100" s="37">
        <f>Priors!$K$19</f>
        <v>0.67280088332719912</v>
      </c>
      <c r="AF100" s="38" t="str">
        <f t="shared" si="12"/>
        <v/>
      </c>
      <c r="AG100" s="17">
        <f t="shared" si="13"/>
        <v>0.9569377990430622</v>
      </c>
      <c r="AH100" s="7" t="s">
        <v>1643</v>
      </c>
      <c r="AI100" s="7">
        <v>12</v>
      </c>
      <c r="AJ100" s="38">
        <f t="shared" si="14"/>
        <v>0.70299294531243872</v>
      </c>
      <c r="AK100" s="9" t="b">
        <f t="shared" si="15"/>
        <v>1</v>
      </c>
      <c r="AL100" s="28" t="s">
        <v>1644</v>
      </c>
      <c r="AM100" s="28" t="s">
        <v>1645</v>
      </c>
      <c r="AN100" s="28" t="s">
        <v>1792</v>
      </c>
    </row>
    <row r="101" spans="1:40" ht="30">
      <c r="A101" s="7">
        <v>100</v>
      </c>
      <c r="B101" s="7" t="s">
        <v>395</v>
      </c>
      <c r="C101" s="7" t="s">
        <v>42</v>
      </c>
      <c r="D101" s="7" t="s">
        <v>112</v>
      </c>
      <c r="E101" s="7" t="s">
        <v>1642</v>
      </c>
      <c r="F101" s="7" t="s">
        <v>42</v>
      </c>
      <c r="G101" s="14">
        <v>100</v>
      </c>
      <c r="H101" s="14">
        <v>8</v>
      </c>
      <c r="I101" s="15">
        <v>7.2</v>
      </c>
      <c r="J101" s="14">
        <v>0</v>
      </c>
      <c r="K101" s="15">
        <v>0</v>
      </c>
      <c r="L101" s="14">
        <v>4</v>
      </c>
      <c r="M101" s="14">
        <v>0</v>
      </c>
      <c r="N101" s="13"/>
      <c r="O101" s="14">
        <v>1</v>
      </c>
      <c r="P101" s="14">
        <v>42</v>
      </c>
      <c r="Q101" s="15">
        <v>37.799999999999997</v>
      </c>
      <c r="R101" s="17">
        <f>IFERROR(G101/(G101+Priors!$H$18),0)</f>
        <v>9.0909090909090912E-2</v>
      </c>
      <c r="S101" s="13">
        <v>1</v>
      </c>
      <c r="T101" s="40" t="b">
        <v>0</v>
      </c>
      <c r="U101" s="13">
        <v>1</v>
      </c>
      <c r="V101" s="40" t="b">
        <v>0</v>
      </c>
      <c r="W101" s="13">
        <v>1</v>
      </c>
      <c r="X101" s="17">
        <f t="shared" si="8"/>
        <v>9.0909090909090912E-2</v>
      </c>
      <c r="Y101" s="37">
        <f>VLOOKUP(D101,Priors!$A$18:$B$21,2,FALSE)</f>
        <v>8.4555315342179806</v>
      </c>
      <c r="Z101" s="38">
        <f t="shared" si="9"/>
        <v>8.3413923038345281</v>
      </c>
      <c r="AA101" s="39">
        <v>1</v>
      </c>
      <c r="AB101" s="38">
        <f t="shared" si="10"/>
        <v>8.3413923038345281</v>
      </c>
      <c r="AC101" s="37">
        <f>Priors!$K$18</f>
        <v>2.7435089299114512</v>
      </c>
      <c r="AD101" s="38" t="str">
        <f t="shared" si="11"/>
        <v/>
      </c>
      <c r="AE101" s="37">
        <f>Priors!$K$19</f>
        <v>0.67280088332719912</v>
      </c>
      <c r="AF101" s="38" t="str">
        <f t="shared" si="12"/>
        <v/>
      </c>
      <c r="AG101" s="17">
        <f t="shared" si="13"/>
        <v>0.90909090909090906</v>
      </c>
      <c r="AH101" s="7" t="s">
        <v>1643</v>
      </c>
      <c r="AI101" s="7">
        <v>12</v>
      </c>
      <c r="AJ101" s="38">
        <f t="shared" si="14"/>
        <v>0.69511602531954397</v>
      </c>
      <c r="AK101" s="9" t="b">
        <f t="shared" si="15"/>
        <v>1</v>
      </c>
      <c r="AL101" s="28" t="s">
        <v>1644</v>
      </c>
      <c r="AM101" s="28" t="s">
        <v>1645</v>
      </c>
      <c r="AN101" s="28" t="s">
        <v>1792</v>
      </c>
    </row>
    <row r="102" spans="1:40" ht="30">
      <c r="A102" s="7">
        <v>101</v>
      </c>
      <c r="B102" s="7" t="s">
        <v>398</v>
      </c>
      <c r="C102" s="7" t="s">
        <v>42</v>
      </c>
      <c r="D102" s="7" t="s">
        <v>112</v>
      </c>
      <c r="E102" s="7" t="s">
        <v>1642</v>
      </c>
      <c r="F102" s="7" t="s">
        <v>42</v>
      </c>
      <c r="G102" s="14">
        <v>1911</v>
      </c>
      <c r="H102" s="14">
        <v>183</v>
      </c>
      <c r="I102" s="15">
        <v>8.6199999999999992</v>
      </c>
      <c r="J102" s="14">
        <v>0</v>
      </c>
      <c r="K102" s="15">
        <v>0</v>
      </c>
      <c r="L102" s="14">
        <v>28</v>
      </c>
      <c r="M102" s="14">
        <v>6</v>
      </c>
      <c r="N102" s="13"/>
      <c r="O102" s="14">
        <v>5</v>
      </c>
      <c r="P102" s="14">
        <v>343</v>
      </c>
      <c r="Q102" s="15">
        <v>16.153846153846153</v>
      </c>
      <c r="R102" s="17">
        <f>IFERROR(G102/(G102+Priors!$H$18),0)</f>
        <v>0.65647543799381658</v>
      </c>
      <c r="S102" s="13">
        <v>1</v>
      </c>
      <c r="T102" s="40" t="b">
        <v>0</v>
      </c>
      <c r="U102" s="13">
        <v>1</v>
      </c>
      <c r="V102" s="40" t="b">
        <v>0</v>
      </c>
      <c r="W102" s="13">
        <v>1</v>
      </c>
      <c r="X102" s="17">
        <f t="shared" si="8"/>
        <v>0.65647543799381658</v>
      </c>
      <c r="Y102" s="37">
        <f>VLOOKUP(D102,Priors!$A$18:$B$21,2,FALSE)</f>
        <v>8.4555315342179806</v>
      </c>
      <c r="Z102" s="38">
        <f t="shared" si="9"/>
        <v>8.5635010423284026</v>
      </c>
      <c r="AA102" s="39">
        <v>1</v>
      </c>
      <c r="AB102" s="38">
        <f t="shared" si="10"/>
        <v>8.5635010423284026</v>
      </c>
      <c r="AC102" s="37">
        <f>Priors!$K$18</f>
        <v>2.7435089299114512</v>
      </c>
      <c r="AD102" s="38" t="str">
        <f t="shared" si="11"/>
        <v/>
      </c>
      <c r="AE102" s="37">
        <f>Priors!$K$19</f>
        <v>0.67280088332719912</v>
      </c>
      <c r="AF102" s="38" t="str">
        <f t="shared" si="12"/>
        <v/>
      </c>
      <c r="AG102" s="17">
        <f t="shared" si="13"/>
        <v>0.34352456200618342</v>
      </c>
      <c r="AH102" s="7" t="s">
        <v>1643</v>
      </c>
      <c r="AI102" s="7">
        <v>12</v>
      </c>
      <c r="AJ102" s="38">
        <f t="shared" si="14"/>
        <v>0.71362508686070025</v>
      </c>
      <c r="AK102" s="9" t="b">
        <f t="shared" si="15"/>
        <v>0</v>
      </c>
      <c r="AL102" s="28" t="s">
        <v>1644</v>
      </c>
      <c r="AM102" s="28" t="s">
        <v>1645</v>
      </c>
      <c r="AN102" s="28" t="s">
        <v>1792</v>
      </c>
    </row>
    <row r="103" spans="1:40" ht="30">
      <c r="A103" s="7">
        <v>102</v>
      </c>
      <c r="B103" s="7" t="s">
        <v>402</v>
      </c>
      <c r="C103" s="7" t="s">
        <v>42</v>
      </c>
      <c r="D103" s="7" t="s">
        <v>112</v>
      </c>
      <c r="E103" s="7" t="s">
        <v>1642</v>
      </c>
      <c r="F103" s="7" t="s">
        <v>42</v>
      </c>
      <c r="G103" s="14">
        <v>2652</v>
      </c>
      <c r="H103" s="14">
        <v>338</v>
      </c>
      <c r="I103" s="15">
        <v>11.47</v>
      </c>
      <c r="J103" s="14">
        <v>0</v>
      </c>
      <c r="K103" s="15">
        <v>0</v>
      </c>
      <c r="L103" s="14">
        <v>42</v>
      </c>
      <c r="M103" s="14">
        <v>8</v>
      </c>
      <c r="N103" s="13"/>
      <c r="O103" s="14">
        <v>1</v>
      </c>
      <c r="P103" s="14">
        <v>448</v>
      </c>
      <c r="Q103" s="15">
        <v>15.203619909502262</v>
      </c>
      <c r="R103" s="17">
        <f>IFERROR(G103/(G103+Priors!$H$18),0)</f>
        <v>0.7261774370208105</v>
      </c>
      <c r="S103" s="13">
        <v>1</v>
      </c>
      <c r="T103" s="40" t="b">
        <v>0</v>
      </c>
      <c r="U103" s="13">
        <v>1</v>
      </c>
      <c r="V103" s="40" t="b">
        <v>0</v>
      </c>
      <c r="W103" s="13">
        <v>1</v>
      </c>
      <c r="X103" s="17">
        <f t="shared" si="8"/>
        <v>0.7261774370208105</v>
      </c>
      <c r="Y103" s="37">
        <f>VLOOKUP(D103,Priors!$A$18:$B$21,2,FALSE)</f>
        <v>8.4555315342179806</v>
      </c>
      <c r="Z103" s="38">
        <f t="shared" si="9"/>
        <v>10.644570518679624</v>
      </c>
      <c r="AA103" s="39">
        <v>1</v>
      </c>
      <c r="AB103" s="38">
        <f t="shared" si="10"/>
        <v>10.644570518679624</v>
      </c>
      <c r="AC103" s="37">
        <f>Priors!$K$18</f>
        <v>2.7435089299114512</v>
      </c>
      <c r="AD103" s="38" t="str">
        <f t="shared" si="11"/>
        <v/>
      </c>
      <c r="AE103" s="37">
        <f>Priors!$K$19</f>
        <v>0.67280088332719912</v>
      </c>
      <c r="AF103" s="38" t="str">
        <f t="shared" si="12"/>
        <v/>
      </c>
      <c r="AG103" s="17">
        <f t="shared" si="13"/>
        <v>0.2738225629791895</v>
      </c>
      <c r="AH103" s="7" t="s">
        <v>1643</v>
      </c>
      <c r="AI103" s="7">
        <v>12</v>
      </c>
      <c r="AJ103" s="38">
        <f t="shared" si="14"/>
        <v>0.88704754322330193</v>
      </c>
      <c r="AK103" s="9" t="b">
        <f t="shared" si="15"/>
        <v>0</v>
      </c>
      <c r="AL103" s="28" t="s">
        <v>1644</v>
      </c>
      <c r="AM103" s="28" t="s">
        <v>1645</v>
      </c>
      <c r="AN103" s="28" t="s">
        <v>1792</v>
      </c>
    </row>
    <row r="104" spans="1:40" ht="30">
      <c r="A104" s="7">
        <v>103</v>
      </c>
      <c r="B104" s="7" t="s">
        <v>405</v>
      </c>
      <c r="C104" s="7" t="s">
        <v>42</v>
      </c>
      <c r="D104" s="7" t="s">
        <v>112</v>
      </c>
      <c r="E104" s="7" t="s">
        <v>1642</v>
      </c>
      <c r="F104" s="7" t="s">
        <v>42</v>
      </c>
      <c r="G104" s="14">
        <v>2</v>
      </c>
      <c r="H104" s="14">
        <v>1</v>
      </c>
      <c r="I104" s="15">
        <v>45</v>
      </c>
      <c r="J104" s="14">
        <v>0</v>
      </c>
      <c r="K104" s="15">
        <v>0</v>
      </c>
      <c r="L104" s="14">
        <v>0</v>
      </c>
      <c r="M104" s="14">
        <v>0</v>
      </c>
      <c r="N104" s="13"/>
      <c r="O104" s="14">
        <v>0</v>
      </c>
      <c r="P104" s="14">
        <v>5</v>
      </c>
      <c r="Q104" s="15">
        <v>225</v>
      </c>
      <c r="R104" s="17">
        <f>IFERROR(G104/(G104+Priors!$H$18),0)</f>
        <v>1.996007984031936E-3</v>
      </c>
      <c r="S104" s="13">
        <v>1</v>
      </c>
      <c r="T104" s="40" t="b">
        <v>0</v>
      </c>
      <c r="U104" s="13">
        <v>1</v>
      </c>
      <c r="V104" s="40" t="b">
        <v>0</v>
      </c>
      <c r="W104" s="13">
        <v>1</v>
      </c>
      <c r="X104" s="17">
        <f t="shared" si="8"/>
        <v>1.996007984031936E-3</v>
      </c>
      <c r="Y104" s="37">
        <f>VLOOKUP(D104,Priors!$A$18:$B$21,2,FALSE)</f>
        <v>8.4555315342179806</v>
      </c>
      <c r="Z104" s="38">
        <f t="shared" si="9"/>
        <v>8.5284745850478849</v>
      </c>
      <c r="AA104" s="39">
        <v>1</v>
      </c>
      <c r="AB104" s="38">
        <f t="shared" si="10"/>
        <v>8.5284745850478849</v>
      </c>
      <c r="AC104" s="37">
        <f>Priors!$K$18</f>
        <v>2.7435089299114512</v>
      </c>
      <c r="AD104" s="38" t="str">
        <f t="shared" si="11"/>
        <v/>
      </c>
      <c r="AE104" s="37">
        <f>Priors!$K$19</f>
        <v>0.67280088332719912</v>
      </c>
      <c r="AF104" s="38" t="str">
        <f t="shared" si="12"/>
        <v/>
      </c>
      <c r="AG104" s="17">
        <f t="shared" si="13"/>
        <v>0.99800399201596801</v>
      </c>
      <c r="AH104" s="7" t="s">
        <v>1643</v>
      </c>
      <c r="AI104" s="7">
        <v>12</v>
      </c>
      <c r="AJ104" s="38">
        <f t="shared" si="14"/>
        <v>0.71070621542065704</v>
      </c>
      <c r="AK104" s="9" t="b">
        <f t="shared" si="15"/>
        <v>1</v>
      </c>
      <c r="AL104" s="28" t="s">
        <v>1644</v>
      </c>
      <c r="AM104" s="28" t="s">
        <v>1645</v>
      </c>
      <c r="AN104" s="28" t="s">
        <v>1792</v>
      </c>
    </row>
    <row r="105" spans="1:40" ht="30">
      <c r="A105" s="7">
        <v>104</v>
      </c>
      <c r="B105" s="7" t="s">
        <v>601</v>
      </c>
      <c r="C105" s="7" t="s">
        <v>45</v>
      </c>
      <c r="D105" s="7" t="s">
        <v>112</v>
      </c>
      <c r="E105" s="7" t="s">
        <v>1642</v>
      </c>
      <c r="F105" s="7" t="s">
        <v>42</v>
      </c>
      <c r="G105" s="14">
        <v>88</v>
      </c>
      <c r="H105" s="14">
        <v>10</v>
      </c>
      <c r="I105" s="15">
        <v>10.23</v>
      </c>
      <c r="J105" s="14">
        <v>0</v>
      </c>
      <c r="K105" s="15">
        <v>0</v>
      </c>
      <c r="L105" s="14">
        <v>2</v>
      </c>
      <c r="M105" s="14">
        <v>0</v>
      </c>
      <c r="N105" s="13"/>
      <c r="O105" s="14">
        <v>0</v>
      </c>
      <c r="P105" s="14">
        <v>41</v>
      </c>
      <c r="Q105" s="15">
        <v>41.93181818181818</v>
      </c>
      <c r="R105" s="17">
        <f>IFERROR(G105/(G105+Priors!$H$18),0)</f>
        <v>8.0882352941176475E-2</v>
      </c>
      <c r="S105" s="13">
        <v>1</v>
      </c>
      <c r="T105" s="40" t="b">
        <v>1</v>
      </c>
      <c r="U105" s="13">
        <v>0.85</v>
      </c>
      <c r="V105" s="40" t="b">
        <v>0</v>
      </c>
      <c r="W105" s="13">
        <v>1</v>
      </c>
      <c r="X105" s="17">
        <f t="shared" si="8"/>
        <v>6.8750000000000006E-2</v>
      </c>
      <c r="Y105" s="37">
        <f>VLOOKUP(D105,Priors!$A$18:$B$21,2,FALSE)</f>
        <v>8.4555315342179806</v>
      </c>
      <c r="Z105" s="38">
        <f t="shared" si="9"/>
        <v>8.5775262412404949</v>
      </c>
      <c r="AA105" s="39">
        <v>1</v>
      </c>
      <c r="AB105" s="38">
        <f t="shared" si="10"/>
        <v>8.5775262412404949</v>
      </c>
      <c r="AC105" s="37">
        <f>Priors!$K$18</f>
        <v>2.7435089299114512</v>
      </c>
      <c r="AD105" s="38" t="str">
        <f t="shared" si="11"/>
        <v/>
      </c>
      <c r="AE105" s="37">
        <f>Priors!$K$19</f>
        <v>0.67280088332719912</v>
      </c>
      <c r="AF105" s="38" t="str">
        <f t="shared" si="12"/>
        <v/>
      </c>
      <c r="AG105" s="17">
        <f t="shared" si="13"/>
        <v>0.93125000000000002</v>
      </c>
      <c r="AH105" s="7" t="s">
        <v>1643</v>
      </c>
      <c r="AI105" s="7">
        <v>12</v>
      </c>
      <c r="AJ105" s="38">
        <f t="shared" si="14"/>
        <v>0.71479385343670787</v>
      </c>
      <c r="AK105" s="9" t="b">
        <f t="shared" si="15"/>
        <v>1</v>
      </c>
      <c r="AL105" s="28" t="s">
        <v>1644</v>
      </c>
      <c r="AM105" s="28" t="s">
        <v>1645</v>
      </c>
      <c r="AN105" s="28" t="s">
        <v>1792</v>
      </c>
    </row>
    <row r="106" spans="1:40" ht="30">
      <c r="A106" s="7">
        <v>105</v>
      </c>
      <c r="B106" s="7" t="s">
        <v>408</v>
      </c>
      <c r="C106" s="7" t="s">
        <v>42</v>
      </c>
      <c r="D106" s="7" t="s">
        <v>112</v>
      </c>
      <c r="E106" s="7" t="s">
        <v>1642</v>
      </c>
      <c r="F106" s="7" t="s">
        <v>1652</v>
      </c>
      <c r="G106" s="14">
        <v>2717</v>
      </c>
      <c r="H106" s="14">
        <v>232</v>
      </c>
      <c r="I106" s="15">
        <v>7.68</v>
      </c>
      <c r="J106" s="14">
        <v>0</v>
      </c>
      <c r="K106" s="15">
        <v>0</v>
      </c>
      <c r="L106" s="14">
        <v>59</v>
      </c>
      <c r="M106" s="14">
        <v>4</v>
      </c>
      <c r="N106" s="13"/>
      <c r="O106" s="14">
        <v>6</v>
      </c>
      <c r="P106" s="14">
        <v>513</v>
      </c>
      <c r="Q106" s="15">
        <v>16.993006993006993</v>
      </c>
      <c r="R106" s="17">
        <f>IFERROR(G106/(G106+Priors!$H$18),0)</f>
        <v>0.73096583266074788</v>
      </c>
      <c r="S106" s="13">
        <v>1</v>
      </c>
      <c r="T106" s="40" t="b">
        <v>1</v>
      </c>
      <c r="U106" s="13">
        <v>0.85</v>
      </c>
      <c r="V106" s="40" t="b">
        <v>0</v>
      </c>
      <c r="W106" s="13">
        <v>1</v>
      </c>
      <c r="X106" s="17">
        <f t="shared" si="8"/>
        <v>0.62132095776163565</v>
      </c>
      <c r="Y106" s="37">
        <f>VLOOKUP(D106,Priors!$A$18:$B$21,2,FALSE)</f>
        <v>8.4555315342179806</v>
      </c>
      <c r="Z106" s="38">
        <f t="shared" si="9"/>
        <v>7.9736775386033134</v>
      </c>
      <c r="AA106" s="39">
        <v>1</v>
      </c>
      <c r="AB106" s="38">
        <f t="shared" si="10"/>
        <v>7.9736775386033134</v>
      </c>
      <c r="AC106" s="37">
        <f>Priors!$K$18</f>
        <v>2.7435089299114512</v>
      </c>
      <c r="AD106" s="38" t="str">
        <f t="shared" si="11"/>
        <v/>
      </c>
      <c r="AE106" s="37">
        <f>Priors!$K$19</f>
        <v>0.67280088332719912</v>
      </c>
      <c r="AF106" s="38" t="str">
        <f t="shared" si="12"/>
        <v/>
      </c>
      <c r="AG106" s="17">
        <f t="shared" si="13"/>
        <v>0.37867904223836435</v>
      </c>
      <c r="AH106" s="7" t="s">
        <v>1643</v>
      </c>
      <c r="AI106" s="7">
        <v>12</v>
      </c>
      <c r="AJ106" s="38">
        <f t="shared" si="14"/>
        <v>0.66447312821694282</v>
      </c>
      <c r="AK106" s="9" t="b">
        <f t="shared" si="15"/>
        <v>1</v>
      </c>
      <c r="AL106" s="28" t="s">
        <v>1644</v>
      </c>
      <c r="AM106" s="28" t="s">
        <v>1645</v>
      </c>
      <c r="AN106" s="28" t="s">
        <v>1792</v>
      </c>
    </row>
    <row r="107" spans="1:40" ht="30">
      <c r="A107" s="7">
        <v>106</v>
      </c>
      <c r="B107" s="7" t="s">
        <v>411</v>
      </c>
      <c r="C107" s="7" t="s">
        <v>42</v>
      </c>
      <c r="D107" s="7" t="s">
        <v>167</v>
      </c>
      <c r="E107" s="7" t="s">
        <v>1642</v>
      </c>
      <c r="F107" s="7" t="s">
        <v>42</v>
      </c>
      <c r="G107" s="14">
        <v>3282</v>
      </c>
      <c r="H107" s="14">
        <v>214</v>
      </c>
      <c r="I107" s="15">
        <v>5.87</v>
      </c>
      <c r="J107" s="14">
        <v>0</v>
      </c>
      <c r="K107" s="15">
        <v>0</v>
      </c>
      <c r="L107" s="14">
        <v>50</v>
      </c>
      <c r="M107" s="14">
        <v>10</v>
      </c>
      <c r="N107" s="13"/>
      <c r="O107" s="14">
        <v>22</v>
      </c>
      <c r="P107" s="14">
        <v>710</v>
      </c>
      <c r="Q107" s="15">
        <v>19.469835466179159</v>
      </c>
      <c r="R107" s="17">
        <f>IFERROR(G107/(G107+Priors!$H$18),0)</f>
        <v>0.76646426903316212</v>
      </c>
      <c r="S107" s="13">
        <v>1</v>
      </c>
      <c r="T107" s="40" t="b">
        <v>0</v>
      </c>
      <c r="U107" s="13">
        <v>1</v>
      </c>
      <c r="V107" s="40" t="b">
        <v>0</v>
      </c>
      <c r="W107" s="13">
        <v>1</v>
      </c>
      <c r="X107" s="17">
        <f t="shared" si="8"/>
        <v>0.76646426903316212</v>
      </c>
      <c r="Y107" s="37">
        <f>VLOOKUP(D107,Priors!$A$18:$B$21,2,FALSE)</f>
        <v>4.5137422563476139</v>
      </c>
      <c r="Z107" s="38">
        <f t="shared" si="9"/>
        <v>5.5532653564567056</v>
      </c>
      <c r="AA107" s="39">
        <v>1</v>
      </c>
      <c r="AB107" s="38">
        <f t="shared" si="10"/>
        <v>5.5532653564567056</v>
      </c>
      <c r="AC107" s="37">
        <f>Priors!$K$18</f>
        <v>2.7435089299114512</v>
      </c>
      <c r="AD107" s="38" t="str">
        <f t="shared" si="11"/>
        <v/>
      </c>
      <c r="AE107" s="37">
        <f>Priors!$K$19</f>
        <v>0.67280088332719912</v>
      </c>
      <c r="AF107" s="38" t="str">
        <f t="shared" si="12"/>
        <v/>
      </c>
      <c r="AG107" s="17">
        <f t="shared" si="13"/>
        <v>0.23353573096683788</v>
      </c>
      <c r="AH107" s="7" t="s">
        <v>1643</v>
      </c>
      <c r="AI107" s="7">
        <v>12</v>
      </c>
      <c r="AJ107" s="38">
        <f t="shared" si="14"/>
        <v>0.46277211303805882</v>
      </c>
      <c r="AK107" s="9" t="b">
        <f t="shared" si="15"/>
        <v>0</v>
      </c>
      <c r="AL107" s="28" t="s">
        <v>1644</v>
      </c>
      <c r="AM107" s="28" t="s">
        <v>1645</v>
      </c>
      <c r="AN107" s="28" t="s">
        <v>1792</v>
      </c>
    </row>
    <row r="108" spans="1:40" ht="30">
      <c r="A108" s="7">
        <v>107</v>
      </c>
      <c r="B108" s="7" t="s">
        <v>413</v>
      </c>
      <c r="C108" s="7" t="s">
        <v>42</v>
      </c>
      <c r="D108" s="7" t="s">
        <v>167</v>
      </c>
      <c r="E108" s="7" t="s">
        <v>1642</v>
      </c>
      <c r="F108" s="7" t="s">
        <v>42</v>
      </c>
      <c r="G108" s="14">
        <v>1</v>
      </c>
      <c r="H108" s="14">
        <v>0</v>
      </c>
      <c r="I108" s="15">
        <v>0</v>
      </c>
      <c r="J108" s="14">
        <v>0</v>
      </c>
      <c r="K108" s="15">
        <v>0</v>
      </c>
      <c r="L108" s="14">
        <v>0</v>
      </c>
      <c r="M108" s="14">
        <v>0</v>
      </c>
      <c r="N108" s="13"/>
      <c r="O108" s="14">
        <v>0</v>
      </c>
      <c r="P108" s="14">
        <v>2</v>
      </c>
      <c r="Q108" s="15">
        <v>180</v>
      </c>
      <c r="R108" s="17">
        <f>IFERROR(G108/(G108+Priors!$H$18),0)</f>
        <v>9.99000999000999E-4</v>
      </c>
      <c r="S108" s="13">
        <v>1</v>
      </c>
      <c r="T108" s="40" t="b">
        <v>0</v>
      </c>
      <c r="U108" s="13">
        <v>1</v>
      </c>
      <c r="V108" s="40" t="b">
        <v>0</v>
      </c>
      <c r="W108" s="13">
        <v>1</v>
      </c>
      <c r="X108" s="17">
        <f t="shared" si="8"/>
        <v>9.99000999000999E-4</v>
      </c>
      <c r="Y108" s="37">
        <f>VLOOKUP(D108,Priors!$A$18:$B$21,2,FALSE)</f>
        <v>4.5137422563476139</v>
      </c>
      <c r="Z108" s="38">
        <f t="shared" si="9"/>
        <v>4.5092330233242901</v>
      </c>
      <c r="AA108" s="39">
        <v>1</v>
      </c>
      <c r="AB108" s="38">
        <f t="shared" si="10"/>
        <v>4.5092330233242901</v>
      </c>
      <c r="AC108" s="37">
        <f>Priors!$K$18</f>
        <v>2.7435089299114512</v>
      </c>
      <c r="AD108" s="38" t="str">
        <f t="shared" si="11"/>
        <v/>
      </c>
      <c r="AE108" s="37">
        <f>Priors!$K$19</f>
        <v>0.67280088332719912</v>
      </c>
      <c r="AF108" s="38" t="str">
        <f t="shared" si="12"/>
        <v/>
      </c>
      <c r="AG108" s="17">
        <f t="shared" si="13"/>
        <v>0.99900099900099903</v>
      </c>
      <c r="AH108" s="7" t="s">
        <v>1643</v>
      </c>
      <c r="AI108" s="7">
        <v>12</v>
      </c>
      <c r="AJ108" s="38">
        <f t="shared" si="14"/>
        <v>0.37576941861035751</v>
      </c>
      <c r="AK108" s="9" t="b">
        <f t="shared" si="15"/>
        <v>1</v>
      </c>
      <c r="AL108" s="28" t="s">
        <v>1644</v>
      </c>
      <c r="AM108" s="28" t="s">
        <v>1645</v>
      </c>
      <c r="AN108" s="28" t="s">
        <v>1792</v>
      </c>
    </row>
    <row r="109" spans="1:40" ht="30">
      <c r="A109" s="7">
        <v>108</v>
      </c>
      <c r="B109" s="7" t="s">
        <v>416</v>
      </c>
      <c r="C109" s="7" t="s">
        <v>42</v>
      </c>
      <c r="D109" s="7" t="s">
        <v>167</v>
      </c>
      <c r="E109" s="7" t="s">
        <v>1642</v>
      </c>
      <c r="F109" s="7" t="s">
        <v>1653</v>
      </c>
      <c r="G109" s="14">
        <v>1234</v>
      </c>
      <c r="H109" s="14">
        <v>41</v>
      </c>
      <c r="I109" s="15">
        <v>2.99</v>
      </c>
      <c r="J109" s="14">
        <v>0</v>
      </c>
      <c r="K109" s="15">
        <v>0</v>
      </c>
      <c r="L109" s="14">
        <v>24</v>
      </c>
      <c r="M109" s="14">
        <v>1</v>
      </c>
      <c r="N109" s="13"/>
      <c r="O109" s="14">
        <v>7</v>
      </c>
      <c r="P109" s="14">
        <v>296</v>
      </c>
      <c r="Q109" s="15">
        <v>21.588330632090763</v>
      </c>
      <c r="R109" s="17">
        <f>IFERROR(G109/(G109+Priors!$H$18),0)</f>
        <v>0.55237242614145032</v>
      </c>
      <c r="S109" s="13">
        <v>1</v>
      </c>
      <c r="T109" s="40" t="b">
        <v>1</v>
      </c>
      <c r="U109" s="13">
        <v>0.85</v>
      </c>
      <c r="V109" s="40" t="b">
        <v>0</v>
      </c>
      <c r="W109" s="13">
        <v>1</v>
      </c>
      <c r="X109" s="17">
        <f t="shared" si="8"/>
        <v>0.46951656222023275</v>
      </c>
      <c r="Y109" s="37">
        <f>VLOOKUP(D109,Priors!$A$18:$B$21,2,FALSE)</f>
        <v>4.5137422563476139</v>
      </c>
      <c r="Z109" s="38">
        <f t="shared" si="9"/>
        <v>3.7983200304375817</v>
      </c>
      <c r="AA109" s="39">
        <v>1</v>
      </c>
      <c r="AB109" s="38">
        <f t="shared" si="10"/>
        <v>3.7983200304375817</v>
      </c>
      <c r="AC109" s="37">
        <f>Priors!$K$18</f>
        <v>2.7435089299114512</v>
      </c>
      <c r="AD109" s="38" t="str">
        <f t="shared" si="11"/>
        <v/>
      </c>
      <c r="AE109" s="37">
        <f>Priors!$K$19</f>
        <v>0.67280088332719912</v>
      </c>
      <c r="AF109" s="38" t="str">
        <f t="shared" si="12"/>
        <v/>
      </c>
      <c r="AG109" s="17">
        <f t="shared" si="13"/>
        <v>0.53048343777976725</v>
      </c>
      <c r="AH109" s="7" t="s">
        <v>1643</v>
      </c>
      <c r="AI109" s="7">
        <v>12</v>
      </c>
      <c r="AJ109" s="38">
        <f t="shared" si="14"/>
        <v>0.31652666920313183</v>
      </c>
      <c r="AK109" s="9" t="b">
        <f t="shared" si="15"/>
        <v>1</v>
      </c>
      <c r="AL109" s="28" t="s">
        <v>1644</v>
      </c>
      <c r="AM109" s="28" t="s">
        <v>1645</v>
      </c>
      <c r="AN109" s="28" t="s">
        <v>1792</v>
      </c>
    </row>
    <row r="110" spans="1:40" ht="30">
      <c r="A110" s="7">
        <v>109</v>
      </c>
      <c r="B110" s="7" t="s">
        <v>420</v>
      </c>
      <c r="C110" s="7" t="s">
        <v>43</v>
      </c>
      <c r="D110" s="7" t="s">
        <v>85</v>
      </c>
      <c r="E110" s="7" t="s">
        <v>1642</v>
      </c>
      <c r="F110" s="7" t="s">
        <v>43</v>
      </c>
      <c r="G110" s="14">
        <v>3420</v>
      </c>
      <c r="H110" s="14">
        <v>102</v>
      </c>
      <c r="I110" s="15">
        <v>0</v>
      </c>
      <c r="J110" s="14">
        <v>106</v>
      </c>
      <c r="K110" s="15">
        <v>2.79</v>
      </c>
      <c r="L110" s="14">
        <v>46</v>
      </c>
      <c r="M110" s="14">
        <v>10</v>
      </c>
      <c r="N110" s="13">
        <v>0.69736842105263153</v>
      </c>
      <c r="O110" s="14">
        <v>6</v>
      </c>
      <c r="P110" s="14">
        <v>616</v>
      </c>
      <c r="Q110" s="15">
        <v>16.210526315789473</v>
      </c>
      <c r="R110" s="17">
        <f>IFERROR(G110/(G110+Priors!$H$18),0)</f>
        <v>0.77375565610859731</v>
      </c>
      <c r="S110" s="13">
        <v>1</v>
      </c>
      <c r="T110" s="40" t="b">
        <v>0</v>
      </c>
      <c r="U110" s="13">
        <v>1</v>
      </c>
      <c r="V110" s="40" t="b">
        <v>0</v>
      </c>
      <c r="W110" s="13">
        <v>1</v>
      </c>
      <c r="X110" s="17">
        <f t="shared" si="8"/>
        <v>0.77375565610859731</v>
      </c>
      <c r="Y110" s="37">
        <f>VLOOKUP(D110,Priors!$A$18:$B$21,2,FALSE)</f>
        <v>2.6414527990394716</v>
      </c>
      <c r="Z110" s="38">
        <f t="shared" si="9"/>
        <v>0.59761375543879436</v>
      </c>
      <c r="AA110" s="39">
        <v>1</v>
      </c>
      <c r="AB110" s="38">
        <f t="shared" si="10"/>
        <v>0.59761375543879436</v>
      </c>
      <c r="AC110" s="37">
        <f>Priors!$K$18</f>
        <v>2.7435089299114512</v>
      </c>
      <c r="AD110" s="38">
        <f t="shared" si="11"/>
        <v>2.7794816583510071</v>
      </c>
      <c r="AE110" s="37">
        <f>Priors!$K$19</f>
        <v>0.67280088332719912</v>
      </c>
      <c r="AF110" s="38">
        <f t="shared" si="12"/>
        <v>0.69181015459891382</v>
      </c>
      <c r="AG110" s="17">
        <f t="shared" si="13"/>
        <v>0.22624434389140269</v>
      </c>
      <c r="AH110" s="7" t="s">
        <v>1643</v>
      </c>
      <c r="AI110" s="7"/>
      <c r="AJ110" s="38" t="str">
        <f t="shared" si="14"/>
        <v/>
      </c>
      <c r="AK110" s="9" t="b">
        <f t="shared" si="15"/>
        <v>0</v>
      </c>
      <c r="AL110" s="28" t="s">
        <v>1644</v>
      </c>
      <c r="AM110" s="28" t="s">
        <v>1645</v>
      </c>
      <c r="AN110" s="28" t="s">
        <v>1792</v>
      </c>
    </row>
    <row r="111" spans="1:40" ht="30">
      <c r="A111" s="7">
        <v>110</v>
      </c>
      <c r="B111" s="7" t="s">
        <v>425</v>
      </c>
      <c r="C111" s="7" t="s">
        <v>43</v>
      </c>
      <c r="D111" s="7" t="s">
        <v>85</v>
      </c>
      <c r="E111" s="7" t="s">
        <v>1642</v>
      </c>
      <c r="F111" s="7" t="s">
        <v>43</v>
      </c>
      <c r="G111" s="14">
        <v>0</v>
      </c>
      <c r="H111" s="14">
        <v>0</v>
      </c>
      <c r="I111" s="15">
        <v>0</v>
      </c>
      <c r="J111" s="14">
        <v>0</v>
      </c>
      <c r="K111" s="15">
        <v>0</v>
      </c>
      <c r="L111" s="14">
        <v>0</v>
      </c>
      <c r="M111" s="14">
        <v>0</v>
      </c>
      <c r="N111" s="13"/>
      <c r="O111" s="14">
        <v>0</v>
      </c>
      <c r="P111" s="14">
        <v>0</v>
      </c>
      <c r="Q111" s="15">
        <v>0</v>
      </c>
      <c r="R111" s="17">
        <f>IFERROR(G111/(G111+Priors!$H$18),0)</f>
        <v>0</v>
      </c>
      <c r="S111" s="13">
        <v>1</v>
      </c>
      <c r="T111" s="40" t="b">
        <v>0</v>
      </c>
      <c r="U111" s="13">
        <v>1</v>
      </c>
      <c r="V111" s="40" t="b">
        <v>0</v>
      </c>
      <c r="W111" s="13">
        <v>1</v>
      </c>
      <c r="X111" s="17">
        <f t="shared" si="8"/>
        <v>0</v>
      </c>
      <c r="Y111" s="37">
        <f>VLOOKUP(D111,Priors!$A$18:$B$21,2,FALSE)</f>
        <v>2.6414527990394716</v>
      </c>
      <c r="Z111" s="38">
        <f t="shared" si="9"/>
        <v>2.6414527990394716</v>
      </c>
      <c r="AA111" s="39">
        <v>1</v>
      </c>
      <c r="AB111" s="38">
        <f t="shared" si="10"/>
        <v>2.6414527990394716</v>
      </c>
      <c r="AC111" s="37">
        <f>Priors!$K$18</f>
        <v>2.7435089299114512</v>
      </c>
      <c r="AD111" s="38">
        <f t="shared" si="11"/>
        <v>2.7435089299114512</v>
      </c>
      <c r="AE111" s="37">
        <f>Priors!$K$19</f>
        <v>0.67280088332719912</v>
      </c>
      <c r="AF111" s="38">
        <f t="shared" si="12"/>
        <v>0.67280088332719912</v>
      </c>
      <c r="AG111" s="17">
        <f t="shared" si="13"/>
        <v>1</v>
      </c>
      <c r="AH111" s="7" t="s">
        <v>1643</v>
      </c>
      <c r="AI111" s="7"/>
      <c r="AJ111" s="38" t="str">
        <f t="shared" si="14"/>
        <v/>
      </c>
      <c r="AK111" s="9" t="b">
        <f t="shared" si="15"/>
        <v>1</v>
      </c>
      <c r="AL111" s="28" t="s">
        <v>1644</v>
      </c>
      <c r="AM111" s="28" t="s">
        <v>1645</v>
      </c>
      <c r="AN111" s="28" t="s">
        <v>1792</v>
      </c>
    </row>
    <row r="112" spans="1:40" ht="30">
      <c r="A112" s="7">
        <v>111</v>
      </c>
      <c r="B112" s="7" t="s">
        <v>427</v>
      </c>
      <c r="C112" s="7" t="s">
        <v>43</v>
      </c>
      <c r="D112" s="7" t="s">
        <v>85</v>
      </c>
      <c r="E112" s="7" t="s">
        <v>1642</v>
      </c>
      <c r="F112" s="7" t="s">
        <v>43</v>
      </c>
      <c r="G112" s="14">
        <v>0</v>
      </c>
      <c r="H112" s="14">
        <v>0</v>
      </c>
      <c r="I112" s="15">
        <v>0</v>
      </c>
      <c r="J112" s="14">
        <v>0</v>
      </c>
      <c r="K112" s="15">
        <v>0</v>
      </c>
      <c r="L112" s="14">
        <v>0</v>
      </c>
      <c r="M112" s="14">
        <v>0</v>
      </c>
      <c r="N112" s="13"/>
      <c r="O112" s="14">
        <v>0</v>
      </c>
      <c r="P112" s="14">
        <v>0</v>
      </c>
      <c r="Q112" s="15">
        <v>0</v>
      </c>
      <c r="R112" s="17">
        <f>IFERROR(G112/(G112+Priors!$H$18),0)</f>
        <v>0</v>
      </c>
      <c r="S112" s="13">
        <v>1</v>
      </c>
      <c r="T112" s="40" t="b">
        <v>0</v>
      </c>
      <c r="U112" s="13">
        <v>1</v>
      </c>
      <c r="V112" s="40" t="b">
        <v>0</v>
      </c>
      <c r="W112" s="13">
        <v>1</v>
      </c>
      <c r="X112" s="17">
        <f t="shared" si="8"/>
        <v>0</v>
      </c>
      <c r="Y112" s="37">
        <f>VLOOKUP(D112,Priors!$A$18:$B$21,2,FALSE)</f>
        <v>2.6414527990394716</v>
      </c>
      <c r="Z112" s="38">
        <f t="shared" si="9"/>
        <v>2.6414527990394716</v>
      </c>
      <c r="AA112" s="39">
        <v>1</v>
      </c>
      <c r="AB112" s="38">
        <f t="shared" si="10"/>
        <v>2.6414527990394716</v>
      </c>
      <c r="AC112" s="37">
        <f>Priors!$K$18</f>
        <v>2.7435089299114512</v>
      </c>
      <c r="AD112" s="38">
        <f t="shared" si="11"/>
        <v>2.7435089299114512</v>
      </c>
      <c r="AE112" s="37">
        <f>Priors!$K$19</f>
        <v>0.67280088332719912</v>
      </c>
      <c r="AF112" s="38">
        <f t="shared" si="12"/>
        <v>0.67280088332719912</v>
      </c>
      <c r="AG112" s="17">
        <f t="shared" si="13"/>
        <v>1</v>
      </c>
      <c r="AH112" s="7" t="s">
        <v>1643</v>
      </c>
      <c r="AI112" s="7"/>
      <c r="AJ112" s="38" t="str">
        <f t="shared" si="14"/>
        <v/>
      </c>
      <c r="AK112" s="9" t="b">
        <f t="shared" si="15"/>
        <v>1</v>
      </c>
      <c r="AL112" s="28" t="s">
        <v>1644</v>
      </c>
      <c r="AM112" s="28" t="s">
        <v>1645</v>
      </c>
      <c r="AN112" s="28" t="s">
        <v>1792</v>
      </c>
    </row>
    <row r="113" spans="1:40" ht="30">
      <c r="A113" s="7">
        <v>112</v>
      </c>
      <c r="B113" s="7" t="s">
        <v>1465</v>
      </c>
      <c r="C113" s="7" t="s">
        <v>57</v>
      </c>
      <c r="D113" s="7" t="s">
        <v>99</v>
      </c>
      <c r="E113" s="7" t="s">
        <v>1642</v>
      </c>
      <c r="F113" s="7" t="s">
        <v>43</v>
      </c>
      <c r="G113" s="14">
        <v>3210</v>
      </c>
      <c r="H113" s="14">
        <v>347</v>
      </c>
      <c r="I113" s="15">
        <v>8.89</v>
      </c>
      <c r="J113" s="14">
        <v>0</v>
      </c>
      <c r="K113" s="15">
        <v>0</v>
      </c>
      <c r="L113" s="14">
        <v>44</v>
      </c>
      <c r="M113" s="14">
        <v>10</v>
      </c>
      <c r="N113" s="13"/>
      <c r="O113" s="14">
        <v>8</v>
      </c>
      <c r="P113" s="14">
        <v>575</v>
      </c>
      <c r="Q113" s="15">
        <v>16.121495327102803</v>
      </c>
      <c r="R113" s="17">
        <f>IFERROR(G113/(G113+Priors!$H$18),0)</f>
        <v>0.76247030878859856</v>
      </c>
      <c r="S113" s="13">
        <v>1</v>
      </c>
      <c r="T113" s="40" t="b">
        <v>1</v>
      </c>
      <c r="U113" s="13">
        <v>0.85</v>
      </c>
      <c r="V113" s="40" t="b">
        <v>0</v>
      </c>
      <c r="W113" s="13">
        <v>1</v>
      </c>
      <c r="X113" s="17">
        <f t="shared" si="8"/>
        <v>0.64809976247030876</v>
      </c>
      <c r="Y113" s="37">
        <f>VLOOKUP(D113,Priors!$A$18:$B$21,2,FALSE)</f>
        <v>8.7398272304160223</v>
      </c>
      <c r="Z113" s="38">
        <f t="shared" si="9"/>
        <v>8.8371541667129065</v>
      </c>
      <c r="AA113" s="39">
        <v>1</v>
      </c>
      <c r="AB113" s="38">
        <f t="shared" si="10"/>
        <v>8.8371541667129065</v>
      </c>
      <c r="AC113" s="37">
        <f>Priors!$K$18</f>
        <v>2.7435089299114512</v>
      </c>
      <c r="AD113" s="38" t="str">
        <f t="shared" si="11"/>
        <v/>
      </c>
      <c r="AE113" s="37">
        <f>Priors!$K$19</f>
        <v>0.67280088332719912</v>
      </c>
      <c r="AF113" s="38" t="str">
        <f t="shared" si="12"/>
        <v/>
      </c>
      <c r="AG113" s="17">
        <f t="shared" si="13"/>
        <v>0.35190023752969124</v>
      </c>
      <c r="AH113" s="7" t="s">
        <v>1643</v>
      </c>
      <c r="AI113" s="7">
        <v>10</v>
      </c>
      <c r="AJ113" s="38">
        <f t="shared" si="14"/>
        <v>0.88371541667129061</v>
      </c>
      <c r="AK113" s="9" t="b">
        <f t="shared" si="15"/>
        <v>1</v>
      </c>
      <c r="AL113" s="28" t="s">
        <v>1644</v>
      </c>
      <c r="AM113" s="28" t="s">
        <v>1645</v>
      </c>
      <c r="AN113" s="28" t="s">
        <v>1792</v>
      </c>
    </row>
    <row r="114" spans="1:40" ht="30">
      <c r="A114" s="7">
        <v>113</v>
      </c>
      <c r="B114" s="7" t="s">
        <v>429</v>
      </c>
      <c r="C114" s="7" t="s">
        <v>43</v>
      </c>
      <c r="D114" s="7" t="s">
        <v>99</v>
      </c>
      <c r="E114" s="7" t="s">
        <v>1642</v>
      </c>
      <c r="F114" s="7" t="s">
        <v>43</v>
      </c>
      <c r="G114" s="14">
        <v>3130</v>
      </c>
      <c r="H114" s="14">
        <v>200</v>
      </c>
      <c r="I114" s="15">
        <v>4.8899999999999997</v>
      </c>
      <c r="J114" s="14">
        <v>0</v>
      </c>
      <c r="K114" s="15">
        <v>0</v>
      </c>
      <c r="L114" s="14">
        <v>41</v>
      </c>
      <c r="M114" s="14">
        <v>10</v>
      </c>
      <c r="N114" s="13"/>
      <c r="O114" s="14">
        <v>7</v>
      </c>
      <c r="P114" s="14">
        <v>514</v>
      </c>
      <c r="Q114" s="15">
        <v>14.779552715654953</v>
      </c>
      <c r="R114" s="17">
        <f>IFERROR(G114/(G114+Priors!$H$18),0)</f>
        <v>0.75786924939467315</v>
      </c>
      <c r="S114" s="13">
        <v>1</v>
      </c>
      <c r="T114" s="40" t="b">
        <v>0</v>
      </c>
      <c r="U114" s="13">
        <v>1</v>
      </c>
      <c r="V114" s="40" t="b">
        <v>0</v>
      </c>
      <c r="W114" s="13">
        <v>1</v>
      </c>
      <c r="X114" s="17">
        <f t="shared" si="8"/>
        <v>0.75786924939467315</v>
      </c>
      <c r="Y114" s="37">
        <f>VLOOKUP(D114,Priors!$A$18:$B$21,2,FALSE)</f>
        <v>8.7398272304160223</v>
      </c>
      <c r="Z114" s="38">
        <f t="shared" si="9"/>
        <v>5.8221615570014578</v>
      </c>
      <c r="AA114" s="39">
        <v>1</v>
      </c>
      <c r="AB114" s="38">
        <f t="shared" si="10"/>
        <v>5.8221615570014578</v>
      </c>
      <c r="AC114" s="37">
        <f>Priors!$K$18</f>
        <v>2.7435089299114512</v>
      </c>
      <c r="AD114" s="38" t="str">
        <f t="shared" si="11"/>
        <v/>
      </c>
      <c r="AE114" s="37">
        <f>Priors!$K$19</f>
        <v>0.67280088332719912</v>
      </c>
      <c r="AF114" s="38" t="str">
        <f t="shared" si="12"/>
        <v/>
      </c>
      <c r="AG114" s="17">
        <f t="shared" si="13"/>
        <v>0.24213075060532685</v>
      </c>
      <c r="AH114" s="7" t="s">
        <v>1643</v>
      </c>
      <c r="AI114" s="7">
        <v>10</v>
      </c>
      <c r="AJ114" s="38">
        <f t="shared" si="14"/>
        <v>0.58221615570014573</v>
      </c>
      <c r="AK114" s="9" t="b">
        <f t="shared" si="15"/>
        <v>0</v>
      </c>
      <c r="AL114" s="28" t="s">
        <v>1644</v>
      </c>
      <c r="AM114" s="28" t="s">
        <v>1645</v>
      </c>
      <c r="AN114" s="28" t="s">
        <v>1792</v>
      </c>
    </row>
    <row r="115" spans="1:40" ht="30">
      <c r="A115" s="7">
        <v>114</v>
      </c>
      <c r="B115" s="7" t="s">
        <v>431</v>
      </c>
      <c r="C115" s="7" t="s">
        <v>43</v>
      </c>
      <c r="D115" s="7" t="s">
        <v>99</v>
      </c>
      <c r="E115" s="7" t="s">
        <v>1642</v>
      </c>
      <c r="F115" s="7" t="s">
        <v>43</v>
      </c>
      <c r="G115" s="14">
        <v>799</v>
      </c>
      <c r="H115" s="14">
        <v>78</v>
      </c>
      <c r="I115" s="15">
        <v>8.7899999999999991</v>
      </c>
      <c r="J115" s="14">
        <v>0</v>
      </c>
      <c r="K115" s="15">
        <v>0</v>
      </c>
      <c r="L115" s="14">
        <v>10</v>
      </c>
      <c r="M115" s="14">
        <v>3</v>
      </c>
      <c r="N115" s="13"/>
      <c r="O115" s="14">
        <v>4</v>
      </c>
      <c r="P115" s="14">
        <v>171</v>
      </c>
      <c r="Q115" s="15">
        <v>19.261576971214019</v>
      </c>
      <c r="R115" s="17">
        <f>IFERROR(G115/(G115+Priors!$H$18),0)</f>
        <v>0.4441356309060589</v>
      </c>
      <c r="S115" s="13">
        <v>1</v>
      </c>
      <c r="T115" s="40" t="b">
        <v>0</v>
      </c>
      <c r="U115" s="13">
        <v>1</v>
      </c>
      <c r="V115" s="40" t="b">
        <v>0</v>
      </c>
      <c r="W115" s="13">
        <v>1</v>
      </c>
      <c r="X115" s="17">
        <f t="shared" si="8"/>
        <v>0.4441356309060589</v>
      </c>
      <c r="Y115" s="37">
        <f>VLOOKUP(D115,Priors!$A$18:$B$21,2,FALSE)</f>
        <v>8.7398272304160223</v>
      </c>
      <c r="Z115" s="38">
        <f t="shared" si="9"/>
        <v>8.7621107450895064</v>
      </c>
      <c r="AA115" s="39">
        <v>1</v>
      </c>
      <c r="AB115" s="38">
        <f t="shared" si="10"/>
        <v>8.7621107450895064</v>
      </c>
      <c r="AC115" s="37">
        <f>Priors!$K$18</f>
        <v>2.7435089299114512</v>
      </c>
      <c r="AD115" s="38" t="str">
        <f t="shared" si="11"/>
        <v/>
      </c>
      <c r="AE115" s="37">
        <f>Priors!$K$19</f>
        <v>0.67280088332719912</v>
      </c>
      <c r="AF115" s="38" t="str">
        <f t="shared" si="12"/>
        <v/>
      </c>
      <c r="AG115" s="17">
        <f t="shared" si="13"/>
        <v>0.5558643690939411</v>
      </c>
      <c r="AH115" s="7" t="s">
        <v>1643</v>
      </c>
      <c r="AI115" s="7">
        <v>10</v>
      </c>
      <c r="AJ115" s="38">
        <f t="shared" si="14"/>
        <v>0.87621107450895064</v>
      </c>
      <c r="AK115" s="9" t="b">
        <f t="shared" si="15"/>
        <v>1</v>
      </c>
      <c r="AL115" s="28" t="s">
        <v>1644</v>
      </c>
      <c r="AM115" s="28" t="s">
        <v>1645</v>
      </c>
      <c r="AN115" s="28" t="s">
        <v>1792</v>
      </c>
    </row>
    <row r="116" spans="1:40" ht="30">
      <c r="A116" s="7">
        <v>115</v>
      </c>
      <c r="B116" s="7" t="s">
        <v>434</v>
      </c>
      <c r="C116" s="7" t="s">
        <v>43</v>
      </c>
      <c r="D116" s="7" t="s">
        <v>99</v>
      </c>
      <c r="E116" s="7" t="s">
        <v>1642</v>
      </c>
      <c r="F116" s="7" t="s">
        <v>43</v>
      </c>
      <c r="G116" s="14">
        <v>1404</v>
      </c>
      <c r="H116" s="14">
        <v>88</v>
      </c>
      <c r="I116" s="15">
        <v>4.0999999999999996</v>
      </c>
      <c r="J116" s="14">
        <v>0</v>
      </c>
      <c r="K116" s="15">
        <v>0</v>
      </c>
      <c r="L116" s="14">
        <v>23</v>
      </c>
      <c r="M116" s="14">
        <v>5</v>
      </c>
      <c r="N116" s="13"/>
      <c r="O116" s="14">
        <v>9</v>
      </c>
      <c r="P116" s="14">
        <v>318</v>
      </c>
      <c r="Q116" s="15">
        <v>20.384615384615383</v>
      </c>
      <c r="R116" s="17">
        <f>IFERROR(G116/(G116+Priors!$H$18),0)</f>
        <v>0.58402662229617308</v>
      </c>
      <c r="S116" s="13">
        <v>1</v>
      </c>
      <c r="T116" s="40" t="b">
        <v>0</v>
      </c>
      <c r="U116" s="13">
        <v>1</v>
      </c>
      <c r="V116" s="40" t="b">
        <v>0</v>
      </c>
      <c r="W116" s="13">
        <v>1</v>
      </c>
      <c r="X116" s="17">
        <f t="shared" si="8"/>
        <v>0.58402662229617308</v>
      </c>
      <c r="Y116" s="37">
        <f>VLOOKUP(D116,Priors!$A$18:$B$21,2,FALSE)</f>
        <v>8.7398272304160223</v>
      </c>
      <c r="Z116" s="38">
        <f t="shared" si="9"/>
        <v>6.0300446049983449</v>
      </c>
      <c r="AA116" s="39">
        <v>1</v>
      </c>
      <c r="AB116" s="38">
        <f t="shared" si="10"/>
        <v>6.0300446049983449</v>
      </c>
      <c r="AC116" s="37">
        <f>Priors!$K$18</f>
        <v>2.7435089299114512</v>
      </c>
      <c r="AD116" s="38" t="str">
        <f t="shared" si="11"/>
        <v/>
      </c>
      <c r="AE116" s="37">
        <f>Priors!$K$19</f>
        <v>0.67280088332719912</v>
      </c>
      <c r="AF116" s="38" t="str">
        <f t="shared" si="12"/>
        <v/>
      </c>
      <c r="AG116" s="17">
        <f t="shared" si="13"/>
        <v>0.41597337770382692</v>
      </c>
      <c r="AH116" s="7" t="s">
        <v>1643</v>
      </c>
      <c r="AI116" s="7">
        <v>10</v>
      </c>
      <c r="AJ116" s="38">
        <f t="shared" si="14"/>
        <v>0.60300446049983447</v>
      </c>
      <c r="AK116" s="9" t="b">
        <f t="shared" si="15"/>
        <v>0</v>
      </c>
      <c r="AL116" s="28" t="s">
        <v>1644</v>
      </c>
      <c r="AM116" s="28" t="s">
        <v>1645</v>
      </c>
      <c r="AN116" s="28" t="s">
        <v>1792</v>
      </c>
    </row>
    <row r="117" spans="1:40" ht="30">
      <c r="A117" s="7">
        <v>116</v>
      </c>
      <c r="B117" s="7" t="s">
        <v>437</v>
      </c>
      <c r="C117" s="7" t="s">
        <v>43</v>
      </c>
      <c r="D117" s="7" t="s">
        <v>99</v>
      </c>
      <c r="E117" s="7" t="s">
        <v>1642</v>
      </c>
      <c r="F117" s="7" t="s">
        <v>43</v>
      </c>
      <c r="G117" s="14">
        <v>2837</v>
      </c>
      <c r="H117" s="14">
        <v>273</v>
      </c>
      <c r="I117" s="15">
        <v>7.33</v>
      </c>
      <c r="J117" s="14">
        <v>0</v>
      </c>
      <c r="K117" s="15">
        <v>0</v>
      </c>
      <c r="L117" s="14">
        <v>40</v>
      </c>
      <c r="M117" s="14">
        <v>7</v>
      </c>
      <c r="N117" s="13"/>
      <c r="O117" s="14">
        <v>5</v>
      </c>
      <c r="P117" s="14">
        <v>443</v>
      </c>
      <c r="Q117" s="15">
        <v>14.053577722946775</v>
      </c>
      <c r="R117" s="17">
        <f>IFERROR(G117/(G117+Priors!$H$18),0)</f>
        <v>0.73937972374250716</v>
      </c>
      <c r="S117" s="13">
        <v>1</v>
      </c>
      <c r="T117" s="40" t="b">
        <v>0</v>
      </c>
      <c r="U117" s="13">
        <v>1</v>
      </c>
      <c r="V117" s="40" t="b">
        <v>0</v>
      </c>
      <c r="W117" s="13">
        <v>1</v>
      </c>
      <c r="X117" s="17">
        <f t="shared" si="8"/>
        <v>0.73937972374250716</v>
      </c>
      <c r="Y117" s="37">
        <f>VLOOKUP(D117,Priors!$A$18:$B$21,2,FALSE)</f>
        <v>8.7398272304160223</v>
      </c>
      <c r="Z117" s="38">
        <f t="shared" si="9"/>
        <v>7.6974295622663602</v>
      </c>
      <c r="AA117" s="39">
        <v>1</v>
      </c>
      <c r="AB117" s="38">
        <f t="shared" si="10"/>
        <v>7.6974295622663602</v>
      </c>
      <c r="AC117" s="37">
        <f>Priors!$K$18</f>
        <v>2.7435089299114512</v>
      </c>
      <c r="AD117" s="38" t="str">
        <f t="shared" si="11"/>
        <v/>
      </c>
      <c r="AE117" s="37">
        <f>Priors!$K$19</f>
        <v>0.67280088332719912</v>
      </c>
      <c r="AF117" s="38" t="str">
        <f t="shared" si="12"/>
        <v/>
      </c>
      <c r="AG117" s="17">
        <f t="shared" si="13"/>
        <v>0.26062027625749284</v>
      </c>
      <c r="AH117" s="7" t="s">
        <v>1643</v>
      </c>
      <c r="AI117" s="7">
        <v>10</v>
      </c>
      <c r="AJ117" s="38">
        <f t="shared" si="14"/>
        <v>0.76974295622663602</v>
      </c>
      <c r="AK117" s="9" t="b">
        <f t="shared" si="15"/>
        <v>0</v>
      </c>
      <c r="AL117" s="28" t="s">
        <v>1644</v>
      </c>
      <c r="AM117" s="28" t="s">
        <v>1645</v>
      </c>
      <c r="AN117" s="28" t="s">
        <v>1792</v>
      </c>
    </row>
    <row r="118" spans="1:40" ht="30">
      <c r="A118" s="7">
        <v>117</v>
      </c>
      <c r="B118" s="7" t="s">
        <v>440</v>
      </c>
      <c r="C118" s="7" t="s">
        <v>43</v>
      </c>
      <c r="D118" s="7" t="s">
        <v>99</v>
      </c>
      <c r="E118" s="7" t="s">
        <v>1642</v>
      </c>
      <c r="F118" s="7" t="s">
        <v>43</v>
      </c>
      <c r="G118" s="14">
        <v>193</v>
      </c>
      <c r="H118" s="14">
        <v>19</v>
      </c>
      <c r="I118" s="15">
        <v>8.39</v>
      </c>
      <c r="J118" s="14">
        <v>0</v>
      </c>
      <c r="K118" s="15">
        <v>0</v>
      </c>
      <c r="L118" s="14">
        <v>3</v>
      </c>
      <c r="M118" s="14">
        <v>1</v>
      </c>
      <c r="N118" s="13"/>
      <c r="O118" s="14">
        <v>0</v>
      </c>
      <c r="P118" s="14">
        <v>32</v>
      </c>
      <c r="Q118" s="15">
        <v>14.922279792746114</v>
      </c>
      <c r="R118" s="17">
        <f>IFERROR(G118/(G118+Priors!$H$18),0)</f>
        <v>0.16177703269069574</v>
      </c>
      <c r="S118" s="13">
        <v>1</v>
      </c>
      <c r="T118" s="40" t="b">
        <v>0</v>
      </c>
      <c r="U118" s="13">
        <v>1</v>
      </c>
      <c r="V118" s="40" t="b">
        <v>0</v>
      </c>
      <c r="W118" s="13">
        <v>1</v>
      </c>
      <c r="X118" s="17">
        <f t="shared" si="8"/>
        <v>0.16177703269069574</v>
      </c>
      <c r="Y118" s="37">
        <f>VLOOKUP(D118,Priors!$A$18:$B$21,2,FALSE)</f>
        <v>8.7398272304160223</v>
      </c>
      <c r="Z118" s="38">
        <f t="shared" si="9"/>
        <v>8.6832332191249133</v>
      </c>
      <c r="AA118" s="39">
        <v>1</v>
      </c>
      <c r="AB118" s="38">
        <f t="shared" si="10"/>
        <v>8.6832332191249133</v>
      </c>
      <c r="AC118" s="37">
        <f>Priors!$K$18</f>
        <v>2.7435089299114512</v>
      </c>
      <c r="AD118" s="38" t="str">
        <f t="shared" si="11"/>
        <v/>
      </c>
      <c r="AE118" s="37">
        <f>Priors!$K$19</f>
        <v>0.67280088332719912</v>
      </c>
      <c r="AF118" s="38" t="str">
        <f t="shared" si="12"/>
        <v/>
      </c>
      <c r="AG118" s="17">
        <f t="shared" si="13"/>
        <v>0.83822296730930423</v>
      </c>
      <c r="AH118" s="7" t="s">
        <v>1643</v>
      </c>
      <c r="AI118" s="7">
        <v>10</v>
      </c>
      <c r="AJ118" s="38">
        <f t="shared" si="14"/>
        <v>0.86832332191249129</v>
      </c>
      <c r="AK118" s="9" t="b">
        <f t="shared" si="15"/>
        <v>1</v>
      </c>
      <c r="AL118" s="28" t="s">
        <v>1644</v>
      </c>
      <c r="AM118" s="28" t="s">
        <v>1645</v>
      </c>
      <c r="AN118" s="28" t="s">
        <v>1792</v>
      </c>
    </row>
    <row r="119" spans="1:40" ht="30">
      <c r="A119" s="7">
        <v>118</v>
      </c>
      <c r="B119" s="7" t="s">
        <v>442</v>
      </c>
      <c r="C119" s="7" t="s">
        <v>43</v>
      </c>
      <c r="D119" s="7" t="s">
        <v>99</v>
      </c>
      <c r="E119" s="7" t="s">
        <v>1642</v>
      </c>
      <c r="F119" s="7" t="s">
        <v>43</v>
      </c>
      <c r="G119" s="14">
        <v>103</v>
      </c>
      <c r="H119" s="14">
        <v>13</v>
      </c>
      <c r="I119" s="15">
        <v>11.36</v>
      </c>
      <c r="J119" s="14">
        <v>0</v>
      </c>
      <c r="K119" s="15">
        <v>0</v>
      </c>
      <c r="L119" s="14">
        <v>3</v>
      </c>
      <c r="M119" s="14">
        <v>0</v>
      </c>
      <c r="N119" s="13"/>
      <c r="O119" s="14">
        <v>0</v>
      </c>
      <c r="P119" s="14">
        <v>10</v>
      </c>
      <c r="Q119" s="15">
        <v>8.7378640776699026</v>
      </c>
      <c r="R119" s="17">
        <f>IFERROR(G119/(G119+Priors!$H$18),0)</f>
        <v>9.3381686310063466E-2</v>
      </c>
      <c r="S119" s="13">
        <v>1</v>
      </c>
      <c r="T119" s="40" t="b">
        <v>0</v>
      </c>
      <c r="U119" s="13">
        <v>1</v>
      </c>
      <c r="V119" s="40" t="b">
        <v>0</v>
      </c>
      <c r="W119" s="13">
        <v>1</v>
      </c>
      <c r="X119" s="17">
        <f t="shared" si="8"/>
        <v>9.3381686310063466E-2</v>
      </c>
      <c r="Y119" s="37">
        <f>VLOOKUP(D119,Priors!$A$18:$B$21,2,FALSE)</f>
        <v>8.7398272304160223</v>
      </c>
      <c r="Z119" s="38">
        <f t="shared" si="9"/>
        <v>8.9845033820634832</v>
      </c>
      <c r="AA119" s="39">
        <v>1</v>
      </c>
      <c r="AB119" s="38">
        <f t="shared" si="10"/>
        <v>8.9845033820634832</v>
      </c>
      <c r="AC119" s="37">
        <f>Priors!$K$18</f>
        <v>2.7435089299114512</v>
      </c>
      <c r="AD119" s="38" t="str">
        <f t="shared" si="11"/>
        <v/>
      </c>
      <c r="AE119" s="37">
        <f>Priors!$K$19</f>
        <v>0.67280088332719912</v>
      </c>
      <c r="AF119" s="38" t="str">
        <f t="shared" si="12"/>
        <v/>
      </c>
      <c r="AG119" s="17">
        <f t="shared" si="13"/>
        <v>0.90661831368993651</v>
      </c>
      <c r="AH119" s="7" t="s">
        <v>1643</v>
      </c>
      <c r="AI119" s="7">
        <v>10</v>
      </c>
      <c r="AJ119" s="38">
        <f t="shared" si="14"/>
        <v>0.89845033820634834</v>
      </c>
      <c r="AK119" s="9" t="b">
        <f t="shared" si="15"/>
        <v>1</v>
      </c>
      <c r="AL119" s="28" t="s">
        <v>1644</v>
      </c>
      <c r="AM119" s="28" t="s">
        <v>1645</v>
      </c>
      <c r="AN119" s="28" t="s">
        <v>1792</v>
      </c>
    </row>
    <row r="120" spans="1:40" ht="30">
      <c r="A120" s="7">
        <v>119</v>
      </c>
      <c r="B120" s="7" t="s">
        <v>445</v>
      </c>
      <c r="C120" s="7" t="s">
        <v>43</v>
      </c>
      <c r="D120" s="7" t="s">
        <v>99</v>
      </c>
      <c r="E120" s="7" t="s">
        <v>1647</v>
      </c>
      <c r="F120" s="7"/>
      <c r="G120" s="14">
        <v>0</v>
      </c>
      <c r="H120" s="14"/>
      <c r="I120" s="15"/>
      <c r="J120" s="14"/>
      <c r="K120" s="15"/>
      <c r="L120" s="14"/>
      <c r="M120" s="14"/>
      <c r="N120" s="13"/>
      <c r="O120" s="14"/>
      <c r="P120" s="14"/>
      <c r="Q120" s="15"/>
      <c r="R120" s="17">
        <f>IFERROR(G120/(G120+Priors!$H$18),0)</f>
        <v>0</v>
      </c>
      <c r="S120" s="13">
        <v>0</v>
      </c>
      <c r="T120" s="40" t="b">
        <v>0</v>
      </c>
      <c r="U120" s="13">
        <v>1</v>
      </c>
      <c r="V120" s="40" t="b">
        <v>0</v>
      </c>
      <c r="W120" s="13">
        <v>1</v>
      </c>
      <c r="X120" s="17">
        <f t="shared" si="8"/>
        <v>0</v>
      </c>
      <c r="Y120" s="37">
        <f>VLOOKUP(D120,Priors!$A$18:$B$21,2,FALSE)</f>
        <v>8.7398272304160223</v>
      </c>
      <c r="Z120" s="38">
        <f t="shared" si="9"/>
        <v>8.7398272304160223</v>
      </c>
      <c r="AA120" s="39">
        <v>1</v>
      </c>
      <c r="AB120" s="38">
        <f t="shared" si="10"/>
        <v>8.7398272304160223</v>
      </c>
      <c r="AC120" s="37">
        <f>Priors!$K$18</f>
        <v>2.7435089299114512</v>
      </c>
      <c r="AD120" s="38" t="str">
        <f t="shared" si="11"/>
        <v/>
      </c>
      <c r="AE120" s="37">
        <f>Priors!$K$19</f>
        <v>0.67280088332719912</v>
      </c>
      <c r="AF120" s="38" t="str">
        <f t="shared" si="12"/>
        <v/>
      </c>
      <c r="AG120" s="17">
        <f t="shared" si="13"/>
        <v>1</v>
      </c>
      <c r="AH120" s="7" t="s">
        <v>1793</v>
      </c>
      <c r="AI120" s="7">
        <v>10</v>
      </c>
      <c r="AJ120" s="38">
        <f t="shared" si="14"/>
        <v>0.87398272304160218</v>
      </c>
      <c r="AK120" s="9" t="b">
        <f t="shared" si="15"/>
        <v>1</v>
      </c>
      <c r="AL120" s="28" t="s">
        <v>1794</v>
      </c>
      <c r="AM120" s="28"/>
      <c r="AN120" s="28" t="s">
        <v>1792</v>
      </c>
    </row>
    <row r="121" spans="1:40" ht="30">
      <c r="A121" s="7">
        <v>120</v>
      </c>
      <c r="B121" s="7" t="s">
        <v>447</v>
      </c>
      <c r="C121" s="7" t="s">
        <v>43</v>
      </c>
      <c r="D121" s="7" t="s">
        <v>99</v>
      </c>
      <c r="E121" s="7" t="s">
        <v>1647</v>
      </c>
      <c r="F121" s="7"/>
      <c r="G121" s="14">
        <v>0</v>
      </c>
      <c r="H121" s="14"/>
      <c r="I121" s="15"/>
      <c r="J121" s="14"/>
      <c r="K121" s="15"/>
      <c r="L121" s="14"/>
      <c r="M121" s="14"/>
      <c r="N121" s="13"/>
      <c r="O121" s="14"/>
      <c r="P121" s="14"/>
      <c r="Q121" s="15"/>
      <c r="R121" s="17">
        <f>IFERROR(G121/(G121+Priors!$H$18),0)</f>
        <v>0</v>
      </c>
      <c r="S121" s="13">
        <v>0</v>
      </c>
      <c r="T121" s="40" t="b">
        <v>0</v>
      </c>
      <c r="U121" s="13">
        <v>1</v>
      </c>
      <c r="V121" s="40" t="b">
        <v>0</v>
      </c>
      <c r="W121" s="13">
        <v>1</v>
      </c>
      <c r="X121" s="17">
        <f t="shared" si="8"/>
        <v>0</v>
      </c>
      <c r="Y121" s="37">
        <f>VLOOKUP(D121,Priors!$A$18:$B$21,2,FALSE)</f>
        <v>8.7398272304160223</v>
      </c>
      <c r="Z121" s="38">
        <f t="shared" si="9"/>
        <v>8.7398272304160223</v>
      </c>
      <c r="AA121" s="39">
        <v>1</v>
      </c>
      <c r="AB121" s="38">
        <f t="shared" si="10"/>
        <v>8.7398272304160223</v>
      </c>
      <c r="AC121" s="37">
        <f>Priors!$K$18</f>
        <v>2.7435089299114512</v>
      </c>
      <c r="AD121" s="38" t="str">
        <f t="shared" si="11"/>
        <v/>
      </c>
      <c r="AE121" s="37">
        <f>Priors!$K$19</f>
        <v>0.67280088332719912</v>
      </c>
      <c r="AF121" s="38" t="str">
        <f t="shared" si="12"/>
        <v/>
      </c>
      <c r="AG121" s="17">
        <f t="shared" si="13"/>
        <v>1</v>
      </c>
      <c r="AH121" s="7" t="s">
        <v>1793</v>
      </c>
      <c r="AI121" s="7">
        <v>10</v>
      </c>
      <c r="AJ121" s="38">
        <f t="shared" si="14"/>
        <v>0.87398272304160218</v>
      </c>
      <c r="AK121" s="9" t="b">
        <f t="shared" si="15"/>
        <v>1</v>
      </c>
      <c r="AL121" s="28" t="s">
        <v>1794</v>
      </c>
      <c r="AM121" s="28"/>
      <c r="AN121" s="28" t="s">
        <v>1792</v>
      </c>
    </row>
    <row r="122" spans="1:40" ht="30">
      <c r="A122" s="7">
        <v>121</v>
      </c>
      <c r="B122" s="7" t="s">
        <v>450</v>
      </c>
      <c r="C122" s="7" t="s">
        <v>43</v>
      </c>
      <c r="D122" s="7" t="s">
        <v>112</v>
      </c>
      <c r="E122" s="7" t="s">
        <v>1642</v>
      </c>
      <c r="F122" s="7" t="s">
        <v>43</v>
      </c>
      <c r="G122" s="14">
        <v>1714</v>
      </c>
      <c r="H122" s="14">
        <v>107</v>
      </c>
      <c r="I122" s="15">
        <v>5.62</v>
      </c>
      <c r="J122" s="14">
        <v>0</v>
      </c>
      <c r="K122" s="15">
        <v>0</v>
      </c>
      <c r="L122" s="14">
        <v>20</v>
      </c>
      <c r="M122" s="14">
        <v>5</v>
      </c>
      <c r="N122" s="13"/>
      <c r="O122" s="14">
        <v>2</v>
      </c>
      <c r="P122" s="14">
        <v>247</v>
      </c>
      <c r="Q122" s="15">
        <v>12.969661610268378</v>
      </c>
      <c r="R122" s="17">
        <f>IFERROR(G122/(G122+Priors!$H$18),0)</f>
        <v>0.63154016212232866</v>
      </c>
      <c r="S122" s="13">
        <v>1</v>
      </c>
      <c r="T122" s="40" t="b">
        <v>0</v>
      </c>
      <c r="U122" s="13">
        <v>1</v>
      </c>
      <c r="V122" s="40" t="b">
        <v>0</v>
      </c>
      <c r="W122" s="13">
        <v>1</v>
      </c>
      <c r="X122" s="17">
        <f t="shared" si="8"/>
        <v>0.63154016212232866</v>
      </c>
      <c r="Y122" s="37">
        <f>VLOOKUP(D122,Priors!$A$18:$B$21,2,FALSE)</f>
        <v>8.4555315342179806</v>
      </c>
      <c r="Z122" s="38">
        <f t="shared" si="9"/>
        <v>6.6647794893949825</v>
      </c>
      <c r="AA122" s="39">
        <v>1</v>
      </c>
      <c r="AB122" s="38">
        <f t="shared" si="10"/>
        <v>6.6647794893949825</v>
      </c>
      <c r="AC122" s="37">
        <f>Priors!$K$18</f>
        <v>2.7435089299114512</v>
      </c>
      <c r="AD122" s="38" t="str">
        <f t="shared" si="11"/>
        <v/>
      </c>
      <c r="AE122" s="37">
        <f>Priors!$K$19</f>
        <v>0.67280088332719912</v>
      </c>
      <c r="AF122" s="38" t="str">
        <f t="shared" si="12"/>
        <v/>
      </c>
      <c r="AG122" s="17">
        <f t="shared" si="13"/>
        <v>0.36845983787767134</v>
      </c>
      <c r="AH122" s="7" t="s">
        <v>1643</v>
      </c>
      <c r="AI122" s="7">
        <v>12</v>
      </c>
      <c r="AJ122" s="38">
        <f t="shared" si="14"/>
        <v>0.55539829078291525</v>
      </c>
      <c r="AK122" s="9" t="b">
        <f t="shared" si="15"/>
        <v>0</v>
      </c>
      <c r="AL122" s="28" t="s">
        <v>1644</v>
      </c>
      <c r="AM122" s="28" t="s">
        <v>1645</v>
      </c>
      <c r="AN122" s="28" t="s">
        <v>1792</v>
      </c>
    </row>
    <row r="123" spans="1:40" ht="30">
      <c r="A123" s="7">
        <v>122</v>
      </c>
      <c r="B123" s="7" t="s">
        <v>454</v>
      </c>
      <c r="C123" s="7" t="s">
        <v>43</v>
      </c>
      <c r="D123" s="7" t="s">
        <v>112</v>
      </c>
      <c r="E123" s="7" t="s">
        <v>1642</v>
      </c>
      <c r="F123" s="7" t="s">
        <v>43</v>
      </c>
      <c r="G123" s="14">
        <v>2389</v>
      </c>
      <c r="H123" s="14">
        <v>185</v>
      </c>
      <c r="I123" s="15">
        <v>6.97</v>
      </c>
      <c r="J123" s="14">
        <v>0</v>
      </c>
      <c r="K123" s="15">
        <v>0</v>
      </c>
      <c r="L123" s="14">
        <v>33</v>
      </c>
      <c r="M123" s="14">
        <v>11</v>
      </c>
      <c r="N123" s="13"/>
      <c r="O123" s="14">
        <v>9</v>
      </c>
      <c r="P123" s="14">
        <v>466</v>
      </c>
      <c r="Q123" s="15">
        <v>17.555462536626205</v>
      </c>
      <c r="R123" s="17">
        <f>IFERROR(G123/(G123+Priors!$H$18),0)</f>
        <v>0.70492770728828558</v>
      </c>
      <c r="S123" s="13">
        <v>1</v>
      </c>
      <c r="T123" s="40" t="b">
        <v>0</v>
      </c>
      <c r="U123" s="13">
        <v>1</v>
      </c>
      <c r="V123" s="40" t="b">
        <v>0</v>
      </c>
      <c r="W123" s="13">
        <v>1</v>
      </c>
      <c r="X123" s="17">
        <f t="shared" si="8"/>
        <v>0.70492770728828558</v>
      </c>
      <c r="Y123" s="37">
        <f>VLOOKUP(D123,Priors!$A$18:$B$21,2,FALSE)</f>
        <v>8.4555315342179806</v>
      </c>
      <c r="Z123" s="38">
        <f t="shared" si="9"/>
        <v>7.4083391956972502</v>
      </c>
      <c r="AA123" s="39">
        <v>1</v>
      </c>
      <c r="AB123" s="38">
        <f t="shared" si="10"/>
        <v>7.4083391956972502</v>
      </c>
      <c r="AC123" s="37">
        <f>Priors!$K$18</f>
        <v>2.7435089299114512</v>
      </c>
      <c r="AD123" s="38" t="str">
        <f t="shared" si="11"/>
        <v/>
      </c>
      <c r="AE123" s="37">
        <f>Priors!$K$19</f>
        <v>0.67280088332719912</v>
      </c>
      <c r="AF123" s="38" t="str">
        <f t="shared" si="12"/>
        <v/>
      </c>
      <c r="AG123" s="17">
        <f t="shared" si="13"/>
        <v>0.29507229271171442</v>
      </c>
      <c r="AH123" s="7" t="s">
        <v>1643</v>
      </c>
      <c r="AI123" s="7">
        <v>12</v>
      </c>
      <c r="AJ123" s="38">
        <f t="shared" si="14"/>
        <v>0.61736159964143755</v>
      </c>
      <c r="AK123" s="9" t="b">
        <f t="shared" si="15"/>
        <v>0</v>
      </c>
      <c r="AL123" s="28" t="s">
        <v>1644</v>
      </c>
      <c r="AM123" s="28" t="s">
        <v>1645</v>
      </c>
      <c r="AN123" s="28" t="s">
        <v>1792</v>
      </c>
    </row>
    <row r="124" spans="1:40" ht="30">
      <c r="A124" s="7">
        <v>123</v>
      </c>
      <c r="B124" s="7" t="s">
        <v>456</v>
      </c>
      <c r="C124" s="7" t="s">
        <v>43</v>
      </c>
      <c r="D124" s="7" t="s">
        <v>112</v>
      </c>
      <c r="E124" s="7" t="s">
        <v>1642</v>
      </c>
      <c r="F124" s="7" t="s">
        <v>43</v>
      </c>
      <c r="G124" s="14">
        <v>1736</v>
      </c>
      <c r="H124" s="14">
        <v>114</v>
      </c>
      <c r="I124" s="15">
        <v>5.91</v>
      </c>
      <c r="J124" s="14">
        <v>0</v>
      </c>
      <c r="K124" s="15">
        <v>0</v>
      </c>
      <c r="L124" s="14">
        <v>23</v>
      </c>
      <c r="M124" s="14">
        <v>7</v>
      </c>
      <c r="N124" s="13"/>
      <c r="O124" s="14">
        <v>2</v>
      </c>
      <c r="P124" s="14">
        <v>317</v>
      </c>
      <c r="Q124" s="15">
        <v>16.434331797235021</v>
      </c>
      <c r="R124" s="17">
        <f>IFERROR(G124/(G124+Priors!$H$18),0)</f>
        <v>0.63450292397660824</v>
      </c>
      <c r="S124" s="13">
        <v>1</v>
      </c>
      <c r="T124" s="40" t="b">
        <v>0</v>
      </c>
      <c r="U124" s="13">
        <v>1</v>
      </c>
      <c r="V124" s="40" t="b">
        <v>0</v>
      </c>
      <c r="W124" s="13">
        <v>1</v>
      </c>
      <c r="X124" s="17">
        <f t="shared" si="8"/>
        <v>0.63450292397660824</v>
      </c>
      <c r="Y124" s="37">
        <f>VLOOKUP(D124,Priors!$A$18:$B$21,2,FALSE)</f>
        <v>8.4555315342179806</v>
      </c>
      <c r="Z124" s="38">
        <f t="shared" si="9"/>
        <v>6.8403843326820102</v>
      </c>
      <c r="AA124" s="39">
        <v>1</v>
      </c>
      <c r="AB124" s="38">
        <f t="shared" si="10"/>
        <v>6.8403843326820102</v>
      </c>
      <c r="AC124" s="37">
        <f>Priors!$K$18</f>
        <v>2.7435089299114512</v>
      </c>
      <c r="AD124" s="38" t="str">
        <f t="shared" si="11"/>
        <v/>
      </c>
      <c r="AE124" s="37">
        <f>Priors!$K$19</f>
        <v>0.67280088332719912</v>
      </c>
      <c r="AF124" s="38" t="str">
        <f t="shared" si="12"/>
        <v/>
      </c>
      <c r="AG124" s="17">
        <f t="shared" si="13"/>
        <v>0.36549707602339176</v>
      </c>
      <c r="AH124" s="7" t="s">
        <v>1643</v>
      </c>
      <c r="AI124" s="7">
        <v>12</v>
      </c>
      <c r="AJ124" s="38">
        <f t="shared" si="14"/>
        <v>0.57003202772350081</v>
      </c>
      <c r="AK124" s="9" t="b">
        <f t="shared" si="15"/>
        <v>0</v>
      </c>
      <c r="AL124" s="28" t="s">
        <v>1644</v>
      </c>
      <c r="AM124" s="28" t="s">
        <v>1645</v>
      </c>
      <c r="AN124" s="28" t="s">
        <v>1792</v>
      </c>
    </row>
    <row r="125" spans="1:40" ht="30">
      <c r="A125" s="7">
        <v>124</v>
      </c>
      <c r="B125" s="7" t="s">
        <v>459</v>
      </c>
      <c r="C125" s="7" t="s">
        <v>43</v>
      </c>
      <c r="D125" s="7" t="s">
        <v>112</v>
      </c>
      <c r="E125" s="7" t="s">
        <v>1642</v>
      </c>
      <c r="F125" s="7" t="s">
        <v>43</v>
      </c>
      <c r="G125" s="14">
        <v>1636</v>
      </c>
      <c r="H125" s="14">
        <v>145</v>
      </c>
      <c r="I125" s="15">
        <v>7.98</v>
      </c>
      <c r="J125" s="14">
        <v>0</v>
      </c>
      <c r="K125" s="15">
        <v>0</v>
      </c>
      <c r="L125" s="14">
        <v>17</v>
      </c>
      <c r="M125" s="14">
        <v>6</v>
      </c>
      <c r="N125" s="13"/>
      <c r="O125" s="14">
        <v>10</v>
      </c>
      <c r="P125" s="14">
        <v>389</v>
      </c>
      <c r="Q125" s="15">
        <v>21.399755501222494</v>
      </c>
      <c r="R125" s="17">
        <f>IFERROR(G125/(G125+Priors!$H$18),0)</f>
        <v>0.62063732928679816</v>
      </c>
      <c r="S125" s="13">
        <v>1</v>
      </c>
      <c r="T125" s="40" t="b">
        <v>0</v>
      </c>
      <c r="U125" s="13">
        <v>1</v>
      </c>
      <c r="V125" s="40" t="b">
        <v>0</v>
      </c>
      <c r="W125" s="13">
        <v>1</v>
      </c>
      <c r="X125" s="17">
        <f t="shared" si="8"/>
        <v>0.62063732928679816</v>
      </c>
      <c r="Y125" s="37">
        <f>VLOOKUP(D125,Priors!$A$18:$B$21,2,FALSE)</f>
        <v>8.4555315342179806</v>
      </c>
      <c r="Z125" s="38">
        <f t="shared" si="9"/>
        <v>8.1603989128292795</v>
      </c>
      <c r="AA125" s="39">
        <v>1</v>
      </c>
      <c r="AB125" s="38">
        <f t="shared" si="10"/>
        <v>8.1603989128292795</v>
      </c>
      <c r="AC125" s="37">
        <f>Priors!$K$18</f>
        <v>2.7435089299114512</v>
      </c>
      <c r="AD125" s="38" t="str">
        <f t="shared" si="11"/>
        <v/>
      </c>
      <c r="AE125" s="37">
        <f>Priors!$K$19</f>
        <v>0.67280088332719912</v>
      </c>
      <c r="AF125" s="38" t="str">
        <f t="shared" si="12"/>
        <v/>
      </c>
      <c r="AG125" s="17">
        <f t="shared" si="13"/>
        <v>0.37936267071320184</v>
      </c>
      <c r="AH125" s="7" t="s">
        <v>1643</v>
      </c>
      <c r="AI125" s="7">
        <v>12</v>
      </c>
      <c r="AJ125" s="38">
        <f t="shared" si="14"/>
        <v>0.68003324273577326</v>
      </c>
      <c r="AK125" s="9" t="b">
        <f t="shared" si="15"/>
        <v>0</v>
      </c>
      <c r="AL125" s="28" t="s">
        <v>1644</v>
      </c>
      <c r="AM125" s="28" t="s">
        <v>1645</v>
      </c>
      <c r="AN125" s="28" t="s">
        <v>1792</v>
      </c>
    </row>
    <row r="126" spans="1:40" ht="30">
      <c r="A126" s="7">
        <v>125</v>
      </c>
      <c r="B126" s="7" t="s">
        <v>461</v>
      </c>
      <c r="C126" s="7" t="s">
        <v>43</v>
      </c>
      <c r="D126" s="7" t="s">
        <v>167</v>
      </c>
      <c r="E126" s="7" t="s">
        <v>1642</v>
      </c>
      <c r="F126" s="7" t="s">
        <v>43</v>
      </c>
      <c r="G126" s="14">
        <v>1776</v>
      </c>
      <c r="H126" s="14">
        <v>131</v>
      </c>
      <c r="I126" s="15">
        <v>6.64</v>
      </c>
      <c r="J126" s="14">
        <v>0</v>
      </c>
      <c r="K126" s="15">
        <v>0</v>
      </c>
      <c r="L126" s="14">
        <v>20</v>
      </c>
      <c r="M126" s="14">
        <v>7</v>
      </c>
      <c r="N126" s="13"/>
      <c r="O126" s="14">
        <v>2</v>
      </c>
      <c r="P126" s="14">
        <v>290</v>
      </c>
      <c r="Q126" s="15">
        <v>14.695945945945946</v>
      </c>
      <c r="R126" s="17">
        <f>IFERROR(G126/(G126+Priors!$H$18),0)</f>
        <v>0.63976945244956773</v>
      </c>
      <c r="S126" s="13">
        <v>1</v>
      </c>
      <c r="T126" s="40" t="b">
        <v>0</v>
      </c>
      <c r="U126" s="13">
        <v>1</v>
      </c>
      <c r="V126" s="40" t="b">
        <v>0</v>
      </c>
      <c r="W126" s="13">
        <v>1</v>
      </c>
      <c r="X126" s="17">
        <f t="shared" si="8"/>
        <v>0.63976945244956773</v>
      </c>
      <c r="Y126" s="37">
        <f>VLOOKUP(D126,Priors!$A$18:$B$21,2,FALSE)</f>
        <v>4.5137422563476139</v>
      </c>
      <c r="Z126" s="38">
        <f t="shared" si="9"/>
        <v>5.8740570087707544</v>
      </c>
      <c r="AA126" s="39">
        <v>1</v>
      </c>
      <c r="AB126" s="38">
        <f t="shared" si="10"/>
        <v>5.8740570087707544</v>
      </c>
      <c r="AC126" s="37">
        <f>Priors!$K$18</f>
        <v>2.7435089299114512</v>
      </c>
      <c r="AD126" s="38" t="str">
        <f t="shared" si="11"/>
        <v/>
      </c>
      <c r="AE126" s="37">
        <f>Priors!$K$19</f>
        <v>0.67280088332719912</v>
      </c>
      <c r="AF126" s="38" t="str">
        <f t="shared" si="12"/>
        <v/>
      </c>
      <c r="AG126" s="17">
        <f t="shared" si="13"/>
        <v>0.36023054755043227</v>
      </c>
      <c r="AH126" s="7" t="s">
        <v>1643</v>
      </c>
      <c r="AI126" s="7">
        <v>12</v>
      </c>
      <c r="AJ126" s="38">
        <f t="shared" si="14"/>
        <v>0.48950475073089622</v>
      </c>
      <c r="AK126" s="9" t="b">
        <f t="shared" si="15"/>
        <v>0</v>
      </c>
      <c r="AL126" s="28" t="s">
        <v>1644</v>
      </c>
      <c r="AM126" s="28" t="s">
        <v>1645</v>
      </c>
      <c r="AN126" s="28" t="s">
        <v>1792</v>
      </c>
    </row>
    <row r="127" spans="1:40" ht="30">
      <c r="A127" s="7">
        <v>126</v>
      </c>
      <c r="B127" s="7" t="s">
        <v>464</v>
      </c>
      <c r="C127" s="7" t="s">
        <v>43</v>
      </c>
      <c r="D127" s="7" t="s">
        <v>112</v>
      </c>
      <c r="E127" s="7" t="s">
        <v>1642</v>
      </c>
      <c r="F127" s="7" t="s">
        <v>43</v>
      </c>
      <c r="G127" s="14">
        <v>202</v>
      </c>
      <c r="H127" s="14">
        <v>10</v>
      </c>
      <c r="I127" s="15">
        <v>4.46</v>
      </c>
      <c r="J127" s="14">
        <v>0</v>
      </c>
      <c r="K127" s="15">
        <v>0</v>
      </c>
      <c r="L127" s="14">
        <v>3</v>
      </c>
      <c r="M127" s="14">
        <v>1</v>
      </c>
      <c r="N127" s="13"/>
      <c r="O127" s="14">
        <v>2</v>
      </c>
      <c r="P127" s="14">
        <v>48</v>
      </c>
      <c r="Q127" s="15">
        <v>21.386138613861387</v>
      </c>
      <c r="R127" s="17">
        <f>IFERROR(G127/(G127+Priors!$H$18),0)</f>
        <v>0.16805324459234608</v>
      </c>
      <c r="S127" s="13">
        <v>1</v>
      </c>
      <c r="T127" s="40" t="b">
        <v>0</v>
      </c>
      <c r="U127" s="13">
        <v>1</v>
      </c>
      <c r="V127" s="40" t="b">
        <v>0</v>
      </c>
      <c r="W127" s="13">
        <v>1</v>
      </c>
      <c r="X127" s="17">
        <f t="shared" si="8"/>
        <v>0.16805324459234608</v>
      </c>
      <c r="Y127" s="37">
        <f>VLOOKUP(D127,Priors!$A$18:$B$21,2,FALSE)</f>
        <v>8.4555315342179806</v>
      </c>
      <c r="Z127" s="38">
        <f t="shared" si="9"/>
        <v>7.7840694960216146</v>
      </c>
      <c r="AA127" s="39">
        <v>1</v>
      </c>
      <c r="AB127" s="38">
        <f t="shared" si="10"/>
        <v>7.7840694960216146</v>
      </c>
      <c r="AC127" s="37">
        <f>Priors!$K$18</f>
        <v>2.7435089299114512</v>
      </c>
      <c r="AD127" s="38" t="str">
        <f t="shared" si="11"/>
        <v/>
      </c>
      <c r="AE127" s="37">
        <f>Priors!$K$19</f>
        <v>0.67280088332719912</v>
      </c>
      <c r="AF127" s="38" t="str">
        <f t="shared" si="12"/>
        <v/>
      </c>
      <c r="AG127" s="17">
        <f t="shared" si="13"/>
        <v>0.83194675540765395</v>
      </c>
      <c r="AH127" s="7" t="s">
        <v>1643</v>
      </c>
      <c r="AI127" s="7">
        <v>12</v>
      </c>
      <c r="AJ127" s="38">
        <f t="shared" si="14"/>
        <v>0.64867245800180118</v>
      </c>
      <c r="AK127" s="9" t="b">
        <f t="shared" si="15"/>
        <v>1</v>
      </c>
      <c r="AL127" s="28" t="s">
        <v>1644</v>
      </c>
      <c r="AM127" s="28" t="s">
        <v>1645</v>
      </c>
      <c r="AN127" s="28" t="s">
        <v>1792</v>
      </c>
    </row>
    <row r="128" spans="1:40" ht="30">
      <c r="A128" s="7">
        <v>127</v>
      </c>
      <c r="B128" s="7" t="s">
        <v>467</v>
      </c>
      <c r="C128" s="7" t="s">
        <v>43</v>
      </c>
      <c r="D128" s="7" t="s">
        <v>112</v>
      </c>
      <c r="E128" s="7" t="s">
        <v>1642</v>
      </c>
      <c r="F128" s="7" t="s">
        <v>43</v>
      </c>
      <c r="G128" s="14">
        <v>2117</v>
      </c>
      <c r="H128" s="14">
        <v>238</v>
      </c>
      <c r="I128" s="15">
        <v>10.119999999999999</v>
      </c>
      <c r="J128" s="14">
        <v>0</v>
      </c>
      <c r="K128" s="15">
        <v>0</v>
      </c>
      <c r="L128" s="14">
        <v>29</v>
      </c>
      <c r="M128" s="14">
        <v>8</v>
      </c>
      <c r="N128" s="13"/>
      <c r="O128" s="14">
        <v>9</v>
      </c>
      <c r="P128" s="14">
        <v>361</v>
      </c>
      <c r="Q128" s="15">
        <v>15.347189418989135</v>
      </c>
      <c r="R128" s="17">
        <f>IFERROR(G128/(G128+Priors!$H$18),0)</f>
        <v>0.67917869746551174</v>
      </c>
      <c r="S128" s="13">
        <v>1</v>
      </c>
      <c r="T128" s="40" t="b">
        <v>0</v>
      </c>
      <c r="U128" s="13">
        <v>1</v>
      </c>
      <c r="V128" s="40" t="b">
        <v>0</v>
      </c>
      <c r="W128" s="13">
        <v>1</v>
      </c>
      <c r="X128" s="17">
        <f t="shared" si="8"/>
        <v>0.67917869746551174</v>
      </c>
      <c r="Y128" s="37">
        <f>VLOOKUP(D128,Priors!$A$18:$B$21,2,FALSE)</f>
        <v>8.4555315342179806</v>
      </c>
      <c r="Z128" s="38">
        <f t="shared" si="9"/>
        <v>9.5860030587802303</v>
      </c>
      <c r="AA128" s="39">
        <v>1</v>
      </c>
      <c r="AB128" s="38">
        <f t="shared" si="10"/>
        <v>9.5860030587802303</v>
      </c>
      <c r="AC128" s="37">
        <f>Priors!$K$18</f>
        <v>2.7435089299114512</v>
      </c>
      <c r="AD128" s="38" t="str">
        <f t="shared" si="11"/>
        <v/>
      </c>
      <c r="AE128" s="37">
        <f>Priors!$K$19</f>
        <v>0.67280088332719912</v>
      </c>
      <c r="AF128" s="38" t="str">
        <f t="shared" si="12"/>
        <v/>
      </c>
      <c r="AG128" s="17">
        <f t="shared" si="13"/>
        <v>0.32082130253448826</v>
      </c>
      <c r="AH128" s="7" t="s">
        <v>1643</v>
      </c>
      <c r="AI128" s="7">
        <v>12</v>
      </c>
      <c r="AJ128" s="38">
        <f t="shared" si="14"/>
        <v>0.79883358823168582</v>
      </c>
      <c r="AK128" s="9" t="b">
        <f t="shared" si="15"/>
        <v>0</v>
      </c>
      <c r="AL128" s="28" t="s">
        <v>1644</v>
      </c>
      <c r="AM128" s="28" t="s">
        <v>1645</v>
      </c>
      <c r="AN128" s="28" t="s">
        <v>1792</v>
      </c>
    </row>
    <row r="129" spans="1:40" ht="30">
      <c r="A129" s="7">
        <v>128</v>
      </c>
      <c r="B129" s="7" t="s">
        <v>470</v>
      </c>
      <c r="C129" s="7" t="s">
        <v>43</v>
      </c>
      <c r="D129" s="7" t="s">
        <v>112</v>
      </c>
      <c r="E129" s="7" t="s">
        <v>1642</v>
      </c>
      <c r="F129" s="7" t="s">
        <v>51</v>
      </c>
      <c r="G129" s="14">
        <v>81</v>
      </c>
      <c r="H129" s="14">
        <v>6</v>
      </c>
      <c r="I129" s="15">
        <v>6.67</v>
      </c>
      <c r="J129" s="14">
        <v>0</v>
      </c>
      <c r="K129" s="15">
        <v>0</v>
      </c>
      <c r="L129" s="14">
        <v>4</v>
      </c>
      <c r="M129" s="14">
        <v>0</v>
      </c>
      <c r="N129" s="13"/>
      <c r="O129" s="14">
        <v>0</v>
      </c>
      <c r="P129" s="14">
        <v>9</v>
      </c>
      <c r="Q129" s="15">
        <v>10</v>
      </c>
      <c r="R129" s="17">
        <f>IFERROR(G129/(G129+Priors!$H$18),0)</f>
        <v>7.4930619796484743E-2</v>
      </c>
      <c r="S129" s="13">
        <v>1</v>
      </c>
      <c r="T129" s="40" t="b">
        <v>1</v>
      </c>
      <c r="U129" s="13">
        <v>0.85</v>
      </c>
      <c r="V129" s="40" t="b">
        <v>0</v>
      </c>
      <c r="W129" s="13">
        <v>1</v>
      </c>
      <c r="X129" s="17">
        <f t="shared" si="8"/>
        <v>6.3691026827012026E-2</v>
      </c>
      <c r="Y129" s="37">
        <f>VLOOKUP(D129,Priors!$A$18:$B$21,2,FALSE)</f>
        <v>8.4555315342179806</v>
      </c>
      <c r="Z129" s="38">
        <f t="shared" si="9"/>
        <v>8.341809197371628</v>
      </c>
      <c r="AA129" s="39">
        <v>1</v>
      </c>
      <c r="AB129" s="38">
        <f t="shared" si="10"/>
        <v>8.341809197371628</v>
      </c>
      <c r="AC129" s="37">
        <f>Priors!$K$18</f>
        <v>2.7435089299114512</v>
      </c>
      <c r="AD129" s="38" t="str">
        <f t="shared" si="11"/>
        <v/>
      </c>
      <c r="AE129" s="37">
        <f>Priors!$K$19</f>
        <v>0.67280088332719912</v>
      </c>
      <c r="AF129" s="38" t="str">
        <f t="shared" si="12"/>
        <v/>
      </c>
      <c r="AG129" s="17">
        <f t="shared" si="13"/>
        <v>0.936308973172988</v>
      </c>
      <c r="AH129" s="7" t="s">
        <v>1643</v>
      </c>
      <c r="AI129" s="7">
        <v>12</v>
      </c>
      <c r="AJ129" s="38">
        <f t="shared" si="14"/>
        <v>0.69515076644763563</v>
      </c>
      <c r="AK129" s="9" t="b">
        <f t="shared" si="15"/>
        <v>1</v>
      </c>
      <c r="AL129" s="28" t="s">
        <v>1644</v>
      </c>
      <c r="AM129" s="28" t="s">
        <v>1645</v>
      </c>
      <c r="AN129" s="28" t="s">
        <v>1792</v>
      </c>
    </row>
    <row r="130" spans="1:40" ht="30">
      <c r="A130" s="7">
        <v>129</v>
      </c>
      <c r="B130" s="7" t="s">
        <v>473</v>
      </c>
      <c r="C130" s="7" t="s">
        <v>43</v>
      </c>
      <c r="D130" s="7" t="s">
        <v>112</v>
      </c>
      <c r="E130" s="7" t="s">
        <v>1642</v>
      </c>
      <c r="F130" s="7" t="s">
        <v>43</v>
      </c>
      <c r="G130" s="14">
        <v>1921</v>
      </c>
      <c r="H130" s="14">
        <v>225</v>
      </c>
      <c r="I130" s="15">
        <v>10.54</v>
      </c>
      <c r="J130" s="14">
        <v>0</v>
      </c>
      <c r="K130" s="15">
        <v>0</v>
      </c>
      <c r="L130" s="14">
        <v>24</v>
      </c>
      <c r="M130" s="14">
        <v>6</v>
      </c>
      <c r="N130" s="13"/>
      <c r="O130" s="14">
        <v>7</v>
      </c>
      <c r="P130" s="14">
        <v>406</v>
      </c>
      <c r="Q130" s="15">
        <v>19.021343050494533</v>
      </c>
      <c r="R130" s="17">
        <f>IFERROR(G130/(G130+Priors!$H$18),0)</f>
        <v>0.6576514892160219</v>
      </c>
      <c r="S130" s="13">
        <v>1</v>
      </c>
      <c r="T130" s="40" t="b">
        <v>0</v>
      </c>
      <c r="U130" s="13">
        <v>1</v>
      </c>
      <c r="V130" s="40" t="b">
        <v>0</v>
      </c>
      <c r="W130" s="13">
        <v>1</v>
      </c>
      <c r="X130" s="17">
        <f t="shared" ref="X130:X193" si="16">R130*S130*U130*W130</f>
        <v>0.6576514892160219</v>
      </c>
      <c r="Y130" s="37">
        <f>VLOOKUP(D130,Priors!$A$18:$B$21,2,FALSE)</f>
        <v>8.4555315342179806</v>
      </c>
      <c r="Z130" s="38">
        <f t="shared" ref="Z130:Z193" si="17">IF(OR(H130="",G130=0),Y130,X130*I130+(1-X130)*Y130)</f>
        <v>9.8263853249633613</v>
      </c>
      <c r="AA130" s="39">
        <v>1</v>
      </c>
      <c r="AB130" s="38">
        <f t="shared" ref="AB130:AB193" si="18">Z130*AA130</f>
        <v>9.8263853249633613</v>
      </c>
      <c r="AC130" s="37">
        <f>Priors!$K$18</f>
        <v>2.7435089299114512</v>
      </c>
      <c r="AD130" s="38" t="str">
        <f t="shared" ref="AD130:AD193" si="19">IF(D130&lt;&gt;"GK","",IF(OR(K130="",G130=0),AC130,X130*K130+(1-X130)*AC130))</f>
        <v/>
      </c>
      <c r="AE130" s="37">
        <f>Priors!$K$19</f>
        <v>0.67280088332719912</v>
      </c>
      <c r="AF130" s="38" t="str">
        <f t="shared" ref="AF130:AF193" si="20">IF(D130&lt;&gt;"GK","",IF(OR(N130="",G130=0),AE130,X130*N130+(1-X130)*AE130))</f>
        <v/>
      </c>
      <c r="AG130" s="17">
        <f t="shared" ref="AG130:AG193" si="21">1-X130</f>
        <v>0.3423485107839781</v>
      </c>
      <c r="AH130" s="7" t="s">
        <v>1643</v>
      </c>
      <c r="AI130" s="7">
        <v>12</v>
      </c>
      <c r="AJ130" s="38">
        <f t="shared" ref="AJ130:AJ193" si="22">IF(OR(AI130="",AI130=0),"",AB130/AI130)</f>
        <v>0.81886544374694681</v>
      </c>
      <c r="AK130" s="9" t="b">
        <f t="shared" ref="AK130:AK193" si="23">OR(AG130&gt;=0.5,E130&lt;&gt;"Premier League",T130=TRUE,V130=TRUE)</f>
        <v>0</v>
      </c>
      <c r="AL130" s="28" t="s">
        <v>1644</v>
      </c>
      <c r="AM130" s="28" t="s">
        <v>1645</v>
      </c>
      <c r="AN130" s="28" t="s">
        <v>1792</v>
      </c>
    </row>
    <row r="131" spans="1:40" ht="30">
      <c r="A131" s="7">
        <v>130</v>
      </c>
      <c r="B131" s="7" t="s">
        <v>476</v>
      </c>
      <c r="C131" s="7" t="s">
        <v>43</v>
      </c>
      <c r="D131" s="7" t="s">
        <v>99</v>
      </c>
      <c r="E131" s="7" t="s">
        <v>1642</v>
      </c>
      <c r="F131" s="7" t="s">
        <v>43</v>
      </c>
      <c r="G131" s="14">
        <v>1901</v>
      </c>
      <c r="H131" s="14">
        <v>269</v>
      </c>
      <c r="I131" s="15">
        <v>12.74</v>
      </c>
      <c r="J131" s="14">
        <v>0</v>
      </c>
      <c r="K131" s="15">
        <v>0</v>
      </c>
      <c r="L131" s="14">
        <v>26</v>
      </c>
      <c r="M131" s="14">
        <v>6</v>
      </c>
      <c r="N131" s="13"/>
      <c r="O131" s="14">
        <v>6</v>
      </c>
      <c r="P131" s="14">
        <v>398</v>
      </c>
      <c r="Q131" s="15">
        <v>18.842714360862704</v>
      </c>
      <c r="R131" s="17">
        <f>IFERROR(G131/(G131+Priors!$H$18),0)</f>
        <v>0.65529127886935534</v>
      </c>
      <c r="S131" s="13">
        <v>1</v>
      </c>
      <c r="T131" s="40" t="b">
        <v>0</v>
      </c>
      <c r="U131" s="13">
        <v>1</v>
      </c>
      <c r="V131" s="40" t="b">
        <v>0</v>
      </c>
      <c r="W131" s="13">
        <v>1</v>
      </c>
      <c r="X131" s="17">
        <f t="shared" si="16"/>
        <v>0.65529127886935534</v>
      </c>
      <c r="Y131" s="37">
        <f>VLOOKUP(D131,Priors!$A$18:$B$21,2,FALSE)</f>
        <v>8.7398272304160223</v>
      </c>
      <c r="Z131" s="38">
        <f t="shared" si="17"/>
        <v>11.36110556029508</v>
      </c>
      <c r="AA131" s="39">
        <v>1</v>
      </c>
      <c r="AB131" s="38">
        <f t="shared" si="18"/>
        <v>11.36110556029508</v>
      </c>
      <c r="AC131" s="37">
        <f>Priors!$K$18</f>
        <v>2.7435089299114512</v>
      </c>
      <c r="AD131" s="38" t="str">
        <f t="shared" si="19"/>
        <v/>
      </c>
      <c r="AE131" s="37">
        <f>Priors!$K$19</f>
        <v>0.67280088332719912</v>
      </c>
      <c r="AF131" s="38" t="str">
        <f t="shared" si="20"/>
        <v/>
      </c>
      <c r="AG131" s="17">
        <f t="shared" si="21"/>
        <v>0.34470872113064466</v>
      </c>
      <c r="AH131" s="7" t="s">
        <v>1643</v>
      </c>
      <c r="AI131" s="7">
        <v>10</v>
      </c>
      <c r="AJ131" s="38">
        <f t="shared" si="22"/>
        <v>1.1361105560295079</v>
      </c>
      <c r="AK131" s="9" t="b">
        <f t="shared" si="23"/>
        <v>0</v>
      </c>
      <c r="AL131" s="28" t="s">
        <v>1644</v>
      </c>
      <c r="AM131" s="28" t="s">
        <v>1645</v>
      </c>
      <c r="AN131" s="28" t="s">
        <v>1792</v>
      </c>
    </row>
    <row r="132" spans="1:40" ht="30">
      <c r="A132" s="7">
        <v>131</v>
      </c>
      <c r="B132" s="7" t="s">
        <v>479</v>
      </c>
      <c r="C132" s="7" t="s">
        <v>43</v>
      </c>
      <c r="D132" s="7" t="s">
        <v>112</v>
      </c>
      <c r="E132" s="7" t="s">
        <v>1642</v>
      </c>
      <c r="F132" s="7" t="s">
        <v>43</v>
      </c>
      <c r="G132" s="14">
        <v>1646</v>
      </c>
      <c r="H132" s="14">
        <v>209</v>
      </c>
      <c r="I132" s="15">
        <v>11.43</v>
      </c>
      <c r="J132" s="14">
        <v>0</v>
      </c>
      <c r="K132" s="15">
        <v>0</v>
      </c>
      <c r="L132" s="14">
        <v>19</v>
      </c>
      <c r="M132" s="14">
        <v>7</v>
      </c>
      <c r="N132" s="13"/>
      <c r="O132" s="14">
        <v>0</v>
      </c>
      <c r="P132" s="14">
        <v>231</v>
      </c>
      <c r="Q132" s="15">
        <v>12.630619684082625</v>
      </c>
      <c r="R132" s="17">
        <f>IFERROR(G132/(G132+Priors!$H$18),0)</f>
        <v>0.62207105064247925</v>
      </c>
      <c r="S132" s="13">
        <v>1</v>
      </c>
      <c r="T132" s="40" t="b">
        <v>0</v>
      </c>
      <c r="U132" s="13">
        <v>1</v>
      </c>
      <c r="V132" s="40" t="b">
        <v>0</v>
      </c>
      <c r="W132" s="13">
        <v>1</v>
      </c>
      <c r="X132" s="17">
        <f t="shared" si="16"/>
        <v>0.62207105064247925</v>
      </c>
      <c r="Y132" s="37">
        <f>VLOOKUP(D132,Priors!$A$18:$B$21,2,FALSE)</f>
        <v>8.4555315342179806</v>
      </c>
      <c r="Z132" s="38">
        <f t="shared" si="17"/>
        <v>10.305862257829926</v>
      </c>
      <c r="AA132" s="39">
        <v>1</v>
      </c>
      <c r="AB132" s="38">
        <f t="shared" si="18"/>
        <v>10.305862257829926</v>
      </c>
      <c r="AC132" s="37">
        <f>Priors!$K$18</f>
        <v>2.7435089299114512</v>
      </c>
      <c r="AD132" s="38" t="str">
        <f t="shared" si="19"/>
        <v/>
      </c>
      <c r="AE132" s="37">
        <f>Priors!$K$19</f>
        <v>0.67280088332719912</v>
      </c>
      <c r="AF132" s="38" t="str">
        <f t="shared" si="20"/>
        <v/>
      </c>
      <c r="AG132" s="17">
        <f t="shared" si="21"/>
        <v>0.37792894935752075</v>
      </c>
      <c r="AH132" s="7" t="s">
        <v>1643</v>
      </c>
      <c r="AI132" s="7">
        <v>12</v>
      </c>
      <c r="AJ132" s="38">
        <f t="shared" si="22"/>
        <v>0.85882185481916051</v>
      </c>
      <c r="AK132" s="9" t="b">
        <f t="shared" si="23"/>
        <v>0</v>
      </c>
      <c r="AL132" s="28" t="s">
        <v>1644</v>
      </c>
      <c r="AM132" s="28" t="s">
        <v>1645</v>
      </c>
      <c r="AN132" s="28" t="s">
        <v>1792</v>
      </c>
    </row>
    <row r="133" spans="1:40" ht="30">
      <c r="A133" s="7">
        <v>132</v>
      </c>
      <c r="B133" s="7" t="s">
        <v>482</v>
      </c>
      <c r="C133" s="7" t="s">
        <v>43</v>
      </c>
      <c r="D133" s="7" t="s">
        <v>112</v>
      </c>
      <c r="E133" s="7" t="s">
        <v>1642</v>
      </c>
      <c r="F133" s="7" t="s">
        <v>43</v>
      </c>
      <c r="G133" s="14">
        <v>92</v>
      </c>
      <c r="H133" s="14">
        <v>7</v>
      </c>
      <c r="I133" s="15">
        <v>6.85</v>
      </c>
      <c r="J133" s="14">
        <v>0</v>
      </c>
      <c r="K133" s="15">
        <v>0</v>
      </c>
      <c r="L133" s="14">
        <v>2</v>
      </c>
      <c r="M133" s="14">
        <v>0</v>
      </c>
      <c r="N133" s="13"/>
      <c r="O133" s="14">
        <v>0</v>
      </c>
      <c r="P133" s="14">
        <v>11</v>
      </c>
      <c r="Q133" s="15">
        <v>10.760869565217391</v>
      </c>
      <c r="R133" s="17">
        <f>IFERROR(G133/(G133+Priors!$H$18),0)</f>
        <v>8.4249084249084255E-2</v>
      </c>
      <c r="S133" s="13">
        <v>1</v>
      </c>
      <c r="T133" s="40" t="b">
        <v>0</v>
      </c>
      <c r="U133" s="13">
        <v>1</v>
      </c>
      <c r="V133" s="40" t="b">
        <v>0</v>
      </c>
      <c r="W133" s="13">
        <v>1</v>
      </c>
      <c r="X133" s="17">
        <f t="shared" si="16"/>
        <v>8.4249084249084255E-2</v>
      </c>
      <c r="Y133" s="37">
        <f>VLOOKUP(D133,Priors!$A$18:$B$21,2,FALSE)</f>
        <v>8.4555315342179806</v>
      </c>
      <c r="Z133" s="38">
        <f t="shared" si="17"/>
        <v>8.3202669727270884</v>
      </c>
      <c r="AA133" s="39">
        <v>1</v>
      </c>
      <c r="AB133" s="38">
        <f t="shared" si="18"/>
        <v>8.3202669727270884</v>
      </c>
      <c r="AC133" s="37">
        <f>Priors!$K$18</f>
        <v>2.7435089299114512</v>
      </c>
      <c r="AD133" s="38" t="str">
        <f t="shared" si="19"/>
        <v/>
      </c>
      <c r="AE133" s="37">
        <f>Priors!$K$19</f>
        <v>0.67280088332719912</v>
      </c>
      <c r="AF133" s="38" t="str">
        <f t="shared" si="20"/>
        <v/>
      </c>
      <c r="AG133" s="17">
        <f t="shared" si="21"/>
        <v>0.91575091575091572</v>
      </c>
      <c r="AH133" s="7" t="s">
        <v>1643</v>
      </c>
      <c r="AI133" s="7">
        <v>12</v>
      </c>
      <c r="AJ133" s="38">
        <f t="shared" si="22"/>
        <v>0.6933555810605907</v>
      </c>
      <c r="AK133" s="9" t="b">
        <f t="shared" si="23"/>
        <v>1</v>
      </c>
      <c r="AL133" s="28" t="s">
        <v>1644</v>
      </c>
      <c r="AM133" s="28" t="s">
        <v>1645</v>
      </c>
      <c r="AN133" s="28" t="s">
        <v>1792</v>
      </c>
    </row>
    <row r="134" spans="1:40" ht="30">
      <c r="A134" s="7">
        <v>133</v>
      </c>
      <c r="B134" s="7" t="s">
        <v>484</v>
      </c>
      <c r="C134" s="7" t="s">
        <v>43</v>
      </c>
      <c r="D134" s="7" t="s">
        <v>112</v>
      </c>
      <c r="E134" s="7" t="s">
        <v>1642</v>
      </c>
      <c r="F134" s="7" t="s">
        <v>43</v>
      </c>
      <c r="G134" s="14">
        <v>57</v>
      </c>
      <c r="H134" s="14">
        <v>5</v>
      </c>
      <c r="I134" s="15">
        <v>7.89</v>
      </c>
      <c r="J134" s="14">
        <v>0</v>
      </c>
      <c r="K134" s="15">
        <v>0</v>
      </c>
      <c r="L134" s="14">
        <v>2</v>
      </c>
      <c r="M134" s="14">
        <v>0</v>
      </c>
      <c r="N134" s="13"/>
      <c r="O134" s="14">
        <v>0</v>
      </c>
      <c r="P134" s="14">
        <v>15</v>
      </c>
      <c r="Q134" s="15">
        <v>23.684210526315791</v>
      </c>
      <c r="R134" s="17">
        <f>IFERROR(G134/(G134+Priors!$H$18),0)</f>
        <v>5.392620624408704E-2</v>
      </c>
      <c r="S134" s="13">
        <v>1</v>
      </c>
      <c r="T134" s="40" t="b">
        <v>0</v>
      </c>
      <c r="U134" s="13">
        <v>1</v>
      </c>
      <c r="V134" s="40" t="b">
        <v>0</v>
      </c>
      <c r="W134" s="13">
        <v>1</v>
      </c>
      <c r="X134" s="17">
        <f t="shared" si="16"/>
        <v>5.392620624408704E-2</v>
      </c>
      <c r="Y134" s="37">
        <f>VLOOKUP(D134,Priors!$A$18:$B$21,2,FALSE)</f>
        <v>8.4555315342179806</v>
      </c>
      <c r="Z134" s="38">
        <f t="shared" si="17"/>
        <v>8.4250345640662072</v>
      </c>
      <c r="AA134" s="39">
        <v>1</v>
      </c>
      <c r="AB134" s="38">
        <f t="shared" si="18"/>
        <v>8.4250345640662072</v>
      </c>
      <c r="AC134" s="37">
        <f>Priors!$K$18</f>
        <v>2.7435089299114512</v>
      </c>
      <c r="AD134" s="38" t="str">
        <f t="shared" si="19"/>
        <v/>
      </c>
      <c r="AE134" s="37">
        <f>Priors!$K$19</f>
        <v>0.67280088332719912</v>
      </c>
      <c r="AF134" s="38" t="str">
        <f t="shared" si="20"/>
        <v/>
      </c>
      <c r="AG134" s="17">
        <f t="shared" si="21"/>
        <v>0.94607379375591294</v>
      </c>
      <c r="AH134" s="7" t="s">
        <v>1643</v>
      </c>
      <c r="AI134" s="7">
        <v>12</v>
      </c>
      <c r="AJ134" s="38">
        <f t="shared" si="22"/>
        <v>0.70208621367218393</v>
      </c>
      <c r="AK134" s="9" t="b">
        <f t="shared" si="23"/>
        <v>1</v>
      </c>
      <c r="AL134" s="28" t="s">
        <v>1644</v>
      </c>
      <c r="AM134" s="28" t="s">
        <v>1645</v>
      </c>
      <c r="AN134" s="28" t="s">
        <v>1792</v>
      </c>
    </row>
    <row r="135" spans="1:40" ht="30">
      <c r="A135" s="7">
        <v>134</v>
      </c>
      <c r="B135" s="7" t="s">
        <v>488</v>
      </c>
      <c r="C135" s="7" t="s">
        <v>43</v>
      </c>
      <c r="D135" s="7" t="s">
        <v>112</v>
      </c>
      <c r="E135" s="7" t="s">
        <v>1642</v>
      </c>
      <c r="F135" s="7" t="s">
        <v>43</v>
      </c>
      <c r="G135" s="14">
        <v>1</v>
      </c>
      <c r="H135" s="14">
        <v>0</v>
      </c>
      <c r="I135" s="15">
        <v>0</v>
      </c>
      <c r="J135" s="14">
        <v>0</v>
      </c>
      <c r="K135" s="15">
        <v>0</v>
      </c>
      <c r="L135" s="14">
        <v>0</v>
      </c>
      <c r="M135" s="14">
        <v>0</v>
      </c>
      <c r="N135" s="13"/>
      <c r="O135" s="14">
        <v>0</v>
      </c>
      <c r="P135" s="14">
        <v>3</v>
      </c>
      <c r="Q135" s="15">
        <v>270</v>
      </c>
      <c r="R135" s="17">
        <f>IFERROR(G135/(G135+Priors!$H$18),0)</f>
        <v>9.99000999000999E-4</v>
      </c>
      <c r="S135" s="13">
        <v>1</v>
      </c>
      <c r="T135" s="40" t="b">
        <v>0</v>
      </c>
      <c r="U135" s="13">
        <v>1</v>
      </c>
      <c r="V135" s="40" t="b">
        <v>0</v>
      </c>
      <c r="W135" s="13">
        <v>1</v>
      </c>
      <c r="X135" s="17">
        <f t="shared" si="16"/>
        <v>9.99000999000999E-4</v>
      </c>
      <c r="Y135" s="37">
        <f>VLOOKUP(D135,Priors!$A$18:$B$21,2,FALSE)</f>
        <v>8.4555315342179806</v>
      </c>
      <c r="Z135" s="38">
        <f t="shared" si="17"/>
        <v>8.4470844497682123</v>
      </c>
      <c r="AA135" s="39">
        <v>1</v>
      </c>
      <c r="AB135" s="38">
        <f t="shared" si="18"/>
        <v>8.4470844497682123</v>
      </c>
      <c r="AC135" s="37">
        <f>Priors!$K$18</f>
        <v>2.7435089299114512</v>
      </c>
      <c r="AD135" s="38" t="str">
        <f t="shared" si="19"/>
        <v/>
      </c>
      <c r="AE135" s="37">
        <f>Priors!$K$19</f>
        <v>0.67280088332719912</v>
      </c>
      <c r="AF135" s="38" t="str">
        <f t="shared" si="20"/>
        <v/>
      </c>
      <c r="AG135" s="17">
        <f t="shared" si="21"/>
        <v>0.99900099900099903</v>
      </c>
      <c r="AH135" s="7" t="s">
        <v>1643</v>
      </c>
      <c r="AI135" s="7">
        <v>12</v>
      </c>
      <c r="AJ135" s="38">
        <f t="shared" si="22"/>
        <v>0.70392370414735106</v>
      </c>
      <c r="AK135" s="9" t="b">
        <f t="shared" si="23"/>
        <v>1</v>
      </c>
      <c r="AL135" s="28" t="s">
        <v>1644</v>
      </c>
      <c r="AM135" s="28" t="s">
        <v>1645</v>
      </c>
      <c r="AN135" s="28" t="s">
        <v>1792</v>
      </c>
    </row>
    <row r="136" spans="1:40" ht="30">
      <c r="A136" s="7">
        <v>135</v>
      </c>
      <c r="B136" s="7" t="s">
        <v>490</v>
      </c>
      <c r="C136" s="7" t="s">
        <v>43</v>
      </c>
      <c r="D136" s="7" t="s">
        <v>112</v>
      </c>
      <c r="E136" s="7" t="s">
        <v>1647</v>
      </c>
      <c r="F136" s="7"/>
      <c r="G136" s="14">
        <v>0</v>
      </c>
      <c r="H136" s="14"/>
      <c r="I136" s="15"/>
      <c r="J136" s="14"/>
      <c r="K136" s="15"/>
      <c r="L136" s="14"/>
      <c r="M136" s="14"/>
      <c r="N136" s="13"/>
      <c r="O136" s="14"/>
      <c r="P136" s="14"/>
      <c r="Q136" s="15"/>
      <c r="R136" s="17">
        <f>IFERROR(G136/(G136+Priors!$H$18),0)</f>
        <v>0</v>
      </c>
      <c r="S136" s="13">
        <v>0</v>
      </c>
      <c r="T136" s="40" t="b">
        <v>0</v>
      </c>
      <c r="U136" s="13">
        <v>1</v>
      </c>
      <c r="V136" s="40" t="b">
        <v>0</v>
      </c>
      <c r="W136" s="13">
        <v>1</v>
      </c>
      <c r="X136" s="17">
        <f t="shared" si="16"/>
        <v>0</v>
      </c>
      <c r="Y136" s="37">
        <f>VLOOKUP(D136,Priors!$A$18:$B$21,2,FALSE)</f>
        <v>8.4555315342179806</v>
      </c>
      <c r="Z136" s="38">
        <f t="shared" si="17"/>
        <v>8.4555315342179806</v>
      </c>
      <c r="AA136" s="39">
        <v>1</v>
      </c>
      <c r="AB136" s="38">
        <f t="shared" si="18"/>
        <v>8.4555315342179806</v>
      </c>
      <c r="AC136" s="37">
        <f>Priors!$K$18</f>
        <v>2.7435089299114512</v>
      </c>
      <c r="AD136" s="38" t="str">
        <f t="shared" si="19"/>
        <v/>
      </c>
      <c r="AE136" s="37">
        <f>Priors!$K$19</f>
        <v>0.67280088332719912</v>
      </c>
      <c r="AF136" s="38" t="str">
        <f t="shared" si="20"/>
        <v/>
      </c>
      <c r="AG136" s="17">
        <f t="shared" si="21"/>
        <v>1</v>
      </c>
      <c r="AH136" s="7" t="s">
        <v>1793</v>
      </c>
      <c r="AI136" s="7">
        <v>12</v>
      </c>
      <c r="AJ136" s="38">
        <f t="shared" si="22"/>
        <v>0.70462762785149835</v>
      </c>
      <c r="AK136" s="9" t="b">
        <f t="shared" si="23"/>
        <v>1</v>
      </c>
      <c r="AL136" s="28" t="s">
        <v>1794</v>
      </c>
      <c r="AM136" s="28"/>
      <c r="AN136" s="28" t="s">
        <v>1792</v>
      </c>
    </row>
    <row r="137" spans="1:40" ht="30">
      <c r="A137" s="7">
        <v>136</v>
      </c>
      <c r="B137" s="7" t="s">
        <v>510</v>
      </c>
      <c r="C137" s="7" t="s">
        <v>44</v>
      </c>
      <c r="D137" s="7" t="s">
        <v>167</v>
      </c>
      <c r="E137" s="7" t="s">
        <v>1642</v>
      </c>
      <c r="F137" s="7" t="s">
        <v>43</v>
      </c>
      <c r="G137" s="14">
        <v>2249</v>
      </c>
      <c r="H137" s="14">
        <v>112</v>
      </c>
      <c r="I137" s="15">
        <v>4.4800000000000004</v>
      </c>
      <c r="J137" s="14">
        <v>0</v>
      </c>
      <c r="K137" s="15">
        <v>0</v>
      </c>
      <c r="L137" s="14">
        <v>28</v>
      </c>
      <c r="M137" s="14">
        <v>10</v>
      </c>
      <c r="N137" s="13"/>
      <c r="O137" s="14">
        <v>18</v>
      </c>
      <c r="P137" s="14">
        <v>511</v>
      </c>
      <c r="Q137" s="15">
        <v>20.449088483770566</v>
      </c>
      <c r="R137" s="17">
        <f>IFERROR(G137/(G137+Priors!$H$18),0)</f>
        <v>0.69221298861188063</v>
      </c>
      <c r="S137" s="13">
        <v>1</v>
      </c>
      <c r="T137" s="40" t="b">
        <v>1</v>
      </c>
      <c r="U137" s="13">
        <v>0.85</v>
      </c>
      <c r="V137" s="40" t="b">
        <v>1</v>
      </c>
      <c r="W137" s="13">
        <v>0.9</v>
      </c>
      <c r="X137" s="17">
        <f t="shared" si="16"/>
        <v>0.52954293628808868</v>
      </c>
      <c r="Y137" s="37">
        <f>VLOOKUP(D137,Priors!$A$18:$B$21,2,FALSE)</f>
        <v>4.5137422563476139</v>
      </c>
      <c r="Z137" s="38">
        <f t="shared" si="17"/>
        <v>4.4958742828443139</v>
      </c>
      <c r="AA137" s="39">
        <v>1</v>
      </c>
      <c r="AB137" s="38">
        <f t="shared" si="18"/>
        <v>4.4958742828443139</v>
      </c>
      <c r="AC137" s="37">
        <f>Priors!$K$18</f>
        <v>2.7435089299114512</v>
      </c>
      <c r="AD137" s="38" t="str">
        <f t="shared" si="19"/>
        <v/>
      </c>
      <c r="AE137" s="37">
        <f>Priors!$K$19</f>
        <v>0.67280088332719912</v>
      </c>
      <c r="AF137" s="38" t="str">
        <f t="shared" si="20"/>
        <v/>
      </c>
      <c r="AG137" s="17">
        <f t="shared" si="21"/>
        <v>0.47045706371191132</v>
      </c>
      <c r="AH137" s="7" t="s">
        <v>1643</v>
      </c>
      <c r="AI137" s="7">
        <v>12</v>
      </c>
      <c r="AJ137" s="38">
        <f t="shared" si="22"/>
        <v>0.37465619023702618</v>
      </c>
      <c r="AK137" s="9" t="b">
        <f t="shared" si="23"/>
        <v>1</v>
      </c>
      <c r="AL137" s="28" t="s">
        <v>1644</v>
      </c>
      <c r="AM137" s="28" t="s">
        <v>1645</v>
      </c>
      <c r="AN137" s="28" t="s">
        <v>1792</v>
      </c>
    </row>
    <row r="138" spans="1:40" ht="30">
      <c r="A138" s="7">
        <v>137</v>
      </c>
      <c r="B138" s="7" t="s">
        <v>492</v>
      </c>
      <c r="C138" s="7" t="s">
        <v>43</v>
      </c>
      <c r="D138" s="7" t="s">
        <v>167</v>
      </c>
      <c r="E138" s="7" t="s">
        <v>1642</v>
      </c>
      <c r="F138" s="7" t="s">
        <v>43</v>
      </c>
      <c r="G138" s="14">
        <v>132</v>
      </c>
      <c r="H138" s="14">
        <v>15</v>
      </c>
      <c r="I138" s="15">
        <v>10.23</v>
      </c>
      <c r="J138" s="14">
        <v>0</v>
      </c>
      <c r="K138" s="15">
        <v>0</v>
      </c>
      <c r="L138" s="14">
        <v>2</v>
      </c>
      <c r="M138" s="14">
        <v>0</v>
      </c>
      <c r="N138" s="13"/>
      <c r="O138" s="14">
        <v>0</v>
      </c>
      <c r="P138" s="14">
        <v>55</v>
      </c>
      <c r="Q138" s="15">
        <v>37.5</v>
      </c>
      <c r="R138" s="17">
        <f>IFERROR(G138/(G138+Priors!$H$18),0)</f>
        <v>0.1166077738515901</v>
      </c>
      <c r="S138" s="13">
        <v>1</v>
      </c>
      <c r="T138" s="40" t="b">
        <v>0</v>
      </c>
      <c r="U138" s="13">
        <v>1</v>
      </c>
      <c r="V138" s="40" t="b">
        <v>0</v>
      </c>
      <c r="W138" s="13">
        <v>1</v>
      </c>
      <c r="X138" s="17">
        <f t="shared" si="16"/>
        <v>0.1166077738515901</v>
      </c>
      <c r="Y138" s="37">
        <f>VLOOKUP(D138,Priors!$A$18:$B$21,2,FALSE)</f>
        <v>4.5137422563476139</v>
      </c>
      <c r="Z138" s="38">
        <f t="shared" si="17"/>
        <v>5.1803023465968323</v>
      </c>
      <c r="AA138" s="39">
        <v>1</v>
      </c>
      <c r="AB138" s="38">
        <f t="shared" si="18"/>
        <v>5.1803023465968323</v>
      </c>
      <c r="AC138" s="37">
        <f>Priors!$K$18</f>
        <v>2.7435089299114512</v>
      </c>
      <c r="AD138" s="38" t="str">
        <f t="shared" si="19"/>
        <v/>
      </c>
      <c r="AE138" s="37">
        <f>Priors!$K$19</f>
        <v>0.67280088332719912</v>
      </c>
      <c r="AF138" s="38" t="str">
        <f t="shared" si="20"/>
        <v/>
      </c>
      <c r="AG138" s="17">
        <f t="shared" si="21"/>
        <v>0.88339222614840995</v>
      </c>
      <c r="AH138" s="7" t="s">
        <v>1643</v>
      </c>
      <c r="AI138" s="7">
        <v>12</v>
      </c>
      <c r="AJ138" s="38">
        <f t="shared" si="22"/>
        <v>0.43169186221640271</v>
      </c>
      <c r="AK138" s="9" t="b">
        <f t="shared" si="23"/>
        <v>1</v>
      </c>
      <c r="AL138" s="28" t="s">
        <v>1644</v>
      </c>
      <c r="AM138" s="28" t="s">
        <v>1645</v>
      </c>
      <c r="AN138" s="28" t="s">
        <v>1792</v>
      </c>
    </row>
    <row r="139" spans="1:40" ht="30">
      <c r="A139" s="7">
        <v>138</v>
      </c>
      <c r="B139" s="7" t="s">
        <v>495</v>
      </c>
      <c r="C139" s="7" t="s">
        <v>43</v>
      </c>
      <c r="D139" s="7" t="s">
        <v>167</v>
      </c>
      <c r="E139" s="7" t="s">
        <v>1642</v>
      </c>
      <c r="F139" s="7" t="s">
        <v>43</v>
      </c>
      <c r="G139" s="14">
        <v>351</v>
      </c>
      <c r="H139" s="14">
        <v>41</v>
      </c>
      <c r="I139" s="15">
        <v>10.51</v>
      </c>
      <c r="J139" s="14">
        <v>0</v>
      </c>
      <c r="K139" s="15">
        <v>0</v>
      </c>
      <c r="L139" s="14">
        <v>9</v>
      </c>
      <c r="M139" s="14">
        <v>1</v>
      </c>
      <c r="N139" s="13"/>
      <c r="O139" s="14">
        <v>3</v>
      </c>
      <c r="P139" s="14">
        <v>140</v>
      </c>
      <c r="Q139" s="15">
        <v>35.897435897435898</v>
      </c>
      <c r="R139" s="17">
        <f>IFERROR(G139/(G139+Priors!$H$18),0)</f>
        <v>0.25980754996299038</v>
      </c>
      <c r="S139" s="13">
        <v>1</v>
      </c>
      <c r="T139" s="40" t="b">
        <v>0</v>
      </c>
      <c r="U139" s="13">
        <v>1</v>
      </c>
      <c r="V139" s="40" t="b">
        <v>0</v>
      </c>
      <c r="W139" s="13">
        <v>1</v>
      </c>
      <c r="X139" s="17">
        <f t="shared" si="16"/>
        <v>0.25980754996299038</v>
      </c>
      <c r="Y139" s="37">
        <f>VLOOKUP(D139,Priors!$A$18:$B$21,2,FALSE)</f>
        <v>4.5137422563476139</v>
      </c>
      <c r="Z139" s="38">
        <f t="shared" si="17"/>
        <v>6.0716152896725486</v>
      </c>
      <c r="AA139" s="39">
        <v>1</v>
      </c>
      <c r="AB139" s="38">
        <f t="shared" si="18"/>
        <v>6.0716152896725486</v>
      </c>
      <c r="AC139" s="37">
        <f>Priors!$K$18</f>
        <v>2.7435089299114512</v>
      </c>
      <c r="AD139" s="38" t="str">
        <f t="shared" si="19"/>
        <v/>
      </c>
      <c r="AE139" s="37">
        <f>Priors!$K$19</f>
        <v>0.67280088332719912</v>
      </c>
      <c r="AF139" s="38" t="str">
        <f t="shared" si="20"/>
        <v/>
      </c>
      <c r="AG139" s="17">
        <f t="shared" si="21"/>
        <v>0.74019245003700962</v>
      </c>
      <c r="AH139" s="7" t="s">
        <v>1643</v>
      </c>
      <c r="AI139" s="7">
        <v>12</v>
      </c>
      <c r="AJ139" s="38">
        <f t="shared" si="22"/>
        <v>0.50596794080604568</v>
      </c>
      <c r="AK139" s="9" t="b">
        <f t="shared" si="23"/>
        <v>1</v>
      </c>
      <c r="AL139" s="28" t="s">
        <v>1644</v>
      </c>
      <c r="AM139" s="28" t="s">
        <v>1645</v>
      </c>
      <c r="AN139" s="28" t="s">
        <v>1792</v>
      </c>
    </row>
    <row r="140" spans="1:40" ht="30">
      <c r="A140" s="7">
        <v>139</v>
      </c>
      <c r="B140" s="7" t="s">
        <v>497</v>
      </c>
      <c r="C140" s="7" t="s">
        <v>43</v>
      </c>
      <c r="D140" s="7" t="s">
        <v>167</v>
      </c>
      <c r="E140" s="7" t="s">
        <v>1642</v>
      </c>
      <c r="F140" s="7" t="s">
        <v>43</v>
      </c>
      <c r="G140" s="14">
        <v>0</v>
      </c>
      <c r="H140" s="14">
        <v>0</v>
      </c>
      <c r="I140" s="15">
        <v>0</v>
      </c>
      <c r="J140" s="14">
        <v>0</v>
      </c>
      <c r="K140" s="15">
        <v>0</v>
      </c>
      <c r="L140" s="14">
        <v>0</v>
      </c>
      <c r="M140" s="14">
        <v>0</v>
      </c>
      <c r="N140" s="13"/>
      <c r="O140" s="14">
        <v>0</v>
      </c>
      <c r="P140" s="14">
        <v>0</v>
      </c>
      <c r="Q140" s="15">
        <v>0</v>
      </c>
      <c r="R140" s="17">
        <f>IFERROR(G140/(G140+Priors!$H$18),0)</f>
        <v>0</v>
      </c>
      <c r="S140" s="13">
        <v>1</v>
      </c>
      <c r="T140" s="40" t="b">
        <v>0</v>
      </c>
      <c r="U140" s="13">
        <v>1</v>
      </c>
      <c r="V140" s="40" t="b">
        <v>0</v>
      </c>
      <c r="W140" s="13">
        <v>1</v>
      </c>
      <c r="X140" s="17">
        <f t="shared" si="16"/>
        <v>0</v>
      </c>
      <c r="Y140" s="37">
        <f>VLOOKUP(D140,Priors!$A$18:$B$21,2,FALSE)</f>
        <v>4.5137422563476139</v>
      </c>
      <c r="Z140" s="38">
        <f t="shared" si="17"/>
        <v>4.5137422563476139</v>
      </c>
      <c r="AA140" s="39">
        <v>1</v>
      </c>
      <c r="AB140" s="38">
        <f t="shared" si="18"/>
        <v>4.5137422563476139</v>
      </c>
      <c r="AC140" s="37">
        <f>Priors!$K$18</f>
        <v>2.7435089299114512</v>
      </c>
      <c r="AD140" s="38" t="str">
        <f t="shared" si="19"/>
        <v/>
      </c>
      <c r="AE140" s="37">
        <f>Priors!$K$19</f>
        <v>0.67280088332719912</v>
      </c>
      <c r="AF140" s="38" t="str">
        <f t="shared" si="20"/>
        <v/>
      </c>
      <c r="AG140" s="17">
        <f t="shared" si="21"/>
        <v>1</v>
      </c>
      <c r="AH140" s="7" t="s">
        <v>1643</v>
      </c>
      <c r="AI140" s="7">
        <v>12</v>
      </c>
      <c r="AJ140" s="38">
        <f t="shared" si="22"/>
        <v>0.37614518802896785</v>
      </c>
      <c r="AK140" s="9" t="b">
        <f t="shared" si="23"/>
        <v>1</v>
      </c>
      <c r="AL140" s="28" t="s">
        <v>1644</v>
      </c>
      <c r="AM140" s="28" t="s">
        <v>1645</v>
      </c>
      <c r="AN140" s="28" t="s">
        <v>1792</v>
      </c>
    </row>
    <row r="141" spans="1:40" ht="30">
      <c r="A141" s="7">
        <v>140</v>
      </c>
      <c r="B141" s="7" t="s">
        <v>512</v>
      </c>
      <c r="C141" s="7" t="s">
        <v>44</v>
      </c>
      <c r="D141" s="7" t="s">
        <v>85</v>
      </c>
      <c r="E141" s="7" t="s">
        <v>1642</v>
      </c>
      <c r="F141" s="7" t="s">
        <v>44</v>
      </c>
      <c r="G141" s="14">
        <v>3040</v>
      </c>
      <c r="H141" s="14">
        <v>89</v>
      </c>
      <c r="I141" s="15">
        <v>0</v>
      </c>
      <c r="J141" s="14">
        <v>98</v>
      </c>
      <c r="K141" s="15">
        <v>2.9</v>
      </c>
      <c r="L141" s="14">
        <v>49</v>
      </c>
      <c r="M141" s="14">
        <v>9</v>
      </c>
      <c r="N141" s="13">
        <v>0.66666666666666663</v>
      </c>
      <c r="O141" s="14">
        <v>7</v>
      </c>
      <c r="P141" s="14">
        <v>509</v>
      </c>
      <c r="Q141" s="15">
        <v>15.069078947368421</v>
      </c>
      <c r="R141" s="17">
        <f>IFERROR(G141/(G141+Priors!$H$18),0)</f>
        <v>0.75247524752475248</v>
      </c>
      <c r="S141" s="13">
        <v>1</v>
      </c>
      <c r="T141" s="40" t="b">
        <v>0</v>
      </c>
      <c r="U141" s="13">
        <v>1</v>
      </c>
      <c r="V141" s="40" t="b">
        <v>1</v>
      </c>
      <c r="W141" s="13">
        <v>0.9</v>
      </c>
      <c r="X141" s="17">
        <f t="shared" si="16"/>
        <v>0.67722772277227727</v>
      </c>
      <c r="Y141" s="37">
        <f>VLOOKUP(D141,Priors!$A$18:$B$21,2,FALSE)</f>
        <v>2.6414527990394716</v>
      </c>
      <c r="Z141" s="38">
        <f t="shared" si="17"/>
        <v>0.85258773513551245</v>
      </c>
      <c r="AA141" s="39">
        <v>1</v>
      </c>
      <c r="AB141" s="38">
        <f t="shared" si="18"/>
        <v>0.85258773513551245</v>
      </c>
      <c r="AC141" s="37">
        <f>Priors!$K$18</f>
        <v>2.7435089299114512</v>
      </c>
      <c r="AD141" s="38">
        <f t="shared" si="19"/>
        <v>2.8494890209417156</v>
      </c>
      <c r="AE141" s="37">
        <f>Priors!$K$19</f>
        <v>0.67280088332719912</v>
      </c>
      <c r="AF141" s="38">
        <f t="shared" si="20"/>
        <v>0.66864662174719491</v>
      </c>
      <c r="AG141" s="17">
        <f t="shared" si="21"/>
        <v>0.32277227722772273</v>
      </c>
      <c r="AH141" s="7" t="s">
        <v>1643</v>
      </c>
      <c r="AI141" s="7"/>
      <c r="AJ141" s="38" t="str">
        <f t="shared" si="22"/>
        <v/>
      </c>
      <c r="AK141" s="9" t="b">
        <f t="shared" si="23"/>
        <v>1</v>
      </c>
      <c r="AL141" s="28" t="s">
        <v>1644</v>
      </c>
      <c r="AM141" s="28" t="s">
        <v>1645</v>
      </c>
      <c r="AN141" s="28" t="s">
        <v>1792</v>
      </c>
    </row>
    <row r="142" spans="1:40" ht="30">
      <c r="A142" s="7">
        <v>141</v>
      </c>
      <c r="B142" s="7" t="s">
        <v>515</v>
      </c>
      <c r="C142" s="7" t="s">
        <v>44</v>
      </c>
      <c r="D142" s="7" t="s">
        <v>85</v>
      </c>
      <c r="E142" s="7" t="s">
        <v>1642</v>
      </c>
      <c r="F142" s="7" t="s">
        <v>44</v>
      </c>
      <c r="G142" s="14">
        <v>378</v>
      </c>
      <c r="H142" s="14">
        <v>7</v>
      </c>
      <c r="I142" s="15">
        <v>0</v>
      </c>
      <c r="J142" s="14">
        <v>8</v>
      </c>
      <c r="K142" s="15">
        <v>1.9</v>
      </c>
      <c r="L142" s="14">
        <v>5</v>
      </c>
      <c r="M142" s="14">
        <v>0</v>
      </c>
      <c r="N142" s="13">
        <v>0.61538461538461542</v>
      </c>
      <c r="O142" s="14">
        <v>0</v>
      </c>
      <c r="P142" s="14">
        <v>50</v>
      </c>
      <c r="Q142" s="15">
        <v>11.904761904761905</v>
      </c>
      <c r="R142" s="17">
        <f>IFERROR(G142/(G142+Priors!$H$18),0)</f>
        <v>0.27431059506531202</v>
      </c>
      <c r="S142" s="13">
        <v>1</v>
      </c>
      <c r="T142" s="40" t="b">
        <v>0</v>
      </c>
      <c r="U142" s="13">
        <v>1</v>
      </c>
      <c r="V142" s="40" t="b">
        <v>1</v>
      </c>
      <c r="W142" s="13">
        <v>0.9</v>
      </c>
      <c r="X142" s="17">
        <f t="shared" si="16"/>
        <v>0.24687953555878084</v>
      </c>
      <c r="Y142" s="37">
        <f>VLOOKUP(D142,Priors!$A$18:$B$21,2,FALSE)</f>
        <v>2.6414527990394716</v>
      </c>
      <c r="Z142" s="38">
        <f t="shared" si="17"/>
        <v>1.9893321588121653</v>
      </c>
      <c r="AA142" s="39">
        <v>1</v>
      </c>
      <c r="AB142" s="38">
        <f t="shared" si="18"/>
        <v>1.9893321588121653</v>
      </c>
      <c r="AC142" s="37">
        <f>Priors!$K$18</f>
        <v>2.7435089299114512</v>
      </c>
      <c r="AD142" s="38">
        <f t="shared" si="19"/>
        <v>2.5352638370552278</v>
      </c>
      <c r="AE142" s="37">
        <f>Priors!$K$19</f>
        <v>0.67280088332719912</v>
      </c>
      <c r="AF142" s="38">
        <f t="shared" si="20"/>
        <v>0.65862598176401554</v>
      </c>
      <c r="AG142" s="17">
        <f t="shared" si="21"/>
        <v>0.75312046444121916</v>
      </c>
      <c r="AH142" s="7" t="s">
        <v>1643</v>
      </c>
      <c r="AI142" s="7"/>
      <c r="AJ142" s="38" t="str">
        <f t="shared" si="22"/>
        <v/>
      </c>
      <c r="AK142" s="9" t="b">
        <f t="shared" si="23"/>
        <v>1</v>
      </c>
      <c r="AL142" s="28" t="s">
        <v>1644</v>
      </c>
      <c r="AM142" s="28" t="s">
        <v>1645</v>
      </c>
      <c r="AN142" s="28" t="s">
        <v>1792</v>
      </c>
    </row>
    <row r="143" spans="1:40" ht="30">
      <c r="A143" s="7">
        <v>142</v>
      </c>
      <c r="B143" s="7" t="s">
        <v>518</v>
      </c>
      <c r="C143" s="7" t="s">
        <v>44</v>
      </c>
      <c r="D143" s="7" t="s">
        <v>99</v>
      </c>
      <c r="E143" s="7" t="s">
        <v>1642</v>
      </c>
      <c r="F143" s="7" t="s">
        <v>44</v>
      </c>
      <c r="G143" s="14">
        <v>1957</v>
      </c>
      <c r="H143" s="14">
        <v>167</v>
      </c>
      <c r="I143" s="15">
        <v>5.89</v>
      </c>
      <c r="J143" s="14">
        <v>0</v>
      </c>
      <c r="K143" s="15">
        <v>0</v>
      </c>
      <c r="L143" s="14">
        <v>20</v>
      </c>
      <c r="M143" s="14">
        <v>8</v>
      </c>
      <c r="N143" s="13"/>
      <c r="O143" s="14">
        <v>11</v>
      </c>
      <c r="P143" s="14">
        <v>493</v>
      </c>
      <c r="Q143" s="15">
        <v>22.67245784363822</v>
      </c>
      <c r="R143" s="17">
        <f>IFERROR(G143/(G143+Priors!$H$18),0)</f>
        <v>0.66181941156577617</v>
      </c>
      <c r="S143" s="13">
        <v>1</v>
      </c>
      <c r="T143" s="40" t="b">
        <v>0</v>
      </c>
      <c r="U143" s="13">
        <v>1</v>
      </c>
      <c r="V143" s="40" t="b">
        <v>1</v>
      </c>
      <c r="W143" s="13">
        <v>0.9</v>
      </c>
      <c r="X143" s="17">
        <f t="shared" si="16"/>
        <v>0.59563747040919857</v>
      </c>
      <c r="Y143" s="37">
        <f>VLOOKUP(D143,Priors!$A$18:$B$21,2,FALSE)</f>
        <v>8.7398272304160223</v>
      </c>
      <c r="Z143" s="38">
        <f t="shared" si="17"/>
        <v>7.0423633477877701</v>
      </c>
      <c r="AA143" s="39">
        <v>1</v>
      </c>
      <c r="AB143" s="38">
        <f t="shared" si="18"/>
        <v>7.0423633477877701</v>
      </c>
      <c r="AC143" s="37">
        <f>Priors!$K$18</f>
        <v>2.7435089299114512</v>
      </c>
      <c r="AD143" s="38" t="str">
        <f t="shared" si="19"/>
        <v/>
      </c>
      <c r="AE143" s="37">
        <f>Priors!$K$19</f>
        <v>0.67280088332719912</v>
      </c>
      <c r="AF143" s="38" t="str">
        <f t="shared" si="20"/>
        <v/>
      </c>
      <c r="AG143" s="17">
        <f t="shared" si="21"/>
        <v>0.40436252959080143</v>
      </c>
      <c r="AH143" s="7" t="s">
        <v>1643</v>
      </c>
      <c r="AI143" s="7">
        <v>10</v>
      </c>
      <c r="AJ143" s="38">
        <f t="shared" si="22"/>
        <v>0.70423633477877701</v>
      </c>
      <c r="AK143" s="9" t="b">
        <f t="shared" si="23"/>
        <v>1</v>
      </c>
      <c r="AL143" s="28" t="s">
        <v>1644</v>
      </c>
      <c r="AM143" s="28" t="s">
        <v>1645</v>
      </c>
      <c r="AN143" s="28" t="s">
        <v>1792</v>
      </c>
    </row>
    <row r="144" spans="1:40" ht="30">
      <c r="A144" s="7">
        <v>143</v>
      </c>
      <c r="B144" s="7" t="s">
        <v>521</v>
      </c>
      <c r="C144" s="7" t="s">
        <v>44</v>
      </c>
      <c r="D144" s="7" t="s">
        <v>99</v>
      </c>
      <c r="E144" s="7" t="s">
        <v>1642</v>
      </c>
      <c r="F144" s="7" t="s">
        <v>44</v>
      </c>
      <c r="G144" s="14">
        <v>2780</v>
      </c>
      <c r="H144" s="14">
        <v>297</v>
      </c>
      <c r="I144" s="15">
        <v>8.58</v>
      </c>
      <c r="J144" s="14">
        <v>0</v>
      </c>
      <c r="K144" s="15">
        <v>0</v>
      </c>
      <c r="L144" s="14">
        <v>40</v>
      </c>
      <c r="M144" s="14">
        <v>9</v>
      </c>
      <c r="N144" s="13"/>
      <c r="O144" s="14">
        <v>7</v>
      </c>
      <c r="P144" s="14">
        <v>516</v>
      </c>
      <c r="Q144" s="15">
        <v>16.705035971223023</v>
      </c>
      <c r="R144" s="17">
        <f>IFERROR(G144/(G144+Priors!$H$18),0)</f>
        <v>0.73544973544973546</v>
      </c>
      <c r="S144" s="13">
        <v>1</v>
      </c>
      <c r="T144" s="40" t="b">
        <v>0</v>
      </c>
      <c r="U144" s="13">
        <v>1</v>
      </c>
      <c r="V144" s="40" t="b">
        <v>1</v>
      </c>
      <c r="W144" s="13">
        <v>0.9</v>
      </c>
      <c r="X144" s="17">
        <f t="shared" si="16"/>
        <v>0.66190476190476188</v>
      </c>
      <c r="Y144" s="37">
        <f>VLOOKUP(D144,Priors!$A$18:$B$21,2,FALSE)</f>
        <v>8.7398272304160223</v>
      </c>
      <c r="Z144" s="38">
        <f t="shared" si="17"/>
        <v>8.6340368255216084</v>
      </c>
      <c r="AA144" s="39">
        <v>1</v>
      </c>
      <c r="AB144" s="38">
        <f t="shared" si="18"/>
        <v>8.6340368255216084</v>
      </c>
      <c r="AC144" s="37">
        <f>Priors!$K$18</f>
        <v>2.7435089299114512</v>
      </c>
      <c r="AD144" s="38" t="str">
        <f t="shared" si="19"/>
        <v/>
      </c>
      <c r="AE144" s="37">
        <f>Priors!$K$19</f>
        <v>0.67280088332719912</v>
      </c>
      <c r="AF144" s="38" t="str">
        <f t="shared" si="20"/>
        <v/>
      </c>
      <c r="AG144" s="17">
        <f t="shared" si="21"/>
        <v>0.33809523809523812</v>
      </c>
      <c r="AH144" s="7" t="s">
        <v>1643</v>
      </c>
      <c r="AI144" s="7">
        <v>10</v>
      </c>
      <c r="AJ144" s="38">
        <f t="shared" si="22"/>
        <v>0.86340368255216082</v>
      </c>
      <c r="AK144" s="9" t="b">
        <f t="shared" si="23"/>
        <v>1</v>
      </c>
      <c r="AL144" s="28" t="s">
        <v>1644</v>
      </c>
      <c r="AM144" s="28" t="s">
        <v>1645</v>
      </c>
      <c r="AN144" s="28" t="s">
        <v>1792</v>
      </c>
    </row>
    <row r="145" spans="1:40" ht="30">
      <c r="A145" s="7">
        <v>144</v>
      </c>
      <c r="B145" s="7" t="s">
        <v>524</v>
      </c>
      <c r="C145" s="7" t="s">
        <v>44</v>
      </c>
      <c r="D145" s="7" t="s">
        <v>99</v>
      </c>
      <c r="E145" s="7" t="s">
        <v>1642</v>
      </c>
      <c r="F145" s="7" t="s">
        <v>44</v>
      </c>
      <c r="G145" s="14">
        <v>2255</v>
      </c>
      <c r="H145" s="14">
        <v>156</v>
      </c>
      <c r="I145" s="15">
        <v>5.03</v>
      </c>
      <c r="J145" s="14">
        <v>0</v>
      </c>
      <c r="K145" s="15">
        <v>0</v>
      </c>
      <c r="L145" s="14">
        <v>36</v>
      </c>
      <c r="M145" s="14">
        <v>7</v>
      </c>
      <c r="N145" s="13"/>
      <c r="O145" s="14">
        <v>7</v>
      </c>
      <c r="P145" s="14">
        <v>406</v>
      </c>
      <c r="Q145" s="15">
        <v>16.203991130820398</v>
      </c>
      <c r="R145" s="17">
        <f>IFERROR(G145/(G145+Priors!$H$18),0)</f>
        <v>0.6927803379416283</v>
      </c>
      <c r="S145" s="13">
        <v>1</v>
      </c>
      <c r="T145" s="40" t="b">
        <v>0</v>
      </c>
      <c r="U145" s="13">
        <v>1</v>
      </c>
      <c r="V145" s="40" t="b">
        <v>1</v>
      </c>
      <c r="W145" s="13">
        <v>0.9</v>
      </c>
      <c r="X145" s="17">
        <f t="shared" si="16"/>
        <v>0.62350230414746544</v>
      </c>
      <c r="Y145" s="37">
        <f>VLOOKUP(D145,Priors!$A$18:$B$21,2,FALSE)</f>
        <v>8.7398272304160223</v>
      </c>
      <c r="Z145" s="38">
        <f t="shared" si="17"/>
        <v>6.4267414042626223</v>
      </c>
      <c r="AA145" s="39">
        <v>1</v>
      </c>
      <c r="AB145" s="38">
        <f t="shared" si="18"/>
        <v>6.4267414042626223</v>
      </c>
      <c r="AC145" s="37">
        <f>Priors!$K$18</f>
        <v>2.7435089299114512</v>
      </c>
      <c r="AD145" s="38" t="str">
        <f t="shared" si="19"/>
        <v/>
      </c>
      <c r="AE145" s="37">
        <f>Priors!$K$19</f>
        <v>0.67280088332719912</v>
      </c>
      <c r="AF145" s="38" t="str">
        <f t="shared" si="20"/>
        <v/>
      </c>
      <c r="AG145" s="17">
        <f t="shared" si="21"/>
        <v>0.37649769585253456</v>
      </c>
      <c r="AH145" s="7" t="s">
        <v>1643</v>
      </c>
      <c r="AI145" s="7">
        <v>10</v>
      </c>
      <c r="AJ145" s="38">
        <f t="shared" si="22"/>
        <v>0.64267414042626225</v>
      </c>
      <c r="AK145" s="9" t="b">
        <f t="shared" si="23"/>
        <v>1</v>
      </c>
      <c r="AL145" s="28" t="s">
        <v>1644</v>
      </c>
      <c r="AM145" s="28" t="s">
        <v>1645</v>
      </c>
      <c r="AN145" s="28" t="s">
        <v>1792</v>
      </c>
    </row>
    <row r="146" spans="1:40" ht="30">
      <c r="A146" s="7">
        <v>145</v>
      </c>
      <c r="B146" s="7" t="s">
        <v>527</v>
      </c>
      <c r="C146" s="7" t="s">
        <v>44</v>
      </c>
      <c r="D146" s="7" t="s">
        <v>99</v>
      </c>
      <c r="E146" s="7" t="s">
        <v>1642</v>
      </c>
      <c r="F146" s="7" t="s">
        <v>44</v>
      </c>
      <c r="G146" s="14">
        <v>1718</v>
      </c>
      <c r="H146" s="14">
        <v>214</v>
      </c>
      <c r="I146" s="15">
        <v>10.79</v>
      </c>
      <c r="J146" s="14">
        <v>0</v>
      </c>
      <c r="K146" s="15">
        <v>0</v>
      </c>
      <c r="L146" s="14">
        <v>25</v>
      </c>
      <c r="M146" s="14">
        <v>4</v>
      </c>
      <c r="N146" s="13"/>
      <c r="O146" s="14">
        <v>3</v>
      </c>
      <c r="P146" s="14">
        <v>288</v>
      </c>
      <c r="Q146" s="15">
        <v>15.087310826542492</v>
      </c>
      <c r="R146" s="17">
        <f>IFERROR(G146/(G146+Priors!$H$18),0)</f>
        <v>0.63208241353936723</v>
      </c>
      <c r="S146" s="13">
        <v>1</v>
      </c>
      <c r="T146" s="40" t="b">
        <v>0</v>
      </c>
      <c r="U146" s="13">
        <v>1</v>
      </c>
      <c r="V146" s="40" t="b">
        <v>1</v>
      </c>
      <c r="W146" s="13">
        <v>0.9</v>
      </c>
      <c r="X146" s="17">
        <f t="shared" si="16"/>
        <v>0.56887417218543057</v>
      </c>
      <c r="Y146" s="37">
        <f>VLOOKUP(D146,Priors!$A$18:$B$21,2,FALSE)</f>
        <v>8.7398272304160223</v>
      </c>
      <c r="Z146" s="38">
        <f t="shared" si="17"/>
        <v>9.9061175675502184</v>
      </c>
      <c r="AA146" s="39">
        <v>1</v>
      </c>
      <c r="AB146" s="38">
        <f t="shared" si="18"/>
        <v>9.9061175675502184</v>
      </c>
      <c r="AC146" s="37">
        <f>Priors!$K$18</f>
        <v>2.7435089299114512</v>
      </c>
      <c r="AD146" s="38" t="str">
        <f t="shared" si="19"/>
        <v/>
      </c>
      <c r="AE146" s="37">
        <f>Priors!$K$19</f>
        <v>0.67280088332719912</v>
      </c>
      <c r="AF146" s="38" t="str">
        <f t="shared" si="20"/>
        <v/>
      </c>
      <c r="AG146" s="17">
        <f t="shared" si="21"/>
        <v>0.43112582781456943</v>
      </c>
      <c r="AH146" s="7" t="s">
        <v>1643</v>
      </c>
      <c r="AI146" s="7">
        <v>10</v>
      </c>
      <c r="AJ146" s="38">
        <f t="shared" si="22"/>
        <v>0.99061175675502189</v>
      </c>
      <c r="AK146" s="9" t="b">
        <f t="shared" si="23"/>
        <v>1</v>
      </c>
      <c r="AL146" s="28" t="s">
        <v>1644</v>
      </c>
      <c r="AM146" s="28" t="s">
        <v>1645</v>
      </c>
      <c r="AN146" s="28" t="s">
        <v>1792</v>
      </c>
    </row>
    <row r="147" spans="1:40" ht="30">
      <c r="A147" s="7">
        <v>146</v>
      </c>
      <c r="B147" s="7" t="s">
        <v>531</v>
      </c>
      <c r="C147" s="7" t="s">
        <v>44</v>
      </c>
      <c r="D147" s="7" t="s">
        <v>99</v>
      </c>
      <c r="E147" s="7" t="s">
        <v>1642</v>
      </c>
      <c r="F147" s="7" t="s">
        <v>44</v>
      </c>
      <c r="G147" s="14">
        <v>470</v>
      </c>
      <c r="H147" s="14">
        <v>51</v>
      </c>
      <c r="I147" s="15">
        <v>9.19</v>
      </c>
      <c r="J147" s="14">
        <v>0</v>
      </c>
      <c r="K147" s="15">
        <v>0</v>
      </c>
      <c r="L147" s="14">
        <v>10</v>
      </c>
      <c r="M147" s="14">
        <v>0</v>
      </c>
      <c r="N147" s="13"/>
      <c r="O147" s="14">
        <v>0</v>
      </c>
      <c r="P147" s="14">
        <v>48</v>
      </c>
      <c r="Q147" s="15">
        <v>9.1914893617021285</v>
      </c>
      <c r="R147" s="17">
        <f>IFERROR(G147/(G147+Priors!$H$18),0)</f>
        <v>0.31972789115646261</v>
      </c>
      <c r="S147" s="13">
        <v>1</v>
      </c>
      <c r="T147" s="40" t="b">
        <v>0</v>
      </c>
      <c r="U147" s="13">
        <v>1</v>
      </c>
      <c r="V147" s="40" t="b">
        <v>1</v>
      </c>
      <c r="W147" s="13">
        <v>0.9</v>
      </c>
      <c r="X147" s="17">
        <f t="shared" si="16"/>
        <v>0.28775510204081634</v>
      </c>
      <c r="Y147" s="37">
        <f>VLOOKUP(D147,Priors!$A$18:$B$21,2,FALSE)</f>
        <v>8.7398272304160223</v>
      </c>
      <c r="Z147" s="38">
        <f t="shared" si="17"/>
        <v>8.8693667416636561</v>
      </c>
      <c r="AA147" s="39">
        <v>1</v>
      </c>
      <c r="AB147" s="38">
        <f t="shared" si="18"/>
        <v>8.8693667416636561</v>
      </c>
      <c r="AC147" s="37">
        <f>Priors!$K$18</f>
        <v>2.7435089299114512</v>
      </c>
      <c r="AD147" s="38" t="str">
        <f t="shared" si="19"/>
        <v/>
      </c>
      <c r="AE147" s="37">
        <f>Priors!$K$19</f>
        <v>0.67280088332719912</v>
      </c>
      <c r="AF147" s="38" t="str">
        <f t="shared" si="20"/>
        <v/>
      </c>
      <c r="AG147" s="17">
        <f t="shared" si="21"/>
        <v>0.71224489795918366</v>
      </c>
      <c r="AH147" s="7" t="s">
        <v>1643</v>
      </c>
      <c r="AI147" s="7">
        <v>10</v>
      </c>
      <c r="AJ147" s="38">
        <f t="shared" si="22"/>
        <v>0.88693667416636557</v>
      </c>
      <c r="AK147" s="9" t="b">
        <f t="shared" si="23"/>
        <v>1</v>
      </c>
      <c r="AL147" s="28" t="s">
        <v>1644</v>
      </c>
      <c r="AM147" s="28" t="s">
        <v>1645</v>
      </c>
      <c r="AN147" s="28" t="s">
        <v>1792</v>
      </c>
    </row>
    <row r="148" spans="1:40" ht="30">
      <c r="A148" s="7">
        <v>147</v>
      </c>
      <c r="B148" s="7" t="s">
        <v>534</v>
      </c>
      <c r="C148" s="7" t="s">
        <v>44</v>
      </c>
      <c r="D148" s="7" t="s">
        <v>99</v>
      </c>
      <c r="E148" s="7" t="s">
        <v>1642</v>
      </c>
      <c r="F148" s="7" t="s">
        <v>44</v>
      </c>
      <c r="G148" s="14">
        <v>788</v>
      </c>
      <c r="H148" s="14">
        <v>111</v>
      </c>
      <c r="I148" s="15">
        <v>11.08</v>
      </c>
      <c r="J148" s="14">
        <v>0</v>
      </c>
      <c r="K148" s="15">
        <v>0</v>
      </c>
      <c r="L148" s="14">
        <v>14</v>
      </c>
      <c r="M148" s="14">
        <v>2</v>
      </c>
      <c r="N148" s="13"/>
      <c r="O148" s="14">
        <v>2</v>
      </c>
      <c r="P148" s="14">
        <v>130</v>
      </c>
      <c r="Q148" s="15">
        <v>14.847715736040609</v>
      </c>
      <c r="R148" s="17">
        <f>IFERROR(G148/(G148+Priors!$H$18),0)</f>
        <v>0.4407158836689038</v>
      </c>
      <c r="S148" s="13">
        <v>1</v>
      </c>
      <c r="T148" s="40" t="b">
        <v>0</v>
      </c>
      <c r="U148" s="13">
        <v>1</v>
      </c>
      <c r="V148" s="40" t="b">
        <v>1</v>
      </c>
      <c r="W148" s="13">
        <v>0.9</v>
      </c>
      <c r="X148" s="17">
        <f t="shared" si="16"/>
        <v>0.39664429530201345</v>
      </c>
      <c r="Y148" s="37">
        <f>VLOOKUP(D148,Priors!$A$18:$B$21,2,FALSE)</f>
        <v>8.7398272304160223</v>
      </c>
      <c r="Z148" s="38">
        <f t="shared" si="17"/>
        <v>9.6680434094926202</v>
      </c>
      <c r="AA148" s="39">
        <v>1</v>
      </c>
      <c r="AB148" s="38">
        <f t="shared" si="18"/>
        <v>9.6680434094926202</v>
      </c>
      <c r="AC148" s="37">
        <f>Priors!$K$18</f>
        <v>2.7435089299114512</v>
      </c>
      <c r="AD148" s="38" t="str">
        <f t="shared" si="19"/>
        <v/>
      </c>
      <c r="AE148" s="37">
        <f>Priors!$K$19</f>
        <v>0.67280088332719912</v>
      </c>
      <c r="AF148" s="38" t="str">
        <f t="shared" si="20"/>
        <v/>
      </c>
      <c r="AG148" s="17">
        <f t="shared" si="21"/>
        <v>0.60335570469798649</v>
      </c>
      <c r="AH148" s="7" t="s">
        <v>1643</v>
      </c>
      <c r="AI148" s="7">
        <v>10</v>
      </c>
      <c r="AJ148" s="38">
        <f t="shared" si="22"/>
        <v>0.96680434094926204</v>
      </c>
      <c r="AK148" s="9" t="b">
        <f t="shared" si="23"/>
        <v>1</v>
      </c>
      <c r="AL148" s="28" t="s">
        <v>1644</v>
      </c>
      <c r="AM148" s="28" t="s">
        <v>1645</v>
      </c>
      <c r="AN148" s="28" t="s">
        <v>1792</v>
      </c>
    </row>
    <row r="149" spans="1:40" ht="30">
      <c r="A149" s="7">
        <v>148</v>
      </c>
      <c r="B149" s="7" t="s">
        <v>536</v>
      </c>
      <c r="C149" s="7" t="s">
        <v>44</v>
      </c>
      <c r="D149" s="7" t="s">
        <v>99</v>
      </c>
      <c r="E149" s="7" t="s">
        <v>1642</v>
      </c>
      <c r="F149" s="7" t="s">
        <v>44</v>
      </c>
      <c r="G149" s="14">
        <v>1139</v>
      </c>
      <c r="H149" s="14">
        <v>104</v>
      </c>
      <c r="I149" s="15">
        <v>7.82</v>
      </c>
      <c r="J149" s="14">
        <v>0</v>
      </c>
      <c r="K149" s="15">
        <v>0</v>
      </c>
      <c r="L149" s="14">
        <v>27</v>
      </c>
      <c r="M149" s="14">
        <v>0</v>
      </c>
      <c r="N149" s="13"/>
      <c r="O149" s="14">
        <v>0</v>
      </c>
      <c r="P149" s="14">
        <v>93</v>
      </c>
      <c r="Q149" s="15">
        <v>7.348551360842845</v>
      </c>
      <c r="R149" s="17">
        <f>IFERROR(G149/(G149+Priors!$H$18),0)</f>
        <v>0.5324918186068256</v>
      </c>
      <c r="S149" s="13">
        <v>1</v>
      </c>
      <c r="T149" s="40" t="b">
        <v>0</v>
      </c>
      <c r="U149" s="13">
        <v>1</v>
      </c>
      <c r="V149" s="40" t="b">
        <v>1</v>
      </c>
      <c r="W149" s="13">
        <v>0.9</v>
      </c>
      <c r="X149" s="17">
        <f t="shared" si="16"/>
        <v>0.47924263674614304</v>
      </c>
      <c r="Y149" s="37">
        <f>VLOOKUP(D149,Priors!$A$18:$B$21,2,FALSE)</f>
        <v>8.7398272304160223</v>
      </c>
      <c r="Z149" s="38">
        <f t="shared" si="17"/>
        <v>8.2990068031605446</v>
      </c>
      <c r="AA149" s="39">
        <v>1</v>
      </c>
      <c r="AB149" s="38">
        <f t="shared" si="18"/>
        <v>8.2990068031605446</v>
      </c>
      <c r="AC149" s="37">
        <f>Priors!$K$18</f>
        <v>2.7435089299114512</v>
      </c>
      <c r="AD149" s="38" t="str">
        <f t="shared" si="19"/>
        <v/>
      </c>
      <c r="AE149" s="37">
        <f>Priors!$K$19</f>
        <v>0.67280088332719912</v>
      </c>
      <c r="AF149" s="38" t="str">
        <f t="shared" si="20"/>
        <v/>
      </c>
      <c r="AG149" s="17">
        <f t="shared" si="21"/>
        <v>0.52075736325385691</v>
      </c>
      <c r="AH149" s="7" t="s">
        <v>1643</v>
      </c>
      <c r="AI149" s="7">
        <v>10</v>
      </c>
      <c r="AJ149" s="38">
        <f t="shared" si="22"/>
        <v>0.82990068031605446</v>
      </c>
      <c r="AK149" s="9" t="b">
        <f t="shared" si="23"/>
        <v>1</v>
      </c>
      <c r="AL149" s="28" t="s">
        <v>1644</v>
      </c>
      <c r="AM149" s="28" t="s">
        <v>1645</v>
      </c>
      <c r="AN149" s="28" t="s">
        <v>1792</v>
      </c>
    </row>
    <row r="150" spans="1:40" ht="30">
      <c r="A150" s="7">
        <v>149</v>
      </c>
      <c r="B150" s="7" t="s">
        <v>539</v>
      </c>
      <c r="C150" s="7" t="s">
        <v>44</v>
      </c>
      <c r="D150" s="7" t="s">
        <v>99</v>
      </c>
      <c r="E150" s="7" t="s">
        <v>1642</v>
      </c>
      <c r="F150" s="7" t="s">
        <v>44</v>
      </c>
      <c r="G150" s="14">
        <v>225</v>
      </c>
      <c r="H150" s="14">
        <v>25</v>
      </c>
      <c r="I150" s="15">
        <v>10</v>
      </c>
      <c r="J150" s="14">
        <v>0</v>
      </c>
      <c r="K150" s="15">
        <v>0</v>
      </c>
      <c r="L150" s="14">
        <v>4</v>
      </c>
      <c r="M150" s="14">
        <v>0</v>
      </c>
      <c r="N150" s="13"/>
      <c r="O150" s="14">
        <v>0</v>
      </c>
      <c r="P150" s="14">
        <v>30</v>
      </c>
      <c r="Q150" s="15">
        <v>12</v>
      </c>
      <c r="R150" s="17">
        <f>IFERROR(G150/(G150+Priors!$H$18),0)</f>
        <v>0.18367346938775511</v>
      </c>
      <c r="S150" s="13">
        <v>1</v>
      </c>
      <c r="T150" s="40" t="b">
        <v>0</v>
      </c>
      <c r="U150" s="13">
        <v>1</v>
      </c>
      <c r="V150" s="40" t="b">
        <v>1</v>
      </c>
      <c r="W150" s="13">
        <v>0.9</v>
      </c>
      <c r="X150" s="17">
        <f t="shared" si="16"/>
        <v>0.1653061224489796</v>
      </c>
      <c r="Y150" s="37">
        <f>VLOOKUP(D150,Priors!$A$18:$B$21,2,FALSE)</f>
        <v>8.7398272304160223</v>
      </c>
      <c r="Z150" s="38">
        <f t="shared" si="17"/>
        <v>8.9481415045717423</v>
      </c>
      <c r="AA150" s="39">
        <v>1</v>
      </c>
      <c r="AB150" s="38">
        <f t="shared" si="18"/>
        <v>8.9481415045717423</v>
      </c>
      <c r="AC150" s="37">
        <f>Priors!$K$18</f>
        <v>2.7435089299114512</v>
      </c>
      <c r="AD150" s="38" t="str">
        <f t="shared" si="19"/>
        <v/>
      </c>
      <c r="AE150" s="37">
        <f>Priors!$K$19</f>
        <v>0.67280088332719912</v>
      </c>
      <c r="AF150" s="38" t="str">
        <f t="shared" si="20"/>
        <v/>
      </c>
      <c r="AG150" s="17">
        <f t="shared" si="21"/>
        <v>0.83469387755102042</v>
      </c>
      <c r="AH150" s="7" t="s">
        <v>1643</v>
      </c>
      <c r="AI150" s="7">
        <v>10</v>
      </c>
      <c r="AJ150" s="38">
        <f t="shared" si="22"/>
        <v>0.89481415045717427</v>
      </c>
      <c r="AK150" s="9" t="b">
        <f t="shared" si="23"/>
        <v>1</v>
      </c>
      <c r="AL150" s="28" t="s">
        <v>1644</v>
      </c>
      <c r="AM150" s="28" t="s">
        <v>1645</v>
      </c>
      <c r="AN150" s="28" t="s">
        <v>1792</v>
      </c>
    </row>
    <row r="151" spans="1:40" ht="30">
      <c r="A151" s="7">
        <v>150</v>
      </c>
      <c r="B151" s="7" t="s">
        <v>542</v>
      </c>
      <c r="C151" s="7" t="s">
        <v>44</v>
      </c>
      <c r="D151" s="7" t="s">
        <v>99</v>
      </c>
      <c r="E151" s="7" t="s">
        <v>1642</v>
      </c>
      <c r="F151" s="7" t="s">
        <v>44</v>
      </c>
      <c r="G151" s="14">
        <v>100</v>
      </c>
      <c r="H151" s="14">
        <v>8</v>
      </c>
      <c r="I151" s="15">
        <v>7.2</v>
      </c>
      <c r="J151" s="14">
        <v>0</v>
      </c>
      <c r="K151" s="15">
        <v>0</v>
      </c>
      <c r="L151" s="14">
        <v>3</v>
      </c>
      <c r="M151" s="14">
        <v>0</v>
      </c>
      <c r="N151" s="13"/>
      <c r="O151" s="14">
        <v>0</v>
      </c>
      <c r="P151" s="14">
        <v>4</v>
      </c>
      <c r="Q151" s="15">
        <v>3.6</v>
      </c>
      <c r="R151" s="17">
        <f>IFERROR(G151/(G151+Priors!$H$18),0)</f>
        <v>9.0909090909090912E-2</v>
      </c>
      <c r="S151" s="13">
        <v>1</v>
      </c>
      <c r="T151" s="40" t="b">
        <v>0</v>
      </c>
      <c r="U151" s="13">
        <v>1</v>
      </c>
      <c r="V151" s="40" t="b">
        <v>1</v>
      </c>
      <c r="W151" s="13">
        <v>0.9</v>
      </c>
      <c r="X151" s="17">
        <f t="shared" si="16"/>
        <v>8.1818181818181818E-2</v>
      </c>
      <c r="Y151" s="37">
        <f>VLOOKUP(D151,Priors!$A$18:$B$21,2,FALSE)</f>
        <v>8.7398272304160223</v>
      </c>
      <c r="Z151" s="38">
        <f t="shared" si="17"/>
        <v>8.6138413661092574</v>
      </c>
      <c r="AA151" s="39">
        <v>1</v>
      </c>
      <c r="AB151" s="38">
        <f t="shared" si="18"/>
        <v>8.6138413661092574</v>
      </c>
      <c r="AC151" s="37">
        <f>Priors!$K$18</f>
        <v>2.7435089299114512</v>
      </c>
      <c r="AD151" s="38" t="str">
        <f t="shared" si="19"/>
        <v/>
      </c>
      <c r="AE151" s="37">
        <f>Priors!$K$19</f>
        <v>0.67280088332719912</v>
      </c>
      <c r="AF151" s="38" t="str">
        <f t="shared" si="20"/>
        <v/>
      </c>
      <c r="AG151" s="17">
        <f t="shared" si="21"/>
        <v>0.91818181818181821</v>
      </c>
      <c r="AH151" s="7" t="s">
        <v>1643</v>
      </c>
      <c r="AI151" s="7">
        <v>10</v>
      </c>
      <c r="AJ151" s="38">
        <f t="shared" si="22"/>
        <v>0.86138413661092572</v>
      </c>
      <c r="AK151" s="9" t="b">
        <f t="shared" si="23"/>
        <v>1</v>
      </c>
      <c r="AL151" s="28" t="s">
        <v>1644</v>
      </c>
      <c r="AM151" s="28" t="s">
        <v>1645</v>
      </c>
      <c r="AN151" s="28" t="s">
        <v>1792</v>
      </c>
    </row>
    <row r="152" spans="1:40" ht="30">
      <c r="A152" s="7">
        <v>151</v>
      </c>
      <c r="B152" s="7" t="s">
        <v>545</v>
      </c>
      <c r="C152" s="7" t="s">
        <v>44</v>
      </c>
      <c r="D152" s="7" t="s">
        <v>99</v>
      </c>
      <c r="E152" s="7" t="s">
        <v>1642</v>
      </c>
      <c r="F152" s="7" t="s">
        <v>44</v>
      </c>
      <c r="G152" s="14">
        <v>657</v>
      </c>
      <c r="H152" s="14">
        <v>60</v>
      </c>
      <c r="I152" s="15">
        <v>6.03</v>
      </c>
      <c r="J152" s="14">
        <v>0</v>
      </c>
      <c r="K152" s="15">
        <v>0</v>
      </c>
      <c r="L152" s="14">
        <v>13</v>
      </c>
      <c r="M152" s="14">
        <v>2</v>
      </c>
      <c r="N152" s="13"/>
      <c r="O152" s="14">
        <v>5</v>
      </c>
      <c r="P152" s="14">
        <v>118</v>
      </c>
      <c r="Q152" s="15">
        <v>16.164383561643834</v>
      </c>
      <c r="R152" s="17">
        <f>IFERROR(G152/(G152+Priors!$H$18),0)</f>
        <v>0.3964996982498491</v>
      </c>
      <c r="S152" s="13">
        <v>1</v>
      </c>
      <c r="T152" s="40" t="b">
        <v>0</v>
      </c>
      <c r="U152" s="13">
        <v>1</v>
      </c>
      <c r="V152" s="40" t="b">
        <v>1</v>
      </c>
      <c r="W152" s="13">
        <v>0.9</v>
      </c>
      <c r="X152" s="17">
        <f t="shared" si="16"/>
        <v>0.35684972842486418</v>
      </c>
      <c r="Y152" s="37">
        <f>VLOOKUP(D152,Priors!$A$18:$B$21,2,FALSE)</f>
        <v>8.7398272304160223</v>
      </c>
      <c r="Z152" s="38">
        <f t="shared" si="17"/>
        <v>7.7728261191637635</v>
      </c>
      <c r="AA152" s="39">
        <v>1</v>
      </c>
      <c r="AB152" s="38">
        <f t="shared" si="18"/>
        <v>7.7728261191637635</v>
      </c>
      <c r="AC152" s="37">
        <f>Priors!$K$18</f>
        <v>2.7435089299114512</v>
      </c>
      <c r="AD152" s="38" t="str">
        <f t="shared" si="19"/>
        <v/>
      </c>
      <c r="AE152" s="37">
        <f>Priors!$K$19</f>
        <v>0.67280088332719912</v>
      </c>
      <c r="AF152" s="38" t="str">
        <f t="shared" si="20"/>
        <v/>
      </c>
      <c r="AG152" s="17">
        <f t="shared" si="21"/>
        <v>0.64315027157513582</v>
      </c>
      <c r="AH152" s="7" t="s">
        <v>1643</v>
      </c>
      <c r="AI152" s="7">
        <v>10</v>
      </c>
      <c r="AJ152" s="38">
        <f t="shared" si="22"/>
        <v>0.77728261191637638</v>
      </c>
      <c r="AK152" s="9" t="b">
        <f t="shared" si="23"/>
        <v>1</v>
      </c>
      <c r="AL152" s="28" t="s">
        <v>1644</v>
      </c>
      <c r="AM152" s="28" t="s">
        <v>1645</v>
      </c>
      <c r="AN152" s="28" t="s">
        <v>1792</v>
      </c>
    </row>
    <row r="153" spans="1:40" ht="30">
      <c r="A153" s="7">
        <v>152</v>
      </c>
      <c r="B153" s="7" t="s">
        <v>548</v>
      </c>
      <c r="C153" s="7" t="s">
        <v>44</v>
      </c>
      <c r="D153" s="7" t="s">
        <v>99</v>
      </c>
      <c r="E153" s="7" t="s">
        <v>1647</v>
      </c>
      <c r="F153" s="7"/>
      <c r="G153" s="14">
        <v>0</v>
      </c>
      <c r="H153" s="14"/>
      <c r="I153" s="15"/>
      <c r="J153" s="14"/>
      <c r="K153" s="15"/>
      <c r="L153" s="14"/>
      <c r="M153" s="14"/>
      <c r="N153" s="13"/>
      <c r="O153" s="14"/>
      <c r="P153" s="14"/>
      <c r="Q153" s="15"/>
      <c r="R153" s="17">
        <f>IFERROR(G153/(G153+Priors!$H$18),0)</f>
        <v>0</v>
      </c>
      <c r="S153" s="13">
        <v>0</v>
      </c>
      <c r="T153" s="40" t="b">
        <v>0</v>
      </c>
      <c r="U153" s="13">
        <v>1</v>
      </c>
      <c r="V153" s="40" t="b">
        <v>1</v>
      </c>
      <c r="W153" s="13">
        <v>0.9</v>
      </c>
      <c r="X153" s="17">
        <f t="shared" si="16"/>
        <v>0</v>
      </c>
      <c r="Y153" s="37">
        <f>VLOOKUP(D153,Priors!$A$18:$B$21,2,FALSE)</f>
        <v>8.7398272304160223</v>
      </c>
      <c r="Z153" s="38">
        <f t="shared" si="17"/>
        <v>8.7398272304160223</v>
      </c>
      <c r="AA153" s="39">
        <v>1</v>
      </c>
      <c r="AB153" s="38">
        <f t="shared" si="18"/>
        <v>8.7398272304160223</v>
      </c>
      <c r="AC153" s="37">
        <f>Priors!$K$18</f>
        <v>2.7435089299114512</v>
      </c>
      <c r="AD153" s="38" t="str">
        <f t="shared" si="19"/>
        <v/>
      </c>
      <c r="AE153" s="37">
        <f>Priors!$K$19</f>
        <v>0.67280088332719912</v>
      </c>
      <c r="AF153" s="38" t="str">
        <f t="shared" si="20"/>
        <v/>
      </c>
      <c r="AG153" s="17">
        <f t="shared" si="21"/>
        <v>1</v>
      </c>
      <c r="AH153" s="7" t="s">
        <v>1793</v>
      </c>
      <c r="AI153" s="7">
        <v>10</v>
      </c>
      <c r="AJ153" s="38">
        <f t="shared" si="22"/>
        <v>0.87398272304160218</v>
      </c>
      <c r="AK153" s="9" t="b">
        <f t="shared" si="23"/>
        <v>1</v>
      </c>
      <c r="AL153" s="28" t="s">
        <v>1794</v>
      </c>
      <c r="AM153" s="28"/>
      <c r="AN153" s="28" t="s">
        <v>1792</v>
      </c>
    </row>
    <row r="154" spans="1:40" ht="30">
      <c r="A154" s="7">
        <v>153</v>
      </c>
      <c r="B154" s="7" t="s">
        <v>550</v>
      </c>
      <c r="C154" s="7" t="s">
        <v>44</v>
      </c>
      <c r="D154" s="7" t="s">
        <v>99</v>
      </c>
      <c r="E154" s="7" t="s">
        <v>1642</v>
      </c>
      <c r="F154" s="7" t="s">
        <v>1653</v>
      </c>
      <c r="G154" s="14">
        <v>1254</v>
      </c>
      <c r="H154" s="14">
        <v>88</v>
      </c>
      <c r="I154" s="15">
        <v>6.32</v>
      </c>
      <c r="J154" s="14">
        <v>0</v>
      </c>
      <c r="K154" s="15">
        <v>0</v>
      </c>
      <c r="L154" s="14">
        <v>17</v>
      </c>
      <c r="M154" s="14">
        <v>6</v>
      </c>
      <c r="N154" s="13"/>
      <c r="O154" s="14">
        <v>1</v>
      </c>
      <c r="P154" s="14">
        <v>186</v>
      </c>
      <c r="Q154" s="15">
        <v>13.349282296650717</v>
      </c>
      <c r="R154" s="17">
        <f>IFERROR(G154/(G154+Priors!$H$18),0)</f>
        <v>0.55634427684117127</v>
      </c>
      <c r="S154" s="13">
        <v>1</v>
      </c>
      <c r="T154" s="40" t="b">
        <v>1</v>
      </c>
      <c r="U154" s="13">
        <v>0.85</v>
      </c>
      <c r="V154" s="40" t="b">
        <v>1</v>
      </c>
      <c r="W154" s="13">
        <v>0.9</v>
      </c>
      <c r="X154" s="17">
        <f t="shared" si="16"/>
        <v>0.42560337178349605</v>
      </c>
      <c r="Y154" s="37">
        <f>VLOOKUP(D154,Priors!$A$18:$B$21,2,FALSE)</f>
        <v>8.7398272304160223</v>
      </c>
      <c r="Z154" s="38">
        <f t="shared" si="17"/>
        <v>7.7099406020174435</v>
      </c>
      <c r="AA154" s="39">
        <v>1</v>
      </c>
      <c r="AB154" s="38">
        <f t="shared" si="18"/>
        <v>7.7099406020174435</v>
      </c>
      <c r="AC154" s="37">
        <f>Priors!$K$18</f>
        <v>2.7435089299114512</v>
      </c>
      <c r="AD154" s="38" t="str">
        <f t="shared" si="19"/>
        <v/>
      </c>
      <c r="AE154" s="37">
        <f>Priors!$K$19</f>
        <v>0.67280088332719912</v>
      </c>
      <c r="AF154" s="38" t="str">
        <f t="shared" si="20"/>
        <v/>
      </c>
      <c r="AG154" s="17">
        <f t="shared" si="21"/>
        <v>0.57439662821650395</v>
      </c>
      <c r="AH154" s="7" t="s">
        <v>1643</v>
      </c>
      <c r="AI154" s="7">
        <v>10</v>
      </c>
      <c r="AJ154" s="38">
        <f t="shared" si="22"/>
        <v>0.77099406020174432</v>
      </c>
      <c r="AK154" s="9" t="b">
        <f t="shared" si="23"/>
        <v>1</v>
      </c>
      <c r="AL154" s="28" t="s">
        <v>1644</v>
      </c>
      <c r="AM154" s="28" t="s">
        <v>1645</v>
      </c>
      <c r="AN154" s="28" t="s">
        <v>1792</v>
      </c>
    </row>
    <row r="155" spans="1:40" ht="30">
      <c r="A155" s="7">
        <v>154</v>
      </c>
      <c r="B155" s="7" t="s">
        <v>553</v>
      </c>
      <c r="C155" s="7" t="s">
        <v>44</v>
      </c>
      <c r="D155" s="7" t="s">
        <v>112</v>
      </c>
      <c r="E155" s="7" t="s">
        <v>1642</v>
      </c>
      <c r="F155" s="7" t="s">
        <v>44</v>
      </c>
      <c r="G155" s="14">
        <v>1954</v>
      </c>
      <c r="H155" s="14">
        <v>135</v>
      </c>
      <c r="I155" s="15">
        <v>6.22</v>
      </c>
      <c r="J155" s="14">
        <v>0</v>
      </c>
      <c r="K155" s="15">
        <v>0</v>
      </c>
      <c r="L155" s="14">
        <v>33</v>
      </c>
      <c r="M155" s="14">
        <v>3</v>
      </c>
      <c r="N155" s="13"/>
      <c r="O155" s="14">
        <v>11</v>
      </c>
      <c r="P155" s="14">
        <v>430</v>
      </c>
      <c r="Q155" s="15">
        <v>19.805527123848517</v>
      </c>
      <c r="R155" s="17">
        <f>IFERROR(G155/(G155+Priors!$H$18),0)</f>
        <v>0.66147596479350035</v>
      </c>
      <c r="S155" s="13">
        <v>1</v>
      </c>
      <c r="T155" s="40" t="b">
        <v>0</v>
      </c>
      <c r="U155" s="13">
        <v>1</v>
      </c>
      <c r="V155" s="40" t="b">
        <v>1</v>
      </c>
      <c r="W155" s="13">
        <v>0.9</v>
      </c>
      <c r="X155" s="17">
        <f t="shared" si="16"/>
        <v>0.59532836831415037</v>
      </c>
      <c r="Y155" s="37">
        <f>VLOOKUP(D155,Priors!$A$18:$B$21,2,FALSE)</f>
        <v>8.4555315342179806</v>
      </c>
      <c r="Z155" s="38">
        <f t="shared" si="17"/>
        <v>7.1246561936371613</v>
      </c>
      <c r="AA155" s="39">
        <v>1</v>
      </c>
      <c r="AB155" s="38">
        <f t="shared" si="18"/>
        <v>7.1246561936371613</v>
      </c>
      <c r="AC155" s="37">
        <f>Priors!$K$18</f>
        <v>2.7435089299114512</v>
      </c>
      <c r="AD155" s="38" t="str">
        <f t="shared" si="19"/>
        <v/>
      </c>
      <c r="AE155" s="37">
        <f>Priors!$K$19</f>
        <v>0.67280088332719912</v>
      </c>
      <c r="AF155" s="38" t="str">
        <f t="shared" si="20"/>
        <v/>
      </c>
      <c r="AG155" s="17">
        <f t="shared" si="21"/>
        <v>0.40467163168584963</v>
      </c>
      <c r="AH155" s="7" t="s">
        <v>1643</v>
      </c>
      <c r="AI155" s="7">
        <v>12</v>
      </c>
      <c r="AJ155" s="38">
        <f t="shared" si="22"/>
        <v>0.5937213494697634</v>
      </c>
      <c r="AK155" s="9" t="b">
        <f t="shared" si="23"/>
        <v>1</v>
      </c>
      <c r="AL155" s="28" t="s">
        <v>1644</v>
      </c>
      <c r="AM155" s="28" t="s">
        <v>1645</v>
      </c>
      <c r="AN155" s="28" t="s">
        <v>1792</v>
      </c>
    </row>
    <row r="156" spans="1:40" ht="30">
      <c r="A156" s="7">
        <v>155</v>
      </c>
      <c r="B156" s="7" t="s">
        <v>556</v>
      </c>
      <c r="C156" s="7" t="s">
        <v>44</v>
      </c>
      <c r="D156" s="7" t="s">
        <v>112</v>
      </c>
      <c r="E156" s="7" t="s">
        <v>1642</v>
      </c>
      <c r="F156" s="7" t="s">
        <v>44</v>
      </c>
      <c r="G156" s="14">
        <v>3114</v>
      </c>
      <c r="H156" s="14">
        <v>244</v>
      </c>
      <c r="I156" s="15">
        <v>7.05</v>
      </c>
      <c r="J156" s="14">
        <v>0</v>
      </c>
      <c r="K156" s="15">
        <v>0</v>
      </c>
      <c r="L156" s="14">
        <v>46</v>
      </c>
      <c r="M156" s="14">
        <v>8</v>
      </c>
      <c r="N156" s="13"/>
      <c r="O156" s="14">
        <v>19</v>
      </c>
      <c r="P156" s="14">
        <v>700</v>
      </c>
      <c r="Q156" s="15">
        <v>20.23121387283237</v>
      </c>
      <c r="R156" s="17">
        <f>IFERROR(G156/(G156+Priors!$H$18),0)</f>
        <v>0.7569275644141954</v>
      </c>
      <c r="S156" s="13">
        <v>1</v>
      </c>
      <c r="T156" s="40" t="b">
        <v>0</v>
      </c>
      <c r="U156" s="13">
        <v>1</v>
      </c>
      <c r="V156" s="40" t="b">
        <v>1</v>
      </c>
      <c r="W156" s="13">
        <v>0.9</v>
      </c>
      <c r="X156" s="17">
        <f t="shared" si="16"/>
        <v>0.68123480797277591</v>
      </c>
      <c r="Y156" s="37">
        <f>VLOOKUP(D156,Priors!$A$18:$B$21,2,FALSE)</f>
        <v>8.4555315342179806</v>
      </c>
      <c r="Z156" s="38">
        <f t="shared" si="17"/>
        <v>7.498034529405313</v>
      </c>
      <c r="AA156" s="39">
        <v>1</v>
      </c>
      <c r="AB156" s="38">
        <f t="shared" si="18"/>
        <v>7.498034529405313</v>
      </c>
      <c r="AC156" s="37">
        <f>Priors!$K$18</f>
        <v>2.7435089299114512</v>
      </c>
      <c r="AD156" s="38" t="str">
        <f t="shared" si="19"/>
        <v/>
      </c>
      <c r="AE156" s="37">
        <f>Priors!$K$19</f>
        <v>0.67280088332719912</v>
      </c>
      <c r="AF156" s="38" t="str">
        <f t="shared" si="20"/>
        <v/>
      </c>
      <c r="AG156" s="17">
        <f t="shared" si="21"/>
        <v>0.31876519202722409</v>
      </c>
      <c r="AH156" s="7" t="s">
        <v>1643</v>
      </c>
      <c r="AI156" s="7">
        <v>12</v>
      </c>
      <c r="AJ156" s="38">
        <f t="shared" si="22"/>
        <v>0.62483621078377605</v>
      </c>
      <c r="AK156" s="9" t="b">
        <f t="shared" si="23"/>
        <v>1</v>
      </c>
      <c r="AL156" s="28" t="s">
        <v>1644</v>
      </c>
      <c r="AM156" s="28" t="s">
        <v>1645</v>
      </c>
      <c r="AN156" s="28" t="s">
        <v>1792</v>
      </c>
    </row>
    <row r="157" spans="1:40" ht="30">
      <c r="A157" s="7">
        <v>156</v>
      </c>
      <c r="B157" s="7" t="s">
        <v>559</v>
      </c>
      <c r="C157" s="7" t="s">
        <v>44</v>
      </c>
      <c r="D157" s="7" t="s">
        <v>112</v>
      </c>
      <c r="E157" s="7" t="s">
        <v>1642</v>
      </c>
      <c r="F157" s="7" t="s">
        <v>44</v>
      </c>
      <c r="G157" s="14">
        <v>2629</v>
      </c>
      <c r="H157" s="14">
        <v>122</v>
      </c>
      <c r="I157" s="15">
        <v>4.18</v>
      </c>
      <c r="J157" s="14">
        <v>0</v>
      </c>
      <c r="K157" s="15">
        <v>0</v>
      </c>
      <c r="L157" s="14">
        <v>33</v>
      </c>
      <c r="M157" s="14">
        <v>11</v>
      </c>
      <c r="N157" s="13"/>
      <c r="O157" s="14">
        <v>9</v>
      </c>
      <c r="P157" s="14">
        <v>543</v>
      </c>
      <c r="Q157" s="15">
        <v>18.588817040699887</v>
      </c>
      <c r="R157" s="17">
        <f>IFERROR(G157/(G157+Priors!$H$18),0)</f>
        <v>0.72444199503995588</v>
      </c>
      <c r="S157" s="13">
        <v>1</v>
      </c>
      <c r="T157" s="40" t="b">
        <v>0</v>
      </c>
      <c r="U157" s="13">
        <v>1</v>
      </c>
      <c r="V157" s="40" t="b">
        <v>1</v>
      </c>
      <c r="W157" s="13">
        <v>0.9</v>
      </c>
      <c r="X157" s="17">
        <f t="shared" si="16"/>
        <v>0.65199779553596027</v>
      </c>
      <c r="Y157" s="37">
        <f>VLOOKUP(D157,Priors!$A$18:$B$21,2,FALSE)</f>
        <v>8.4555315342179806</v>
      </c>
      <c r="Z157" s="38">
        <f t="shared" si="17"/>
        <v>5.6678943991633748</v>
      </c>
      <c r="AA157" s="39">
        <v>1</v>
      </c>
      <c r="AB157" s="38">
        <f t="shared" si="18"/>
        <v>5.6678943991633748</v>
      </c>
      <c r="AC157" s="37">
        <f>Priors!$K$18</f>
        <v>2.7435089299114512</v>
      </c>
      <c r="AD157" s="38" t="str">
        <f t="shared" si="19"/>
        <v/>
      </c>
      <c r="AE157" s="37">
        <f>Priors!$K$19</f>
        <v>0.67280088332719912</v>
      </c>
      <c r="AF157" s="38" t="str">
        <f t="shared" si="20"/>
        <v/>
      </c>
      <c r="AG157" s="17">
        <f t="shared" si="21"/>
        <v>0.34800220446403973</v>
      </c>
      <c r="AH157" s="7" t="s">
        <v>1643</v>
      </c>
      <c r="AI157" s="7">
        <v>12</v>
      </c>
      <c r="AJ157" s="38">
        <f t="shared" si="22"/>
        <v>0.47232453326361457</v>
      </c>
      <c r="AK157" s="9" t="b">
        <f t="shared" si="23"/>
        <v>1</v>
      </c>
      <c r="AL157" s="28" t="s">
        <v>1644</v>
      </c>
      <c r="AM157" s="28" t="s">
        <v>1645</v>
      </c>
      <c r="AN157" s="28" t="s">
        <v>1792</v>
      </c>
    </row>
    <row r="158" spans="1:40" ht="30">
      <c r="A158" s="7">
        <v>157</v>
      </c>
      <c r="B158" s="7" t="s">
        <v>562</v>
      </c>
      <c r="C158" s="7" t="s">
        <v>44</v>
      </c>
      <c r="D158" s="7" t="s">
        <v>112</v>
      </c>
      <c r="E158" s="7" t="s">
        <v>1642</v>
      </c>
      <c r="F158" s="7" t="s">
        <v>44</v>
      </c>
      <c r="G158" s="14">
        <v>839</v>
      </c>
      <c r="H158" s="14">
        <v>56</v>
      </c>
      <c r="I158" s="15">
        <v>6.01</v>
      </c>
      <c r="J158" s="14">
        <v>0</v>
      </c>
      <c r="K158" s="15">
        <v>0</v>
      </c>
      <c r="L158" s="14">
        <v>11</v>
      </c>
      <c r="M158" s="14">
        <v>4</v>
      </c>
      <c r="N158" s="13"/>
      <c r="O158" s="14">
        <v>4</v>
      </c>
      <c r="P158" s="14">
        <v>172</v>
      </c>
      <c r="Q158" s="15">
        <v>18.450536352800952</v>
      </c>
      <c r="R158" s="17">
        <f>IFERROR(G158/(G158+Priors!$H$18),0)</f>
        <v>0.456226209896683</v>
      </c>
      <c r="S158" s="13">
        <v>1</v>
      </c>
      <c r="T158" s="40" t="b">
        <v>0</v>
      </c>
      <c r="U158" s="13">
        <v>1</v>
      </c>
      <c r="V158" s="40" t="b">
        <v>1</v>
      </c>
      <c r="W158" s="13">
        <v>0.9</v>
      </c>
      <c r="X158" s="17">
        <f t="shared" si="16"/>
        <v>0.4106035889070147</v>
      </c>
      <c r="Y158" s="37">
        <f>VLOOKUP(D158,Priors!$A$18:$B$21,2,FALSE)</f>
        <v>8.4555315342179806</v>
      </c>
      <c r="Z158" s="38">
        <f t="shared" si="17"/>
        <v>7.4513875094827995</v>
      </c>
      <c r="AA158" s="39">
        <v>1</v>
      </c>
      <c r="AB158" s="38">
        <f t="shared" si="18"/>
        <v>7.4513875094827995</v>
      </c>
      <c r="AC158" s="37">
        <f>Priors!$K$18</f>
        <v>2.7435089299114512</v>
      </c>
      <c r="AD158" s="38" t="str">
        <f t="shared" si="19"/>
        <v/>
      </c>
      <c r="AE158" s="37">
        <f>Priors!$K$19</f>
        <v>0.67280088332719912</v>
      </c>
      <c r="AF158" s="38" t="str">
        <f t="shared" si="20"/>
        <v/>
      </c>
      <c r="AG158" s="17">
        <f t="shared" si="21"/>
        <v>0.58939641109298524</v>
      </c>
      <c r="AH158" s="7" t="s">
        <v>1643</v>
      </c>
      <c r="AI158" s="7">
        <v>12</v>
      </c>
      <c r="AJ158" s="38">
        <f t="shared" si="22"/>
        <v>0.62094895912356662</v>
      </c>
      <c r="AK158" s="9" t="b">
        <f t="shared" si="23"/>
        <v>1</v>
      </c>
      <c r="AL158" s="28" t="s">
        <v>1644</v>
      </c>
      <c r="AM158" s="28" t="s">
        <v>1645</v>
      </c>
      <c r="AN158" s="28" t="s">
        <v>1792</v>
      </c>
    </row>
    <row r="159" spans="1:40" ht="30">
      <c r="A159" s="7">
        <v>158</v>
      </c>
      <c r="B159" s="7" t="s">
        <v>565</v>
      </c>
      <c r="C159" s="7" t="s">
        <v>44</v>
      </c>
      <c r="D159" s="7" t="s">
        <v>112</v>
      </c>
      <c r="E159" s="7" t="s">
        <v>1642</v>
      </c>
      <c r="F159" s="7" t="s">
        <v>44</v>
      </c>
      <c r="G159" s="14">
        <v>486</v>
      </c>
      <c r="H159" s="14">
        <v>29</v>
      </c>
      <c r="I159" s="15">
        <v>5.37</v>
      </c>
      <c r="J159" s="14">
        <v>0</v>
      </c>
      <c r="K159" s="15">
        <v>0</v>
      </c>
      <c r="L159" s="14">
        <v>7</v>
      </c>
      <c r="M159" s="14">
        <v>1</v>
      </c>
      <c r="N159" s="13"/>
      <c r="O159" s="14">
        <v>0</v>
      </c>
      <c r="P159" s="14">
        <v>99</v>
      </c>
      <c r="Q159" s="15">
        <v>18.333333333333332</v>
      </c>
      <c r="R159" s="17">
        <f>IFERROR(G159/(G159+Priors!$H$18),0)</f>
        <v>0.32705248990578734</v>
      </c>
      <c r="S159" s="13">
        <v>1</v>
      </c>
      <c r="T159" s="40" t="b">
        <v>0</v>
      </c>
      <c r="U159" s="13">
        <v>1</v>
      </c>
      <c r="V159" s="40" t="b">
        <v>1</v>
      </c>
      <c r="W159" s="13">
        <v>0.9</v>
      </c>
      <c r="X159" s="17">
        <f t="shared" si="16"/>
        <v>0.29434724091520859</v>
      </c>
      <c r="Y159" s="37">
        <f>VLOOKUP(D159,Priors!$A$18:$B$21,2,FALSE)</f>
        <v>8.4555315342179806</v>
      </c>
      <c r="Z159" s="38">
        <f t="shared" si="17"/>
        <v>7.5473138403640476</v>
      </c>
      <c r="AA159" s="39">
        <v>1</v>
      </c>
      <c r="AB159" s="38">
        <f t="shared" si="18"/>
        <v>7.5473138403640476</v>
      </c>
      <c r="AC159" s="37">
        <f>Priors!$K$18</f>
        <v>2.7435089299114512</v>
      </c>
      <c r="AD159" s="38" t="str">
        <f t="shared" si="19"/>
        <v/>
      </c>
      <c r="AE159" s="37">
        <f>Priors!$K$19</f>
        <v>0.67280088332719912</v>
      </c>
      <c r="AF159" s="38" t="str">
        <f t="shared" si="20"/>
        <v/>
      </c>
      <c r="AG159" s="17">
        <f t="shared" si="21"/>
        <v>0.70565275908479141</v>
      </c>
      <c r="AH159" s="7" t="s">
        <v>1643</v>
      </c>
      <c r="AI159" s="7">
        <v>12</v>
      </c>
      <c r="AJ159" s="38">
        <f t="shared" si="22"/>
        <v>0.6289428200303373</v>
      </c>
      <c r="AK159" s="9" t="b">
        <f t="shared" si="23"/>
        <v>1</v>
      </c>
      <c r="AL159" s="28" t="s">
        <v>1644</v>
      </c>
      <c r="AM159" s="28" t="s">
        <v>1645</v>
      </c>
      <c r="AN159" s="28" t="s">
        <v>1792</v>
      </c>
    </row>
    <row r="160" spans="1:40" ht="30">
      <c r="A160" s="7">
        <v>159</v>
      </c>
      <c r="B160" s="7" t="s">
        <v>567</v>
      </c>
      <c r="C160" s="7" t="s">
        <v>44</v>
      </c>
      <c r="D160" s="7" t="s">
        <v>112</v>
      </c>
      <c r="E160" s="7" t="s">
        <v>1642</v>
      </c>
      <c r="F160" s="7" t="s">
        <v>44</v>
      </c>
      <c r="G160" s="14">
        <v>2796</v>
      </c>
      <c r="H160" s="14">
        <v>366</v>
      </c>
      <c r="I160" s="15">
        <v>11.78</v>
      </c>
      <c r="J160" s="14">
        <v>0</v>
      </c>
      <c r="K160" s="15">
        <v>0</v>
      </c>
      <c r="L160" s="14">
        <v>47</v>
      </c>
      <c r="M160" s="14">
        <v>6</v>
      </c>
      <c r="N160" s="13"/>
      <c r="O160" s="14">
        <v>10</v>
      </c>
      <c r="P160" s="14">
        <v>580</v>
      </c>
      <c r="Q160" s="15">
        <v>18.669527896995707</v>
      </c>
      <c r="R160" s="17">
        <f>IFERROR(G160/(G160+Priors!$H$18),0)</f>
        <v>0.73656480505795574</v>
      </c>
      <c r="S160" s="13">
        <v>1</v>
      </c>
      <c r="T160" s="40" t="b">
        <v>0</v>
      </c>
      <c r="U160" s="13">
        <v>1</v>
      </c>
      <c r="V160" s="40" t="b">
        <v>1</v>
      </c>
      <c r="W160" s="13">
        <v>0.9</v>
      </c>
      <c r="X160" s="17">
        <f t="shared" si="16"/>
        <v>0.6629083245521602</v>
      </c>
      <c r="Y160" s="37">
        <f>VLOOKUP(D160,Priors!$A$18:$B$21,2,FALSE)</f>
        <v>8.4555315342179806</v>
      </c>
      <c r="Z160" s="38">
        <f t="shared" si="17"/>
        <v>10.65934935489603</v>
      </c>
      <c r="AA160" s="39">
        <v>1</v>
      </c>
      <c r="AB160" s="38">
        <f t="shared" si="18"/>
        <v>10.65934935489603</v>
      </c>
      <c r="AC160" s="37">
        <f>Priors!$K$18</f>
        <v>2.7435089299114512</v>
      </c>
      <c r="AD160" s="38" t="str">
        <f t="shared" si="19"/>
        <v/>
      </c>
      <c r="AE160" s="37">
        <f>Priors!$K$19</f>
        <v>0.67280088332719912</v>
      </c>
      <c r="AF160" s="38" t="str">
        <f t="shared" si="20"/>
        <v/>
      </c>
      <c r="AG160" s="17">
        <f t="shared" si="21"/>
        <v>0.3370916754478398</v>
      </c>
      <c r="AH160" s="7" t="s">
        <v>1643</v>
      </c>
      <c r="AI160" s="7">
        <v>12</v>
      </c>
      <c r="AJ160" s="38">
        <f t="shared" si="22"/>
        <v>0.88827911290800243</v>
      </c>
      <c r="AK160" s="9" t="b">
        <f t="shared" si="23"/>
        <v>1</v>
      </c>
      <c r="AL160" s="28" t="s">
        <v>1644</v>
      </c>
      <c r="AM160" s="28" t="s">
        <v>1645</v>
      </c>
      <c r="AN160" s="28" t="s">
        <v>1792</v>
      </c>
    </row>
    <row r="161" spans="1:40" ht="30">
      <c r="A161" s="7">
        <v>160</v>
      </c>
      <c r="B161" s="7" t="s">
        <v>260</v>
      </c>
      <c r="C161" s="7" t="s">
        <v>40</v>
      </c>
      <c r="D161" s="7" t="s">
        <v>112</v>
      </c>
      <c r="E161" s="7" t="s">
        <v>1642</v>
      </c>
      <c r="F161" s="7" t="s">
        <v>44</v>
      </c>
      <c r="G161" s="14">
        <v>1261</v>
      </c>
      <c r="H161" s="14">
        <v>71</v>
      </c>
      <c r="I161" s="15">
        <v>5.07</v>
      </c>
      <c r="J161" s="14">
        <v>0</v>
      </c>
      <c r="K161" s="15">
        <v>0</v>
      </c>
      <c r="L161" s="14">
        <v>20</v>
      </c>
      <c r="M161" s="14">
        <v>4</v>
      </c>
      <c r="N161" s="13"/>
      <c r="O161" s="14">
        <v>3</v>
      </c>
      <c r="P161" s="14">
        <v>222</v>
      </c>
      <c r="Q161" s="15">
        <v>15.84456780333069</v>
      </c>
      <c r="R161" s="17">
        <f>IFERROR(G161/(G161+Priors!$H$18),0)</f>
        <v>0.55771782397169389</v>
      </c>
      <c r="S161" s="13">
        <v>1</v>
      </c>
      <c r="T161" s="40" t="b">
        <v>1</v>
      </c>
      <c r="U161" s="13">
        <v>0.85</v>
      </c>
      <c r="V161" s="40" t="b">
        <v>0</v>
      </c>
      <c r="W161" s="13">
        <v>1</v>
      </c>
      <c r="X161" s="17">
        <f t="shared" si="16"/>
        <v>0.47406015037593979</v>
      </c>
      <c r="Y161" s="37">
        <f>VLOOKUP(D161,Priors!$A$18:$B$21,2,FALSE)</f>
        <v>8.4555315342179806</v>
      </c>
      <c r="Z161" s="38">
        <f t="shared" si="17"/>
        <v>6.8505859460041183</v>
      </c>
      <c r="AA161" s="39">
        <v>1</v>
      </c>
      <c r="AB161" s="38">
        <f t="shared" si="18"/>
        <v>6.8505859460041183</v>
      </c>
      <c r="AC161" s="37">
        <f>Priors!$K$18</f>
        <v>2.7435089299114512</v>
      </c>
      <c r="AD161" s="38" t="str">
        <f t="shared" si="19"/>
        <v/>
      </c>
      <c r="AE161" s="37">
        <f>Priors!$K$19</f>
        <v>0.67280088332719912</v>
      </c>
      <c r="AF161" s="38" t="str">
        <f t="shared" si="20"/>
        <v/>
      </c>
      <c r="AG161" s="17">
        <f t="shared" si="21"/>
        <v>0.52593984962406015</v>
      </c>
      <c r="AH161" s="7" t="s">
        <v>1643</v>
      </c>
      <c r="AI161" s="7">
        <v>12</v>
      </c>
      <c r="AJ161" s="38">
        <f t="shared" si="22"/>
        <v>0.57088216216700982</v>
      </c>
      <c r="AK161" s="9" t="b">
        <f t="shared" si="23"/>
        <v>1</v>
      </c>
      <c r="AL161" s="28" t="s">
        <v>1644</v>
      </c>
      <c r="AM161" s="28" t="s">
        <v>1645</v>
      </c>
      <c r="AN161" s="28" t="s">
        <v>1792</v>
      </c>
    </row>
    <row r="162" spans="1:40" ht="30">
      <c r="A162" s="7">
        <v>161</v>
      </c>
      <c r="B162" s="7" t="s">
        <v>570</v>
      </c>
      <c r="C162" s="7" t="s">
        <v>44</v>
      </c>
      <c r="D162" s="7" t="s">
        <v>112</v>
      </c>
      <c r="E162" s="7" t="s">
        <v>1642</v>
      </c>
      <c r="F162" s="7" t="s">
        <v>44</v>
      </c>
      <c r="G162" s="14">
        <v>374</v>
      </c>
      <c r="H162" s="14">
        <v>37</v>
      </c>
      <c r="I162" s="15">
        <v>8.9</v>
      </c>
      <c r="J162" s="14">
        <v>0</v>
      </c>
      <c r="K162" s="15">
        <v>0</v>
      </c>
      <c r="L162" s="14">
        <v>10</v>
      </c>
      <c r="M162" s="14">
        <v>0</v>
      </c>
      <c r="N162" s="13"/>
      <c r="O162" s="14">
        <v>0</v>
      </c>
      <c r="P162" s="14">
        <v>81</v>
      </c>
      <c r="Q162" s="15">
        <v>19.491978609625669</v>
      </c>
      <c r="R162" s="17">
        <f>IFERROR(G162/(G162+Priors!$H$18),0)</f>
        <v>0.27219796215429404</v>
      </c>
      <c r="S162" s="13">
        <v>1</v>
      </c>
      <c r="T162" s="40" t="b">
        <v>0</v>
      </c>
      <c r="U162" s="13">
        <v>1</v>
      </c>
      <c r="V162" s="40" t="b">
        <v>1</v>
      </c>
      <c r="W162" s="13">
        <v>0.9</v>
      </c>
      <c r="X162" s="17">
        <f t="shared" si="16"/>
        <v>0.24497816593886465</v>
      </c>
      <c r="Y162" s="37">
        <f>VLOOKUP(D162,Priors!$A$18:$B$21,2,FALSE)</f>
        <v>8.4555315342179806</v>
      </c>
      <c r="Z162" s="38">
        <f t="shared" si="17"/>
        <v>8.5644166037829201</v>
      </c>
      <c r="AA162" s="39">
        <v>1</v>
      </c>
      <c r="AB162" s="38">
        <f t="shared" si="18"/>
        <v>8.5644166037829201</v>
      </c>
      <c r="AC162" s="37">
        <f>Priors!$K$18</f>
        <v>2.7435089299114512</v>
      </c>
      <c r="AD162" s="38" t="str">
        <f t="shared" si="19"/>
        <v/>
      </c>
      <c r="AE162" s="37">
        <f>Priors!$K$19</f>
        <v>0.67280088332719912</v>
      </c>
      <c r="AF162" s="38" t="str">
        <f t="shared" si="20"/>
        <v/>
      </c>
      <c r="AG162" s="17">
        <f t="shared" si="21"/>
        <v>0.75502183406113532</v>
      </c>
      <c r="AH162" s="7" t="s">
        <v>1643</v>
      </c>
      <c r="AI162" s="7">
        <v>12</v>
      </c>
      <c r="AJ162" s="38">
        <f t="shared" si="22"/>
        <v>0.71370138364857671</v>
      </c>
      <c r="AK162" s="9" t="b">
        <f t="shared" si="23"/>
        <v>1</v>
      </c>
      <c r="AL162" s="28" t="s">
        <v>1644</v>
      </c>
      <c r="AM162" s="28" t="s">
        <v>1645</v>
      </c>
      <c r="AN162" s="28" t="s">
        <v>1792</v>
      </c>
    </row>
    <row r="163" spans="1:40" ht="30">
      <c r="A163" s="7">
        <v>162</v>
      </c>
      <c r="B163" s="7" t="s">
        <v>1248</v>
      </c>
      <c r="C163" s="7" t="s">
        <v>54</v>
      </c>
      <c r="D163" s="7" t="s">
        <v>112</v>
      </c>
      <c r="E163" s="7" t="s">
        <v>1642</v>
      </c>
      <c r="F163" s="7" t="s">
        <v>44</v>
      </c>
      <c r="G163" s="14">
        <v>1247</v>
      </c>
      <c r="H163" s="14">
        <v>129</v>
      </c>
      <c r="I163" s="15">
        <v>9.31</v>
      </c>
      <c r="J163" s="14">
        <v>0</v>
      </c>
      <c r="K163" s="15">
        <v>0</v>
      </c>
      <c r="L163" s="14">
        <v>18</v>
      </c>
      <c r="M163" s="14">
        <v>1</v>
      </c>
      <c r="N163" s="13"/>
      <c r="O163" s="14">
        <v>3</v>
      </c>
      <c r="P163" s="14">
        <v>257</v>
      </c>
      <c r="Q163" s="15">
        <v>18.548516439454691</v>
      </c>
      <c r="R163" s="17">
        <f>IFERROR(G163/(G163+Priors!$H$18),0)</f>
        <v>0.55496217178460172</v>
      </c>
      <c r="S163" s="13">
        <v>1</v>
      </c>
      <c r="T163" s="40" t="b">
        <v>1</v>
      </c>
      <c r="U163" s="13">
        <v>0.85</v>
      </c>
      <c r="V163" s="40" t="b">
        <v>0</v>
      </c>
      <c r="W163" s="13">
        <v>1</v>
      </c>
      <c r="X163" s="17">
        <f t="shared" si="16"/>
        <v>0.47171784601691147</v>
      </c>
      <c r="Y163" s="37">
        <f>VLOOKUP(D163,Priors!$A$18:$B$21,2,FALSE)</f>
        <v>8.4555315342179806</v>
      </c>
      <c r="Z163" s="38">
        <f t="shared" si="17"/>
        <v>8.8585995583860502</v>
      </c>
      <c r="AA163" s="39">
        <v>1</v>
      </c>
      <c r="AB163" s="38">
        <f t="shared" si="18"/>
        <v>8.8585995583860502</v>
      </c>
      <c r="AC163" s="37">
        <f>Priors!$K$18</f>
        <v>2.7435089299114512</v>
      </c>
      <c r="AD163" s="38" t="str">
        <f t="shared" si="19"/>
        <v/>
      </c>
      <c r="AE163" s="37">
        <f>Priors!$K$19</f>
        <v>0.67280088332719912</v>
      </c>
      <c r="AF163" s="38" t="str">
        <f t="shared" si="20"/>
        <v/>
      </c>
      <c r="AG163" s="17">
        <f t="shared" si="21"/>
        <v>0.52828215398308853</v>
      </c>
      <c r="AH163" s="7" t="s">
        <v>1643</v>
      </c>
      <c r="AI163" s="7">
        <v>12</v>
      </c>
      <c r="AJ163" s="38">
        <f t="shared" si="22"/>
        <v>0.73821662986550418</v>
      </c>
      <c r="AK163" s="9" t="b">
        <f t="shared" si="23"/>
        <v>1</v>
      </c>
      <c r="AL163" s="28" t="s">
        <v>1644</v>
      </c>
      <c r="AM163" s="28" t="s">
        <v>1645</v>
      </c>
      <c r="AN163" s="28" t="s">
        <v>1792</v>
      </c>
    </row>
    <row r="164" spans="1:40" ht="30">
      <c r="A164" s="7">
        <v>163</v>
      </c>
      <c r="B164" s="7" t="s">
        <v>573</v>
      </c>
      <c r="C164" s="7" t="s">
        <v>44</v>
      </c>
      <c r="D164" s="7" t="s">
        <v>112</v>
      </c>
      <c r="E164" s="7" t="s">
        <v>1642</v>
      </c>
      <c r="F164" s="7" t="s">
        <v>44</v>
      </c>
      <c r="G164" s="14">
        <v>26</v>
      </c>
      <c r="H164" s="14">
        <v>8</v>
      </c>
      <c r="I164" s="15">
        <v>27.69</v>
      </c>
      <c r="J164" s="14">
        <v>0</v>
      </c>
      <c r="K164" s="15">
        <v>0</v>
      </c>
      <c r="L164" s="14">
        <v>1</v>
      </c>
      <c r="M164" s="14">
        <v>0</v>
      </c>
      <c r="N164" s="13"/>
      <c r="O164" s="14">
        <v>0</v>
      </c>
      <c r="P164" s="14">
        <v>7</v>
      </c>
      <c r="Q164" s="15">
        <v>24.23076923076923</v>
      </c>
      <c r="R164" s="17">
        <f>IFERROR(G164/(G164+Priors!$H$18),0)</f>
        <v>2.5341130604288498E-2</v>
      </c>
      <c r="S164" s="13">
        <v>1</v>
      </c>
      <c r="T164" s="40" t="b">
        <v>0</v>
      </c>
      <c r="U164" s="13">
        <v>1</v>
      </c>
      <c r="V164" s="40" t="b">
        <v>1</v>
      </c>
      <c r="W164" s="13">
        <v>0.9</v>
      </c>
      <c r="X164" s="17">
        <f t="shared" si="16"/>
        <v>2.2807017543859647E-2</v>
      </c>
      <c r="Y164" s="37">
        <f>VLOOKUP(D164,Priors!$A$18:$B$21,2,FALSE)</f>
        <v>8.4555315342179806</v>
      </c>
      <c r="Z164" s="38">
        <f t="shared" si="17"/>
        <v>8.8942123939638869</v>
      </c>
      <c r="AA164" s="39">
        <v>1</v>
      </c>
      <c r="AB164" s="38">
        <f t="shared" si="18"/>
        <v>8.8942123939638869</v>
      </c>
      <c r="AC164" s="37">
        <f>Priors!$K$18</f>
        <v>2.7435089299114512</v>
      </c>
      <c r="AD164" s="38" t="str">
        <f t="shared" si="19"/>
        <v/>
      </c>
      <c r="AE164" s="37">
        <f>Priors!$K$19</f>
        <v>0.67280088332719912</v>
      </c>
      <c r="AF164" s="38" t="str">
        <f t="shared" si="20"/>
        <v/>
      </c>
      <c r="AG164" s="17">
        <f t="shared" si="21"/>
        <v>0.97719298245614039</v>
      </c>
      <c r="AH164" s="7" t="s">
        <v>1643</v>
      </c>
      <c r="AI164" s="7">
        <v>12</v>
      </c>
      <c r="AJ164" s="38">
        <f t="shared" si="22"/>
        <v>0.74118436616365724</v>
      </c>
      <c r="AK164" s="9" t="b">
        <f t="shared" si="23"/>
        <v>1</v>
      </c>
      <c r="AL164" s="28" t="s">
        <v>1644</v>
      </c>
      <c r="AM164" s="28" t="s">
        <v>1645</v>
      </c>
      <c r="AN164" s="28" t="s">
        <v>1792</v>
      </c>
    </row>
    <row r="165" spans="1:40" ht="30">
      <c r="A165" s="7">
        <v>164</v>
      </c>
      <c r="B165" s="7" t="s">
        <v>576</v>
      </c>
      <c r="C165" s="7" t="s">
        <v>44</v>
      </c>
      <c r="D165" s="7" t="s">
        <v>112</v>
      </c>
      <c r="E165" s="7" t="s">
        <v>1647</v>
      </c>
      <c r="F165" s="7"/>
      <c r="G165" s="14">
        <v>0</v>
      </c>
      <c r="H165" s="14"/>
      <c r="I165" s="15"/>
      <c r="J165" s="14"/>
      <c r="K165" s="15"/>
      <c r="L165" s="14"/>
      <c r="M165" s="14"/>
      <c r="N165" s="13"/>
      <c r="O165" s="14"/>
      <c r="P165" s="14"/>
      <c r="Q165" s="15"/>
      <c r="R165" s="17">
        <f>IFERROR(G165/(G165+Priors!$H$18),0)</f>
        <v>0</v>
      </c>
      <c r="S165" s="13">
        <v>0</v>
      </c>
      <c r="T165" s="40" t="b">
        <v>0</v>
      </c>
      <c r="U165" s="13">
        <v>1</v>
      </c>
      <c r="V165" s="40" t="b">
        <v>1</v>
      </c>
      <c r="W165" s="13">
        <v>0.9</v>
      </c>
      <c r="X165" s="17">
        <f t="shared" si="16"/>
        <v>0</v>
      </c>
      <c r="Y165" s="37">
        <f>VLOOKUP(D165,Priors!$A$18:$B$21,2,FALSE)</f>
        <v>8.4555315342179806</v>
      </c>
      <c r="Z165" s="38">
        <f t="shared" si="17"/>
        <v>8.4555315342179806</v>
      </c>
      <c r="AA165" s="39">
        <v>1</v>
      </c>
      <c r="AB165" s="38">
        <f t="shared" si="18"/>
        <v>8.4555315342179806</v>
      </c>
      <c r="AC165" s="37">
        <f>Priors!$K$18</f>
        <v>2.7435089299114512</v>
      </c>
      <c r="AD165" s="38" t="str">
        <f t="shared" si="19"/>
        <v/>
      </c>
      <c r="AE165" s="37">
        <f>Priors!$K$19</f>
        <v>0.67280088332719912</v>
      </c>
      <c r="AF165" s="38" t="str">
        <f t="shared" si="20"/>
        <v/>
      </c>
      <c r="AG165" s="17">
        <f t="shared" si="21"/>
        <v>1</v>
      </c>
      <c r="AH165" s="7" t="s">
        <v>1793</v>
      </c>
      <c r="AI165" s="7">
        <v>12</v>
      </c>
      <c r="AJ165" s="38">
        <f t="shared" si="22"/>
        <v>0.70462762785149835</v>
      </c>
      <c r="AK165" s="9" t="b">
        <f t="shared" si="23"/>
        <v>1</v>
      </c>
      <c r="AL165" s="28" t="s">
        <v>1794</v>
      </c>
      <c r="AM165" s="28"/>
      <c r="AN165" s="28" t="s">
        <v>1792</v>
      </c>
    </row>
    <row r="166" spans="1:40" ht="30">
      <c r="A166" s="7">
        <v>165</v>
      </c>
      <c r="B166" s="7" t="s">
        <v>579</v>
      </c>
      <c r="C166" s="7" t="s">
        <v>44</v>
      </c>
      <c r="D166" s="7" t="s">
        <v>167</v>
      </c>
      <c r="E166" s="7" t="s">
        <v>1642</v>
      </c>
      <c r="F166" s="7" t="s">
        <v>44</v>
      </c>
      <c r="G166" s="14">
        <v>2658</v>
      </c>
      <c r="H166" s="14">
        <v>138</v>
      </c>
      <c r="I166" s="15">
        <v>4.67</v>
      </c>
      <c r="J166" s="14">
        <v>0</v>
      </c>
      <c r="K166" s="15">
        <v>0</v>
      </c>
      <c r="L166" s="14">
        <v>36</v>
      </c>
      <c r="M166" s="14">
        <v>10</v>
      </c>
      <c r="N166" s="13"/>
      <c r="O166" s="14">
        <v>30</v>
      </c>
      <c r="P166" s="14">
        <v>715</v>
      </c>
      <c r="Q166" s="15">
        <v>24.209932279909708</v>
      </c>
      <c r="R166" s="17">
        <f>IFERROR(G166/(G166+Priors!$H$18),0)</f>
        <v>0.72662657189721158</v>
      </c>
      <c r="S166" s="13">
        <v>1</v>
      </c>
      <c r="T166" s="40" t="b">
        <v>0</v>
      </c>
      <c r="U166" s="13">
        <v>1</v>
      </c>
      <c r="V166" s="40" t="b">
        <v>1</v>
      </c>
      <c r="W166" s="13">
        <v>0.9</v>
      </c>
      <c r="X166" s="17">
        <f t="shared" si="16"/>
        <v>0.65396391470749049</v>
      </c>
      <c r="Y166" s="37">
        <f>VLOOKUP(D166,Priors!$A$18:$B$21,2,FALSE)</f>
        <v>4.5137422563476139</v>
      </c>
      <c r="Z166" s="38">
        <f t="shared" si="17"/>
        <v>4.6159291820898876</v>
      </c>
      <c r="AA166" s="39">
        <v>1</v>
      </c>
      <c r="AB166" s="38">
        <f t="shared" si="18"/>
        <v>4.6159291820898876</v>
      </c>
      <c r="AC166" s="37">
        <f>Priors!$K$18</f>
        <v>2.7435089299114512</v>
      </c>
      <c r="AD166" s="38" t="str">
        <f t="shared" si="19"/>
        <v/>
      </c>
      <c r="AE166" s="37">
        <f>Priors!$K$19</f>
        <v>0.67280088332719912</v>
      </c>
      <c r="AF166" s="38" t="str">
        <f t="shared" si="20"/>
        <v/>
      </c>
      <c r="AG166" s="17">
        <f t="shared" si="21"/>
        <v>0.34603608529250951</v>
      </c>
      <c r="AH166" s="7" t="s">
        <v>1643</v>
      </c>
      <c r="AI166" s="7">
        <v>12</v>
      </c>
      <c r="AJ166" s="38">
        <f t="shared" si="22"/>
        <v>0.38466076517415732</v>
      </c>
      <c r="AK166" s="9" t="b">
        <f t="shared" si="23"/>
        <v>1</v>
      </c>
      <c r="AL166" s="28" t="s">
        <v>1644</v>
      </c>
      <c r="AM166" s="28" t="s">
        <v>1645</v>
      </c>
      <c r="AN166" s="28" t="s">
        <v>1792</v>
      </c>
    </row>
    <row r="167" spans="1:40" ht="30">
      <c r="A167" s="7">
        <v>166</v>
      </c>
      <c r="B167" s="7" t="s">
        <v>581</v>
      </c>
      <c r="C167" s="7" t="s">
        <v>44</v>
      </c>
      <c r="D167" s="7" t="s">
        <v>167</v>
      </c>
      <c r="E167" s="7" t="s">
        <v>1642</v>
      </c>
      <c r="F167" s="7" t="s">
        <v>44</v>
      </c>
      <c r="G167" s="14">
        <v>0</v>
      </c>
      <c r="H167" s="14">
        <v>0</v>
      </c>
      <c r="I167" s="15">
        <v>0</v>
      </c>
      <c r="J167" s="14">
        <v>0</v>
      </c>
      <c r="K167" s="15">
        <v>0</v>
      </c>
      <c r="L167" s="14">
        <v>0</v>
      </c>
      <c r="M167" s="14">
        <v>0</v>
      </c>
      <c r="N167" s="13"/>
      <c r="O167" s="14">
        <v>0</v>
      </c>
      <c r="P167" s="14">
        <v>0</v>
      </c>
      <c r="Q167" s="15">
        <v>0</v>
      </c>
      <c r="R167" s="17">
        <f>IFERROR(G167/(G167+Priors!$H$18),0)</f>
        <v>0</v>
      </c>
      <c r="S167" s="13">
        <v>1</v>
      </c>
      <c r="T167" s="40" t="b">
        <v>0</v>
      </c>
      <c r="U167" s="13">
        <v>1</v>
      </c>
      <c r="V167" s="40" t="b">
        <v>1</v>
      </c>
      <c r="W167" s="13">
        <v>0.9</v>
      </c>
      <c r="X167" s="17">
        <f t="shared" si="16"/>
        <v>0</v>
      </c>
      <c r="Y167" s="37">
        <f>VLOOKUP(D167,Priors!$A$18:$B$21,2,FALSE)</f>
        <v>4.5137422563476139</v>
      </c>
      <c r="Z167" s="38">
        <f t="shared" si="17"/>
        <v>4.5137422563476139</v>
      </c>
      <c r="AA167" s="39">
        <v>1</v>
      </c>
      <c r="AB167" s="38">
        <f t="shared" si="18"/>
        <v>4.5137422563476139</v>
      </c>
      <c r="AC167" s="37">
        <f>Priors!$K$18</f>
        <v>2.7435089299114512</v>
      </c>
      <c r="AD167" s="38" t="str">
        <f t="shared" si="19"/>
        <v/>
      </c>
      <c r="AE167" s="37">
        <f>Priors!$K$19</f>
        <v>0.67280088332719912</v>
      </c>
      <c r="AF167" s="38" t="str">
        <f t="shared" si="20"/>
        <v/>
      </c>
      <c r="AG167" s="17">
        <f t="shared" si="21"/>
        <v>1</v>
      </c>
      <c r="AH167" s="7" t="s">
        <v>1643</v>
      </c>
      <c r="AI167" s="7">
        <v>12</v>
      </c>
      <c r="AJ167" s="38">
        <f t="shared" si="22"/>
        <v>0.37614518802896785</v>
      </c>
      <c r="AK167" s="9" t="b">
        <f t="shared" si="23"/>
        <v>1</v>
      </c>
      <c r="AL167" s="28" t="s">
        <v>1644</v>
      </c>
      <c r="AM167" s="28" t="s">
        <v>1645</v>
      </c>
      <c r="AN167" s="28" t="s">
        <v>1792</v>
      </c>
    </row>
    <row r="168" spans="1:40" ht="30">
      <c r="A168" s="7">
        <v>167</v>
      </c>
      <c r="B168" s="7" t="s">
        <v>583</v>
      </c>
      <c r="C168" s="7" t="s">
        <v>44</v>
      </c>
      <c r="D168" s="7" t="s">
        <v>167</v>
      </c>
      <c r="E168" s="7" t="s">
        <v>1642</v>
      </c>
      <c r="F168" s="7" t="s">
        <v>44</v>
      </c>
      <c r="G168" s="14">
        <v>1092</v>
      </c>
      <c r="H168" s="14">
        <v>42</v>
      </c>
      <c r="I168" s="15">
        <v>3.46</v>
      </c>
      <c r="J168" s="14">
        <v>0</v>
      </c>
      <c r="K168" s="15">
        <v>0</v>
      </c>
      <c r="L168" s="14">
        <v>18</v>
      </c>
      <c r="M168" s="14">
        <v>2</v>
      </c>
      <c r="N168" s="13"/>
      <c r="O168" s="14">
        <v>1</v>
      </c>
      <c r="P168" s="14">
        <v>123</v>
      </c>
      <c r="Q168" s="15">
        <v>10.137362637362637</v>
      </c>
      <c r="R168" s="17">
        <f>IFERROR(G168/(G168+Priors!$H$18),0)</f>
        <v>0.52198852772466542</v>
      </c>
      <c r="S168" s="13">
        <v>1</v>
      </c>
      <c r="T168" s="40" t="b">
        <v>0</v>
      </c>
      <c r="U168" s="13">
        <v>1</v>
      </c>
      <c r="V168" s="40" t="b">
        <v>1</v>
      </c>
      <c r="W168" s="13">
        <v>0.9</v>
      </c>
      <c r="X168" s="17">
        <f t="shared" si="16"/>
        <v>0.46978967495219887</v>
      </c>
      <c r="Y168" s="37">
        <f>VLOOKUP(D168,Priors!$A$18:$B$21,2,FALSE)</f>
        <v>4.5137422563476139</v>
      </c>
      <c r="Z168" s="38">
        <f t="shared" si="17"/>
        <v>4.0187050242546718</v>
      </c>
      <c r="AA168" s="39">
        <v>1</v>
      </c>
      <c r="AB168" s="38">
        <f t="shared" si="18"/>
        <v>4.0187050242546718</v>
      </c>
      <c r="AC168" s="37">
        <f>Priors!$K$18</f>
        <v>2.7435089299114512</v>
      </c>
      <c r="AD168" s="38" t="str">
        <f t="shared" si="19"/>
        <v/>
      </c>
      <c r="AE168" s="37">
        <f>Priors!$K$19</f>
        <v>0.67280088332719912</v>
      </c>
      <c r="AF168" s="38" t="str">
        <f t="shared" si="20"/>
        <v/>
      </c>
      <c r="AG168" s="17">
        <f t="shared" si="21"/>
        <v>0.53021032504780119</v>
      </c>
      <c r="AH168" s="7" t="s">
        <v>1643</v>
      </c>
      <c r="AI168" s="7">
        <v>12</v>
      </c>
      <c r="AJ168" s="38">
        <f t="shared" si="22"/>
        <v>0.334892085354556</v>
      </c>
      <c r="AK168" s="9" t="b">
        <f t="shared" si="23"/>
        <v>1</v>
      </c>
      <c r="AL168" s="28" t="s">
        <v>1644</v>
      </c>
      <c r="AM168" s="28" t="s">
        <v>1645</v>
      </c>
      <c r="AN168" s="28" t="s">
        <v>1792</v>
      </c>
    </row>
    <row r="169" spans="1:40" ht="30">
      <c r="A169" s="7">
        <v>168</v>
      </c>
      <c r="B169" s="7" t="s">
        <v>586</v>
      </c>
      <c r="C169" s="7" t="s">
        <v>44</v>
      </c>
      <c r="D169" s="7" t="s">
        <v>167</v>
      </c>
      <c r="E169" s="7" t="s">
        <v>1642</v>
      </c>
      <c r="F169" s="7" t="s">
        <v>44</v>
      </c>
      <c r="G169" s="14">
        <v>265</v>
      </c>
      <c r="H169" s="14">
        <v>8</v>
      </c>
      <c r="I169" s="15">
        <v>2.72</v>
      </c>
      <c r="J169" s="14">
        <v>0</v>
      </c>
      <c r="K169" s="15">
        <v>0</v>
      </c>
      <c r="L169" s="14">
        <v>3</v>
      </c>
      <c r="M169" s="14">
        <v>0</v>
      </c>
      <c r="N169" s="13"/>
      <c r="O169" s="14">
        <v>0</v>
      </c>
      <c r="P169" s="14">
        <v>19</v>
      </c>
      <c r="Q169" s="15">
        <v>6.4528301886792452</v>
      </c>
      <c r="R169" s="17">
        <f>IFERROR(G169/(G169+Priors!$H$18),0)</f>
        <v>0.20948616600790515</v>
      </c>
      <c r="S169" s="13">
        <v>1</v>
      </c>
      <c r="T169" s="40" t="b">
        <v>0</v>
      </c>
      <c r="U169" s="13">
        <v>1</v>
      </c>
      <c r="V169" s="40" t="b">
        <v>1</v>
      </c>
      <c r="W169" s="13">
        <v>0.9</v>
      </c>
      <c r="X169" s="17">
        <f t="shared" si="16"/>
        <v>0.18853754940711465</v>
      </c>
      <c r="Y169" s="37">
        <f>VLOOKUP(D169,Priors!$A$18:$B$21,2,FALSE)</f>
        <v>4.5137422563476139</v>
      </c>
      <c r="Z169" s="38">
        <f t="shared" si="17"/>
        <v>4.1755544870678465</v>
      </c>
      <c r="AA169" s="39">
        <v>1</v>
      </c>
      <c r="AB169" s="38">
        <f t="shared" si="18"/>
        <v>4.1755544870678465</v>
      </c>
      <c r="AC169" s="37">
        <f>Priors!$K$18</f>
        <v>2.7435089299114512</v>
      </c>
      <c r="AD169" s="38" t="str">
        <f t="shared" si="19"/>
        <v/>
      </c>
      <c r="AE169" s="37">
        <f>Priors!$K$19</f>
        <v>0.67280088332719912</v>
      </c>
      <c r="AF169" s="38" t="str">
        <f t="shared" si="20"/>
        <v/>
      </c>
      <c r="AG169" s="17">
        <f t="shared" si="21"/>
        <v>0.81146245059288535</v>
      </c>
      <c r="AH169" s="7" t="s">
        <v>1643</v>
      </c>
      <c r="AI169" s="7">
        <v>12</v>
      </c>
      <c r="AJ169" s="38">
        <f t="shared" si="22"/>
        <v>0.34796287392232056</v>
      </c>
      <c r="AK169" s="9" t="b">
        <f t="shared" si="23"/>
        <v>1</v>
      </c>
      <c r="AL169" s="28" t="s">
        <v>1644</v>
      </c>
      <c r="AM169" s="28" t="s">
        <v>1645</v>
      </c>
      <c r="AN169" s="28" t="s">
        <v>1792</v>
      </c>
    </row>
    <row r="170" spans="1:40" ht="30">
      <c r="A170" s="7">
        <v>169</v>
      </c>
      <c r="B170" s="7" t="s">
        <v>588</v>
      </c>
      <c r="C170" s="7" t="s">
        <v>44</v>
      </c>
      <c r="D170" s="7" t="s">
        <v>167</v>
      </c>
      <c r="E170" s="7" t="s">
        <v>1642</v>
      </c>
      <c r="F170" s="7" t="s">
        <v>44</v>
      </c>
      <c r="G170" s="14">
        <v>1</v>
      </c>
      <c r="H170" s="14">
        <v>1</v>
      </c>
      <c r="I170" s="15">
        <v>90</v>
      </c>
      <c r="J170" s="14">
        <v>0</v>
      </c>
      <c r="K170" s="15">
        <v>0</v>
      </c>
      <c r="L170" s="14">
        <v>0</v>
      </c>
      <c r="M170" s="14">
        <v>0</v>
      </c>
      <c r="N170" s="13"/>
      <c r="O170" s="14">
        <v>0</v>
      </c>
      <c r="P170" s="14">
        <v>3</v>
      </c>
      <c r="Q170" s="15">
        <v>270</v>
      </c>
      <c r="R170" s="17">
        <f>IFERROR(G170/(G170+Priors!$H$18),0)</f>
        <v>9.99000999000999E-4</v>
      </c>
      <c r="S170" s="13">
        <v>1</v>
      </c>
      <c r="T170" s="40" t="b">
        <v>0</v>
      </c>
      <c r="U170" s="13">
        <v>1</v>
      </c>
      <c r="V170" s="40" t="b">
        <v>1</v>
      </c>
      <c r="W170" s="13">
        <v>0.9</v>
      </c>
      <c r="X170" s="17">
        <f t="shared" si="16"/>
        <v>8.991008991008991E-4</v>
      </c>
      <c r="Y170" s="37">
        <f>VLOOKUP(D170,Priors!$A$18:$B$21,2,FALSE)</f>
        <v>4.5137422563476139</v>
      </c>
      <c r="Z170" s="38">
        <f t="shared" si="17"/>
        <v>4.5906030275457033</v>
      </c>
      <c r="AA170" s="39">
        <v>1</v>
      </c>
      <c r="AB170" s="38">
        <f t="shared" si="18"/>
        <v>4.5906030275457033</v>
      </c>
      <c r="AC170" s="37">
        <f>Priors!$K$18</f>
        <v>2.7435089299114512</v>
      </c>
      <c r="AD170" s="38" t="str">
        <f t="shared" si="19"/>
        <v/>
      </c>
      <c r="AE170" s="37">
        <f>Priors!$K$19</f>
        <v>0.67280088332719912</v>
      </c>
      <c r="AF170" s="38" t="str">
        <f t="shared" si="20"/>
        <v/>
      </c>
      <c r="AG170" s="17">
        <f t="shared" si="21"/>
        <v>0.99910089910089905</v>
      </c>
      <c r="AH170" s="7" t="s">
        <v>1643</v>
      </c>
      <c r="AI170" s="7">
        <v>12</v>
      </c>
      <c r="AJ170" s="38">
        <f t="shared" si="22"/>
        <v>0.38255025229547529</v>
      </c>
      <c r="AK170" s="9" t="b">
        <f t="shared" si="23"/>
        <v>1</v>
      </c>
      <c r="AL170" s="28" t="s">
        <v>1644</v>
      </c>
      <c r="AM170" s="28" t="s">
        <v>1645</v>
      </c>
      <c r="AN170" s="28" t="s">
        <v>1792</v>
      </c>
    </row>
    <row r="171" spans="1:40" ht="30">
      <c r="A171" s="7">
        <v>170</v>
      </c>
      <c r="B171" s="7" t="s">
        <v>590</v>
      </c>
      <c r="C171" s="7" t="s">
        <v>44</v>
      </c>
      <c r="D171" s="7" t="s">
        <v>167</v>
      </c>
      <c r="E171" s="7" t="s">
        <v>1647</v>
      </c>
      <c r="F171" s="7"/>
      <c r="G171" s="14">
        <v>0</v>
      </c>
      <c r="H171" s="14"/>
      <c r="I171" s="15"/>
      <c r="J171" s="14"/>
      <c r="K171" s="15"/>
      <c r="L171" s="14"/>
      <c r="M171" s="14"/>
      <c r="N171" s="13"/>
      <c r="O171" s="14"/>
      <c r="P171" s="14"/>
      <c r="Q171" s="15"/>
      <c r="R171" s="17">
        <f>IFERROR(G171/(G171+Priors!$H$18),0)</f>
        <v>0</v>
      </c>
      <c r="S171" s="13">
        <v>0</v>
      </c>
      <c r="T171" s="40" t="b">
        <v>0</v>
      </c>
      <c r="U171" s="13">
        <v>1</v>
      </c>
      <c r="V171" s="40" t="b">
        <v>1</v>
      </c>
      <c r="W171" s="13">
        <v>0.9</v>
      </c>
      <c r="X171" s="17">
        <f t="shared" si="16"/>
        <v>0</v>
      </c>
      <c r="Y171" s="37">
        <f>VLOOKUP(D171,Priors!$A$18:$B$21,2,FALSE)</f>
        <v>4.5137422563476139</v>
      </c>
      <c r="Z171" s="38">
        <f t="shared" si="17"/>
        <v>4.5137422563476139</v>
      </c>
      <c r="AA171" s="39">
        <v>1</v>
      </c>
      <c r="AB171" s="38">
        <f t="shared" si="18"/>
        <v>4.5137422563476139</v>
      </c>
      <c r="AC171" s="37">
        <f>Priors!$K$18</f>
        <v>2.7435089299114512</v>
      </c>
      <c r="AD171" s="38" t="str">
        <f t="shared" si="19"/>
        <v/>
      </c>
      <c r="AE171" s="37">
        <f>Priors!$K$19</f>
        <v>0.67280088332719912</v>
      </c>
      <c r="AF171" s="38" t="str">
        <f t="shared" si="20"/>
        <v/>
      </c>
      <c r="AG171" s="17">
        <f t="shared" si="21"/>
        <v>1</v>
      </c>
      <c r="AH171" s="7" t="s">
        <v>1793</v>
      </c>
      <c r="AI171" s="7">
        <v>12</v>
      </c>
      <c r="AJ171" s="38">
        <f t="shared" si="22"/>
        <v>0.37614518802896785</v>
      </c>
      <c r="AK171" s="9" t="b">
        <f t="shared" si="23"/>
        <v>1</v>
      </c>
      <c r="AL171" s="28" t="s">
        <v>1794</v>
      </c>
      <c r="AM171" s="28"/>
      <c r="AN171" s="28" t="s">
        <v>1792</v>
      </c>
    </row>
    <row r="172" spans="1:40" ht="30">
      <c r="A172" s="7">
        <v>171</v>
      </c>
      <c r="B172" s="7" t="s">
        <v>605</v>
      </c>
      <c r="C172" s="7" t="s">
        <v>45</v>
      </c>
      <c r="D172" s="7" t="s">
        <v>85</v>
      </c>
      <c r="E172" s="7" t="s">
        <v>1647</v>
      </c>
      <c r="F172" s="7"/>
      <c r="G172" s="14">
        <v>0</v>
      </c>
      <c r="H172" s="14"/>
      <c r="I172" s="15"/>
      <c r="J172" s="14"/>
      <c r="K172" s="15"/>
      <c r="L172" s="14"/>
      <c r="M172" s="14"/>
      <c r="N172" s="13"/>
      <c r="O172" s="14"/>
      <c r="P172" s="14"/>
      <c r="Q172" s="15"/>
      <c r="R172" s="17">
        <f>IFERROR(G172/(G172+Priors!$H$18),0)</f>
        <v>0</v>
      </c>
      <c r="S172" s="13">
        <v>0</v>
      </c>
      <c r="T172" s="40" t="b">
        <v>0</v>
      </c>
      <c r="U172" s="13">
        <v>1</v>
      </c>
      <c r="V172" s="40" t="b">
        <v>0</v>
      </c>
      <c r="W172" s="13">
        <v>1</v>
      </c>
      <c r="X172" s="17">
        <f t="shared" si="16"/>
        <v>0</v>
      </c>
      <c r="Y172" s="37">
        <f>VLOOKUP(D172,Priors!$A$18:$B$21,2,FALSE)</f>
        <v>2.6414527990394716</v>
      </c>
      <c r="Z172" s="38">
        <f t="shared" si="17"/>
        <v>2.6414527990394716</v>
      </c>
      <c r="AA172" s="39">
        <v>1</v>
      </c>
      <c r="AB172" s="38">
        <f t="shared" si="18"/>
        <v>2.6414527990394716</v>
      </c>
      <c r="AC172" s="37">
        <f>Priors!$K$18</f>
        <v>2.7435089299114512</v>
      </c>
      <c r="AD172" s="38">
        <f t="shared" si="19"/>
        <v>2.7435089299114512</v>
      </c>
      <c r="AE172" s="37">
        <f>Priors!$K$19</f>
        <v>0.67280088332719912</v>
      </c>
      <c r="AF172" s="38">
        <f t="shared" si="20"/>
        <v>0.67280088332719912</v>
      </c>
      <c r="AG172" s="17">
        <f t="shared" si="21"/>
        <v>1</v>
      </c>
      <c r="AH172" s="7" t="s">
        <v>1793</v>
      </c>
      <c r="AI172" s="7"/>
      <c r="AJ172" s="38" t="str">
        <f t="shared" si="22"/>
        <v/>
      </c>
      <c r="AK172" s="9" t="b">
        <f t="shared" si="23"/>
        <v>1</v>
      </c>
      <c r="AL172" s="28" t="s">
        <v>1794</v>
      </c>
      <c r="AM172" s="28"/>
      <c r="AN172" s="28" t="s">
        <v>1792</v>
      </c>
    </row>
    <row r="173" spans="1:40" ht="30">
      <c r="A173" s="7">
        <v>172</v>
      </c>
      <c r="B173" s="7" t="s">
        <v>416</v>
      </c>
      <c r="C173" s="7" t="s">
        <v>45</v>
      </c>
      <c r="D173" s="7" t="s">
        <v>85</v>
      </c>
      <c r="E173" s="7" t="s">
        <v>1647</v>
      </c>
      <c r="F173" s="7"/>
      <c r="G173" s="14">
        <v>0</v>
      </c>
      <c r="H173" s="14"/>
      <c r="I173" s="15"/>
      <c r="J173" s="14"/>
      <c r="K173" s="15"/>
      <c r="L173" s="14"/>
      <c r="M173" s="14"/>
      <c r="N173" s="13"/>
      <c r="O173" s="14"/>
      <c r="P173" s="14"/>
      <c r="Q173" s="15"/>
      <c r="R173" s="17">
        <f>IFERROR(G173/(G173+Priors!$H$18),0)</f>
        <v>0</v>
      </c>
      <c r="S173" s="13">
        <v>0</v>
      </c>
      <c r="T173" s="40" t="b">
        <v>0</v>
      </c>
      <c r="U173" s="13">
        <v>1</v>
      </c>
      <c r="V173" s="40" t="b">
        <v>0</v>
      </c>
      <c r="W173" s="13">
        <v>1</v>
      </c>
      <c r="X173" s="17">
        <f t="shared" si="16"/>
        <v>0</v>
      </c>
      <c r="Y173" s="37">
        <f>VLOOKUP(D173,Priors!$A$18:$B$21,2,FALSE)</f>
        <v>2.6414527990394716</v>
      </c>
      <c r="Z173" s="38">
        <f t="shared" si="17"/>
        <v>2.6414527990394716</v>
      </c>
      <c r="AA173" s="39">
        <v>1</v>
      </c>
      <c r="AB173" s="38">
        <f t="shared" si="18"/>
        <v>2.6414527990394716</v>
      </c>
      <c r="AC173" s="37">
        <f>Priors!$K$18</f>
        <v>2.7435089299114512</v>
      </c>
      <c r="AD173" s="38">
        <f t="shared" si="19"/>
        <v>2.7435089299114512</v>
      </c>
      <c r="AE173" s="37">
        <f>Priors!$K$19</f>
        <v>0.67280088332719912</v>
      </c>
      <c r="AF173" s="38">
        <f t="shared" si="20"/>
        <v>0.67280088332719912</v>
      </c>
      <c r="AG173" s="17">
        <f t="shared" si="21"/>
        <v>1</v>
      </c>
      <c r="AH173" s="7" t="s">
        <v>1793</v>
      </c>
      <c r="AI173" s="7"/>
      <c r="AJ173" s="38" t="str">
        <f t="shared" si="22"/>
        <v/>
      </c>
      <c r="AK173" s="9" t="b">
        <f t="shared" si="23"/>
        <v>1</v>
      </c>
      <c r="AL173" s="28" t="s">
        <v>1794</v>
      </c>
      <c r="AM173" s="28"/>
      <c r="AN173" s="28" t="s">
        <v>1792</v>
      </c>
    </row>
    <row r="174" spans="1:40" ht="30">
      <c r="A174" s="7">
        <v>173</v>
      </c>
      <c r="B174" s="7" t="s">
        <v>610</v>
      </c>
      <c r="C174" s="7" t="s">
        <v>45</v>
      </c>
      <c r="D174" s="7" t="s">
        <v>99</v>
      </c>
      <c r="E174" s="7" t="s">
        <v>1654</v>
      </c>
      <c r="F174" s="7" t="s">
        <v>45</v>
      </c>
      <c r="G174" s="14">
        <v>2900</v>
      </c>
      <c r="H174" s="14"/>
      <c r="I174" s="15"/>
      <c r="J174" s="14"/>
      <c r="K174" s="15"/>
      <c r="L174" s="14"/>
      <c r="M174" s="14"/>
      <c r="N174" s="13"/>
      <c r="O174" s="14"/>
      <c r="P174" s="14"/>
      <c r="Q174" s="15"/>
      <c r="R174" s="17">
        <f>IFERROR(G174/(G174+Priors!$H$18),0)</f>
        <v>0.74358974358974361</v>
      </c>
      <c r="S174" s="13">
        <v>0</v>
      </c>
      <c r="T174" s="40" t="b">
        <v>0</v>
      </c>
      <c r="U174" s="13">
        <v>1</v>
      </c>
      <c r="V174" s="40" t="b">
        <v>0</v>
      </c>
      <c r="W174" s="13">
        <v>1</v>
      </c>
      <c r="X174" s="17">
        <f t="shared" si="16"/>
        <v>0</v>
      </c>
      <c r="Y174" s="37">
        <f>VLOOKUP(D174,Priors!$A$18:$B$21,2,FALSE)</f>
        <v>8.7398272304160223</v>
      </c>
      <c r="Z174" s="38">
        <f t="shared" si="17"/>
        <v>8.7398272304160223</v>
      </c>
      <c r="AA174" s="39">
        <v>1</v>
      </c>
      <c r="AB174" s="38">
        <f t="shared" si="18"/>
        <v>8.7398272304160223</v>
      </c>
      <c r="AC174" s="37">
        <f>Priors!$K$18</f>
        <v>2.7435089299114512</v>
      </c>
      <c r="AD174" s="38" t="str">
        <f t="shared" si="19"/>
        <v/>
      </c>
      <c r="AE174" s="37">
        <f>Priors!$K$19</f>
        <v>0.67280088332719912</v>
      </c>
      <c r="AF174" s="38" t="str">
        <f t="shared" si="20"/>
        <v/>
      </c>
      <c r="AG174" s="17">
        <f t="shared" si="21"/>
        <v>1</v>
      </c>
      <c r="AH174" s="7" t="s">
        <v>1793</v>
      </c>
      <c r="AI174" s="7">
        <v>10</v>
      </c>
      <c r="AJ174" s="38">
        <f t="shared" si="22"/>
        <v>0.87398272304160218</v>
      </c>
      <c r="AK174" s="9" t="b">
        <f t="shared" si="23"/>
        <v>1</v>
      </c>
      <c r="AL174" s="28" t="s">
        <v>1794</v>
      </c>
      <c r="AM174" s="28"/>
      <c r="AN174" s="28" t="s">
        <v>1792</v>
      </c>
    </row>
    <row r="175" spans="1:40" ht="30">
      <c r="A175" s="7">
        <v>174</v>
      </c>
      <c r="B175" s="7" t="s">
        <v>613</v>
      </c>
      <c r="C175" s="7" t="s">
        <v>45</v>
      </c>
      <c r="D175" s="7" t="s">
        <v>99</v>
      </c>
      <c r="E175" s="7" t="s">
        <v>1654</v>
      </c>
      <c r="F175" s="7" t="s">
        <v>45</v>
      </c>
      <c r="G175" s="14">
        <v>3185</v>
      </c>
      <c r="H175" s="14"/>
      <c r="I175" s="15"/>
      <c r="J175" s="14"/>
      <c r="K175" s="15"/>
      <c r="L175" s="14"/>
      <c r="M175" s="14"/>
      <c r="N175" s="13"/>
      <c r="O175" s="14"/>
      <c r="P175" s="14"/>
      <c r="Q175" s="15"/>
      <c r="R175" s="17">
        <f>IFERROR(G175/(G175+Priors!$H$18),0)</f>
        <v>0.76105137395459976</v>
      </c>
      <c r="S175" s="13">
        <v>0</v>
      </c>
      <c r="T175" s="40" t="b">
        <v>0</v>
      </c>
      <c r="U175" s="13">
        <v>1</v>
      </c>
      <c r="V175" s="40" t="b">
        <v>0</v>
      </c>
      <c r="W175" s="13">
        <v>1</v>
      </c>
      <c r="X175" s="17">
        <f t="shared" si="16"/>
        <v>0</v>
      </c>
      <c r="Y175" s="37">
        <f>VLOOKUP(D175,Priors!$A$18:$B$21,2,FALSE)</f>
        <v>8.7398272304160223</v>
      </c>
      <c r="Z175" s="38">
        <f t="shared" si="17"/>
        <v>8.7398272304160223</v>
      </c>
      <c r="AA175" s="39">
        <v>1</v>
      </c>
      <c r="AB175" s="38">
        <f t="shared" si="18"/>
        <v>8.7398272304160223</v>
      </c>
      <c r="AC175" s="37">
        <f>Priors!$K$18</f>
        <v>2.7435089299114512</v>
      </c>
      <c r="AD175" s="38" t="str">
        <f t="shared" si="19"/>
        <v/>
      </c>
      <c r="AE175" s="37">
        <f>Priors!$K$19</f>
        <v>0.67280088332719912</v>
      </c>
      <c r="AF175" s="38" t="str">
        <f t="shared" si="20"/>
        <v/>
      </c>
      <c r="AG175" s="17">
        <f t="shared" si="21"/>
        <v>1</v>
      </c>
      <c r="AH175" s="7" t="s">
        <v>1793</v>
      </c>
      <c r="AI175" s="7">
        <v>10</v>
      </c>
      <c r="AJ175" s="38">
        <f t="shared" si="22"/>
        <v>0.87398272304160218</v>
      </c>
      <c r="AK175" s="9" t="b">
        <f t="shared" si="23"/>
        <v>1</v>
      </c>
      <c r="AL175" s="28" t="s">
        <v>1794</v>
      </c>
      <c r="AM175" s="28"/>
      <c r="AN175" s="28" t="s">
        <v>1792</v>
      </c>
    </row>
    <row r="176" spans="1:40" ht="30">
      <c r="A176" s="7">
        <v>175</v>
      </c>
      <c r="B176" s="7" t="s">
        <v>615</v>
      </c>
      <c r="C176" s="7" t="s">
        <v>45</v>
      </c>
      <c r="D176" s="7" t="s">
        <v>99</v>
      </c>
      <c r="E176" s="7" t="s">
        <v>1654</v>
      </c>
      <c r="F176" s="7" t="s">
        <v>45</v>
      </c>
      <c r="G176" s="14">
        <v>3300</v>
      </c>
      <c r="H176" s="14"/>
      <c r="I176" s="15"/>
      <c r="J176" s="14"/>
      <c r="K176" s="15"/>
      <c r="L176" s="14"/>
      <c r="M176" s="14"/>
      <c r="N176" s="13"/>
      <c r="O176" s="14"/>
      <c r="P176" s="14"/>
      <c r="Q176" s="15"/>
      <c r="R176" s="17">
        <f>IFERROR(G176/(G176+Priors!$H$18),0)</f>
        <v>0.76744186046511631</v>
      </c>
      <c r="S176" s="13">
        <v>0</v>
      </c>
      <c r="T176" s="40" t="b">
        <v>0</v>
      </c>
      <c r="U176" s="13">
        <v>1</v>
      </c>
      <c r="V176" s="40" t="b">
        <v>0</v>
      </c>
      <c r="W176" s="13">
        <v>1</v>
      </c>
      <c r="X176" s="17">
        <f t="shared" si="16"/>
        <v>0</v>
      </c>
      <c r="Y176" s="37">
        <f>VLOOKUP(D176,Priors!$A$18:$B$21,2,FALSE)</f>
        <v>8.7398272304160223</v>
      </c>
      <c r="Z176" s="38">
        <f t="shared" si="17"/>
        <v>8.7398272304160223</v>
      </c>
      <c r="AA176" s="39">
        <v>1</v>
      </c>
      <c r="AB176" s="38">
        <f t="shared" si="18"/>
        <v>8.7398272304160223</v>
      </c>
      <c r="AC176" s="37">
        <f>Priors!$K$18</f>
        <v>2.7435089299114512</v>
      </c>
      <c r="AD176" s="38" t="str">
        <f t="shared" si="19"/>
        <v/>
      </c>
      <c r="AE176" s="37">
        <f>Priors!$K$19</f>
        <v>0.67280088332719912</v>
      </c>
      <c r="AF176" s="38" t="str">
        <f t="shared" si="20"/>
        <v/>
      </c>
      <c r="AG176" s="17">
        <f t="shared" si="21"/>
        <v>1</v>
      </c>
      <c r="AH176" s="7" t="s">
        <v>1793</v>
      </c>
      <c r="AI176" s="7">
        <v>10</v>
      </c>
      <c r="AJ176" s="38">
        <f t="shared" si="22"/>
        <v>0.87398272304160218</v>
      </c>
      <c r="AK176" s="9" t="b">
        <f t="shared" si="23"/>
        <v>1</v>
      </c>
      <c r="AL176" s="28" t="s">
        <v>1794</v>
      </c>
      <c r="AM176" s="28"/>
      <c r="AN176" s="28" t="s">
        <v>1792</v>
      </c>
    </row>
    <row r="177" spans="1:40" ht="30">
      <c r="A177" s="7">
        <v>176</v>
      </c>
      <c r="B177" s="7" t="s">
        <v>405</v>
      </c>
      <c r="C177" s="7" t="s">
        <v>45</v>
      </c>
      <c r="D177" s="7" t="s">
        <v>99</v>
      </c>
      <c r="E177" s="7" t="s">
        <v>1654</v>
      </c>
      <c r="F177" s="7" t="s">
        <v>45</v>
      </c>
      <c r="G177" s="14">
        <v>2700</v>
      </c>
      <c r="H177" s="14"/>
      <c r="I177" s="15"/>
      <c r="J177" s="14"/>
      <c r="K177" s="15"/>
      <c r="L177" s="14"/>
      <c r="M177" s="14"/>
      <c r="N177" s="13"/>
      <c r="O177" s="14"/>
      <c r="P177" s="14"/>
      <c r="Q177" s="15"/>
      <c r="R177" s="17">
        <f>IFERROR(G177/(G177+Priors!$H$18),0)</f>
        <v>0.72972972972972971</v>
      </c>
      <c r="S177" s="13">
        <v>0</v>
      </c>
      <c r="T177" s="40" t="b">
        <v>0</v>
      </c>
      <c r="U177" s="13">
        <v>1</v>
      </c>
      <c r="V177" s="40" t="b">
        <v>0</v>
      </c>
      <c r="W177" s="13">
        <v>1</v>
      </c>
      <c r="X177" s="17">
        <f t="shared" si="16"/>
        <v>0</v>
      </c>
      <c r="Y177" s="37">
        <f>VLOOKUP(D177,Priors!$A$18:$B$21,2,FALSE)</f>
        <v>8.7398272304160223</v>
      </c>
      <c r="Z177" s="38">
        <f t="shared" si="17"/>
        <v>8.7398272304160223</v>
      </c>
      <c r="AA177" s="39">
        <v>1</v>
      </c>
      <c r="AB177" s="38">
        <f t="shared" si="18"/>
        <v>8.7398272304160223</v>
      </c>
      <c r="AC177" s="37">
        <f>Priors!$K$18</f>
        <v>2.7435089299114512</v>
      </c>
      <c r="AD177" s="38" t="str">
        <f t="shared" si="19"/>
        <v/>
      </c>
      <c r="AE177" s="37">
        <f>Priors!$K$19</f>
        <v>0.67280088332719912</v>
      </c>
      <c r="AF177" s="38" t="str">
        <f t="shared" si="20"/>
        <v/>
      </c>
      <c r="AG177" s="17">
        <f t="shared" si="21"/>
        <v>1</v>
      </c>
      <c r="AH177" s="7" t="s">
        <v>1793</v>
      </c>
      <c r="AI177" s="7">
        <v>10</v>
      </c>
      <c r="AJ177" s="38">
        <f t="shared" si="22"/>
        <v>0.87398272304160218</v>
      </c>
      <c r="AK177" s="9" t="b">
        <f t="shared" si="23"/>
        <v>1</v>
      </c>
      <c r="AL177" s="28" t="s">
        <v>1794</v>
      </c>
      <c r="AM177" s="28"/>
      <c r="AN177" s="28" t="s">
        <v>1792</v>
      </c>
    </row>
    <row r="178" spans="1:40" ht="30">
      <c r="A178" s="7">
        <v>177</v>
      </c>
      <c r="B178" s="7" t="s">
        <v>619</v>
      </c>
      <c r="C178" s="7" t="s">
        <v>45</v>
      </c>
      <c r="D178" s="7" t="s">
        <v>99</v>
      </c>
      <c r="E178" s="7" t="s">
        <v>1654</v>
      </c>
      <c r="F178" s="7" t="s">
        <v>45</v>
      </c>
      <c r="G178" s="14">
        <v>0</v>
      </c>
      <c r="H178" s="14"/>
      <c r="I178" s="15"/>
      <c r="J178" s="14"/>
      <c r="K178" s="15"/>
      <c r="L178" s="14"/>
      <c r="M178" s="14"/>
      <c r="N178" s="13"/>
      <c r="O178" s="14"/>
      <c r="P178" s="14"/>
      <c r="Q178" s="15"/>
      <c r="R178" s="17">
        <f>IFERROR(G178/(G178+Priors!$H$18),0)</f>
        <v>0</v>
      </c>
      <c r="S178" s="13">
        <v>0</v>
      </c>
      <c r="T178" s="40" t="b">
        <v>0</v>
      </c>
      <c r="U178" s="13">
        <v>1</v>
      </c>
      <c r="V178" s="40" t="b">
        <v>0</v>
      </c>
      <c r="W178" s="13">
        <v>1</v>
      </c>
      <c r="X178" s="17">
        <f t="shared" si="16"/>
        <v>0</v>
      </c>
      <c r="Y178" s="37">
        <f>VLOOKUP(D178,Priors!$A$18:$B$21,2,FALSE)</f>
        <v>8.7398272304160223</v>
      </c>
      <c r="Z178" s="38">
        <f t="shared" si="17"/>
        <v>8.7398272304160223</v>
      </c>
      <c r="AA178" s="39">
        <v>1</v>
      </c>
      <c r="AB178" s="38">
        <f t="shared" si="18"/>
        <v>8.7398272304160223</v>
      </c>
      <c r="AC178" s="37">
        <f>Priors!$K$18</f>
        <v>2.7435089299114512</v>
      </c>
      <c r="AD178" s="38" t="str">
        <f t="shared" si="19"/>
        <v/>
      </c>
      <c r="AE178" s="37">
        <f>Priors!$K$19</f>
        <v>0.67280088332719912</v>
      </c>
      <c r="AF178" s="38" t="str">
        <f t="shared" si="20"/>
        <v/>
      </c>
      <c r="AG178" s="17">
        <f t="shared" si="21"/>
        <v>1</v>
      </c>
      <c r="AH178" s="7" t="s">
        <v>1793</v>
      </c>
      <c r="AI178" s="7">
        <v>10</v>
      </c>
      <c r="AJ178" s="38">
        <f t="shared" si="22"/>
        <v>0.87398272304160218</v>
      </c>
      <c r="AK178" s="9" t="b">
        <f t="shared" si="23"/>
        <v>1</v>
      </c>
      <c r="AL178" s="28" t="s">
        <v>1794</v>
      </c>
      <c r="AM178" s="28"/>
      <c r="AN178" s="28" t="s">
        <v>1792</v>
      </c>
    </row>
    <row r="179" spans="1:40" ht="30">
      <c r="A179" s="7">
        <v>178</v>
      </c>
      <c r="B179" s="7" t="s">
        <v>621</v>
      </c>
      <c r="C179" s="7" t="s">
        <v>45</v>
      </c>
      <c r="D179" s="7" t="s">
        <v>99</v>
      </c>
      <c r="E179" s="7" t="s">
        <v>1654</v>
      </c>
      <c r="F179" s="7" t="s">
        <v>45</v>
      </c>
      <c r="G179" s="14">
        <v>0</v>
      </c>
      <c r="H179" s="14"/>
      <c r="I179" s="15"/>
      <c r="J179" s="14"/>
      <c r="K179" s="15"/>
      <c r="L179" s="14"/>
      <c r="M179" s="14"/>
      <c r="N179" s="13"/>
      <c r="O179" s="14"/>
      <c r="P179" s="14"/>
      <c r="Q179" s="15"/>
      <c r="R179" s="17">
        <f>IFERROR(G179/(G179+Priors!$H$18),0)</f>
        <v>0</v>
      </c>
      <c r="S179" s="13">
        <v>0</v>
      </c>
      <c r="T179" s="40" t="b">
        <v>0</v>
      </c>
      <c r="U179" s="13">
        <v>1</v>
      </c>
      <c r="V179" s="40" t="b">
        <v>0</v>
      </c>
      <c r="W179" s="13">
        <v>1</v>
      </c>
      <c r="X179" s="17">
        <f t="shared" si="16"/>
        <v>0</v>
      </c>
      <c r="Y179" s="37">
        <f>VLOOKUP(D179,Priors!$A$18:$B$21,2,FALSE)</f>
        <v>8.7398272304160223</v>
      </c>
      <c r="Z179" s="38">
        <f t="shared" si="17"/>
        <v>8.7398272304160223</v>
      </c>
      <c r="AA179" s="39">
        <v>1</v>
      </c>
      <c r="AB179" s="38">
        <f t="shared" si="18"/>
        <v>8.7398272304160223</v>
      </c>
      <c r="AC179" s="37">
        <f>Priors!$K$18</f>
        <v>2.7435089299114512</v>
      </c>
      <c r="AD179" s="38" t="str">
        <f t="shared" si="19"/>
        <v/>
      </c>
      <c r="AE179" s="37">
        <f>Priors!$K$19</f>
        <v>0.67280088332719912</v>
      </c>
      <c r="AF179" s="38" t="str">
        <f t="shared" si="20"/>
        <v/>
      </c>
      <c r="AG179" s="17">
        <f t="shared" si="21"/>
        <v>1</v>
      </c>
      <c r="AH179" s="7" t="s">
        <v>1793</v>
      </c>
      <c r="AI179" s="7">
        <v>10</v>
      </c>
      <c r="AJ179" s="38">
        <f t="shared" si="22"/>
        <v>0.87398272304160218</v>
      </c>
      <c r="AK179" s="9" t="b">
        <f t="shared" si="23"/>
        <v>1</v>
      </c>
      <c r="AL179" s="28" t="s">
        <v>1794</v>
      </c>
      <c r="AM179" s="28"/>
      <c r="AN179" s="28" t="s">
        <v>1792</v>
      </c>
    </row>
    <row r="180" spans="1:40" ht="30">
      <c r="A180" s="7">
        <v>179</v>
      </c>
      <c r="B180" s="7" t="s">
        <v>624</v>
      </c>
      <c r="C180" s="7" t="s">
        <v>45</v>
      </c>
      <c r="D180" s="7" t="s">
        <v>99</v>
      </c>
      <c r="E180" s="7" t="s">
        <v>1654</v>
      </c>
      <c r="F180" s="7" t="s">
        <v>45</v>
      </c>
      <c r="G180" s="14">
        <v>0</v>
      </c>
      <c r="H180" s="14"/>
      <c r="I180" s="15"/>
      <c r="J180" s="14"/>
      <c r="K180" s="15"/>
      <c r="L180" s="14"/>
      <c r="M180" s="14"/>
      <c r="N180" s="13"/>
      <c r="O180" s="14"/>
      <c r="P180" s="14"/>
      <c r="Q180" s="15"/>
      <c r="R180" s="17">
        <f>IFERROR(G180/(G180+Priors!$H$18),0)</f>
        <v>0</v>
      </c>
      <c r="S180" s="13">
        <v>0</v>
      </c>
      <c r="T180" s="40" t="b">
        <v>0</v>
      </c>
      <c r="U180" s="13">
        <v>1</v>
      </c>
      <c r="V180" s="40" t="b">
        <v>0</v>
      </c>
      <c r="W180" s="13">
        <v>1</v>
      </c>
      <c r="X180" s="17">
        <f t="shared" si="16"/>
        <v>0</v>
      </c>
      <c r="Y180" s="37">
        <f>VLOOKUP(D180,Priors!$A$18:$B$21,2,FALSE)</f>
        <v>8.7398272304160223</v>
      </c>
      <c r="Z180" s="38">
        <f t="shared" si="17"/>
        <v>8.7398272304160223</v>
      </c>
      <c r="AA180" s="39">
        <v>1</v>
      </c>
      <c r="AB180" s="38">
        <f t="shared" si="18"/>
        <v>8.7398272304160223</v>
      </c>
      <c r="AC180" s="37">
        <f>Priors!$K$18</f>
        <v>2.7435089299114512</v>
      </c>
      <c r="AD180" s="38" t="str">
        <f t="shared" si="19"/>
        <v/>
      </c>
      <c r="AE180" s="37">
        <f>Priors!$K$19</f>
        <v>0.67280088332719912</v>
      </c>
      <c r="AF180" s="38" t="str">
        <f t="shared" si="20"/>
        <v/>
      </c>
      <c r="AG180" s="17">
        <f t="shared" si="21"/>
        <v>1</v>
      </c>
      <c r="AH180" s="7" t="s">
        <v>1793</v>
      </c>
      <c r="AI180" s="7">
        <v>10</v>
      </c>
      <c r="AJ180" s="38">
        <f t="shared" si="22"/>
        <v>0.87398272304160218</v>
      </c>
      <c r="AK180" s="9" t="b">
        <f t="shared" si="23"/>
        <v>1</v>
      </c>
      <c r="AL180" s="28" t="s">
        <v>1794</v>
      </c>
      <c r="AM180" s="28"/>
      <c r="AN180" s="28" t="s">
        <v>1792</v>
      </c>
    </row>
    <row r="181" spans="1:40" ht="30">
      <c r="A181" s="7">
        <v>180</v>
      </c>
      <c r="B181" s="7" t="s">
        <v>627</v>
      </c>
      <c r="C181" s="7" t="s">
        <v>45</v>
      </c>
      <c r="D181" s="7" t="s">
        <v>99</v>
      </c>
      <c r="E181" s="7" t="s">
        <v>1654</v>
      </c>
      <c r="F181" s="7" t="s">
        <v>45</v>
      </c>
      <c r="G181" s="14">
        <v>0</v>
      </c>
      <c r="H181" s="14"/>
      <c r="I181" s="15"/>
      <c r="J181" s="14"/>
      <c r="K181" s="15"/>
      <c r="L181" s="14"/>
      <c r="M181" s="14"/>
      <c r="N181" s="13"/>
      <c r="O181" s="14"/>
      <c r="P181" s="14"/>
      <c r="Q181" s="15"/>
      <c r="R181" s="17">
        <f>IFERROR(G181/(G181+Priors!$H$18),0)</f>
        <v>0</v>
      </c>
      <c r="S181" s="13">
        <v>0</v>
      </c>
      <c r="T181" s="40" t="b">
        <v>0</v>
      </c>
      <c r="U181" s="13">
        <v>1</v>
      </c>
      <c r="V181" s="40" t="b">
        <v>0</v>
      </c>
      <c r="W181" s="13">
        <v>1</v>
      </c>
      <c r="X181" s="17">
        <f t="shared" si="16"/>
        <v>0</v>
      </c>
      <c r="Y181" s="37">
        <f>VLOOKUP(D181,Priors!$A$18:$B$21,2,FALSE)</f>
        <v>8.7398272304160223</v>
      </c>
      <c r="Z181" s="38">
        <f t="shared" si="17"/>
        <v>8.7398272304160223</v>
      </c>
      <c r="AA181" s="39">
        <v>1</v>
      </c>
      <c r="AB181" s="38">
        <f t="shared" si="18"/>
        <v>8.7398272304160223</v>
      </c>
      <c r="AC181" s="37">
        <f>Priors!$K$18</f>
        <v>2.7435089299114512</v>
      </c>
      <c r="AD181" s="38" t="str">
        <f t="shared" si="19"/>
        <v/>
      </c>
      <c r="AE181" s="37">
        <f>Priors!$K$19</f>
        <v>0.67280088332719912</v>
      </c>
      <c r="AF181" s="38" t="str">
        <f t="shared" si="20"/>
        <v/>
      </c>
      <c r="AG181" s="17">
        <f t="shared" si="21"/>
        <v>1</v>
      </c>
      <c r="AH181" s="7" t="s">
        <v>1793</v>
      </c>
      <c r="AI181" s="7">
        <v>10</v>
      </c>
      <c r="AJ181" s="38">
        <f t="shared" si="22"/>
        <v>0.87398272304160218</v>
      </c>
      <c r="AK181" s="9" t="b">
        <f t="shared" si="23"/>
        <v>1</v>
      </c>
      <c r="AL181" s="28" t="s">
        <v>1794</v>
      </c>
      <c r="AM181" s="28"/>
      <c r="AN181" s="28" t="s">
        <v>1792</v>
      </c>
    </row>
    <row r="182" spans="1:40" ht="30">
      <c r="A182" s="7">
        <v>181</v>
      </c>
      <c r="B182" s="7" t="s">
        <v>629</v>
      </c>
      <c r="C182" s="7" t="s">
        <v>45</v>
      </c>
      <c r="D182" s="7" t="s">
        <v>99</v>
      </c>
      <c r="E182" s="7" t="s">
        <v>1654</v>
      </c>
      <c r="F182" s="7" t="s">
        <v>45</v>
      </c>
      <c r="G182" s="14">
        <v>0</v>
      </c>
      <c r="H182" s="14"/>
      <c r="I182" s="15"/>
      <c r="J182" s="14"/>
      <c r="K182" s="15"/>
      <c r="L182" s="14"/>
      <c r="M182" s="14"/>
      <c r="N182" s="13"/>
      <c r="O182" s="14"/>
      <c r="P182" s="14"/>
      <c r="Q182" s="15"/>
      <c r="R182" s="17">
        <f>IFERROR(G182/(G182+Priors!$H$18),0)</f>
        <v>0</v>
      </c>
      <c r="S182" s="13">
        <v>0</v>
      </c>
      <c r="T182" s="40" t="b">
        <v>0</v>
      </c>
      <c r="U182" s="13">
        <v>1</v>
      </c>
      <c r="V182" s="40" t="b">
        <v>0</v>
      </c>
      <c r="W182" s="13">
        <v>1</v>
      </c>
      <c r="X182" s="17">
        <f t="shared" si="16"/>
        <v>0</v>
      </c>
      <c r="Y182" s="37">
        <f>VLOOKUP(D182,Priors!$A$18:$B$21,2,FALSE)</f>
        <v>8.7398272304160223</v>
      </c>
      <c r="Z182" s="38">
        <f t="shared" si="17"/>
        <v>8.7398272304160223</v>
      </c>
      <c r="AA182" s="39">
        <v>1</v>
      </c>
      <c r="AB182" s="38">
        <f t="shared" si="18"/>
        <v>8.7398272304160223</v>
      </c>
      <c r="AC182" s="37">
        <f>Priors!$K$18</f>
        <v>2.7435089299114512</v>
      </c>
      <c r="AD182" s="38" t="str">
        <f t="shared" si="19"/>
        <v/>
      </c>
      <c r="AE182" s="37">
        <f>Priors!$K$19</f>
        <v>0.67280088332719912</v>
      </c>
      <c r="AF182" s="38" t="str">
        <f t="shared" si="20"/>
        <v/>
      </c>
      <c r="AG182" s="17">
        <f t="shared" si="21"/>
        <v>1</v>
      </c>
      <c r="AH182" s="7" t="s">
        <v>1793</v>
      </c>
      <c r="AI182" s="7">
        <v>10</v>
      </c>
      <c r="AJ182" s="38">
        <f t="shared" si="22"/>
        <v>0.87398272304160218</v>
      </c>
      <c r="AK182" s="9" t="b">
        <f t="shared" si="23"/>
        <v>1</v>
      </c>
      <c r="AL182" s="28" t="s">
        <v>1794</v>
      </c>
      <c r="AM182" s="28"/>
      <c r="AN182" s="28" t="s">
        <v>1792</v>
      </c>
    </row>
    <row r="183" spans="1:40" ht="30">
      <c r="A183" s="7">
        <v>182</v>
      </c>
      <c r="B183" s="7" t="s">
        <v>631</v>
      </c>
      <c r="C183" s="7" t="s">
        <v>45</v>
      </c>
      <c r="D183" s="7" t="s">
        <v>99</v>
      </c>
      <c r="E183" s="7" t="s">
        <v>1647</v>
      </c>
      <c r="F183" s="7"/>
      <c r="G183" s="14">
        <v>0</v>
      </c>
      <c r="H183" s="14"/>
      <c r="I183" s="15"/>
      <c r="J183" s="14"/>
      <c r="K183" s="15"/>
      <c r="L183" s="14"/>
      <c r="M183" s="14"/>
      <c r="N183" s="13"/>
      <c r="O183" s="14"/>
      <c r="P183" s="14"/>
      <c r="Q183" s="15"/>
      <c r="R183" s="17">
        <f>IFERROR(G183/(G183+Priors!$H$18),0)</f>
        <v>0</v>
      </c>
      <c r="S183" s="13">
        <v>0</v>
      </c>
      <c r="T183" s="40" t="b">
        <v>0</v>
      </c>
      <c r="U183" s="13">
        <v>1</v>
      </c>
      <c r="V183" s="40" t="b">
        <v>0</v>
      </c>
      <c r="W183" s="13">
        <v>1</v>
      </c>
      <c r="X183" s="17">
        <f t="shared" si="16"/>
        <v>0</v>
      </c>
      <c r="Y183" s="37">
        <f>VLOOKUP(D183,Priors!$A$18:$B$21,2,FALSE)</f>
        <v>8.7398272304160223</v>
      </c>
      <c r="Z183" s="38">
        <f t="shared" si="17"/>
        <v>8.7398272304160223</v>
      </c>
      <c r="AA183" s="39">
        <v>1</v>
      </c>
      <c r="AB183" s="38">
        <f t="shared" si="18"/>
        <v>8.7398272304160223</v>
      </c>
      <c r="AC183" s="37">
        <f>Priors!$K$18</f>
        <v>2.7435089299114512</v>
      </c>
      <c r="AD183" s="38" t="str">
        <f t="shared" si="19"/>
        <v/>
      </c>
      <c r="AE183" s="37">
        <f>Priors!$K$19</f>
        <v>0.67280088332719912</v>
      </c>
      <c r="AF183" s="38" t="str">
        <f t="shared" si="20"/>
        <v/>
      </c>
      <c r="AG183" s="17">
        <f t="shared" si="21"/>
        <v>1</v>
      </c>
      <c r="AH183" s="7" t="s">
        <v>1793</v>
      </c>
      <c r="AI183" s="7">
        <v>10</v>
      </c>
      <c r="AJ183" s="38">
        <f t="shared" si="22"/>
        <v>0.87398272304160218</v>
      </c>
      <c r="AK183" s="9" t="b">
        <f t="shared" si="23"/>
        <v>1</v>
      </c>
      <c r="AL183" s="28" t="s">
        <v>1794</v>
      </c>
      <c r="AM183" s="28"/>
      <c r="AN183" s="28" t="s">
        <v>1792</v>
      </c>
    </row>
    <row r="184" spans="1:40" ht="30">
      <c r="A184" s="7">
        <v>183</v>
      </c>
      <c r="B184" s="7" t="s">
        <v>634</v>
      </c>
      <c r="C184" s="7" t="s">
        <v>45</v>
      </c>
      <c r="D184" s="7" t="s">
        <v>112</v>
      </c>
      <c r="E184" s="7" t="s">
        <v>1654</v>
      </c>
      <c r="F184" s="7" t="s">
        <v>45</v>
      </c>
      <c r="G184" s="14">
        <v>2086</v>
      </c>
      <c r="H184" s="14"/>
      <c r="I184" s="15"/>
      <c r="J184" s="14"/>
      <c r="K184" s="15"/>
      <c r="L184" s="14"/>
      <c r="M184" s="14"/>
      <c r="N184" s="13"/>
      <c r="O184" s="14"/>
      <c r="P184" s="14"/>
      <c r="Q184" s="15"/>
      <c r="R184" s="17">
        <f>IFERROR(G184/(G184+Priors!$H$18),0)</f>
        <v>0.67595593000648091</v>
      </c>
      <c r="S184" s="13">
        <v>0</v>
      </c>
      <c r="T184" s="40" t="b">
        <v>0</v>
      </c>
      <c r="U184" s="13">
        <v>1</v>
      </c>
      <c r="V184" s="40" t="b">
        <v>0</v>
      </c>
      <c r="W184" s="13">
        <v>1</v>
      </c>
      <c r="X184" s="17">
        <f t="shared" si="16"/>
        <v>0</v>
      </c>
      <c r="Y184" s="37">
        <f>VLOOKUP(D184,Priors!$A$18:$B$21,2,FALSE)</f>
        <v>8.4555315342179806</v>
      </c>
      <c r="Z184" s="38">
        <f t="shared" si="17"/>
        <v>8.4555315342179806</v>
      </c>
      <c r="AA184" s="39">
        <v>1</v>
      </c>
      <c r="AB184" s="38">
        <f t="shared" si="18"/>
        <v>8.4555315342179806</v>
      </c>
      <c r="AC184" s="37">
        <f>Priors!$K$18</f>
        <v>2.7435089299114512</v>
      </c>
      <c r="AD184" s="38" t="str">
        <f t="shared" si="19"/>
        <v/>
      </c>
      <c r="AE184" s="37">
        <f>Priors!$K$19</f>
        <v>0.67280088332719912</v>
      </c>
      <c r="AF184" s="38" t="str">
        <f t="shared" si="20"/>
        <v/>
      </c>
      <c r="AG184" s="17">
        <f t="shared" si="21"/>
        <v>1</v>
      </c>
      <c r="AH184" s="7" t="s">
        <v>1793</v>
      </c>
      <c r="AI184" s="7">
        <v>12</v>
      </c>
      <c r="AJ184" s="38">
        <f t="shared" si="22"/>
        <v>0.70462762785149835</v>
      </c>
      <c r="AK184" s="9" t="b">
        <f t="shared" si="23"/>
        <v>1</v>
      </c>
      <c r="AL184" s="28" t="s">
        <v>1794</v>
      </c>
      <c r="AM184" s="28"/>
      <c r="AN184" s="28" t="s">
        <v>1792</v>
      </c>
    </row>
    <row r="185" spans="1:40" ht="30">
      <c r="A185" s="7">
        <v>184</v>
      </c>
      <c r="B185" s="7" t="s">
        <v>638</v>
      </c>
      <c r="C185" s="7" t="s">
        <v>45</v>
      </c>
      <c r="D185" s="7" t="s">
        <v>112</v>
      </c>
      <c r="E185" s="7" t="s">
        <v>1654</v>
      </c>
      <c r="F185" s="7" t="s">
        <v>45</v>
      </c>
      <c r="G185" s="14">
        <v>3825</v>
      </c>
      <c r="H185" s="14"/>
      <c r="I185" s="15"/>
      <c r="J185" s="14"/>
      <c r="K185" s="15"/>
      <c r="L185" s="14"/>
      <c r="M185" s="14"/>
      <c r="N185" s="13"/>
      <c r="O185" s="14"/>
      <c r="P185" s="14"/>
      <c r="Q185" s="15"/>
      <c r="R185" s="17">
        <f>IFERROR(G185/(G185+Priors!$H$18),0)</f>
        <v>0.79274611398963735</v>
      </c>
      <c r="S185" s="13">
        <v>0</v>
      </c>
      <c r="T185" s="40" t="b">
        <v>0</v>
      </c>
      <c r="U185" s="13">
        <v>1</v>
      </c>
      <c r="V185" s="40" t="b">
        <v>0</v>
      </c>
      <c r="W185" s="13">
        <v>1</v>
      </c>
      <c r="X185" s="17">
        <f t="shared" si="16"/>
        <v>0</v>
      </c>
      <c r="Y185" s="37">
        <f>VLOOKUP(D185,Priors!$A$18:$B$21,2,FALSE)</f>
        <v>8.4555315342179806</v>
      </c>
      <c r="Z185" s="38">
        <f t="shared" si="17"/>
        <v>8.4555315342179806</v>
      </c>
      <c r="AA185" s="39">
        <v>1</v>
      </c>
      <c r="AB185" s="38">
        <f t="shared" si="18"/>
        <v>8.4555315342179806</v>
      </c>
      <c r="AC185" s="37">
        <f>Priors!$K$18</f>
        <v>2.7435089299114512</v>
      </c>
      <c r="AD185" s="38" t="str">
        <f t="shared" si="19"/>
        <v/>
      </c>
      <c r="AE185" s="37">
        <f>Priors!$K$19</f>
        <v>0.67280088332719912</v>
      </c>
      <c r="AF185" s="38" t="str">
        <f t="shared" si="20"/>
        <v/>
      </c>
      <c r="AG185" s="17">
        <f t="shared" si="21"/>
        <v>1</v>
      </c>
      <c r="AH185" s="7" t="s">
        <v>1793</v>
      </c>
      <c r="AI185" s="7">
        <v>12</v>
      </c>
      <c r="AJ185" s="38">
        <f t="shared" si="22"/>
        <v>0.70462762785149835</v>
      </c>
      <c r="AK185" s="9" t="b">
        <f t="shared" si="23"/>
        <v>1</v>
      </c>
      <c r="AL185" s="28" t="s">
        <v>1794</v>
      </c>
      <c r="AM185" s="28"/>
      <c r="AN185" s="28" t="s">
        <v>1792</v>
      </c>
    </row>
    <row r="186" spans="1:40" ht="30">
      <c r="A186" s="7">
        <v>185</v>
      </c>
      <c r="B186" s="7" t="s">
        <v>641</v>
      </c>
      <c r="C186" s="7" t="s">
        <v>45</v>
      </c>
      <c r="D186" s="7" t="s">
        <v>112</v>
      </c>
      <c r="E186" s="7" t="s">
        <v>1654</v>
      </c>
      <c r="F186" s="7" t="s">
        <v>45</v>
      </c>
      <c r="G186" s="14">
        <v>2580</v>
      </c>
      <c r="H186" s="14"/>
      <c r="I186" s="15"/>
      <c r="J186" s="14"/>
      <c r="K186" s="15"/>
      <c r="L186" s="14"/>
      <c r="M186" s="14"/>
      <c r="N186" s="13"/>
      <c r="O186" s="14"/>
      <c r="P186" s="14"/>
      <c r="Q186" s="15"/>
      <c r="R186" s="17">
        <f>IFERROR(G186/(G186+Priors!$H$18),0)</f>
        <v>0.72067039106145248</v>
      </c>
      <c r="S186" s="13">
        <v>0</v>
      </c>
      <c r="T186" s="40" t="b">
        <v>0</v>
      </c>
      <c r="U186" s="13">
        <v>1</v>
      </c>
      <c r="V186" s="40" t="b">
        <v>0</v>
      </c>
      <c r="W186" s="13">
        <v>1</v>
      </c>
      <c r="X186" s="17">
        <f t="shared" si="16"/>
        <v>0</v>
      </c>
      <c r="Y186" s="37">
        <f>VLOOKUP(D186,Priors!$A$18:$B$21,2,FALSE)</f>
        <v>8.4555315342179806</v>
      </c>
      <c r="Z186" s="38">
        <f t="shared" si="17"/>
        <v>8.4555315342179806</v>
      </c>
      <c r="AA186" s="39">
        <v>1</v>
      </c>
      <c r="AB186" s="38">
        <f t="shared" si="18"/>
        <v>8.4555315342179806</v>
      </c>
      <c r="AC186" s="37">
        <f>Priors!$K$18</f>
        <v>2.7435089299114512</v>
      </c>
      <c r="AD186" s="38" t="str">
        <f t="shared" si="19"/>
        <v/>
      </c>
      <c r="AE186" s="37">
        <f>Priors!$K$19</f>
        <v>0.67280088332719912</v>
      </c>
      <c r="AF186" s="38" t="str">
        <f t="shared" si="20"/>
        <v/>
      </c>
      <c r="AG186" s="17">
        <f t="shared" si="21"/>
        <v>1</v>
      </c>
      <c r="AH186" s="7" t="s">
        <v>1793</v>
      </c>
      <c r="AI186" s="7">
        <v>12</v>
      </c>
      <c r="AJ186" s="38">
        <f t="shared" si="22"/>
        <v>0.70462762785149835</v>
      </c>
      <c r="AK186" s="9" t="b">
        <f t="shared" si="23"/>
        <v>1</v>
      </c>
      <c r="AL186" s="28" t="s">
        <v>1794</v>
      </c>
      <c r="AM186" s="28"/>
      <c r="AN186" s="28" t="s">
        <v>1792</v>
      </c>
    </row>
    <row r="187" spans="1:40" ht="30">
      <c r="A187" s="7">
        <v>186</v>
      </c>
      <c r="B187" s="7" t="s">
        <v>644</v>
      </c>
      <c r="C187" s="7" t="s">
        <v>45</v>
      </c>
      <c r="D187" s="7" t="s">
        <v>112</v>
      </c>
      <c r="E187" s="7" t="s">
        <v>1654</v>
      </c>
      <c r="F187" s="7" t="s">
        <v>45</v>
      </c>
      <c r="G187" s="14">
        <v>3010</v>
      </c>
      <c r="H187" s="14"/>
      <c r="I187" s="15"/>
      <c r="J187" s="14"/>
      <c r="K187" s="15"/>
      <c r="L187" s="14"/>
      <c r="M187" s="14"/>
      <c r="N187" s="13"/>
      <c r="O187" s="14"/>
      <c r="P187" s="14"/>
      <c r="Q187" s="15"/>
      <c r="R187" s="17">
        <f>IFERROR(G187/(G187+Priors!$H$18),0)</f>
        <v>0.75062344139650872</v>
      </c>
      <c r="S187" s="13">
        <v>0</v>
      </c>
      <c r="T187" s="40" t="b">
        <v>0</v>
      </c>
      <c r="U187" s="13">
        <v>1</v>
      </c>
      <c r="V187" s="40" t="b">
        <v>0</v>
      </c>
      <c r="W187" s="13">
        <v>1</v>
      </c>
      <c r="X187" s="17">
        <f t="shared" si="16"/>
        <v>0</v>
      </c>
      <c r="Y187" s="37">
        <f>VLOOKUP(D187,Priors!$A$18:$B$21,2,FALSE)</f>
        <v>8.4555315342179806</v>
      </c>
      <c r="Z187" s="38">
        <f t="shared" si="17"/>
        <v>8.4555315342179806</v>
      </c>
      <c r="AA187" s="39">
        <v>1</v>
      </c>
      <c r="AB187" s="38">
        <f t="shared" si="18"/>
        <v>8.4555315342179806</v>
      </c>
      <c r="AC187" s="37">
        <f>Priors!$K$18</f>
        <v>2.7435089299114512</v>
      </c>
      <c r="AD187" s="38" t="str">
        <f t="shared" si="19"/>
        <v/>
      </c>
      <c r="AE187" s="37">
        <f>Priors!$K$19</f>
        <v>0.67280088332719912</v>
      </c>
      <c r="AF187" s="38" t="str">
        <f t="shared" si="20"/>
        <v/>
      </c>
      <c r="AG187" s="17">
        <f t="shared" si="21"/>
        <v>1</v>
      </c>
      <c r="AH187" s="7" t="s">
        <v>1793</v>
      </c>
      <c r="AI187" s="7">
        <v>12</v>
      </c>
      <c r="AJ187" s="38">
        <f t="shared" si="22"/>
        <v>0.70462762785149835</v>
      </c>
      <c r="AK187" s="9" t="b">
        <f t="shared" si="23"/>
        <v>1</v>
      </c>
      <c r="AL187" s="28" t="s">
        <v>1794</v>
      </c>
      <c r="AM187" s="28"/>
      <c r="AN187" s="28" t="s">
        <v>1792</v>
      </c>
    </row>
    <row r="188" spans="1:40" ht="30">
      <c r="A188" s="7">
        <v>187</v>
      </c>
      <c r="B188" s="7" t="s">
        <v>647</v>
      </c>
      <c r="C188" s="7" t="s">
        <v>45</v>
      </c>
      <c r="D188" s="7" t="s">
        <v>112</v>
      </c>
      <c r="E188" s="7" t="s">
        <v>1654</v>
      </c>
      <c r="F188" s="7" t="s">
        <v>45</v>
      </c>
      <c r="G188" s="14">
        <v>1500</v>
      </c>
      <c r="H188" s="14"/>
      <c r="I188" s="15"/>
      <c r="J188" s="14"/>
      <c r="K188" s="15"/>
      <c r="L188" s="14"/>
      <c r="M188" s="14"/>
      <c r="N188" s="13"/>
      <c r="O188" s="14"/>
      <c r="P188" s="14"/>
      <c r="Q188" s="15"/>
      <c r="R188" s="17">
        <f>IFERROR(G188/(G188+Priors!$H$18),0)</f>
        <v>0.6</v>
      </c>
      <c r="S188" s="13">
        <v>0</v>
      </c>
      <c r="T188" s="40" t="b">
        <v>0</v>
      </c>
      <c r="U188" s="13">
        <v>1</v>
      </c>
      <c r="V188" s="40" t="b">
        <v>0</v>
      </c>
      <c r="W188" s="13">
        <v>1</v>
      </c>
      <c r="X188" s="17">
        <f t="shared" si="16"/>
        <v>0</v>
      </c>
      <c r="Y188" s="37">
        <f>VLOOKUP(D188,Priors!$A$18:$B$21,2,FALSE)</f>
        <v>8.4555315342179806</v>
      </c>
      <c r="Z188" s="38">
        <f t="shared" si="17"/>
        <v>8.4555315342179806</v>
      </c>
      <c r="AA188" s="39">
        <v>1</v>
      </c>
      <c r="AB188" s="38">
        <f t="shared" si="18"/>
        <v>8.4555315342179806</v>
      </c>
      <c r="AC188" s="37">
        <f>Priors!$K$18</f>
        <v>2.7435089299114512</v>
      </c>
      <c r="AD188" s="38" t="str">
        <f t="shared" si="19"/>
        <v/>
      </c>
      <c r="AE188" s="37">
        <f>Priors!$K$19</f>
        <v>0.67280088332719912</v>
      </c>
      <c r="AF188" s="38" t="str">
        <f t="shared" si="20"/>
        <v/>
      </c>
      <c r="AG188" s="17">
        <f t="shared" si="21"/>
        <v>1</v>
      </c>
      <c r="AH188" s="7" t="s">
        <v>1793</v>
      </c>
      <c r="AI188" s="7">
        <v>12</v>
      </c>
      <c r="AJ188" s="38">
        <f t="shared" si="22"/>
        <v>0.70462762785149835</v>
      </c>
      <c r="AK188" s="9" t="b">
        <f t="shared" si="23"/>
        <v>1</v>
      </c>
      <c r="AL188" s="28" t="s">
        <v>1794</v>
      </c>
      <c r="AM188" s="28"/>
      <c r="AN188" s="28" t="s">
        <v>1792</v>
      </c>
    </row>
    <row r="189" spans="1:40" ht="30">
      <c r="A189" s="7">
        <v>188</v>
      </c>
      <c r="B189" s="7" t="s">
        <v>649</v>
      </c>
      <c r="C189" s="7" t="s">
        <v>45</v>
      </c>
      <c r="D189" s="7" t="s">
        <v>112</v>
      </c>
      <c r="E189" s="7" t="s">
        <v>1654</v>
      </c>
      <c r="F189" s="7" t="s">
        <v>45</v>
      </c>
      <c r="G189" s="14">
        <v>2314</v>
      </c>
      <c r="H189" s="14"/>
      <c r="I189" s="15"/>
      <c r="J189" s="14"/>
      <c r="K189" s="15"/>
      <c r="L189" s="14"/>
      <c r="M189" s="14"/>
      <c r="N189" s="13"/>
      <c r="O189" s="14"/>
      <c r="P189" s="14"/>
      <c r="Q189" s="15"/>
      <c r="R189" s="17">
        <f>IFERROR(G189/(G189+Priors!$H$18),0)</f>
        <v>0.6982498491249246</v>
      </c>
      <c r="S189" s="13">
        <v>0</v>
      </c>
      <c r="T189" s="40" t="b">
        <v>0</v>
      </c>
      <c r="U189" s="13">
        <v>1</v>
      </c>
      <c r="V189" s="40" t="b">
        <v>0</v>
      </c>
      <c r="W189" s="13">
        <v>1</v>
      </c>
      <c r="X189" s="17">
        <f t="shared" si="16"/>
        <v>0</v>
      </c>
      <c r="Y189" s="37">
        <f>VLOOKUP(D189,Priors!$A$18:$B$21,2,FALSE)</f>
        <v>8.4555315342179806</v>
      </c>
      <c r="Z189" s="38">
        <f t="shared" si="17"/>
        <v>8.4555315342179806</v>
      </c>
      <c r="AA189" s="39">
        <v>1</v>
      </c>
      <c r="AB189" s="38">
        <f t="shared" si="18"/>
        <v>8.4555315342179806</v>
      </c>
      <c r="AC189" s="37">
        <f>Priors!$K$18</f>
        <v>2.7435089299114512</v>
      </c>
      <c r="AD189" s="38" t="str">
        <f t="shared" si="19"/>
        <v/>
      </c>
      <c r="AE189" s="37">
        <f>Priors!$K$19</f>
        <v>0.67280088332719912</v>
      </c>
      <c r="AF189" s="38" t="str">
        <f t="shared" si="20"/>
        <v/>
      </c>
      <c r="AG189" s="17">
        <f t="shared" si="21"/>
        <v>1</v>
      </c>
      <c r="AH189" s="7" t="s">
        <v>1793</v>
      </c>
      <c r="AI189" s="7">
        <v>12</v>
      </c>
      <c r="AJ189" s="38">
        <f t="shared" si="22"/>
        <v>0.70462762785149835</v>
      </c>
      <c r="AK189" s="9" t="b">
        <f t="shared" si="23"/>
        <v>1</v>
      </c>
      <c r="AL189" s="28" t="s">
        <v>1794</v>
      </c>
      <c r="AM189" s="28"/>
      <c r="AN189" s="28" t="s">
        <v>1792</v>
      </c>
    </row>
    <row r="190" spans="1:40" ht="30">
      <c r="A190" s="7">
        <v>189</v>
      </c>
      <c r="B190" s="7" t="s">
        <v>652</v>
      </c>
      <c r="C190" s="7" t="s">
        <v>45</v>
      </c>
      <c r="D190" s="7" t="s">
        <v>112</v>
      </c>
      <c r="E190" s="7" t="s">
        <v>1647</v>
      </c>
      <c r="F190" s="7"/>
      <c r="G190" s="14">
        <v>0</v>
      </c>
      <c r="H190" s="14"/>
      <c r="I190" s="15"/>
      <c r="J190" s="14"/>
      <c r="K190" s="15"/>
      <c r="L190" s="14"/>
      <c r="M190" s="14"/>
      <c r="N190" s="13"/>
      <c r="O190" s="14"/>
      <c r="P190" s="14"/>
      <c r="Q190" s="15"/>
      <c r="R190" s="17">
        <f>IFERROR(G190/(G190+Priors!$H$18),0)</f>
        <v>0</v>
      </c>
      <c r="S190" s="13">
        <v>0</v>
      </c>
      <c r="T190" s="40" t="b">
        <v>0</v>
      </c>
      <c r="U190" s="13">
        <v>1</v>
      </c>
      <c r="V190" s="40" t="b">
        <v>0</v>
      </c>
      <c r="W190" s="13">
        <v>1</v>
      </c>
      <c r="X190" s="17">
        <f t="shared" si="16"/>
        <v>0</v>
      </c>
      <c r="Y190" s="37">
        <f>VLOOKUP(D190,Priors!$A$18:$B$21,2,FALSE)</f>
        <v>8.4555315342179806</v>
      </c>
      <c r="Z190" s="38">
        <f t="shared" si="17"/>
        <v>8.4555315342179806</v>
      </c>
      <c r="AA190" s="39">
        <v>1</v>
      </c>
      <c r="AB190" s="38">
        <f t="shared" si="18"/>
        <v>8.4555315342179806</v>
      </c>
      <c r="AC190" s="37">
        <f>Priors!$K$18</f>
        <v>2.7435089299114512</v>
      </c>
      <c r="AD190" s="38" t="str">
        <f t="shared" si="19"/>
        <v/>
      </c>
      <c r="AE190" s="37">
        <f>Priors!$K$19</f>
        <v>0.67280088332719912</v>
      </c>
      <c r="AF190" s="38" t="str">
        <f t="shared" si="20"/>
        <v/>
      </c>
      <c r="AG190" s="17">
        <f t="shared" si="21"/>
        <v>1</v>
      </c>
      <c r="AH190" s="7" t="s">
        <v>1793</v>
      </c>
      <c r="AI190" s="7">
        <v>12</v>
      </c>
      <c r="AJ190" s="38">
        <f t="shared" si="22"/>
        <v>0.70462762785149835</v>
      </c>
      <c r="AK190" s="9" t="b">
        <f t="shared" si="23"/>
        <v>1</v>
      </c>
      <c r="AL190" s="28" t="s">
        <v>1794</v>
      </c>
      <c r="AM190" s="28"/>
      <c r="AN190" s="28" t="s">
        <v>1792</v>
      </c>
    </row>
    <row r="191" spans="1:40" ht="30">
      <c r="A191" s="7">
        <v>190</v>
      </c>
      <c r="B191" s="7" t="s">
        <v>654</v>
      </c>
      <c r="C191" s="7" t="s">
        <v>45</v>
      </c>
      <c r="D191" s="7" t="s">
        <v>112</v>
      </c>
      <c r="E191" s="7" t="s">
        <v>1642</v>
      </c>
      <c r="F191" s="7" t="s">
        <v>1652</v>
      </c>
      <c r="G191" s="14">
        <v>1259</v>
      </c>
      <c r="H191" s="14">
        <v>69</v>
      </c>
      <c r="I191" s="15">
        <v>4.93</v>
      </c>
      <c r="J191" s="14">
        <v>0</v>
      </c>
      <c r="K191" s="15">
        <v>0</v>
      </c>
      <c r="L191" s="14">
        <v>24</v>
      </c>
      <c r="M191" s="14">
        <v>2</v>
      </c>
      <c r="N191" s="13"/>
      <c r="O191" s="14">
        <v>0</v>
      </c>
      <c r="P191" s="14">
        <v>208</v>
      </c>
      <c r="Q191" s="15">
        <v>14.868943606036536</v>
      </c>
      <c r="R191" s="17">
        <f>IFERROR(G191/(G191+Priors!$H$18),0)</f>
        <v>0.55732625055334217</v>
      </c>
      <c r="S191" s="13">
        <v>1</v>
      </c>
      <c r="T191" s="40" t="b">
        <v>1</v>
      </c>
      <c r="U191" s="13">
        <v>0.85</v>
      </c>
      <c r="V191" s="40" t="b">
        <v>0</v>
      </c>
      <c r="W191" s="13">
        <v>1</v>
      </c>
      <c r="X191" s="17">
        <f t="shared" si="16"/>
        <v>0.47372731297034082</v>
      </c>
      <c r="Y191" s="37">
        <f>VLOOKUP(D191,Priors!$A$18:$B$21,2,FALSE)</f>
        <v>8.4555315342179806</v>
      </c>
      <c r="Z191" s="38">
        <f t="shared" si="17"/>
        <v>6.7853909537206931</v>
      </c>
      <c r="AA191" s="39">
        <v>1</v>
      </c>
      <c r="AB191" s="38">
        <f t="shared" si="18"/>
        <v>6.7853909537206931</v>
      </c>
      <c r="AC191" s="37">
        <f>Priors!$K$18</f>
        <v>2.7435089299114512</v>
      </c>
      <c r="AD191" s="38" t="str">
        <f t="shared" si="19"/>
        <v/>
      </c>
      <c r="AE191" s="37">
        <f>Priors!$K$19</f>
        <v>0.67280088332719912</v>
      </c>
      <c r="AF191" s="38" t="str">
        <f t="shared" si="20"/>
        <v/>
      </c>
      <c r="AG191" s="17">
        <f t="shared" si="21"/>
        <v>0.52627268702965924</v>
      </c>
      <c r="AH191" s="7" t="s">
        <v>1643</v>
      </c>
      <c r="AI191" s="7">
        <v>12</v>
      </c>
      <c r="AJ191" s="38">
        <f t="shared" si="22"/>
        <v>0.56544924614339109</v>
      </c>
      <c r="AK191" s="9" t="b">
        <f t="shared" si="23"/>
        <v>1</v>
      </c>
      <c r="AL191" s="28" t="s">
        <v>1644</v>
      </c>
      <c r="AM191" s="28" t="s">
        <v>1645</v>
      </c>
      <c r="AN191" s="28" t="s">
        <v>1792</v>
      </c>
    </row>
    <row r="192" spans="1:40" ht="30">
      <c r="A192" s="7">
        <v>191</v>
      </c>
      <c r="B192" s="7" t="s">
        <v>657</v>
      </c>
      <c r="C192" s="7" t="s">
        <v>45</v>
      </c>
      <c r="D192" s="7" t="s">
        <v>112</v>
      </c>
      <c r="E192" s="7" t="s">
        <v>1647</v>
      </c>
      <c r="F192" s="7"/>
      <c r="G192" s="14">
        <v>0</v>
      </c>
      <c r="H192" s="14"/>
      <c r="I192" s="15"/>
      <c r="J192" s="14"/>
      <c r="K192" s="15"/>
      <c r="L192" s="14"/>
      <c r="M192" s="14"/>
      <c r="N192" s="13"/>
      <c r="O192" s="14"/>
      <c r="P192" s="14"/>
      <c r="Q192" s="15"/>
      <c r="R192" s="17">
        <f>IFERROR(G192/(G192+Priors!$H$18),0)</f>
        <v>0</v>
      </c>
      <c r="S192" s="13">
        <v>0</v>
      </c>
      <c r="T192" s="40" t="b">
        <v>0</v>
      </c>
      <c r="U192" s="13">
        <v>1</v>
      </c>
      <c r="V192" s="40" t="b">
        <v>0</v>
      </c>
      <c r="W192" s="13">
        <v>1</v>
      </c>
      <c r="X192" s="17">
        <f t="shared" si="16"/>
        <v>0</v>
      </c>
      <c r="Y192" s="37">
        <f>VLOOKUP(D192,Priors!$A$18:$B$21,2,FALSE)</f>
        <v>8.4555315342179806</v>
      </c>
      <c r="Z192" s="38">
        <f t="shared" si="17"/>
        <v>8.4555315342179806</v>
      </c>
      <c r="AA192" s="39">
        <v>1</v>
      </c>
      <c r="AB192" s="38">
        <f t="shared" si="18"/>
        <v>8.4555315342179806</v>
      </c>
      <c r="AC192" s="37">
        <f>Priors!$K$18</f>
        <v>2.7435089299114512</v>
      </c>
      <c r="AD192" s="38" t="str">
        <f t="shared" si="19"/>
        <v/>
      </c>
      <c r="AE192" s="37">
        <f>Priors!$K$19</f>
        <v>0.67280088332719912</v>
      </c>
      <c r="AF192" s="38" t="str">
        <f t="shared" si="20"/>
        <v/>
      </c>
      <c r="AG192" s="17">
        <f t="shared" si="21"/>
        <v>1</v>
      </c>
      <c r="AH192" s="7" t="s">
        <v>1793</v>
      </c>
      <c r="AI192" s="7">
        <v>12</v>
      </c>
      <c r="AJ192" s="38">
        <f t="shared" si="22"/>
        <v>0.70462762785149835</v>
      </c>
      <c r="AK192" s="9" t="b">
        <f t="shared" si="23"/>
        <v>1</v>
      </c>
      <c r="AL192" s="28" t="s">
        <v>1794</v>
      </c>
      <c r="AM192" s="28"/>
      <c r="AN192" s="28" t="s">
        <v>1792</v>
      </c>
    </row>
    <row r="193" spans="1:40" ht="30">
      <c r="A193" s="7">
        <v>192</v>
      </c>
      <c r="B193" s="7" t="s">
        <v>659</v>
      </c>
      <c r="C193" s="7" t="s">
        <v>45</v>
      </c>
      <c r="D193" s="7" t="s">
        <v>112</v>
      </c>
      <c r="E193" s="7" t="s">
        <v>1647</v>
      </c>
      <c r="F193" s="7"/>
      <c r="G193" s="14">
        <v>0</v>
      </c>
      <c r="H193" s="14"/>
      <c r="I193" s="15"/>
      <c r="J193" s="14"/>
      <c r="K193" s="15"/>
      <c r="L193" s="14"/>
      <c r="M193" s="14"/>
      <c r="N193" s="13"/>
      <c r="O193" s="14"/>
      <c r="P193" s="14"/>
      <c r="Q193" s="15"/>
      <c r="R193" s="17">
        <f>IFERROR(G193/(G193+Priors!$H$18),0)</f>
        <v>0</v>
      </c>
      <c r="S193" s="13">
        <v>0</v>
      </c>
      <c r="T193" s="40" t="b">
        <v>0</v>
      </c>
      <c r="U193" s="13">
        <v>1</v>
      </c>
      <c r="V193" s="40" t="b">
        <v>0</v>
      </c>
      <c r="W193" s="13">
        <v>1</v>
      </c>
      <c r="X193" s="17">
        <f t="shared" si="16"/>
        <v>0</v>
      </c>
      <c r="Y193" s="37">
        <f>VLOOKUP(D193,Priors!$A$18:$B$21,2,FALSE)</f>
        <v>8.4555315342179806</v>
      </c>
      <c r="Z193" s="38">
        <f t="shared" si="17"/>
        <v>8.4555315342179806</v>
      </c>
      <c r="AA193" s="39">
        <v>1</v>
      </c>
      <c r="AB193" s="38">
        <f t="shared" si="18"/>
        <v>8.4555315342179806</v>
      </c>
      <c r="AC193" s="37">
        <f>Priors!$K$18</f>
        <v>2.7435089299114512</v>
      </c>
      <c r="AD193" s="38" t="str">
        <f t="shared" si="19"/>
        <v/>
      </c>
      <c r="AE193" s="37">
        <f>Priors!$K$19</f>
        <v>0.67280088332719912</v>
      </c>
      <c r="AF193" s="38" t="str">
        <f t="shared" si="20"/>
        <v/>
      </c>
      <c r="AG193" s="17">
        <f t="shared" si="21"/>
        <v>1</v>
      </c>
      <c r="AH193" s="7" t="s">
        <v>1793</v>
      </c>
      <c r="AI193" s="7">
        <v>12</v>
      </c>
      <c r="AJ193" s="38">
        <f t="shared" si="22"/>
        <v>0.70462762785149835</v>
      </c>
      <c r="AK193" s="9" t="b">
        <f t="shared" si="23"/>
        <v>1</v>
      </c>
      <c r="AL193" s="28" t="s">
        <v>1794</v>
      </c>
      <c r="AM193" s="28"/>
      <c r="AN193" s="28" t="s">
        <v>1792</v>
      </c>
    </row>
    <row r="194" spans="1:40" ht="30">
      <c r="A194" s="7">
        <v>193</v>
      </c>
      <c r="B194" s="7" t="s">
        <v>662</v>
      </c>
      <c r="C194" s="7" t="s">
        <v>45</v>
      </c>
      <c r="D194" s="7" t="s">
        <v>167</v>
      </c>
      <c r="E194" s="7" t="s">
        <v>1654</v>
      </c>
      <c r="F194" s="7" t="s">
        <v>45</v>
      </c>
      <c r="G194" s="14">
        <v>2573</v>
      </c>
      <c r="H194" s="14"/>
      <c r="I194" s="15"/>
      <c r="J194" s="14"/>
      <c r="K194" s="15"/>
      <c r="L194" s="14"/>
      <c r="M194" s="14"/>
      <c r="N194" s="13"/>
      <c r="O194" s="14"/>
      <c r="P194" s="14"/>
      <c r="Q194" s="15"/>
      <c r="R194" s="17">
        <f>IFERROR(G194/(G194+Priors!$H$18),0)</f>
        <v>0.72012314581584103</v>
      </c>
      <c r="S194" s="13">
        <v>0</v>
      </c>
      <c r="T194" s="40" t="b">
        <v>0</v>
      </c>
      <c r="U194" s="13">
        <v>1</v>
      </c>
      <c r="V194" s="40" t="b">
        <v>0</v>
      </c>
      <c r="W194" s="13">
        <v>1</v>
      </c>
      <c r="X194" s="17">
        <f t="shared" ref="X194:X257" si="24">R194*S194*U194*W194</f>
        <v>0</v>
      </c>
      <c r="Y194" s="37">
        <f>VLOOKUP(D194,Priors!$A$18:$B$21,2,FALSE)</f>
        <v>4.5137422563476139</v>
      </c>
      <c r="Z194" s="38">
        <f t="shared" ref="Z194:Z257" si="25">IF(OR(H194="",G194=0),Y194,X194*I194+(1-X194)*Y194)</f>
        <v>4.5137422563476139</v>
      </c>
      <c r="AA194" s="39">
        <v>1</v>
      </c>
      <c r="AB194" s="38">
        <f t="shared" ref="AB194:AB257" si="26">Z194*AA194</f>
        <v>4.5137422563476139</v>
      </c>
      <c r="AC194" s="37">
        <f>Priors!$K$18</f>
        <v>2.7435089299114512</v>
      </c>
      <c r="AD194" s="38" t="str">
        <f t="shared" ref="AD194:AD257" si="27">IF(D194&lt;&gt;"GK","",IF(OR(K194="",G194=0),AC194,X194*K194+(1-X194)*AC194))</f>
        <v/>
      </c>
      <c r="AE194" s="37">
        <f>Priors!$K$19</f>
        <v>0.67280088332719912</v>
      </c>
      <c r="AF194" s="38" t="str">
        <f t="shared" ref="AF194:AF257" si="28">IF(D194&lt;&gt;"GK","",IF(OR(N194="",G194=0),AE194,X194*N194+(1-X194)*AE194))</f>
        <v/>
      </c>
      <c r="AG194" s="17">
        <f t="shared" ref="AG194:AG257" si="29">1-X194</f>
        <v>1</v>
      </c>
      <c r="AH194" s="7" t="s">
        <v>1793</v>
      </c>
      <c r="AI194" s="7">
        <v>12</v>
      </c>
      <c r="AJ194" s="38">
        <f t="shared" ref="AJ194:AJ257" si="30">IF(OR(AI194="",AI194=0),"",AB194/AI194)</f>
        <v>0.37614518802896785</v>
      </c>
      <c r="AK194" s="9" t="b">
        <f t="shared" ref="AK194:AK257" si="31">OR(AG194&gt;=0.5,E194&lt;&gt;"Premier League",T194=TRUE,V194=TRUE)</f>
        <v>1</v>
      </c>
      <c r="AL194" s="28" t="s">
        <v>1794</v>
      </c>
      <c r="AM194" s="28"/>
      <c r="AN194" s="28" t="s">
        <v>1792</v>
      </c>
    </row>
    <row r="195" spans="1:40" ht="30">
      <c r="A195" s="7">
        <v>194</v>
      </c>
      <c r="B195" s="7" t="s">
        <v>664</v>
      </c>
      <c r="C195" s="7" t="s">
        <v>45</v>
      </c>
      <c r="D195" s="7" t="s">
        <v>167</v>
      </c>
      <c r="E195" s="7" t="s">
        <v>1654</v>
      </c>
      <c r="F195" s="7" t="s">
        <v>45</v>
      </c>
      <c r="G195" s="14">
        <v>1880</v>
      </c>
      <c r="H195" s="14"/>
      <c r="I195" s="15"/>
      <c r="J195" s="14"/>
      <c r="K195" s="15"/>
      <c r="L195" s="14"/>
      <c r="M195" s="14"/>
      <c r="N195" s="13"/>
      <c r="O195" s="14"/>
      <c r="P195" s="14"/>
      <c r="Q195" s="15"/>
      <c r="R195" s="17">
        <f>IFERROR(G195/(G195+Priors!$H$18),0)</f>
        <v>0.65277777777777779</v>
      </c>
      <c r="S195" s="13">
        <v>0</v>
      </c>
      <c r="T195" s="40" t="b">
        <v>0</v>
      </c>
      <c r="U195" s="13">
        <v>1</v>
      </c>
      <c r="V195" s="40" t="b">
        <v>0</v>
      </c>
      <c r="W195" s="13">
        <v>1</v>
      </c>
      <c r="X195" s="17">
        <f t="shared" si="24"/>
        <v>0</v>
      </c>
      <c r="Y195" s="37">
        <f>VLOOKUP(D195,Priors!$A$18:$B$21,2,FALSE)</f>
        <v>4.5137422563476139</v>
      </c>
      <c r="Z195" s="38">
        <f t="shared" si="25"/>
        <v>4.5137422563476139</v>
      </c>
      <c r="AA195" s="39">
        <v>1</v>
      </c>
      <c r="AB195" s="38">
        <f t="shared" si="26"/>
        <v>4.5137422563476139</v>
      </c>
      <c r="AC195" s="37">
        <f>Priors!$K$18</f>
        <v>2.7435089299114512</v>
      </c>
      <c r="AD195" s="38" t="str">
        <f t="shared" si="27"/>
        <v/>
      </c>
      <c r="AE195" s="37">
        <f>Priors!$K$19</f>
        <v>0.67280088332719912</v>
      </c>
      <c r="AF195" s="38" t="str">
        <f t="shared" si="28"/>
        <v/>
      </c>
      <c r="AG195" s="17">
        <f t="shared" si="29"/>
        <v>1</v>
      </c>
      <c r="AH195" s="7" t="s">
        <v>1793</v>
      </c>
      <c r="AI195" s="7">
        <v>12</v>
      </c>
      <c r="AJ195" s="38">
        <f t="shared" si="30"/>
        <v>0.37614518802896785</v>
      </c>
      <c r="AK195" s="9" t="b">
        <f t="shared" si="31"/>
        <v>1</v>
      </c>
      <c r="AL195" s="28" t="s">
        <v>1794</v>
      </c>
      <c r="AM195" s="28"/>
      <c r="AN195" s="28" t="s">
        <v>1792</v>
      </c>
    </row>
    <row r="196" spans="1:40" ht="30">
      <c r="A196" s="7">
        <v>195</v>
      </c>
      <c r="B196" s="7" t="s">
        <v>667</v>
      </c>
      <c r="C196" s="7" t="s">
        <v>45</v>
      </c>
      <c r="D196" s="7" t="s">
        <v>167</v>
      </c>
      <c r="E196" s="7" t="s">
        <v>1654</v>
      </c>
      <c r="F196" s="7" t="s">
        <v>45</v>
      </c>
      <c r="G196" s="14">
        <v>1631</v>
      </c>
      <c r="H196" s="14"/>
      <c r="I196" s="15"/>
      <c r="J196" s="14"/>
      <c r="K196" s="15"/>
      <c r="L196" s="14"/>
      <c r="M196" s="14"/>
      <c r="N196" s="13"/>
      <c r="O196" s="14"/>
      <c r="P196" s="14"/>
      <c r="Q196" s="15"/>
      <c r="R196" s="17">
        <f>IFERROR(G196/(G196+Priors!$H$18),0)</f>
        <v>0.6199163816039529</v>
      </c>
      <c r="S196" s="13">
        <v>0</v>
      </c>
      <c r="T196" s="40" t="b">
        <v>0</v>
      </c>
      <c r="U196" s="13">
        <v>1</v>
      </c>
      <c r="V196" s="40" t="b">
        <v>0</v>
      </c>
      <c r="W196" s="13">
        <v>1</v>
      </c>
      <c r="X196" s="17">
        <f t="shared" si="24"/>
        <v>0</v>
      </c>
      <c r="Y196" s="37">
        <f>VLOOKUP(D196,Priors!$A$18:$B$21,2,FALSE)</f>
        <v>4.5137422563476139</v>
      </c>
      <c r="Z196" s="38">
        <f t="shared" si="25"/>
        <v>4.5137422563476139</v>
      </c>
      <c r="AA196" s="39">
        <v>1</v>
      </c>
      <c r="AB196" s="38">
        <f t="shared" si="26"/>
        <v>4.5137422563476139</v>
      </c>
      <c r="AC196" s="37">
        <f>Priors!$K$18</f>
        <v>2.7435089299114512</v>
      </c>
      <c r="AD196" s="38" t="str">
        <f t="shared" si="27"/>
        <v/>
      </c>
      <c r="AE196" s="37">
        <f>Priors!$K$19</f>
        <v>0.67280088332719912</v>
      </c>
      <c r="AF196" s="38" t="str">
        <f t="shared" si="28"/>
        <v/>
      </c>
      <c r="AG196" s="17">
        <f t="shared" si="29"/>
        <v>1</v>
      </c>
      <c r="AH196" s="7" t="s">
        <v>1793</v>
      </c>
      <c r="AI196" s="7">
        <v>12</v>
      </c>
      <c r="AJ196" s="38">
        <f t="shared" si="30"/>
        <v>0.37614518802896785</v>
      </c>
      <c r="AK196" s="9" t="b">
        <f t="shared" si="31"/>
        <v>1</v>
      </c>
      <c r="AL196" s="28" t="s">
        <v>1794</v>
      </c>
      <c r="AM196" s="28"/>
      <c r="AN196" s="28" t="s">
        <v>1792</v>
      </c>
    </row>
    <row r="197" spans="1:40" ht="30">
      <c r="A197" s="7">
        <v>196</v>
      </c>
      <c r="B197" s="7" t="s">
        <v>670</v>
      </c>
      <c r="C197" s="7" t="s">
        <v>45</v>
      </c>
      <c r="D197" s="7" t="s">
        <v>167</v>
      </c>
      <c r="E197" s="7" t="s">
        <v>1647</v>
      </c>
      <c r="F197" s="7"/>
      <c r="G197" s="14">
        <v>0</v>
      </c>
      <c r="H197" s="14"/>
      <c r="I197" s="15"/>
      <c r="J197" s="14"/>
      <c r="K197" s="15"/>
      <c r="L197" s="14"/>
      <c r="M197" s="14"/>
      <c r="N197" s="13"/>
      <c r="O197" s="14"/>
      <c r="P197" s="14"/>
      <c r="Q197" s="15"/>
      <c r="R197" s="17">
        <f>IFERROR(G197/(G197+Priors!$H$18),0)</f>
        <v>0</v>
      </c>
      <c r="S197" s="13">
        <v>0</v>
      </c>
      <c r="T197" s="40" t="b">
        <v>0</v>
      </c>
      <c r="U197" s="13">
        <v>1</v>
      </c>
      <c r="V197" s="40" t="b">
        <v>0</v>
      </c>
      <c r="W197" s="13">
        <v>1</v>
      </c>
      <c r="X197" s="17">
        <f t="shared" si="24"/>
        <v>0</v>
      </c>
      <c r="Y197" s="37">
        <f>VLOOKUP(D197,Priors!$A$18:$B$21,2,FALSE)</f>
        <v>4.5137422563476139</v>
      </c>
      <c r="Z197" s="38">
        <f t="shared" si="25"/>
        <v>4.5137422563476139</v>
      </c>
      <c r="AA197" s="39">
        <v>1</v>
      </c>
      <c r="AB197" s="38">
        <f t="shared" si="26"/>
        <v>4.5137422563476139</v>
      </c>
      <c r="AC197" s="37">
        <f>Priors!$K$18</f>
        <v>2.7435089299114512</v>
      </c>
      <c r="AD197" s="38" t="str">
        <f t="shared" si="27"/>
        <v/>
      </c>
      <c r="AE197" s="37">
        <f>Priors!$K$19</f>
        <v>0.67280088332719912</v>
      </c>
      <c r="AF197" s="38" t="str">
        <f t="shared" si="28"/>
        <v/>
      </c>
      <c r="AG197" s="17">
        <f t="shared" si="29"/>
        <v>1</v>
      </c>
      <c r="AH197" s="7" t="s">
        <v>1793</v>
      </c>
      <c r="AI197" s="7">
        <v>12</v>
      </c>
      <c r="AJ197" s="38">
        <f t="shared" si="30"/>
        <v>0.37614518802896785</v>
      </c>
      <c r="AK197" s="9" t="b">
        <f t="shared" si="31"/>
        <v>1</v>
      </c>
      <c r="AL197" s="28" t="s">
        <v>1794</v>
      </c>
      <c r="AM197" s="28"/>
      <c r="AN197" s="28" t="s">
        <v>1792</v>
      </c>
    </row>
    <row r="198" spans="1:40" ht="30">
      <c r="A198" s="7">
        <v>197</v>
      </c>
      <c r="B198" s="7" t="s">
        <v>672</v>
      </c>
      <c r="C198" s="7" t="s">
        <v>45</v>
      </c>
      <c r="D198" s="7" t="s">
        <v>167</v>
      </c>
      <c r="E198" s="7" t="s">
        <v>1647</v>
      </c>
      <c r="F198" s="7"/>
      <c r="G198" s="14">
        <v>0</v>
      </c>
      <c r="H198" s="14"/>
      <c r="I198" s="15"/>
      <c r="J198" s="14"/>
      <c r="K198" s="15"/>
      <c r="L198" s="14"/>
      <c r="M198" s="14"/>
      <c r="N198" s="13"/>
      <c r="O198" s="14"/>
      <c r="P198" s="14"/>
      <c r="Q198" s="15"/>
      <c r="R198" s="17">
        <f>IFERROR(G198/(G198+Priors!$H$18),0)</f>
        <v>0</v>
      </c>
      <c r="S198" s="13">
        <v>0</v>
      </c>
      <c r="T198" s="40" t="b">
        <v>0</v>
      </c>
      <c r="U198" s="13">
        <v>1</v>
      </c>
      <c r="V198" s="40" t="b">
        <v>0</v>
      </c>
      <c r="W198" s="13">
        <v>1</v>
      </c>
      <c r="X198" s="17">
        <f t="shared" si="24"/>
        <v>0</v>
      </c>
      <c r="Y198" s="37">
        <f>VLOOKUP(D198,Priors!$A$18:$B$21,2,FALSE)</f>
        <v>4.5137422563476139</v>
      </c>
      <c r="Z198" s="38">
        <f t="shared" si="25"/>
        <v>4.5137422563476139</v>
      </c>
      <c r="AA198" s="39">
        <v>1</v>
      </c>
      <c r="AB198" s="38">
        <f t="shared" si="26"/>
        <v>4.5137422563476139</v>
      </c>
      <c r="AC198" s="37">
        <f>Priors!$K$18</f>
        <v>2.7435089299114512</v>
      </c>
      <c r="AD198" s="38" t="str">
        <f t="shared" si="27"/>
        <v/>
      </c>
      <c r="AE198" s="37">
        <f>Priors!$K$19</f>
        <v>0.67280088332719912</v>
      </c>
      <c r="AF198" s="38" t="str">
        <f t="shared" si="28"/>
        <v/>
      </c>
      <c r="AG198" s="17">
        <f t="shared" si="29"/>
        <v>1</v>
      </c>
      <c r="AH198" s="7" t="s">
        <v>1793</v>
      </c>
      <c r="AI198" s="7">
        <v>12</v>
      </c>
      <c r="AJ198" s="38">
        <f t="shared" si="30"/>
        <v>0.37614518802896785</v>
      </c>
      <c r="AK198" s="9" t="b">
        <f t="shared" si="31"/>
        <v>1</v>
      </c>
      <c r="AL198" s="28" t="s">
        <v>1794</v>
      </c>
      <c r="AM198" s="28"/>
      <c r="AN198" s="28" t="s">
        <v>1792</v>
      </c>
    </row>
    <row r="199" spans="1:40" ht="30">
      <c r="A199" s="7">
        <v>198</v>
      </c>
      <c r="B199" s="7" t="s">
        <v>398</v>
      </c>
      <c r="C199" s="7" t="s">
        <v>46</v>
      </c>
      <c r="D199" s="7" t="s">
        <v>85</v>
      </c>
      <c r="E199" s="7" t="s">
        <v>1642</v>
      </c>
      <c r="F199" s="7" t="s">
        <v>46</v>
      </c>
      <c r="G199" s="14">
        <v>3330</v>
      </c>
      <c r="H199" s="14">
        <v>80</v>
      </c>
      <c r="I199" s="15">
        <v>0</v>
      </c>
      <c r="J199" s="14">
        <v>106</v>
      </c>
      <c r="K199" s="15">
        <v>2.86</v>
      </c>
      <c r="L199" s="14">
        <v>51</v>
      </c>
      <c r="M199" s="14">
        <v>11</v>
      </c>
      <c r="N199" s="13">
        <v>0.67515923566878977</v>
      </c>
      <c r="O199" s="14">
        <v>7</v>
      </c>
      <c r="P199" s="14">
        <v>538</v>
      </c>
      <c r="Q199" s="15">
        <v>14.54054054054054</v>
      </c>
      <c r="R199" s="17">
        <f>IFERROR(G199/(G199+Priors!$H$18),0)</f>
        <v>0.76905311778290997</v>
      </c>
      <c r="S199" s="13">
        <v>1</v>
      </c>
      <c r="T199" s="40" t="b">
        <v>0</v>
      </c>
      <c r="U199" s="13">
        <v>1</v>
      </c>
      <c r="V199" s="40" t="b">
        <v>1</v>
      </c>
      <c r="W199" s="13">
        <v>0.9</v>
      </c>
      <c r="X199" s="17">
        <f t="shared" si="24"/>
        <v>0.692147806004619</v>
      </c>
      <c r="Y199" s="37">
        <f>VLOOKUP(D199,Priors!$A$18:$B$21,2,FALSE)</f>
        <v>2.6414527990394716</v>
      </c>
      <c r="Z199" s="38">
        <f t="shared" si="25"/>
        <v>0.81317703951954157</v>
      </c>
      <c r="AA199" s="39">
        <v>1</v>
      </c>
      <c r="AB199" s="38">
        <f t="shared" si="26"/>
        <v>0.81317703951954157</v>
      </c>
      <c r="AC199" s="37">
        <f>Priors!$K$18</f>
        <v>2.7435089299114512</v>
      </c>
      <c r="AD199" s="38">
        <f t="shared" si="27"/>
        <v>2.8241379684923706</v>
      </c>
      <c r="AE199" s="37">
        <f>Priors!$K$19</f>
        <v>0.67280088332719912</v>
      </c>
      <c r="AF199" s="38">
        <f t="shared" si="28"/>
        <v>0.67443321172621695</v>
      </c>
      <c r="AG199" s="17">
        <f t="shared" si="29"/>
        <v>0.307852193995381</v>
      </c>
      <c r="AH199" s="7" t="s">
        <v>1643</v>
      </c>
      <c r="AI199" s="7"/>
      <c r="AJ199" s="38" t="str">
        <f t="shared" si="30"/>
        <v/>
      </c>
      <c r="AK199" s="9" t="b">
        <f t="shared" si="31"/>
        <v>1</v>
      </c>
      <c r="AL199" s="28" t="s">
        <v>1644</v>
      </c>
      <c r="AM199" s="28" t="s">
        <v>1645</v>
      </c>
      <c r="AN199" s="28" t="s">
        <v>1792</v>
      </c>
    </row>
    <row r="200" spans="1:40" ht="30">
      <c r="A200" s="7">
        <v>199</v>
      </c>
      <c r="B200" s="7" t="s">
        <v>678</v>
      </c>
      <c r="C200" s="7" t="s">
        <v>46</v>
      </c>
      <c r="D200" s="7" t="s">
        <v>85</v>
      </c>
      <c r="E200" s="7" t="s">
        <v>1642</v>
      </c>
      <c r="F200" s="7" t="s">
        <v>46</v>
      </c>
      <c r="G200" s="14">
        <v>90</v>
      </c>
      <c r="H200" s="14">
        <v>0</v>
      </c>
      <c r="I200" s="15">
        <v>0</v>
      </c>
      <c r="J200" s="14">
        <v>3</v>
      </c>
      <c r="K200" s="15">
        <v>3</v>
      </c>
      <c r="L200" s="14">
        <v>0</v>
      </c>
      <c r="M200" s="14">
        <v>1</v>
      </c>
      <c r="N200" s="13">
        <v>1</v>
      </c>
      <c r="O200" s="14">
        <v>0</v>
      </c>
      <c r="P200" s="14">
        <v>29</v>
      </c>
      <c r="Q200" s="15">
        <v>29</v>
      </c>
      <c r="R200" s="17">
        <f>IFERROR(G200/(G200+Priors!$H$18),0)</f>
        <v>8.2568807339449546E-2</v>
      </c>
      <c r="S200" s="13">
        <v>1</v>
      </c>
      <c r="T200" s="40" t="b">
        <v>0</v>
      </c>
      <c r="U200" s="13">
        <v>1</v>
      </c>
      <c r="V200" s="40" t="b">
        <v>1</v>
      </c>
      <c r="W200" s="13">
        <v>0.9</v>
      </c>
      <c r="X200" s="17">
        <f t="shared" si="24"/>
        <v>7.4311926605504591E-2</v>
      </c>
      <c r="Y200" s="37">
        <f>VLOOKUP(D200,Priors!$A$18:$B$21,2,FALSE)</f>
        <v>2.6414527990394716</v>
      </c>
      <c r="Z200" s="38">
        <f t="shared" si="25"/>
        <v>2.4451613525053459</v>
      </c>
      <c r="AA200" s="39">
        <v>1</v>
      </c>
      <c r="AB200" s="38">
        <f t="shared" si="26"/>
        <v>2.4451613525053459</v>
      </c>
      <c r="AC200" s="37">
        <f>Priors!$K$18</f>
        <v>2.7435089299114512</v>
      </c>
      <c r="AD200" s="38">
        <f t="shared" si="27"/>
        <v>2.7625692754868387</v>
      </c>
      <c r="AE200" s="37">
        <f>Priors!$K$19</f>
        <v>0.67280088332719912</v>
      </c>
      <c r="AF200" s="38">
        <f t="shared" si="28"/>
        <v>0.69711568007077418</v>
      </c>
      <c r="AG200" s="17">
        <f t="shared" si="29"/>
        <v>0.92568807339449544</v>
      </c>
      <c r="AH200" s="7" t="s">
        <v>1643</v>
      </c>
      <c r="AI200" s="7"/>
      <c r="AJ200" s="38" t="str">
        <f t="shared" si="30"/>
        <v/>
      </c>
      <c r="AK200" s="9" t="b">
        <f t="shared" si="31"/>
        <v>1</v>
      </c>
      <c r="AL200" s="28" t="s">
        <v>1644</v>
      </c>
      <c r="AM200" s="28" t="s">
        <v>1645</v>
      </c>
      <c r="AN200" s="28" t="s">
        <v>1792</v>
      </c>
    </row>
    <row r="201" spans="1:40" ht="30">
      <c r="A201" s="7">
        <v>200</v>
      </c>
      <c r="B201" s="7" t="s">
        <v>593</v>
      </c>
      <c r="C201" s="7" t="s">
        <v>44</v>
      </c>
      <c r="D201" s="7" t="s">
        <v>99</v>
      </c>
      <c r="E201" s="7" t="s">
        <v>1642</v>
      </c>
      <c r="F201" s="7" t="s">
        <v>46</v>
      </c>
      <c r="G201" s="14">
        <v>3085</v>
      </c>
      <c r="H201" s="14">
        <v>397</v>
      </c>
      <c r="I201" s="15">
        <v>10.79</v>
      </c>
      <c r="J201" s="14">
        <v>0</v>
      </c>
      <c r="K201" s="15">
        <v>0</v>
      </c>
      <c r="L201" s="14">
        <v>47</v>
      </c>
      <c r="M201" s="14">
        <v>11</v>
      </c>
      <c r="N201" s="13"/>
      <c r="O201" s="14">
        <v>11</v>
      </c>
      <c r="P201" s="14">
        <v>529</v>
      </c>
      <c r="Q201" s="15">
        <v>15.432739059967584</v>
      </c>
      <c r="R201" s="17">
        <f>IFERROR(G201/(G201+Priors!$H$18),0)</f>
        <v>0.75520195838433291</v>
      </c>
      <c r="S201" s="13">
        <v>1</v>
      </c>
      <c r="T201" s="40" t="b">
        <v>1</v>
      </c>
      <c r="U201" s="13">
        <v>0.85</v>
      </c>
      <c r="V201" s="40" t="b">
        <v>1</v>
      </c>
      <c r="W201" s="13">
        <v>0.9</v>
      </c>
      <c r="X201" s="17">
        <f t="shared" si="24"/>
        <v>0.57772949816401475</v>
      </c>
      <c r="Y201" s="37">
        <f>VLOOKUP(D201,Priors!$A$18:$B$21,2,FALSE)</f>
        <v>8.7398272304160223</v>
      </c>
      <c r="Z201" s="38">
        <f t="shared" si="25"/>
        <v>9.924272515737302</v>
      </c>
      <c r="AA201" s="39">
        <v>1</v>
      </c>
      <c r="AB201" s="38">
        <f t="shared" si="26"/>
        <v>9.924272515737302</v>
      </c>
      <c r="AC201" s="37">
        <f>Priors!$K$18</f>
        <v>2.7435089299114512</v>
      </c>
      <c r="AD201" s="38" t="str">
        <f t="shared" si="27"/>
        <v/>
      </c>
      <c r="AE201" s="37">
        <f>Priors!$K$19</f>
        <v>0.67280088332719912</v>
      </c>
      <c r="AF201" s="38" t="str">
        <f t="shared" si="28"/>
        <v/>
      </c>
      <c r="AG201" s="17">
        <f t="shared" si="29"/>
        <v>0.42227050183598525</v>
      </c>
      <c r="AH201" s="7" t="s">
        <v>1643</v>
      </c>
      <c r="AI201" s="7">
        <v>10</v>
      </c>
      <c r="AJ201" s="38">
        <f t="shared" si="30"/>
        <v>0.99242725157373024</v>
      </c>
      <c r="AK201" s="9" t="b">
        <f t="shared" si="31"/>
        <v>1</v>
      </c>
      <c r="AL201" s="28" t="s">
        <v>1644</v>
      </c>
      <c r="AM201" s="28" t="s">
        <v>1645</v>
      </c>
      <c r="AN201" s="28" t="s">
        <v>1792</v>
      </c>
    </row>
    <row r="202" spans="1:40" ht="30">
      <c r="A202" s="7">
        <v>201</v>
      </c>
      <c r="B202" s="7" t="s">
        <v>680</v>
      </c>
      <c r="C202" s="7" t="s">
        <v>46</v>
      </c>
      <c r="D202" s="7" t="s">
        <v>99</v>
      </c>
      <c r="E202" s="7" t="s">
        <v>1642</v>
      </c>
      <c r="F202" s="7" t="s">
        <v>46</v>
      </c>
      <c r="G202" s="14">
        <v>2400</v>
      </c>
      <c r="H202" s="14">
        <v>236</v>
      </c>
      <c r="I202" s="15">
        <v>7.35</v>
      </c>
      <c r="J202" s="14">
        <v>0</v>
      </c>
      <c r="K202" s="15">
        <v>0</v>
      </c>
      <c r="L202" s="14">
        <v>33</v>
      </c>
      <c r="M202" s="14">
        <v>10</v>
      </c>
      <c r="N202" s="13"/>
      <c r="O202" s="14">
        <v>9</v>
      </c>
      <c r="P202" s="14">
        <v>469</v>
      </c>
      <c r="Q202" s="15">
        <v>17.587499999999999</v>
      </c>
      <c r="R202" s="17">
        <f>IFERROR(G202/(G202+Priors!$H$18),0)</f>
        <v>0.70588235294117652</v>
      </c>
      <c r="S202" s="13">
        <v>1</v>
      </c>
      <c r="T202" s="40" t="b">
        <v>0</v>
      </c>
      <c r="U202" s="13">
        <v>1</v>
      </c>
      <c r="V202" s="40" t="b">
        <v>1</v>
      </c>
      <c r="W202" s="13">
        <v>0.9</v>
      </c>
      <c r="X202" s="17">
        <f t="shared" si="24"/>
        <v>0.6352941176470589</v>
      </c>
      <c r="Y202" s="37">
        <f>VLOOKUP(D202,Priors!$A$18:$B$21,2,FALSE)</f>
        <v>8.7398272304160223</v>
      </c>
      <c r="Z202" s="38">
        <f t="shared" si="25"/>
        <v>7.8568781663870197</v>
      </c>
      <c r="AA202" s="39">
        <v>1</v>
      </c>
      <c r="AB202" s="38">
        <f t="shared" si="26"/>
        <v>7.8568781663870197</v>
      </c>
      <c r="AC202" s="37">
        <f>Priors!$K$18</f>
        <v>2.7435089299114512</v>
      </c>
      <c r="AD202" s="38" t="str">
        <f t="shared" si="27"/>
        <v/>
      </c>
      <c r="AE202" s="37">
        <f>Priors!$K$19</f>
        <v>0.67280088332719912</v>
      </c>
      <c r="AF202" s="38" t="str">
        <f t="shared" si="28"/>
        <v/>
      </c>
      <c r="AG202" s="17">
        <f t="shared" si="29"/>
        <v>0.3647058823529411</v>
      </c>
      <c r="AH202" s="7" t="s">
        <v>1643</v>
      </c>
      <c r="AI202" s="7">
        <v>10</v>
      </c>
      <c r="AJ202" s="38">
        <f t="shared" si="30"/>
        <v>0.78568781663870202</v>
      </c>
      <c r="AK202" s="9" t="b">
        <f t="shared" si="31"/>
        <v>1</v>
      </c>
      <c r="AL202" s="28" t="s">
        <v>1644</v>
      </c>
      <c r="AM202" s="28" t="s">
        <v>1645</v>
      </c>
      <c r="AN202" s="28" t="s">
        <v>1792</v>
      </c>
    </row>
    <row r="203" spans="1:40" ht="30">
      <c r="A203" s="7">
        <v>202</v>
      </c>
      <c r="B203" s="7" t="s">
        <v>683</v>
      </c>
      <c r="C203" s="7" t="s">
        <v>46</v>
      </c>
      <c r="D203" s="7" t="s">
        <v>99</v>
      </c>
      <c r="E203" s="7" t="s">
        <v>1642</v>
      </c>
      <c r="F203" s="7" t="s">
        <v>46</v>
      </c>
      <c r="G203" s="14">
        <v>2825</v>
      </c>
      <c r="H203" s="14">
        <v>323</v>
      </c>
      <c r="I203" s="15">
        <v>9.91</v>
      </c>
      <c r="J203" s="14">
        <v>0</v>
      </c>
      <c r="K203" s="15">
        <v>0</v>
      </c>
      <c r="L203" s="14">
        <v>42</v>
      </c>
      <c r="M203" s="14">
        <v>11</v>
      </c>
      <c r="N203" s="13"/>
      <c r="O203" s="14">
        <v>5</v>
      </c>
      <c r="P203" s="14">
        <v>453</v>
      </c>
      <c r="Q203" s="15">
        <v>14.431858407079647</v>
      </c>
      <c r="R203" s="17">
        <f>IFERROR(G203/(G203+Priors!$H$18),0)</f>
        <v>0.73856209150326801</v>
      </c>
      <c r="S203" s="13">
        <v>1</v>
      </c>
      <c r="T203" s="40" t="b">
        <v>0</v>
      </c>
      <c r="U203" s="13">
        <v>1</v>
      </c>
      <c r="V203" s="40" t="b">
        <v>1</v>
      </c>
      <c r="W203" s="13">
        <v>0.9</v>
      </c>
      <c r="X203" s="17">
        <f t="shared" si="24"/>
        <v>0.66470588235294126</v>
      </c>
      <c r="Y203" s="37">
        <f>VLOOKUP(D203,Priors!$A$18:$B$21,2,FALSE)</f>
        <v>8.7398272304160223</v>
      </c>
      <c r="Z203" s="38">
        <f t="shared" si="25"/>
        <v>9.5176479537277245</v>
      </c>
      <c r="AA203" s="39">
        <v>1</v>
      </c>
      <c r="AB203" s="38">
        <f t="shared" si="26"/>
        <v>9.5176479537277245</v>
      </c>
      <c r="AC203" s="37">
        <f>Priors!$K$18</f>
        <v>2.7435089299114512</v>
      </c>
      <c r="AD203" s="38" t="str">
        <f t="shared" si="27"/>
        <v/>
      </c>
      <c r="AE203" s="37">
        <f>Priors!$K$19</f>
        <v>0.67280088332719912</v>
      </c>
      <c r="AF203" s="38" t="str">
        <f t="shared" si="28"/>
        <v/>
      </c>
      <c r="AG203" s="17">
        <f t="shared" si="29"/>
        <v>0.33529411764705874</v>
      </c>
      <c r="AH203" s="7" t="s">
        <v>1643</v>
      </c>
      <c r="AI203" s="7">
        <v>10</v>
      </c>
      <c r="AJ203" s="38">
        <f t="shared" si="30"/>
        <v>0.95176479537277248</v>
      </c>
      <c r="AK203" s="9" t="b">
        <f t="shared" si="31"/>
        <v>1</v>
      </c>
      <c r="AL203" s="28" t="s">
        <v>1644</v>
      </c>
      <c r="AM203" s="28" t="s">
        <v>1645</v>
      </c>
      <c r="AN203" s="28" t="s">
        <v>1792</v>
      </c>
    </row>
    <row r="204" spans="1:40" ht="30">
      <c r="A204" s="7">
        <v>203</v>
      </c>
      <c r="B204" s="7" t="s">
        <v>686</v>
      </c>
      <c r="C204" s="7" t="s">
        <v>46</v>
      </c>
      <c r="D204" s="7" t="s">
        <v>99</v>
      </c>
      <c r="E204" s="7" t="s">
        <v>1642</v>
      </c>
      <c r="F204" s="7" t="s">
        <v>46</v>
      </c>
      <c r="G204" s="14">
        <v>1331</v>
      </c>
      <c r="H204" s="14">
        <v>169</v>
      </c>
      <c r="I204" s="15">
        <v>11.43</v>
      </c>
      <c r="J204" s="14">
        <v>0</v>
      </c>
      <c r="K204" s="15">
        <v>0</v>
      </c>
      <c r="L204" s="14">
        <v>23</v>
      </c>
      <c r="M204" s="14">
        <v>5</v>
      </c>
      <c r="N204" s="13"/>
      <c r="O204" s="14">
        <v>9</v>
      </c>
      <c r="P204" s="14">
        <v>216</v>
      </c>
      <c r="Q204" s="15">
        <v>14.605559729526671</v>
      </c>
      <c r="R204" s="17">
        <f>IFERROR(G204/(G204+Priors!$H$18),0)</f>
        <v>0.57099957099957099</v>
      </c>
      <c r="S204" s="13">
        <v>1</v>
      </c>
      <c r="T204" s="40" t="b">
        <v>0</v>
      </c>
      <c r="U204" s="13">
        <v>1</v>
      </c>
      <c r="V204" s="40" t="b">
        <v>1</v>
      </c>
      <c r="W204" s="13">
        <v>0.9</v>
      </c>
      <c r="X204" s="17">
        <f t="shared" si="24"/>
        <v>0.51389961389961392</v>
      </c>
      <c r="Y204" s="37">
        <f>VLOOKUP(D204,Priors!$A$18:$B$21,2,FALSE)</f>
        <v>8.7398272304160223</v>
      </c>
      <c r="Z204" s="38">
        <f t="shared" si="25"/>
        <v>10.122305978028482</v>
      </c>
      <c r="AA204" s="39">
        <v>1</v>
      </c>
      <c r="AB204" s="38">
        <f t="shared" si="26"/>
        <v>10.122305978028482</v>
      </c>
      <c r="AC204" s="37">
        <f>Priors!$K$18</f>
        <v>2.7435089299114512</v>
      </c>
      <c r="AD204" s="38" t="str">
        <f t="shared" si="27"/>
        <v/>
      </c>
      <c r="AE204" s="37">
        <f>Priors!$K$19</f>
        <v>0.67280088332719912</v>
      </c>
      <c r="AF204" s="38" t="str">
        <f t="shared" si="28"/>
        <v/>
      </c>
      <c r="AG204" s="17">
        <f t="shared" si="29"/>
        <v>0.48610038610038608</v>
      </c>
      <c r="AH204" s="7" t="s">
        <v>1643</v>
      </c>
      <c r="AI204" s="7">
        <v>10</v>
      </c>
      <c r="AJ204" s="38">
        <f t="shared" si="30"/>
        <v>1.0122305978028483</v>
      </c>
      <c r="AK204" s="9" t="b">
        <f t="shared" si="31"/>
        <v>1</v>
      </c>
      <c r="AL204" s="28" t="s">
        <v>1644</v>
      </c>
      <c r="AM204" s="28" t="s">
        <v>1645</v>
      </c>
      <c r="AN204" s="28" t="s">
        <v>1792</v>
      </c>
    </row>
    <row r="205" spans="1:40" ht="30">
      <c r="A205" s="7">
        <v>204</v>
      </c>
      <c r="B205" s="7" t="s">
        <v>688</v>
      </c>
      <c r="C205" s="7" t="s">
        <v>46</v>
      </c>
      <c r="D205" s="7" t="s">
        <v>99</v>
      </c>
      <c r="E205" s="7" t="s">
        <v>1642</v>
      </c>
      <c r="F205" s="7" t="s">
        <v>46</v>
      </c>
      <c r="G205" s="14">
        <v>3253</v>
      </c>
      <c r="H205" s="14">
        <v>293</v>
      </c>
      <c r="I205" s="15">
        <v>6.78</v>
      </c>
      <c r="J205" s="14">
        <v>0</v>
      </c>
      <c r="K205" s="15">
        <v>0</v>
      </c>
      <c r="L205" s="14">
        <v>47</v>
      </c>
      <c r="M205" s="14">
        <v>12</v>
      </c>
      <c r="N205" s="13"/>
      <c r="O205" s="14">
        <v>8</v>
      </c>
      <c r="P205" s="14">
        <v>498</v>
      </c>
      <c r="Q205" s="15">
        <v>13.778051029818629</v>
      </c>
      <c r="R205" s="17">
        <f>IFERROR(G205/(G205+Priors!$H$18),0)</f>
        <v>0.76487185516106282</v>
      </c>
      <c r="S205" s="13">
        <v>1</v>
      </c>
      <c r="T205" s="40" t="b">
        <v>0</v>
      </c>
      <c r="U205" s="13">
        <v>1</v>
      </c>
      <c r="V205" s="40" t="b">
        <v>1</v>
      </c>
      <c r="W205" s="13">
        <v>0.9</v>
      </c>
      <c r="X205" s="17">
        <f t="shared" si="24"/>
        <v>0.68838466964495659</v>
      </c>
      <c r="Y205" s="37">
        <f>VLOOKUP(D205,Priors!$A$18:$B$21,2,FALSE)</f>
        <v>8.7398272304160223</v>
      </c>
      <c r="Z205" s="38">
        <f t="shared" si="25"/>
        <v>7.3907122098448994</v>
      </c>
      <c r="AA205" s="39">
        <v>1</v>
      </c>
      <c r="AB205" s="38">
        <f t="shared" si="26"/>
        <v>7.3907122098448994</v>
      </c>
      <c r="AC205" s="37">
        <f>Priors!$K$18</f>
        <v>2.7435089299114512</v>
      </c>
      <c r="AD205" s="38" t="str">
        <f t="shared" si="27"/>
        <v/>
      </c>
      <c r="AE205" s="37">
        <f>Priors!$K$19</f>
        <v>0.67280088332719912</v>
      </c>
      <c r="AF205" s="38" t="str">
        <f t="shared" si="28"/>
        <v/>
      </c>
      <c r="AG205" s="17">
        <f t="shared" si="29"/>
        <v>0.31161533035504341</v>
      </c>
      <c r="AH205" s="7" t="s">
        <v>1643</v>
      </c>
      <c r="AI205" s="7">
        <v>10</v>
      </c>
      <c r="AJ205" s="38">
        <f t="shared" si="30"/>
        <v>0.73907122098448996</v>
      </c>
      <c r="AK205" s="9" t="b">
        <f t="shared" si="31"/>
        <v>1</v>
      </c>
      <c r="AL205" s="28" t="s">
        <v>1644</v>
      </c>
      <c r="AM205" s="28" t="s">
        <v>1645</v>
      </c>
      <c r="AN205" s="28" t="s">
        <v>1792</v>
      </c>
    </row>
    <row r="206" spans="1:40" ht="30">
      <c r="A206" s="7">
        <v>205</v>
      </c>
      <c r="B206" s="7" t="s">
        <v>691</v>
      </c>
      <c r="C206" s="7" t="s">
        <v>46</v>
      </c>
      <c r="D206" s="7" t="s">
        <v>99</v>
      </c>
      <c r="E206" s="7" t="s">
        <v>1642</v>
      </c>
      <c r="F206" s="7" t="s">
        <v>46</v>
      </c>
      <c r="G206" s="14">
        <v>99</v>
      </c>
      <c r="H206" s="14">
        <v>10</v>
      </c>
      <c r="I206" s="15">
        <v>8.18</v>
      </c>
      <c r="J206" s="14">
        <v>0</v>
      </c>
      <c r="K206" s="15">
        <v>0</v>
      </c>
      <c r="L206" s="14">
        <v>2</v>
      </c>
      <c r="M206" s="14">
        <v>0</v>
      </c>
      <c r="N206" s="13"/>
      <c r="O206" s="14">
        <v>0</v>
      </c>
      <c r="P206" s="14">
        <v>9</v>
      </c>
      <c r="Q206" s="15">
        <v>8.1818181818181817</v>
      </c>
      <c r="R206" s="17">
        <f>IFERROR(G206/(G206+Priors!$H$18),0)</f>
        <v>9.0081892629663332E-2</v>
      </c>
      <c r="S206" s="13">
        <v>1</v>
      </c>
      <c r="T206" s="40" t="b">
        <v>0</v>
      </c>
      <c r="U206" s="13">
        <v>1</v>
      </c>
      <c r="V206" s="40" t="b">
        <v>1</v>
      </c>
      <c r="W206" s="13">
        <v>0.9</v>
      </c>
      <c r="X206" s="17">
        <f t="shared" si="24"/>
        <v>8.1073703366697003E-2</v>
      </c>
      <c r="Y206" s="37">
        <f>VLOOKUP(D206,Priors!$A$18:$B$21,2,FALSE)</f>
        <v>8.7398272304160223</v>
      </c>
      <c r="Z206" s="38">
        <f t="shared" si="25"/>
        <v>8.6944399636006739</v>
      </c>
      <c r="AA206" s="39">
        <v>1</v>
      </c>
      <c r="AB206" s="38">
        <f t="shared" si="26"/>
        <v>8.6944399636006739</v>
      </c>
      <c r="AC206" s="37">
        <f>Priors!$K$18</f>
        <v>2.7435089299114512</v>
      </c>
      <c r="AD206" s="38" t="str">
        <f t="shared" si="27"/>
        <v/>
      </c>
      <c r="AE206" s="37">
        <f>Priors!$K$19</f>
        <v>0.67280088332719912</v>
      </c>
      <c r="AF206" s="38" t="str">
        <f t="shared" si="28"/>
        <v/>
      </c>
      <c r="AG206" s="17">
        <f t="shared" si="29"/>
        <v>0.91892629663330294</v>
      </c>
      <c r="AH206" s="7" t="s">
        <v>1643</v>
      </c>
      <c r="AI206" s="7">
        <v>10</v>
      </c>
      <c r="AJ206" s="38">
        <f t="shared" si="30"/>
        <v>0.86944399636006742</v>
      </c>
      <c r="AK206" s="9" t="b">
        <f t="shared" si="31"/>
        <v>1</v>
      </c>
      <c r="AL206" s="28" t="s">
        <v>1644</v>
      </c>
      <c r="AM206" s="28" t="s">
        <v>1645</v>
      </c>
      <c r="AN206" s="28" t="s">
        <v>1792</v>
      </c>
    </row>
    <row r="207" spans="1:40" ht="30">
      <c r="A207" s="7">
        <v>206</v>
      </c>
      <c r="B207" s="7" t="s">
        <v>694</v>
      </c>
      <c r="C207" s="7" t="s">
        <v>46</v>
      </c>
      <c r="D207" s="7" t="s">
        <v>99</v>
      </c>
      <c r="E207" s="7" t="s">
        <v>1642</v>
      </c>
      <c r="F207" s="7" t="s">
        <v>46</v>
      </c>
      <c r="G207" s="14">
        <v>550</v>
      </c>
      <c r="H207" s="14">
        <v>45</v>
      </c>
      <c r="I207" s="15">
        <v>7.36</v>
      </c>
      <c r="J207" s="14">
        <v>0</v>
      </c>
      <c r="K207" s="15">
        <v>0</v>
      </c>
      <c r="L207" s="14">
        <v>8</v>
      </c>
      <c r="M207" s="14">
        <v>1</v>
      </c>
      <c r="N207" s="13"/>
      <c r="O207" s="14">
        <v>0</v>
      </c>
      <c r="P207" s="14">
        <v>84</v>
      </c>
      <c r="Q207" s="15">
        <v>13.745454545454546</v>
      </c>
      <c r="R207" s="17">
        <f>IFERROR(G207/(G207+Priors!$H$18),0)</f>
        <v>0.35483870967741937</v>
      </c>
      <c r="S207" s="13">
        <v>1</v>
      </c>
      <c r="T207" s="40" t="b">
        <v>0</v>
      </c>
      <c r="U207" s="13">
        <v>1</v>
      </c>
      <c r="V207" s="40" t="b">
        <v>1</v>
      </c>
      <c r="W207" s="13">
        <v>0.9</v>
      </c>
      <c r="X207" s="17">
        <f t="shared" si="24"/>
        <v>0.31935483870967746</v>
      </c>
      <c r="Y207" s="37">
        <f>VLOOKUP(D207,Priors!$A$18:$B$21,2,FALSE)</f>
        <v>8.7398272304160223</v>
      </c>
      <c r="Z207" s="38">
        <f t="shared" si="25"/>
        <v>8.2991727277992933</v>
      </c>
      <c r="AA207" s="39">
        <v>1</v>
      </c>
      <c r="AB207" s="38">
        <f t="shared" si="26"/>
        <v>8.2991727277992933</v>
      </c>
      <c r="AC207" s="37">
        <f>Priors!$K$18</f>
        <v>2.7435089299114512</v>
      </c>
      <c r="AD207" s="38" t="str">
        <f t="shared" si="27"/>
        <v/>
      </c>
      <c r="AE207" s="37">
        <f>Priors!$K$19</f>
        <v>0.67280088332719912</v>
      </c>
      <c r="AF207" s="38" t="str">
        <f t="shared" si="28"/>
        <v/>
      </c>
      <c r="AG207" s="17">
        <f t="shared" si="29"/>
        <v>0.6806451612903226</v>
      </c>
      <c r="AH207" s="7" t="s">
        <v>1643</v>
      </c>
      <c r="AI207" s="7">
        <v>10</v>
      </c>
      <c r="AJ207" s="38">
        <f t="shared" si="30"/>
        <v>0.82991727277992933</v>
      </c>
      <c r="AK207" s="9" t="b">
        <f t="shared" si="31"/>
        <v>1</v>
      </c>
      <c r="AL207" s="28" t="s">
        <v>1644</v>
      </c>
      <c r="AM207" s="28" t="s">
        <v>1645</v>
      </c>
      <c r="AN207" s="28" t="s">
        <v>1792</v>
      </c>
    </row>
    <row r="208" spans="1:40" ht="30">
      <c r="A208" s="7">
        <v>207</v>
      </c>
      <c r="B208" s="7" t="s">
        <v>696</v>
      </c>
      <c r="C208" s="7" t="s">
        <v>46</v>
      </c>
      <c r="D208" s="7" t="s">
        <v>99</v>
      </c>
      <c r="E208" s="7" t="s">
        <v>1647</v>
      </c>
      <c r="F208" s="7"/>
      <c r="G208" s="14">
        <v>0</v>
      </c>
      <c r="H208" s="14"/>
      <c r="I208" s="15"/>
      <c r="J208" s="14"/>
      <c r="K208" s="15"/>
      <c r="L208" s="14"/>
      <c r="M208" s="14"/>
      <c r="N208" s="13"/>
      <c r="O208" s="14"/>
      <c r="P208" s="14"/>
      <c r="Q208" s="15"/>
      <c r="R208" s="17">
        <f>IFERROR(G208/(G208+Priors!$H$18),0)</f>
        <v>0</v>
      </c>
      <c r="S208" s="13">
        <v>0</v>
      </c>
      <c r="T208" s="40" t="b">
        <v>0</v>
      </c>
      <c r="U208" s="13">
        <v>1</v>
      </c>
      <c r="V208" s="40" t="b">
        <v>1</v>
      </c>
      <c r="W208" s="13">
        <v>0.9</v>
      </c>
      <c r="X208" s="17">
        <f t="shared" si="24"/>
        <v>0</v>
      </c>
      <c r="Y208" s="37">
        <f>VLOOKUP(D208,Priors!$A$18:$B$21,2,FALSE)</f>
        <v>8.7398272304160223</v>
      </c>
      <c r="Z208" s="38">
        <f t="shared" si="25"/>
        <v>8.7398272304160223</v>
      </c>
      <c r="AA208" s="39">
        <v>1</v>
      </c>
      <c r="AB208" s="38">
        <f t="shared" si="26"/>
        <v>8.7398272304160223</v>
      </c>
      <c r="AC208" s="37">
        <f>Priors!$K$18</f>
        <v>2.7435089299114512</v>
      </c>
      <c r="AD208" s="38" t="str">
        <f t="shared" si="27"/>
        <v/>
      </c>
      <c r="AE208" s="37">
        <f>Priors!$K$19</f>
        <v>0.67280088332719912</v>
      </c>
      <c r="AF208" s="38" t="str">
        <f t="shared" si="28"/>
        <v/>
      </c>
      <c r="AG208" s="17">
        <f t="shared" si="29"/>
        <v>1</v>
      </c>
      <c r="AH208" s="7" t="s">
        <v>1793</v>
      </c>
      <c r="AI208" s="7">
        <v>10</v>
      </c>
      <c r="AJ208" s="38">
        <f t="shared" si="30"/>
        <v>0.87398272304160218</v>
      </c>
      <c r="AK208" s="9" t="b">
        <f t="shared" si="31"/>
        <v>1</v>
      </c>
      <c r="AL208" s="28" t="s">
        <v>1794</v>
      </c>
      <c r="AM208" s="28"/>
      <c r="AN208" s="28" t="s">
        <v>1792</v>
      </c>
    </row>
    <row r="209" spans="1:40" ht="30">
      <c r="A209" s="7">
        <v>208</v>
      </c>
      <c r="B209" s="7" t="s">
        <v>698</v>
      </c>
      <c r="C209" s="7" t="s">
        <v>46</v>
      </c>
      <c r="D209" s="7" t="s">
        <v>112</v>
      </c>
      <c r="E209" s="7" t="s">
        <v>1642</v>
      </c>
      <c r="F209" s="7" t="s">
        <v>46</v>
      </c>
      <c r="G209" s="14">
        <v>2173</v>
      </c>
      <c r="H209" s="14">
        <v>137</v>
      </c>
      <c r="I209" s="15">
        <v>5.67</v>
      </c>
      <c r="J209" s="14">
        <v>0</v>
      </c>
      <c r="K209" s="15">
        <v>0</v>
      </c>
      <c r="L209" s="14">
        <v>29</v>
      </c>
      <c r="M209" s="14">
        <v>9</v>
      </c>
      <c r="N209" s="13"/>
      <c r="O209" s="14">
        <v>9</v>
      </c>
      <c r="P209" s="14">
        <v>359</v>
      </c>
      <c r="Q209" s="15">
        <v>14.868844914864242</v>
      </c>
      <c r="R209" s="17">
        <f>IFERROR(G209/(G209+Priors!$H$18),0)</f>
        <v>0.68484084462653638</v>
      </c>
      <c r="S209" s="13">
        <v>1</v>
      </c>
      <c r="T209" s="40" t="b">
        <v>0</v>
      </c>
      <c r="U209" s="13">
        <v>1</v>
      </c>
      <c r="V209" s="40" t="b">
        <v>1</v>
      </c>
      <c r="W209" s="13">
        <v>0.9</v>
      </c>
      <c r="X209" s="17">
        <f t="shared" si="24"/>
        <v>0.61635676016388274</v>
      </c>
      <c r="Y209" s="37">
        <f>VLOOKUP(D209,Priors!$A$18:$B$21,2,FALSE)</f>
        <v>8.4555315342179806</v>
      </c>
      <c r="Z209" s="38">
        <f t="shared" si="25"/>
        <v>6.7386503424530559</v>
      </c>
      <c r="AA209" s="39">
        <v>1</v>
      </c>
      <c r="AB209" s="38">
        <f t="shared" si="26"/>
        <v>6.7386503424530559</v>
      </c>
      <c r="AC209" s="37">
        <f>Priors!$K$18</f>
        <v>2.7435089299114512</v>
      </c>
      <c r="AD209" s="38" t="str">
        <f t="shared" si="27"/>
        <v/>
      </c>
      <c r="AE209" s="37">
        <f>Priors!$K$19</f>
        <v>0.67280088332719912</v>
      </c>
      <c r="AF209" s="38" t="str">
        <f t="shared" si="28"/>
        <v/>
      </c>
      <c r="AG209" s="17">
        <f t="shared" si="29"/>
        <v>0.38364323983611726</v>
      </c>
      <c r="AH209" s="7" t="s">
        <v>1643</v>
      </c>
      <c r="AI209" s="7">
        <v>12</v>
      </c>
      <c r="AJ209" s="38">
        <f t="shared" si="30"/>
        <v>0.56155419520442129</v>
      </c>
      <c r="AK209" s="9" t="b">
        <f t="shared" si="31"/>
        <v>1</v>
      </c>
      <c r="AL209" s="28" t="s">
        <v>1644</v>
      </c>
      <c r="AM209" s="28" t="s">
        <v>1645</v>
      </c>
      <c r="AN209" s="28" t="s">
        <v>1792</v>
      </c>
    </row>
    <row r="210" spans="1:40" ht="30">
      <c r="A210" s="7">
        <v>209</v>
      </c>
      <c r="B210" s="7" t="s">
        <v>700</v>
      </c>
      <c r="C210" s="7" t="s">
        <v>46</v>
      </c>
      <c r="D210" s="7" t="s">
        <v>112</v>
      </c>
      <c r="E210" s="7" t="s">
        <v>1642</v>
      </c>
      <c r="F210" s="7" t="s">
        <v>46</v>
      </c>
      <c r="G210" s="14">
        <v>1710</v>
      </c>
      <c r="H210" s="14">
        <v>121</v>
      </c>
      <c r="I210" s="15">
        <v>6.37</v>
      </c>
      <c r="J210" s="14">
        <v>0</v>
      </c>
      <c r="K210" s="15">
        <v>0</v>
      </c>
      <c r="L210" s="14">
        <v>24</v>
      </c>
      <c r="M210" s="14">
        <v>6</v>
      </c>
      <c r="N210" s="13"/>
      <c r="O210" s="14">
        <v>2</v>
      </c>
      <c r="P210" s="14">
        <v>217</v>
      </c>
      <c r="Q210" s="15">
        <v>11.421052631578947</v>
      </c>
      <c r="R210" s="17">
        <f>IFERROR(G210/(G210+Priors!$H$18),0)</f>
        <v>0.63099630996309963</v>
      </c>
      <c r="S210" s="13">
        <v>1</v>
      </c>
      <c r="T210" s="40" t="b">
        <v>0</v>
      </c>
      <c r="U210" s="13">
        <v>1</v>
      </c>
      <c r="V210" s="40" t="b">
        <v>1</v>
      </c>
      <c r="W210" s="13">
        <v>0.9</v>
      </c>
      <c r="X210" s="17">
        <f t="shared" si="24"/>
        <v>0.56789667896678964</v>
      </c>
      <c r="Y210" s="37">
        <f>VLOOKUP(D210,Priors!$A$18:$B$21,2,FALSE)</f>
        <v>8.4555315342179806</v>
      </c>
      <c r="Z210" s="38">
        <f t="shared" si="25"/>
        <v>7.2711651020550754</v>
      </c>
      <c r="AA210" s="39">
        <v>1</v>
      </c>
      <c r="AB210" s="38">
        <f t="shared" si="26"/>
        <v>7.2711651020550754</v>
      </c>
      <c r="AC210" s="37">
        <f>Priors!$K$18</f>
        <v>2.7435089299114512</v>
      </c>
      <c r="AD210" s="38" t="str">
        <f t="shared" si="27"/>
        <v/>
      </c>
      <c r="AE210" s="37">
        <f>Priors!$K$19</f>
        <v>0.67280088332719912</v>
      </c>
      <c r="AF210" s="38" t="str">
        <f t="shared" si="28"/>
        <v/>
      </c>
      <c r="AG210" s="17">
        <f t="shared" si="29"/>
        <v>0.43210332103321036</v>
      </c>
      <c r="AH210" s="7" t="s">
        <v>1643</v>
      </c>
      <c r="AI210" s="7">
        <v>12</v>
      </c>
      <c r="AJ210" s="38">
        <f t="shared" si="30"/>
        <v>0.60593042517125628</v>
      </c>
      <c r="AK210" s="9" t="b">
        <f t="shared" si="31"/>
        <v>1</v>
      </c>
      <c r="AL210" s="28" t="s">
        <v>1644</v>
      </c>
      <c r="AM210" s="28" t="s">
        <v>1645</v>
      </c>
      <c r="AN210" s="28" t="s">
        <v>1792</v>
      </c>
    </row>
    <row r="211" spans="1:40" ht="30">
      <c r="A211" s="7">
        <v>210</v>
      </c>
      <c r="B211" s="7" t="s">
        <v>702</v>
      </c>
      <c r="C211" s="7" t="s">
        <v>46</v>
      </c>
      <c r="D211" s="7" t="s">
        <v>112</v>
      </c>
      <c r="E211" s="7" t="s">
        <v>1642</v>
      </c>
      <c r="F211" s="7" t="s">
        <v>46</v>
      </c>
      <c r="G211" s="14">
        <v>2552</v>
      </c>
      <c r="H211" s="14">
        <v>303</v>
      </c>
      <c r="I211" s="15">
        <v>10.69</v>
      </c>
      <c r="J211" s="14">
        <v>0</v>
      </c>
      <c r="K211" s="15">
        <v>0</v>
      </c>
      <c r="L211" s="14">
        <v>43</v>
      </c>
      <c r="M211" s="14">
        <v>8</v>
      </c>
      <c r="N211" s="13"/>
      <c r="O211" s="14">
        <v>8</v>
      </c>
      <c r="P211" s="14">
        <v>511</v>
      </c>
      <c r="Q211" s="15">
        <v>18.021159874608152</v>
      </c>
      <c r="R211" s="17">
        <f>IFERROR(G211/(G211+Priors!$H$18),0)</f>
        <v>0.71846846846846846</v>
      </c>
      <c r="S211" s="13">
        <v>1</v>
      </c>
      <c r="T211" s="40" t="b">
        <v>0</v>
      </c>
      <c r="U211" s="13">
        <v>1</v>
      </c>
      <c r="V211" s="40" t="b">
        <v>1</v>
      </c>
      <c r="W211" s="13">
        <v>0.9</v>
      </c>
      <c r="X211" s="17">
        <f t="shared" si="24"/>
        <v>0.64662162162162162</v>
      </c>
      <c r="Y211" s="37">
        <f>VLOOKUP(D211,Priors!$A$18:$B$21,2,FALSE)</f>
        <v>8.4555315342179806</v>
      </c>
      <c r="Z211" s="38">
        <f t="shared" si="25"/>
        <v>9.9003871570243263</v>
      </c>
      <c r="AA211" s="39">
        <v>1</v>
      </c>
      <c r="AB211" s="38">
        <f t="shared" si="26"/>
        <v>9.9003871570243263</v>
      </c>
      <c r="AC211" s="37">
        <f>Priors!$K$18</f>
        <v>2.7435089299114512</v>
      </c>
      <c r="AD211" s="38" t="str">
        <f t="shared" si="27"/>
        <v/>
      </c>
      <c r="AE211" s="37">
        <f>Priors!$K$19</f>
        <v>0.67280088332719912</v>
      </c>
      <c r="AF211" s="38" t="str">
        <f t="shared" si="28"/>
        <v/>
      </c>
      <c r="AG211" s="17">
        <f t="shared" si="29"/>
        <v>0.35337837837837838</v>
      </c>
      <c r="AH211" s="7" t="s">
        <v>1643</v>
      </c>
      <c r="AI211" s="7">
        <v>12</v>
      </c>
      <c r="AJ211" s="38">
        <f t="shared" si="30"/>
        <v>0.82503226308536048</v>
      </c>
      <c r="AK211" s="9" t="b">
        <f t="shared" si="31"/>
        <v>1</v>
      </c>
      <c r="AL211" s="28" t="s">
        <v>1644</v>
      </c>
      <c r="AM211" s="28" t="s">
        <v>1645</v>
      </c>
      <c r="AN211" s="28" t="s">
        <v>1792</v>
      </c>
    </row>
    <row r="212" spans="1:40" ht="30">
      <c r="A212" s="7">
        <v>211</v>
      </c>
      <c r="B212" s="7" t="s">
        <v>705</v>
      </c>
      <c r="C212" s="7" t="s">
        <v>46</v>
      </c>
      <c r="D212" s="7" t="s">
        <v>112</v>
      </c>
      <c r="E212" s="7" t="s">
        <v>1642</v>
      </c>
      <c r="F212" s="7" t="s">
        <v>46</v>
      </c>
      <c r="G212" s="14">
        <v>2074</v>
      </c>
      <c r="H212" s="14">
        <v>167</v>
      </c>
      <c r="I212" s="15">
        <v>7.25</v>
      </c>
      <c r="J212" s="14">
        <v>0</v>
      </c>
      <c r="K212" s="15">
        <v>0</v>
      </c>
      <c r="L212" s="14">
        <v>28</v>
      </c>
      <c r="M212" s="14">
        <v>7</v>
      </c>
      <c r="N212" s="13"/>
      <c r="O212" s="14">
        <v>3</v>
      </c>
      <c r="P212" s="14">
        <v>331</v>
      </c>
      <c r="Q212" s="15">
        <v>14.363548698167792</v>
      </c>
      <c r="R212" s="17">
        <f>IFERROR(G212/(G212+Priors!$H$18),0)</f>
        <v>0.67469095640858812</v>
      </c>
      <c r="S212" s="13">
        <v>1</v>
      </c>
      <c r="T212" s="40" t="b">
        <v>0</v>
      </c>
      <c r="U212" s="13">
        <v>1</v>
      </c>
      <c r="V212" s="40" t="b">
        <v>1</v>
      </c>
      <c r="W212" s="13">
        <v>0.9</v>
      </c>
      <c r="X212" s="17">
        <f t="shared" si="24"/>
        <v>0.60722186076772933</v>
      </c>
      <c r="Y212" s="37">
        <f>VLOOKUP(D212,Priors!$A$18:$B$21,2,FALSE)</f>
        <v>8.4555315342179806</v>
      </c>
      <c r="Z212" s="38">
        <f t="shared" si="25"/>
        <v>7.7235064327959631</v>
      </c>
      <c r="AA212" s="39">
        <v>1</v>
      </c>
      <c r="AB212" s="38">
        <f t="shared" si="26"/>
        <v>7.7235064327959631</v>
      </c>
      <c r="AC212" s="37">
        <f>Priors!$K$18</f>
        <v>2.7435089299114512</v>
      </c>
      <c r="AD212" s="38" t="str">
        <f t="shared" si="27"/>
        <v/>
      </c>
      <c r="AE212" s="37">
        <f>Priors!$K$19</f>
        <v>0.67280088332719912</v>
      </c>
      <c r="AF212" s="38" t="str">
        <f t="shared" si="28"/>
        <v/>
      </c>
      <c r="AG212" s="17">
        <f t="shared" si="29"/>
        <v>0.39277813923227067</v>
      </c>
      <c r="AH212" s="7" t="s">
        <v>1643</v>
      </c>
      <c r="AI212" s="7">
        <v>12</v>
      </c>
      <c r="AJ212" s="38">
        <f t="shared" si="30"/>
        <v>0.64362553606633022</v>
      </c>
      <c r="AK212" s="9" t="b">
        <f t="shared" si="31"/>
        <v>1</v>
      </c>
      <c r="AL212" s="28" t="s">
        <v>1644</v>
      </c>
      <c r="AM212" s="28" t="s">
        <v>1645</v>
      </c>
      <c r="AN212" s="28" t="s">
        <v>1792</v>
      </c>
    </row>
    <row r="213" spans="1:40" ht="30">
      <c r="A213" s="7">
        <v>212</v>
      </c>
      <c r="B213" s="7" t="s">
        <v>708</v>
      </c>
      <c r="C213" s="7" t="s">
        <v>46</v>
      </c>
      <c r="D213" s="7" t="s">
        <v>112</v>
      </c>
      <c r="E213" s="7" t="s">
        <v>1642</v>
      </c>
      <c r="F213" s="7" t="s">
        <v>46</v>
      </c>
      <c r="G213" s="14">
        <v>1560</v>
      </c>
      <c r="H213" s="14">
        <v>148</v>
      </c>
      <c r="I213" s="15">
        <v>8.5399999999999991</v>
      </c>
      <c r="J213" s="14">
        <v>0</v>
      </c>
      <c r="K213" s="15">
        <v>0</v>
      </c>
      <c r="L213" s="14">
        <v>18</v>
      </c>
      <c r="M213" s="14">
        <v>5</v>
      </c>
      <c r="N213" s="13"/>
      <c r="O213" s="14">
        <v>0</v>
      </c>
      <c r="P213" s="14">
        <v>217</v>
      </c>
      <c r="Q213" s="15">
        <v>12.51923076923077</v>
      </c>
      <c r="R213" s="17">
        <f>IFERROR(G213/(G213+Priors!$H$18),0)</f>
        <v>0.609375</v>
      </c>
      <c r="S213" s="13">
        <v>1</v>
      </c>
      <c r="T213" s="40" t="b">
        <v>0</v>
      </c>
      <c r="U213" s="13">
        <v>1</v>
      </c>
      <c r="V213" s="40" t="b">
        <v>1</v>
      </c>
      <c r="W213" s="13">
        <v>0.9</v>
      </c>
      <c r="X213" s="17">
        <f t="shared" si="24"/>
        <v>0.54843750000000002</v>
      </c>
      <c r="Y213" s="37">
        <f>VLOOKUP(D213,Priors!$A$18:$B$21,2,FALSE)</f>
        <v>8.4555315342179806</v>
      </c>
      <c r="Z213" s="38">
        <f t="shared" si="25"/>
        <v>8.5018572084203061</v>
      </c>
      <c r="AA213" s="39">
        <v>1</v>
      </c>
      <c r="AB213" s="38">
        <f t="shared" si="26"/>
        <v>8.5018572084203061</v>
      </c>
      <c r="AC213" s="37">
        <f>Priors!$K$18</f>
        <v>2.7435089299114512</v>
      </c>
      <c r="AD213" s="38" t="str">
        <f t="shared" si="27"/>
        <v/>
      </c>
      <c r="AE213" s="37">
        <f>Priors!$K$19</f>
        <v>0.67280088332719912</v>
      </c>
      <c r="AF213" s="38" t="str">
        <f t="shared" si="28"/>
        <v/>
      </c>
      <c r="AG213" s="17">
        <f t="shared" si="29"/>
        <v>0.45156249999999998</v>
      </c>
      <c r="AH213" s="7" t="s">
        <v>1643</v>
      </c>
      <c r="AI213" s="7">
        <v>12</v>
      </c>
      <c r="AJ213" s="38">
        <f t="shared" si="30"/>
        <v>0.70848810070169221</v>
      </c>
      <c r="AK213" s="9" t="b">
        <f t="shared" si="31"/>
        <v>1</v>
      </c>
      <c r="AL213" s="28" t="s">
        <v>1644</v>
      </c>
      <c r="AM213" s="28" t="s">
        <v>1645</v>
      </c>
      <c r="AN213" s="28" t="s">
        <v>1792</v>
      </c>
    </row>
    <row r="214" spans="1:40" ht="30">
      <c r="A214" s="7">
        <v>213</v>
      </c>
      <c r="B214" s="7" t="s">
        <v>711</v>
      </c>
      <c r="C214" s="7" t="s">
        <v>46</v>
      </c>
      <c r="D214" s="7" t="s">
        <v>112</v>
      </c>
      <c r="E214" s="7" t="s">
        <v>1642</v>
      </c>
      <c r="F214" s="7" t="s">
        <v>46</v>
      </c>
      <c r="G214" s="14">
        <v>1722</v>
      </c>
      <c r="H214" s="14">
        <v>220</v>
      </c>
      <c r="I214" s="15">
        <v>11.5</v>
      </c>
      <c r="J214" s="14">
        <v>0</v>
      </c>
      <c r="K214" s="15">
        <v>0</v>
      </c>
      <c r="L214" s="14">
        <v>25</v>
      </c>
      <c r="M214" s="14">
        <v>7</v>
      </c>
      <c r="N214" s="13"/>
      <c r="O214" s="14">
        <v>3</v>
      </c>
      <c r="P214" s="14">
        <v>296</v>
      </c>
      <c r="Q214" s="15">
        <v>15.470383275261325</v>
      </c>
      <c r="R214" s="17">
        <f>IFERROR(G214/(G214+Priors!$H$18),0)</f>
        <v>0.63262307127112416</v>
      </c>
      <c r="S214" s="13">
        <v>1</v>
      </c>
      <c r="T214" s="40" t="b">
        <v>0</v>
      </c>
      <c r="U214" s="13">
        <v>1</v>
      </c>
      <c r="V214" s="40" t="b">
        <v>1</v>
      </c>
      <c r="W214" s="13">
        <v>0.9</v>
      </c>
      <c r="X214" s="17">
        <f t="shared" si="24"/>
        <v>0.56936076414401171</v>
      </c>
      <c r="Y214" s="37">
        <f>VLOOKUP(D214,Priors!$A$18:$B$21,2,FALSE)</f>
        <v>8.4555315342179806</v>
      </c>
      <c r="Z214" s="38">
        <f t="shared" si="25"/>
        <v>10.188932426307979</v>
      </c>
      <c r="AA214" s="39">
        <v>1</v>
      </c>
      <c r="AB214" s="38">
        <f t="shared" si="26"/>
        <v>10.188932426307979</v>
      </c>
      <c r="AC214" s="37">
        <f>Priors!$K$18</f>
        <v>2.7435089299114512</v>
      </c>
      <c r="AD214" s="38" t="str">
        <f t="shared" si="27"/>
        <v/>
      </c>
      <c r="AE214" s="37">
        <f>Priors!$K$19</f>
        <v>0.67280088332719912</v>
      </c>
      <c r="AF214" s="38" t="str">
        <f t="shared" si="28"/>
        <v/>
      </c>
      <c r="AG214" s="17">
        <f t="shared" si="29"/>
        <v>0.43063923585598829</v>
      </c>
      <c r="AH214" s="7" t="s">
        <v>1643</v>
      </c>
      <c r="AI214" s="7">
        <v>12</v>
      </c>
      <c r="AJ214" s="38">
        <f t="shared" si="30"/>
        <v>0.84907770219233158</v>
      </c>
      <c r="AK214" s="9" t="b">
        <f t="shared" si="31"/>
        <v>1</v>
      </c>
      <c r="AL214" s="28" t="s">
        <v>1644</v>
      </c>
      <c r="AM214" s="28" t="s">
        <v>1645</v>
      </c>
      <c r="AN214" s="28" t="s">
        <v>1792</v>
      </c>
    </row>
    <row r="215" spans="1:40" ht="30">
      <c r="A215" s="7">
        <v>214</v>
      </c>
      <c r="B215" s="7" t="s">
        <v>713</v>
      </c>
      <c r="C215" s="7" t="s">
        <v>46</v>
      </c>
      <c r="D215" s="7" t="s">
        <v>112</v>
      </c>
      <c r="E215" s="7" t="s">
        <v>1642</v>
      </c>
      <c r="F215" s="7" t="s">
        <v>46</v>
      </c>
      <c r="G215" s="14">
        <v>1899</v>
      </c>
      <c r="H215" s="14">
        <v>208</v>
      </c>
      <c r="I215" s="15">
        <v>9.86</v>
      </c>
      <c r="J215" s="14">
        <v>0</v>
      </c>
      <c r="K215" s="15">
        <v>0</v>
      </c>
      <c r="L215" s="14">
        <v>28</v>
      </c>
      <c r="M215" s="14">
        <v>6</v>
      </c>
      <c r="N215" s="13"/>
      <c r="O215" s="14">
        <v>0</v>
      </c>
      <c r="P215" s="14">
        <v>331</v>
      </c>
      <c r="Q215" s="15">
        <v>15.687203791469194</v>
      </c>
      <c r="R215" s="17">
        <f>IFERROR(G215/(G215+Priors!$H$18),0)</f>
        <v>0.65505346671265952</v>
      </c>
      <c r="S215" s="13">
        <v>1</v>
      </c>
      <c r="T215" s="40" t="b">
        <v>0</v>
      </c>
      <c r="U215" s="13">
        <v>1</v>
      </c>
      <c r="V215" s="40" t="b">
        <v>1</v>
      </c>
      <c r="W215" s="13">
        <v>0.9</v>
      </c>
      <c r="X215" s="17">
        <f t="shared" si="24"/>
        <v>0.58954812004139356</v>
      </c>
      <c r="Y215" s="37">
        <f>VLOOKUP(D215,Priors!$A$18:$B$21,2,FALSE)</f>
        <v>8.4555315342179806</v>
      </c>
      <c r="Z215" s="38">
        <f t="shared" si="25"/>
        <v>9.28353327787719</v>
      </c>
      <c r="AA215" s="39">
        <v>1</v>
      </c>
      <c r="AB215" s="38">
        <f t="shared" si="26"/>
        <v>9.28353327787719</v>
      </c>
      <c r="AC215" s="37">
        <f>Priors!$K$18</f>
        <v>2.7435089299114512</v>
      </c>
      <c r="AD215" s="38" t="str">
        <f t="shared" si="27"/>
        <v/>
      </c>
      <c r="AE215" s="37">
        <f>Priors!$K$19</f>
        <v>0.67280088332719912</v>
      </c>
      <c r="AF215" s="38" t="str">
        <f t="shared" si="28"/>
        <v/>
      </c>
      <c r="AG215" s="17">
        <f t="shared" si="29"/>
        <v>0.41045187995860644</v>
      </c>
      <c r="AH215" s="7" t="s">
        <v>1643</v>
      </c>
      <c r="AI215" s="7">
        <v>12</v>
      </c>
      <c r="AJ215" s="38">
        <f t="shared" si="30"/>
        <v>0.7736277731564325</v>
      </c>
      <c r="AK215" s="9" t="b">
        <f t="shared" si="31"/>
        <v>1</v>
      </c>
      <c r="AL215" s="28" t="s">
        <v>1644</v>
      </c>
      <c r="AM215" s="28" t="s">
        <v>1645</v>
      </c>
      <c r="AN215" s="28" t="s">
        <v>1792</v>
      </c>
    </row>
    <row r="216" spans="1:40" ht="30">
      <c r="A216" s="7">
        <v>215</v>
      </c>
      <c r="B216" s="7" t="s">
        <v>715</v>
      </c>
      <c r="C216" s="7" t="s">
        <v>46</v>
      </c>
      <c r="D216" s="7" t="s">
        <v>112</v>
      </c>
      <c r="E216" s="7" t="s">
        <v>1642</v>
      </c>
      <c r="F216" s="7" t="s">
        <v>46</v>
      </c>
      <c r="G216" s="14">
        <v>785</v>
      </c>
      <c r="H216" s="14">
        <v>72</v>
      </c>
      <c r="I216" s="15">
        <v>8.25</v>
      </c>
      <c r="J216" s="14">
        <v>0</v>
      </c>
      <c r="K216" s="15">
        <v>0</v>
      </c>
      <c r="L216" s="14">
        <v>15</v>
      </c>
      <c r="M216" s="14">
        <v>1</v>
      </c>
      <c r="N216" s="13"/>
      <c r="O216" s="14">
        <v>0</v>
      </c>
      <c r="P216" s="14">
        <v>108</v>
      </c>
      <c r="Q216" s="15">
        <v>12.382165605095542</v>
      </c>
      <c r="R216" s="17">
        <f>IFERROR(G216/(G216+Priors!$H$18),0)</f>
        <v>0.43977591036414565</v>
      </c>
      <c r="S216" s="13">
        <v>1</v>
      </c>
      <c r="T216" s="40" t="b">
        <v>0</v>
      </c>
      <c r="U216" s="13">
        <v>1</v>
      </c>
      <c r="V216" s="40" t="b">
        <v>1</v>
      </c>
      <c r="W216" s="13">
        <v>0.9</v>
      </c>
      <c r="X216" s="17">
        <f t="shared" si="24"/>
        <v>0.39579831932773107</v>
      </c>
      <c r="Y216" s="37">
        <f>VLOOKUP(D216,Priors!$A$18:$B$21,2,FALSE)</f>
        <v>8.4555315342179806</v>
      </c>
      <c r="Z216" s="38">
        <f t="shared" si="25"/>
        <v>8.3741824984056539</v>
      </c>
      <c r="AA216" s="39">
        <v>1</v>
      </c>
      <c r="AB216" s="38">
        <f t="shared" si="26"/>
        <v>8.3741824984056539</v>
      </c>
      <c r="AC216" s="37">
        <f>Priors!$K$18</f>
        <v>2.7435089299114512</v>
      </c>
      <c r="AD216" s="38" t="str">
        <f t="shared" si="27"/>
        <v/>
      </c>
      <c r="AE216" s="37">
        <f>Priors!$K$19</f>
        <v>0.67280088332719912</v>
      </c>
      <c r="AF216" s="38" t="str">
        <f t="shared" si="28"/>
        <v/>
      </c>
      <c r="AG216" s="17">
        <f t="shared" si="29"/>
        <v>0.60420168067226898</v>
      </c>
      <c r="AH216" s="7" t="s">
        <v>1643</v>
      </c>
      <c r="AI216" s="7">
        <v>12</v>
      </c>
      <c r="AJ216" s="38">
        <f t="shared" si="30"/>
        <v>0.69784854153380449</v>
      </c>
      <c r="AK216" s="9" t="b">
        <f t="shared" si="31"/>
        <v>1</v>
      </c>
      <c r="AL216" s="28" t="s">
        <v>1644</v>
      </c>
      <c r="AM216" s="28" t="s">
        <v>1645</v>
      </c>
      <c r="AN216" s="28" t="s">
        <v>1792</v>
      </c>
    </row>
    <row r="217" spans="1:40" ht="30">
      <c r="A217" s="7">
        <v>216</v>
      </c>
      <c r="B217" s="7" t="s">
        <v>718</v>
      </c>
      <c r="C217" s="7" t="s">
        <v>46</v>
      </c>
      <c r="D217" s="7" t="s">
        <v>112</v>
      </c>
      <c r="E217" s="7" t="s">
        <v>1642</v>
      </c>
      <c r="F217" s="7" t="s">
        <v>46</v>
      </c>
      <c r="G217" s="14">
        <v>40</v>
      </c>
      <c r="H217" s="14">
        <v>5</v>
      </c>
      <c r="I217" s="15">
        <v>11.25</v>
      </c>
      <c r="J217" s="14">
        <v>0</v>
      </c>
      <c r="K217" s="15">
        <v>0</v>
      </c>
      <c r="L217" s="14">
        <v>0</v>
      </c>
      <c r="M217" s="14">
        <v>0</v>
      </c>
      <c r="N217" s="13"/>
      <c r="O217" s="14">
        <v>0</v>
      </c>
      <c r="P217" s="14">
        <v>12</v>
      </c>
      <c r="Q217" s="15">
        <v>27</v>
      </c>
      <c r="R217" s="17">
        <f>IFERROR(G217/(G217+Priors!$H$18),0)</f>
        <v>3.8461538461538464E-2</v>
      </c>
      <c r="S217" s="13">
        <v>1</v>
      </c>
      <c r="T217" s="40" t="b">
        <v>0</v>
      </c>
      <c r="U217" s="13">
        <v>1</v>
      </c>
      <c r="V217" s="40" t="b">
        <v>1</v>
      </c>
      <c r="W217" s="13">
        <v>0.9</v>
      </c>
      <c r="X217" s="17">
        <f t="shared" si="24"/>
        <v>3.4615384615384617E-2</v>
      </c>
      <c r="Y217" s="37">
        <f>VLOOKUP(D217,Priors!$A$18:$B$21,2,FALSE)</f>
        <v>8.4555315342179806</v>
      </c>
      <c r="Z217" s="38">
        <f t="shared" si="25"/>
        <v>8.5522631349565881</v>
      </c>
      <c r="AA217" s="39">
        <v>1</v>
      </c>
      <c r="AB217" s="38">
        <f t="shared" si="26"/>
        <v>8.5522631349565881</v>
      </c>
      <c r="AC217" s="37">
        <f>Priors!$K$18</f>
        <v>2.7435089299114512</v>
      </c>
      <c r="AD217" s="38" t="str">
        <f t="shared" si="27"/>
        <v/>
      </c>
      <c r="AE217" s="37">
        <f>Priors!$K$19</f>
        <v>0.67280088332719912</v>
      </c>
      <c r="AF217" s="38" t="str">
        <f t="shared" si="28"/>
        <v/>
      </c>
      <c r="AG217" s="17">
        <f t="shared" si="29"/>
        <v>0.9653846153846154</v>
      </c>
      <c r="AH217" s="7" t="s">
        <v>1643</v>
      </c>
      <c r="AI217" s="7">
        <v>12</v>
      </c>
      <c r="AJ217" s="38">
        <f t="shared" si="30"/>
        <v>0.71268859457971567</v>
      </c>
      <c r="AK217" s="9" t="b">
        <f t="shared" si="31"/>
        <v>1</v>
      </c>
      <c r="AL217" s="28" t="s">
        <v>1644</v>
      </c>
      <c r="AM217" s="28" t="s">
        <v>1645</v>
      </c>
      <c r="AN217" s="28" t="s">
        <v>1792</v>
      </c>
    </row>
    <row r="218" spans="1:40" ht="30">
      <c r="A218" s="7">
        <v>217</v>
      </c>
      <c r="B218" s="7" t="s">
        <v>721</v>
      </c>
      <c r="C218" s="7" t="s">
        <v>46</v>
      </c>
      <c r="D218" s="7" t="s">
        <v>112</v>
      </c>
      <c r="E218" s="7" t="s">
        <v>1642</v>
      </c>
      <c r="F218" s="7" t="s">
        <v>46</v>
      </c>
      <c r="G218" s="14">
        <v>0</v>
      </c>
      <c r="H218" s="14">
        <v>0</v>
      </c>
      <c r="I218" s="15">
        <v>0</v>
      </c>
      <c r="J218" s="14">
        <v>0</v>
      </c>
      <c r="K218" s="15">
        <v>0</v>
      </c>
      <c r="L218" s="14">
        <v>0</v>
      </c>
      <c r="M218" s="14">
        <v>0</v>
      </c>
      <c r="N218" s="13"/>
      <c r="O218" s="14">
        <v>0</v>
      </c>
      <c r="P218" s="14">
        <v>0</v>
      </c>
      <c r="Q218" s="15">
        <v>0</v>
      </c>
      <c r="R218" s="17">
        <f>IFERROR(G218/(G218+Priors!$H$18),0)</f>
        <v>0</v>
      </c>
      <c r="S218" s="13">
        <v>1</v>
      </c>
      <c r="T218" s="40" t="b">
        <v>0</v>
      </c>
      <c r="U218" s="13">
        <v>1</v>
      </c>
      <c r="V218" s="40" t="b">
        <v>1</v>
      </c>
      <c r="W218" s="13">
        <v>0.9</v>
      </c>
      <c r="X218" s="17">
        <f t="shared" si="24"/>
        <v>0</v>
      </c>
      <c r="Y218" s="37">
        <f>VLOOKUP(D218,Priors!$A$18:$B$21,2,FALSE)</f>
        <v>8.4555315342179806</v>
      </c>
      <c r="Z218" s="38">
        <f t="shared" si="25"/>
        <v>8.4555315342179806</v>
      </c>
      <c r="AA218" s="39">
        <v>1</v>
      </c>
      <c r="AB218" s="38">
        <f t="shared" si="26"/>
        <v>8.4555315342179806</v>
      </c>
      <c r="AC218" s="37">
        <f>Priors!$K$18</f>
        <v>2.7435089299114512</v>
      </c>
      <c r="AD218" s="38" t="str">
        <f t="shared" si="27"/>
        <v/>
      </c>
      <c r="AE218" s="37">
        <f>Priors!$K$19</f>
        <v>0.67280088332719912</v>
      </c>
      <c r="AF218" s="38" t="str">
        <f t="shared" si="28"/>
        <v/>
      </c>
      <c r="AG218" s="17">
        <f t="shared" si="29"/>
        <v>1</v>
      </c>
      <c r="AH218" s="7" t="s">
        <v>1643</v>
      </c>
      <c r="AI218" s="7">
        <v>12</v>
      </c>
      <c r="AJ218" s="38">
        <f t="shared" si="30"/>
        <v>0.70462762785149835</v>
      </c>
      <c r="AK218" s="9" t="b">
        <f t="shared" si="31"/>
        <v>1</v>
      </c>
      <c r="AL218" s="28" t="s">
        <v>1644</v>
      </c>
      <c r="AM218" s="28" t="s">
        <v>1645</v>
      </c>
      <c r="AN218" s="28" t="s">
        <v>1792</v>
      </c>
    </row>
    <row r="219" spans="1:40" ht="30">
      <c r="A219" s="7">
        <v>218</v>
      </c>
      <c r="B219" s="7" t="s">
        <v>723</v>
      </c>
      <c r="C219" s="7" t="s">
        <v>46</v>
      </c>
      <c r="D219" s="7" t="s">
        <v>112</v>
      </c>
      <c r="E219" s="7" t="s">
        <v>1642</v>
      </c>
      <c r="F219" s="7" t="s">
        <v>46</v>
      </c>
      <c r="G219" s="14">
        <v>0</v>
      </c>
      <c r="H219" s="14">
        <v>0</v>
      </c>
      <c r="I219" s="15">
        <v>0</v>
      </c>
      <c r="J219" s="14">
        <v>0</v>
      </c>
      <c r="K219" s="15">
        <v>0</v>
      </c>
      <c r="L219" s="14">
        <v>0</v>
      </c>
      <c r="M219" s="14">
        <v>0</v>
      </c>
      <c r="N219" s="13"/>
      <c r="O219" s="14">
        <v>0</v>
      </c>
      <c r="P219" s="14">
        <v>0</v>
      </c>
      <c r="Q219" s="15">
        <v>0</v>
      </c>
      <c r="R219" s="17">
        <f>IFERROR(G219/(G219+Priors!$H$18),0)</f>
        <v>0</v>
      </c>
      <c r="S219" s="13">
        <v>1</v>
      </c>
      <c r="T219" s="40" t="b">
        <v>0</v>
      </c>
      <c r="U219" s="13">
        <v>1</v>
      </c>
      <c r="V219" s="40" t="b">
        <v>1</v>
      </c>
      <c r="W219" s="13">
        <v>0.9</v>
      </c>
      <c r="X219" s="17">
        <f t="shared" si="24"/>
        <v>0</v>
      </c>
      <c r="Y219" s="37">
        <f>VLOOKUP(D219,Priors!$A$18:$B$21,2,FALSE)</f>
        <v>8.4555315342179806</v>
      </c>
      <c r="Z219" s="38">
        <f t="shared" si="25"/>
        <v>8.4555315342179806</v>
      </c>
      <c r="AA219" s="39">
        <v>1</v>
      </c>
      <c r="AB219" s="38">
        <f t="shared" si="26"/>
        <v>8.4555315342179806</v>
      </c>
      <c r="AC219" s="37">
        <f>Priors!$K$18</f>
        <v>2.7435089299114512</v>
      </c>
      <c r="AD219" s="38" t="str">
        <f t="shared" si="27"/>
        <v/>
      </c>
      <c r="AE219" s="37">
        <f>Priors!$K$19</f>
        <v>0.67280088332719912</v>
      </c>
      <c r="AF219" s="38" t="str">
        <f t="shared" si="28"/>
        <v/>
      </c>
      <c r="AG219" s="17">
        <f t="shared" si="29"/>
        <v>1</v>
      </c>
      <c r="AH219" s="7" t="s">
        <v>1643</v>
      </c>
      <c r="AI219" s="7">
        <v>12</v>
      </c>
      <c r="AJ219" s="38">
        <f t="shared" si="30"/>
        <v>0.70462762785149835</v>
      </c>
      <c r="AK219" s="9" t="b">
        <f t="shared" si="31"/>
        <v>1</v>
      </c>
      <c r="AL219" s="28" t="s">
        <v>1644</v>
      </c>
      <c r="AM219" s="28" t="s">
        <v>1645</v>
      </c>
      <c r="AN219" s="28" t="s">
        <v>1792</v>
      </c>
    </row>
    <row r="220" spans="1:40" ht="30">
      <c r="A220" s="7">
        <v>219</v>
      </c>
      <c r="B220" s="7" t="s">
        <v>726</v>
      </c>
      <c r="C220" s="7" t="s">
        <v>46</v>
      </c>
      <c r="D220" s="7" t="s">
        <v>112</v>
      </c>
      <c r="E220" s="7" t="s">
        <v>1642</v>
      </c>
      <c r="F220" s="7" t="s">
        <v>46</v>
      </c>
      <c r="G220" s="14">
        <v>0</v>
      </c>
      <c r="H220" s="14">
        <v>0</v>
      </c>
      <c r="I220" s="15">
        <v>0</v>
      </c>
      <c r="J220" s="14">
        <v>0</v>
      </c>
      <c r="K220" s="15">
        <v>0</v>
      </c>
      <c r="L220" s="14">
        <v>0</v>
      </c>
      <c r="M220" s="14">
        <v>0</v>
      </c>
      <c r="N220" s="13"/>
      <c r="O220" s="14">
        <v>0</v>
      </c>
      <c r="P220" s="14">
        <v>0</v>
      </c>
      <c r="Q220" s="15">
        <v>0</v>
      </c>
      <c r="R220" s="17">
        <f>IFERROR(G220/(G220+Priors!$H$18),0)</f>
        <v>0</v>
      </c>
      <c r="S220" s="13">
        <v>1</v>
      </c>
      <c r="T220" s="40" t="b">
        <v>0</v>
      </c>
      <c r="U220" s="13">
        <v>1</v>
      </c>
      <c r="V220" s="40" t="b">
        <v>1</v>
      </c>
      <c r="W220" s="13">
        <v>0.9</v>
      </c>
      <c r="X220" s="17">
        <f t="shared" si="24"/>
        <v>0</v>
      </c>
      <c r="Y220" s="37">
        <f>VLOOKUP(D220,Priors!$A$18:$B$21,2,FALSE)</f>
        <v>8.4555315342179806</v>
      </c>
      <c r="Z220" s="38">
        <f t="shared" si="25"/>
        <v>8.4555315342179806</v>
      </c>
      <c r="AA220" s="39">
        <v>1</v>
      </c>
      <c r="AB220" s="38">
        <f t="shared" si="26"/>
        <v>8.4555315342179806</v>
      </c>
      <c r="AC220" s="37">
        <f>Priors!$K$18</f>
        <v>2.7435089299114512</v>
      </c>
      <c r="AD220" s="38" t="str">
        <f t="shared" si="27"/>
        <v/>
      </c>
      <c r="AE220" s="37">
        <f>Priors!$K$19</f>
        <v>0.67280088332719912</v>
      </c>
      <c r="AF220" s="38" t="str">
        <f t="shared" si="28"/>
        <v/>
      </c>
      <c r="AG220" s="17">
        <f t="shared" si="29"/>
        <v>1</v>
      </c>
      <c r="AH220" s="7" t="s">
        <v>1643</v>
      </c>
      <c r="AI220" s="7">
        <v>12</v>
      </c>
      <c r="AJ220" s="38">
        <f t="shared" si="30"/>
        <v>0.70462762785149835</v>
      </c>
      <c r="AK220" s="9" t="b">
        <f t="shared" si="31"/>
        <v>1</v>
      </c>
      <c r="AL220" s="28" t="s">
        <v>1644</v>
      </c>
      <c r="AM220" s="28" t="s">
        <v>1645</v>
      </c>
      <c r="AN220" s="28" t="s">
        <v>1792</v>
      </c>
    </row>
    <row r="221" spans="1:40" ht="30">
      <c r="A221" s="7">
        <v>220</v>
      </c>
      <c r="B221" s="7" t="s">
        <v>729</v>
      </c>
      <c r="C221" s="7" t="s">
        <v>46</v>
      </c>
      <c r="D221" s="7" t="s">
        <v>99</v>
      </c>
      <c r="E221" s="7" t="s">
        <v>1642</v>
      </c>
      <c r="F221" s="7" t="s">
        <v>46</v>
      </c>
      <c r="G221" s="14">
        <v>90</v>
      </c>
      <c r="H221" s="14">
        <v>7</v>
      </c>
      <c r="I221" s="15">
        <v>7</v>
      </c>
      <c r="J221" s="14">
        <v>0</v>
      </c>
      <c r="K221" s="15">
        <v>0</v>
      </c>
      <c r="L221" s="14">
        <v>2</v>
      </c>
      <c r="M221" s="14">
        <v>0</v>
      </c>
      <c r="N221" s="13"/>
      <c r="O221" s="14">
        <v>0</v>
      </c>
      <c r="P221" s="14">
        <v>21</v>
      </c>
      <c r="Q221" s="15">
        <v>21</v>
      </c>
      <c r="R221" s="17">
        <f>IFERROR(G221/(G221+Priors!$H$18),0)</f>
        <v>8.2568807339449546E-2</v>
      </c>
      <c r="S221" s="13">
        <v>1</v>
      </c>
      <c r="T221" s="40" t="b">
        <v>0</v>
      </c>
      <c r="U221" s="13">
        <v>1</v>
      </c>
      <c r="V221" s="40" t="b">
        <v>1</v>
      </c>
      <c r="W221" s="13">
        <v>0.9</v>
      </c>
      <c r="X221" s="17">
        <f t="shared" si="24"/>
        <v>7.4311926605504591E-2</v>
      </c>
      <c r="Y221" s="37">
        <f>VLOOKUP(D221,Priors!$A$18:$B$21,2,FALSE)</f>
        <v>8.7398272304160223</v>
      </c>
      <c r="Z221" s="38">
        <f t="shared" si="25"/>
        <v>8.6105373169630877</v>
      </c>
      <c r="AA221" s="39">
        <v>1</v>
      </c>
      <c r="AB221" s="38">
        <f t="shared" si="26"/>
        <v>8.6105373169630877</v>
      </c>
      <c r="AC221" s="37">
        <f>Priors!$K$18</f>
        <v>2.7435089299114512</v>
      </c>
      <c r="AD221" s="38" t="str">
        <f t="shared" si="27"/>
        <v/>
      </c>
      <c r="AE221" s="37">
        <f>Priors!$K$19</f>
        <v>0.67280088332719912</v>
      </c>
      <c r="AF221" s="38" t="str">
        <f t="shared" si="28"/>
        <v/>
      </c>
      <c r="AG221" s="17">
        <f t="shared" si="29"/>
        <v>0.92568807339449544</v>
      </c>
      <c r="AH221" s="7" t="s">
        <v>1643</v>
      </c>
      <c r="AI221" s="7">
        <v>10</v>
      </c>
      <c r="AJ221" s="38">
        <f t="shared" si="30"/>
        <v>0.86105373169630872</v>
      </c>
      <c r="AK221" s="9" t="b">
        <f t="shared" si="31"/>
        <v>1</v>
      </c>
      <c r="AL221" s="28" t="s">
        <v>1644</v>
      </c>
      <c r="AM221" s="28" t="s">
        <v>1645</v>
      </c>
      <c r="AN221" s="28" t="s">
        <v>1792</v>
      </c>
    </row>
    <row r="222" spans="1:40" ht="30">
      <c r="A222" s="7">
        <v>221</v>
      </c>
      <c r="B222" s="7" t="s">
        <v>731</v>
      </c>
      <c r="C222" s="7" t="s">
        <v>46</v>
      </c>
      <c r="D222" s="7" t="s">
        <v>112</v>
      </c>
      <c r="E222" s="7" t="s">
        <v>1642</v>
      </c>
      <c r="F222" s="7" t="s">
        <v>46</v>
      </c>
      <c r="G222" s="14">
        <v>7</v>
      </c>
      <c r="H222" s="14">
        <v>3</v>
      </c>
      <c r="I222" s="15">
        <v>38.57</v>
      </c>
      <c r="J222" s="14">
        <v>0</v>
      </c>
      <c r="K222" s="15">
        <v>0</v>
      </c>
      <c r="L222" s="14">
        <v>1</v>
      </c>
      <c r="M222" s="14">
        <v>0</v>
      </c>
      <c r="N222" s="13"/>
      <c r="O222" s="14">
        <v>0</v>
      </c>
      <c r="P222" s="14">
        <v>6</v>
      </c>
      <c r="Q222" s="15">
        <v>77.142857142857139</v>
      </c>
      <c r="R222" s="17">
        <f>IFERROR(G222/(G222+Priors!$H$18),0)</f>
        <v>6.9513406156901684E-3</v>
      </c>
      <c r="S222" s="13">
        <v>1</v>
      </c>
      <c r="T222" s="40" t="b">
        <v>0</v>
      </c>
      <c r="U222" s="13">
        <v>1</v>
      </c>
      <c r="V222" s="40" t="b">
        <v>1</v>
      </c>
      <c r="W222" s="13">
        <v>0.9</v>
      </c>
      <c r="X222" s="17">
        <f t="shared" si="24"/>
        <v>6.256206554121152E-3</v>
      </c>
      <c r="Y222" s="37">
        <f>VLOOKUP(D222,Priors!$A$18:$B$21,2,FALSE)</f>
        <v>8.4555315342179806</v>
      </c>
      <c r="Z222" s="38">
        <f t="shared" si="25"/>
        <v>8.6439338692074799</v>
      </c>
      <c r="AA222" s="39">
        <v>1</v>
      </c>
      <c r="AB222" s="38">
        <f t="shared" si="26"/>
        <v>8.6439338692074799</v>
      </c>
      <c r="AC222" s="37">
        <f>Priors!$K$18</f>
        <v>2.7435089299114512</v>
      </c>
      <c r="AD222" s="38" t="str">
        <f t="shared" si="27"/>
        <v/>
      </c>
      <c r="AE222" s="37">
        <f>Priors!$K$19</f>
        <v>0.67280088332719912</v>
      </c>
      <c r="AF222" s="38" t="str">
        <f t="shared" si="28"/>
        <v/>
      </c>
      <c r="AG222" s="17">
        <f t="shared" si="29"/>
        <v>0.99374379344587882</v>
      </c>
      <c r="AH222" s="7" t="s">
        <v>1643</v>
      </c>
      <c r="AI222" s="7">
        <v>12</v>
      </c>
      <c r="AJ222" s="38">
        <f t="shared" si="30"/>
        <v>0.72032782243395665</v>
      </c>
      <c r="AK222" s="9" t="b">
        <f t="shared" si="31"/>
        <v>1</v>
      </c>
      <c r="AL222" s="28" t="s">
        <v>1644</v>
      </c>
      <c r="AM222" s="28" t="s">
        <v>1645</v>
      </c>
      <c r="AN222" s="28" t="s">
        <v>1792</v>
      </c>
    </row>
    <row r="223" spans="1:40" ht="30">
      <c r="A223" s="7">
        <v>222</v>
      </c>
      <c r="B223" s="7" t="s">
        <v>734</v>
      </c>
      <c r="C223" s="7" t="s">
        <v>46</v>
      </c>
      <c r="D223" s="7" t="s">
        <v>167</v>
      </c>
      <c r="E223" s="7" t="s">
        <v>1642</v>
      </c>
      <c r="F223" s="7" t="s">
        <v>46</v>
      </c>
      <c r="G223" s="14">
        <v>2301</v>
      </c>
      <c r="H223" s="14">
        <v>95</v>
      </c>
      <c r="I223" s="15">
        <v>3.72</v>
      </c>
      <c r="J223" s="14">
        <v>0</v>
      </c>
      <c r="K223" s="15">
        <v>0</v>
      </c>
      <c r="L223" s="14">
        <v>41</v>
      </c>
      <c r="M223" s="14">
        <v>5</v>
      </c>
      <c r="N223" s="13"/>
      <c r="O223" s="14">
        <v>3</v>
      </c>
      <c r="P223" s="14">
        <v>215</v>
      </c>
      <c r="Q223" s="15">
        <v>8.4093872229465454</v>
      </c>
      <c r="R223" s="17">
        <f>IFERROR(G223/(G223+Priors!$H$18),0)</f>
        <v>0.69706149651620719</v>
      </c>
      <c r="S223" s="13">
        <v>1</v>
      </c>
      <c r="T223" s="40" t="b">
        <v>0</v>
      </c>
      <c r="U223" s="13">
        <v>1</v>
      </c>
      <c r="V223" s="40" t="b">
        <v>1</v>
      </c>
      <c r="W223" s="13">
        <v>0.9</v>
      </c>
      <c r="X223" s="17">
        <f t="shared" si="24"/>
        <v>0.62735534686458649</v>
      </c>
      <c r="Y223" s="37">
        <f>VLOOKUP(D223,Priors!$A$18:$B$21,2,FALSE)</f>
        <v>4.5137422563476139</v>
      </c>
      <c r="Z223" s="38">
        <f t="shared" si="25"/>
        <v>4.015783807795577</v>
      </c>
      <c r="AA223" s="39">
        <v>1</v>
      </c>
      <c r="AB223" s="38">
        <f t="shared" si="26"/>
        <v>4.015783807795577</v>
      </c>
      <c r="AC223" s="37">
        <f>Priors!$K$18</f>
        <v>2.7435089299114512</v>
      </c>
      <c r="AD223" s="38" t="str">
        <f t="shared" si="27"/>
        <v/>
      </c>
      <c r="AE223" s="37">
        <f>Priors!$K$19</f>
        <v>0.67280088332719912</v>
      </c>
      <c r="AF223" s="38" t="str">
        <f t="shared" si="28"/>
        <v/>
      </c>
      <c r="AG223" s="17">
        <f t="shared" si="29"/>
        <v>0.37264465313541351</v>
      </c>
      <c r="AH223" s="7" t="s">
        <v>1643</v>
      </c>
      <c r="AI223" s="7">
        <v>12</v>
      </c>
      <c r="AJ223" s="38">
        <f t="shared" si="30"/>
        <v>0.3346486506496314</v>
      </c>
      <c r="AK223" s="9" t="b">
        <f t="shared" si="31"/>
        <v>1</v>
      </c>
      <c r="AL223" s="28" t="s">
        <v>1644</v>
      </c>
      <c r="AM223" s="28" t="s">
        <v>1645</v>
      </c>
      <c r="AN223" s="28" t="s">
        <v>1792</v>
      </c>
    </row>
    <row r="224" spans="1:40" ht="30">
      <c r="A224" s="7">
        <v>223</v>
      </c>
      <c r="B224" s="7" t="s">
        <v>737</v>
      </c>
      <c r="C224" s="7" t="s">
        <v>46</v>
      </c>
      <c r="D224" s="7" t="s">
        <v>167</v>
      </c>
      <c r="E224" s="7" t="s">
        <v>1642</v>
      </c>
      <c r="F224" s="7" t="s">
        <v>46</v>
      </c>
      <c r="G224" s="14">
        <v>2210</v>
      </c>
      <c r="H224" s="14">
        <v>125</v>
      </c>
      <c r="I224" s="15">
        <v>5.09</v>
      </c>
      <c r="J224" s="14">
        <v>0</v>
      </c>
      <c r="K224" s="15">
        <v>0</v>
      </c>
      <c r="L224" s="14">
        <v>29</v>
      </c>
      <c r="M224" s="14">
        <v>8</v>
      </c>
      <c r="N224" s="13"/>
      <c r="O224" s="14">
        <v>13</v>
      </c>
      <c r="P224" s="14">
        <v>397</v>
      </c>
      <c r="Q224" s="15">
        <v>16.167420814479637</v>
      </c>
      <c r="R224" s="17">
        <f>IFERROR(G224/(G224+Priors!$H$18),0)</f>
        <v>0.68847352024922115</v>
      </c>
      <c r="S224" s="13">
        <v>1</v>
      </c>
      <c r="T224" s="40" t="b">
        <v>0</v>
      </c>
      <c r="U224" s="13">
        <v>1</v>
      </c>
      <c r="V224" s="40" t="b">
        <v>1</v>
      </c>
      <c r="W224" s="13">
        <v>0.9</v>
      </c>
      <c r="X224" s="17">
        <f t="shared" si="24"/>
        <v>0.61962616822429906</v>
      </c>
      <c r="Y224" s="37">
        <f>VLOOKUP(D224,Priors!$A$18:$B$21,2,FALSE)</f>
        <v>4.5137422563476139</v>
      </c>
      <c r="Z224" s="38">
        <f t="shared" si="25"/>
        <v>4.8708066339565228</v>
      </c>
      <c r="AA224" s="39">
        <v>1</v>
      </c>
      <c r="AB224" s="38">
        <f t="shared" si="26"/>
        <v>4.8708066339565228</v>
      </c>
      <c r="AC224" s="37">
        <f>Priors!$K$18</f>
        <v>2.7435089299114512</v>
      </c>
      <c r="AD224" s="38" t="str">
        <f t="shared" si="27"/>
        <v/>
      </c>
      <c r="AE224" s="37">
        <f>Priors!$K$19</f>
        <v>0.67280088332719912</v>
      </c>
      <c r="AF224" s="38" t="str">
        <f t="shared" si="28"/>
        <v/>
      </c>
      <c r="AG224" s="17">
        <f t="shared" si="29"/>
        <v>0.38037383177570094</v>
      </c>
      <c r="AH224" s="7" t="s">
        <v>1643</v>
      </c>
      <c r="AI224" s="7">
        <v>12</v>
      </c>
      <c r="AJ224" s="38">
        <f t="shared" si="30"/>
        <v>0.40590055282971021</v>
      </c>
      <c r="AK224" s="9" t="b">
        <f t="shared" si="31"/>
        <v>1</v>
      </c>
      <c r="AL224" s="28" t="s">
        <v>1644</v>
      </c>
      <c r="AM224" s="28" t="s">
        <v>1645</v>
      </c>
      <c r="AN224" s="28" t="s">
        <v>1792</v>
      </c>
    </row>
    <row r="225" spans="1:40" ht="30">
      <c r="A225" s="7">
        <v>224</v>
      </c>
      <c r="B225" s="7" t="s">
        <v>740</v>
      </c>
      <c r="C225" s="7" t="s">
        <v>46</v>
      </c>
      <c r="D225" s="7" t="s">
        <v>167</v>
      </c>
      <c r="E225" s="7" t="s">
        <v>1642</v>
      </c>
      <c r="F225" s="7" t="s">
        <v>46</v>
      </c>
      <c r="G225" s="14">
        <v>414</v>
      </c>
      <c r="H225" s="14">
        <v>38</v>
      </c>
      <c r="I225" s="15">
        <v>8.26</v>
      </c>
      <c r="J225" s="14">
        <v>0</v>
      </c>
      <c r="K225" s="15">
        <v>0</v>
      </c>
      <c r="L225" s="14">
        <v>12</v>
      </c>
      <c r="M225" s="14">
        <v>0</v>
      </c>
      <c r="N225" s="13"/>
      <c r="O225" s="14">
        <v>3</v>
      </c>
      <c r="P225" s="14">
        <v>100</v>
      </c>
      <c r="Q225" s="15">
        <v>21.739130434782609</v>
      </c>
      <c r="R225" s="17">
        <f>IFERROR(G225/(G225+Priors!$H$18),0)</f>
        <v>0.29278642149929279</v>
      </c>
      <c r="S225" s="13">
        <v>1</v>
      </c>
      <c r="T225" s="40" t="b">
        <v>0</v>
      </c>
      <c r="U225" s="13">
        <v>1</v>
      </c>
      <c r="V225" s="40" t="b">
        <v>1</v>
      </c>
      <c r="W225" s="13">
        <v>0.9</v>
      </c>
      <c r="X225" s="17">
        <f t="shared" si="24"/>
        <v>0.26350777934936354</v>
      </c>
      <c r="Y225" s="37">
        <f>VLOOKUP(D225,Priors!$A$18:$B$21,2,FALSE)</f>
        <v>4.5137422563476139</v>
      </c>
      <c r="Z225" s="38">
        <f t="shared" si="25"/>
        <v>5.5009103152478112</v>
      </c>
      <c r="AA225" s="39">
        <v>1</v>
      </c>
      <c r="AB225" s="38">
        <f t="shared" si="26"/>
        <v>5.5009103152478112</v>
      </c>
      <c r="AC225" s="37">
        <f>Priors!$K$18</f>
        <v>2.7435089299114512</v>
      </c>
      <c r="AD225" s="38" t="str">
        <f t="shared" si="27"/>
        <v/>
      </c>
      <c r="AE225" s="37">
        <f>Priors!$K$19</f>
        <v>0.67280088332719912</v>
      </c>
      <c r="AF225" s="38" t="str">
        <f t="shared" si="28"/>
        <v/>
      </c>
      <c r="AG225" s="17">
        <f t="shared" si="29"/>
        <v>0.73649222065063646</v>
      </c>
      <c r="AH225" s="7" t="s">
        <v>1643</v>
      </c>
      <c r="AI225" s="7">
        <v>12</v>
      </c>
      <c r="AJ225" s="38">
        <f t="shared" si="30"/>
        <v>0.45840919293731758</v>
      </c>
      <c r="AK225" s="9" t="b">
        <f t="shared" si="31"/>
        <v>1</v>
      </c>
      <c r="AL225" s="28" t="s">
        <v>1644</v>
      </c>
      <c r="AM225" s="28" t="s">
        <v>1645</v>
      </c>
      <c r="AN225" s="28" t="s">
        <v>1792</v>
      </c>
    </row>
    <row r="226" spans="1:40" ht="30">
      <c r="A226" s="7">
        <v>225</v>
      </c>
      <c r="B226" s="7" t="s">
        <v>743</v>
      </c>
      <c r="C226" s="7" t="s">
        <v>46</v>
      </c>
      <c r="D226" s="7" t="s">
        <v>167</v>
      </c>
      <c r="E226" s="7" t="s">
        <v>1642</v>
      </c>
      <c r="F226" s="7" t="s">
        <v>46</v>
      </c>
      <c r="G226" s="14">
        <v>159</v>
      </c>
      <c r="H226" s="14">
        <v>13</v>
      </c>
      <c r="I226" s="15">
        <v>7.36</v>
      </c>
      <c r="J226" s="14">
        <v>0</v>
      </c>
      <c r="K226" s="15">
        <v>0</v>
      </c>
      <c r="L226" s="14">
        <v>4</v>
      </c>
      <c r="M226" s="14">
        <v>0</v>
      </c>
      <c r="N226" s="13"/>
      <c r="O226" s="14">
        <v>0</v>
      </c>
      <c r="P226" s="14">
        <v>42</v>
      </c>
      <c r="Q226" s="15">
        <v>23.773584905660378</v>
      </c>
      <c r="R226" s="17">
        <f>IFERROR(G226/(G226+Priors!$H$18),0)</f>
        <v>0.13718723037100949</v>
      </c>
      <c r="S226" s="13">
        <v>1</v>
      </c>
      <c r="T226" s="40" t="b">
        <v>0</v>
      </c>
      <c r="U226" s="13">
        <v>1</v>
      </c>
      <c r="V226" s="40" t="b">
        <v>1</v>
      </c>
      <c r="W226" s="13">
        <v>0.9</v>
      </c>
      <c r="X226" s="17">
        <f t="shared" si="24"/>
        <v>0.12346850733390854</v>
      </c>
      <c r="Y226" s="37">
        <f>VLOOKUP(D226,Priors!$A$18:$B$21,2,FALSE)</f>
        <v>4.5137422563476139</v>
      </c>
      <c r="Z226" s="38">
        <f t="shared" si="25"/>
        <v>4.8651654514439526</v>
      </c>
      <c r="AA226" s="39">
        <v>1</v>
      </c>
      <c r="AB226" s="38">
        <f t="shared" si="26"/>
        <v>4.8651654514439526</v>
      </c>
      <c r="AC226" s="37">
        <f>Priors!$K$18</f>
        <v>2.7435089299114512</v>
      </c>
      <c r="AD226" s="38" t="str">
        <f t="shared" si="27"/>
        <v/>
      </c>
      <c r="AE226" s="37">
        <f>Priors!$K$19</f>
        <v>0.67280088332719912</v>
      </c>
      <c r="AF226" s="38" t="str">
        <f t="shared" si="28"/>
        <v/>
      </c>
      <c r="AG226" s="17">
        <f t="shared" si="29"/>
        <v>0.87653149266609143</v>
      </c>
      <c r="AH226" s="7" t="s">
        <v>1643</v>
      </c>
      <c r="AI226" s="7">
        <v>12</v>
      </c>
      <c r="AJ226" s="38">
        <f t="shared" si="30"/>
        <v>0.40543045428699603</v>
      </c>
      <c r="AK226" s="9" t="b">
        <f t="shared" si="31"/>
        <v>1</v>
      </c>
      <c r="AL226" s="28" t="s">
        <v>1644</v>
      </c>
      <c r="AM226" s="28" t="s">
        <v>1645</v>
      </c>
      <c r="AN226" s="28" t="s">
        <v>1792</v>
      </c>
    </row>
    <row r="227" spans="1:40" ht="30">
      <c r="A227" s="7">
        <v>226</v>
      </c>
      <c r="B227" s="7" t="s">
        <v>749</v>
      </c>
      <c r="C227" s="7" t="s">
        <v>47</v>
      </c>
      <c r="D227" s="7" t="s">
        <v>85</v>
      </c>
      <c r="E227" s="7" t="s">
        <v>1642</v>
      </c>
      <c r="F227" s="7" t="s">
        <v>47</v>
      </c>
      <c r="G227" s="14">
        <v>3420</v>
      </c>
      <c r="H227" s="14">
        <v>97</v>
      </c>
      <c r="I227" s="15">
        <v>0</v>
      </c>
      <c r="J227" s="14">
        <v>100</v>
      </c>
      <c r="K227" s="15">
        <v>2.63</v>
      </c>
      <c r="L227" s="14">
        <v>50</v>
      </c>
      <c r="M227" s="14">
        <v>11</v>
      </c>
      <c r="N227" s="13">
        <v>0.66666666666666663</v>
      </c>
      <c r="O227" s="14">
        <v>11</v>
      </c>
      <c r="P227" s="14">
        <v>545</v>
      </c>
      <c r="Q227" s="15">
        <v>14.342105263157896</v>
      </c>
      <c r="R227" s="17">
        <f>IFERROR(G227/(G227+Priors!$H$18),0)</f>
        <v>0.77375565610859731</v>
      </c>
      <c r="S227" s="13">
        <v>1</v>
      </c>
      <c r="T227" s="40" t="b">
        <v>0</v>
      </c>
      <c r="U227" s="13">
        <v>1</v>
      </c>
      <c r="V227" s="40" t="b">
        <v>0</v>
      </c>
      <c r="W227" s="13">
        <v>1</v>
      </c>
      <c r="X227" s="17">
        <f t="shared" si="24"/>
        <v>0.77375565610859731</v>
      </c>
      <c r="Y227" s="37">
        <f>VLOOKUP(D227,Priors!$A$18:$B$21,2,FALSE)</f>
        <v>2.6414527990394716</v>
      </c>
      <c r="Z227" s="38">
        <f t="shared" si="25"/>
        <v>0.59761375543879436</v>
      </c>
      <c r="AA227" s="39">
        <v>1</v>
      </c>
      <c r="AB227" s="38">
        <f t="shared" si="26"/>
        <v>0.59761375543879436</v>
      </c>
      <c r="AC227" s="37">
        <f>Priors!$K$18</f>
        <v>2.7435089299114512</v>
      </c>
      <c r="AD227" s="38">
        <f t="shared" si="27"/>
        <v>2.6556807533736313</v>
      </c>
      <c r="AE227" s="37">
        <f>Priors!$K$19</f>
        <v>0.67280088332719912</v>
      </c>
      <c r="AF227" s="38">
        <f t="shared" si="28"/>
        <v>0.66805449849031651</v>
      </c>
      <c r="AG227" s="17">
        <f t="shared" si="29"/>
        <v>0.22624434389140269</v>
      </c>
      <c r="AH227" s="7" t="s">
        <v>1643</v>
      </c>
      <c r="AI227" s="7"/>
      <c r="AJ227" s="38" t="str">
        <f t="shared" si="30"/>
        <v/>
      </c>
      <c r="AK227" s="9" t="b">
        <f t="shared" si="31"/>
        <v>0</v>
      </c>
      <c r="AL227" s="28" t="s">
        <v>1644</v>
      </c>
      <c r="AM227" s="28" t="s">
        <v>1645</v>
      </c>
      <c r="AN227" s="28" t="s">
        <v>1792</v>
      </c>
    </row>
    <row r="228" spans="1:40" ht="30">
      <c r="A228" s="7">
        <v>227</v>
      </c>
      <c r="B228" s="7" t="s">
        <v>754</v>
      </c>
      <c r="C228" s="7" t="s">
        <v>47</v>
      </c>
      <c r="D228" s="7" t="s">
        <v>85</v>
      </c>
      <c r="E228" s="7" t="s">
        <v>1642</v>
      </c>
      <c r="F228" s="7" t="s">
        <v>47</v>
      </c>
      <c r="G228" s="14">
        <v>0</v>
      </c>
      <c r="H228" s="14">
        <v>0</v>
      </c>
      <c r="I228" s="15">
        <v>0</v>
      </c>
      <c r="J228" s="14">
        <v>0</v>
      </c>
      <c r="K228" s="15">
        <v>0</v>
      </c>
      <c r="L228" s="14">
        <v>0</v>
      </c>
      <c r="M228" s="14">
        <v>0</v>
      </c>
      <c r="N228" s="13"/>
      <c r="O228" s="14">
        <v>0</v>
      </c>
      <c r="P228" s="14">
        <v>0</v>
      </c>
      <c r="Q228" s="15">
        <v>0</v>
      </c>
      <c r="R228" s="17">
        <f>IFERROR(G228/(G228+Priors!$H$18),0)</f>
        <v>0</v>
      </c>
      <c r="S228" s="13">
        <v>1</v>
      </c>
      <c r="T228" s="40" t="b">
        <v>0</v>
      </c>
      <c r="U228" s="13">
        <v>1</v>
      </c>
      <c r="V228" s="40" t="b">
        <v>0</v>
      </c>
      <c r="W228" s="13">
        <v>1</v>
      </c>
      <c r="X228" s="17">
        <f t="shared" si="24"/>
        <v>0</v>
      </c>
      <c r="Y228" s="37">
        <f>VLOOKUP(D228,Priors!$A$18:$B$21,2,FALSE)</f>
        <v>2.6414527990394716</v>
      </c>
      <c r="Z228" s="38">
        <f t="shared" si="25"/>
        <v>2.6414527990394716</v>
      </c>
      <c r="AA228" s="39">
        <v>1</v>
      </c>
      <c r="AB228" s="38">
        <f t="shared" si="26"/>
        <v>2.6414527990394716</v>
      </c>
      <c r="AC228" s="37">
        <f>Priors!$K$18</f>
        <v>2.7435089299114512</v>
      </c>
      <c r="AD228" s="38">
        <f t="shared" si="27"/>
        <v>2.7435089299114512</v>
      </c>
      <c r="AE228" s="37">
        <f>Priors!$K$19</f>
        <v>0.67280088332719912</v>
      </c>
      <c r="AF228" s="38">
        <f t="shared" si="28"/>
        <v>0.67280088332719912</v>
      </c>
      <c r="AG228" s="17">
        <f t="shared" si="29"/>
        <v>1</v>
      </c>
      <c r="AH228" s="7" t="s">
        <v>1643</v>
      </c>
      <c r="AI228" s="7"/>
      <c r="AJ228" s="38" t="str">
        <f t="shared" si="30"/>
        <v/>
      </c>
      <c r="AK228" s="9" t="b">
        <f t="shared" si="31"/>
        <v>1</v>
      </c>
      <c r="AL228" s="28" t="s">
        <v>1644</v>
      </c>
      <c r="AM228" s="28" t="s">
        <v>1645</v>
      </c>
      <c r="AN228" s="28" t="s">
        <v>1792</v>
      </c>
    </row>
    <row r="229" spans="1:40" ht="30">
      <c r="A229" s="7">
        <v>228</v>
      </c>
      <c r="B229" s="7" t="s">
        <v>756</v>
      </c>
      <c r="C229" s="7" t="s">
        <v>47</v>
      </c>
      <c r="D229" s="7" t="s">
        <v>85</v>
      </c>
      <c r="E229" s="7" t="s">
        <v>1642</v>
      </c>
      <c r="F229" s="7" t="s">
        <v>47</v>
      </c>
      <c r="G229" s="14">
        <v>0</v>
      </c>
      <c r="H229" s="14">
        <v>0</v>
      </c>
      <c r="I229" s="15">
        <v>0</v>
      </c>
      <c r="J229" s="14">
        <v>0</v>
      </c>
      <c r="K229" s="15">
        <v>0</v>
      </c>
      <c r="L229" s="14">
        <v>0</v>
      </c>
      <c r="M229" s="14">
        <v>0</v>
      </c>
      <c r="N229" s="13"/>
      <c r="O229" s="14">
        <v>0</v>
      </c>
      <c r="P229" s="14">
        <v>0</v>
      </c>
      <c r="Q229" s="15">
        <v>0</v>
      </c>
      <c r="R229" s="17">
        <f>IFERROR(G229/(G229+Priors!$H$18),0)</f>
        <v>0</v>
      </c>
      <c r="S229" s="13">
        <v>1</v>
      </c>
      <c r="T229" s="40" t="b">
        <v>0</v>
      </c>
      <c r="U229" s="13">
        <v>1</v>
      </c>
      <c r="V229" s="40" t="b">
        <v>0</v>
      </c>
      <c r="W229" s="13">
        <v>1</v>
      </c>
      <c r="X229" s="17">
        <f t="shared" si="24"/>
        <v>0</v>
      </c>
      <c r="Y229" s="37">
        <f>VLOOKUP(D229,Priors!$A$18:$B$21,2,FALSE)</f>
        <v>2.6414527990394716</v>
      </c>
      <c r="Z229" s="38">
        <f t="shared" si="25"/>
        <v>2.6414527990394716</v>
      </c>
      <c r="AA229" s="39">
        <v>1</v>
      </c>
      <c r="AB229" s="38">
        <f t="shared" si="26"/>
        <v>2.6414527990394716</v>
      </c>
      <c r="AC229" s="37">
        <f>Priors!$K$18</f>
        <v>2.7435089299114512</v>
      </c>
      <c r="AD229" s="38">
        <f t="shared" si="27"/>
        <v>2.7435089299114512</v>
      </c>
      <c r="AE229" s="37">
        <f>Priors!$K$19</f>
        <v>0.67280088332719912</v>
      </c>
      <c r="AF229" s="38">
        <f t="shared" si="28"/>
        <v>0.67280088332719912</v>
      </c>
      <c r="AG229" s="17">
        <f t="shared" si="29"/>
        <v>1</v>
      </c>
      <c r="AH229" s="7" t="s">
        <v>1643</v>
      </c>
      <c r="AI229" s="7"/>
      <c r="AJ229" s="38" t="str">
        <f t="shared" si="30"/>
        <v/>
      </c>
      <c r="AK229" s="9" t="b">
        <f t="shared" si="31"/>
        <v>1</v>
      </c>
      <c r="AL229" s="28" t="s">
        <v>1644</v>
      </c>
      <c r="AM229" s="28" t="s">
        <v>1645</v>
      </c>
      <c r="AN229" s="28" t="s">
        <v>1792</v>
      </c>
    </row>
    <row r="230" spans="1:40" ht="30">
      <c r="A230" s="7">
        <v>229</v>
      </c>
      <c r="B230" s="7" t="s">
        <v>759</v>
      </c>
      <c r="C230" s="7" t="s">
        <v>47</v>
      </c>
      <c r="D230" s="7" t="s">
        <v>99</v>
      </c>
      <c r="E230" s="7" t="s">
        <v>1642</v>
      </c>
      <c r="F230" s="7" t="s">
        <v>47</v>
      </c>
      <c r="G230" s="14">
        <v>3330</v>
      </c>
      <c r="H230" s="14">
        <v>402</v>
      </c>
      <c r="I230" s="15">
        <v>10.16</v>
      </c>
      <c r="J230" s="14">
        <v>0</v>
      </c>
      <c r="K230" s="15">
        <v>0</v>
      </c>
      <c r="L230" s="14">
        <v>48</v>
      </c>
      <c r="M230" s="14">
        <v>11</v>
      </c>
      <c r="N230" s="13"/>
      <c r="O230" s="14">
        <v>12</v>
      </c>
      <c r="P230" s="14">
        <v>592</v>
      </c>
      <c r="Q230" s="15">
        <v>16</v>
      </c>
      <c r="R230" s="17">
        <f>IFERROR(G230/(G230+Priors!$H$18),0)</f>
        <v>0.76905311778290997</v>
      </c>
      <c r="S230" s="13">
        <v>1</v>
      </c>
      <c r="T230" s="40" t="b">
        <v>0</v>
      </c>
      <c r="U230" s="13">
        <v>1</v>
      </c>
      <c r="V230" s="40" t="b">
        <v>0</v>
      </c>
      <c r="W230" s="13">
        <v>1</v>
      </c>
      <c r="X230" s="17">
        <f t="shared" si="24"/>
        <v>0.76905311778290997</v>
      </c>
      <c r="Y230" s="37">
        <f>VLOOKUP(D230,Priors!$A$18:$B$21,2,FALSE)</f>
        <v>8.7398272304160223</v>
      </c>
      <c r="Z230" s="38">
        <f t="shared" si="25"/>
        <v>9.8320155266549705</v>
      </c>
      <c r="AA230" s="39">
        <v>1</v>
      </c>
      <c r="AB230" s="38">
        <f t="shared" si="26"/>
        <v>9.8320155266549705</v>
      </c>
      <c r="AC230" s="37">
        <f>Priors!$K$18</f>
        <v>2.7435089299114512</v>
      </c>
      <c r="AD230" s="38" t="str">
        <f t="shared" si="27"/>
        <v/>
      </c>
      <c r="AE230" s="37">
        <f>Priors!$K$19</f>
        <v>0.67280088332719912</v>
      </c>
      <c r="AF230" s="38" t="str">
        <f t="shared" si="28"/>
        <v/>
      </c>
      <c r="AG230" s="17">
        <f t="shared" si="29"/>
        <v>0.23094688221709003</v>
      </c>
      <c r="AH230" s="7" t="s">
        <v>1643</v>
      </c>
      <c r="AI230" s="7">
        <v>10</v>
      </c>
      <c r="AJ230" s="38">
        <f t="shared" si="30"/>
        <v>0.98320155266549702</v>
      </c>
      <c r="AK230" s="9" t="b">
        <f t="shared" si="31"/>
        <v>0</v>
      </c>
      <c r="AL230" s="28" t="s">
        <v>1644</v>
      </c>
      <c r="AM230" s="28" t="s">
        <v>1645</v>
      </c>
      <c r="AN230" s="28" t="s">
        <v>1792</v>
      </c>
    </row>
    <row r="231" spans="1:40" ht="30">
      <c r="A231" s="7">
        <v>230</v>
      </c>
      <c r="B231" s="7" t="s">
        <v>761</v>
      </c>
      <c r="C231" s="7" t="s">
        <v>47</v>
      </c>
      <c r="D231" s="7" t="s">
        <v>99</v>
      </c>
      <c r="E231" s="7" t="s">
        <v>1642</v>
      </c>
      <c r="F231" s="7" t="s">
        <v>47</v>
      </c>
      <c r="G231" s="14">
        <v>678</v>
      </c>
      <c r="H231" s="14">
        <v>67</v>
      </c>
      <c r="I231" s="15">
        <v>8.89</v>
      </c>
      <c r="J231" s="14">
        <v>0</v>
      </c>
      <c r="K231" s="15">
        <v>0</v>
      </c>
      <c r="L231" s="14">
        <v>9</v>
      </c>
      <c r="M231" s="14">
        <v>1</v>
      </c>
      <c r="N231" s="13"/>
      <c r="O231" s="14">
        <v>0</v>
      </c>
      <c r="P231" s="14">
        <v>108</v>
      </c>
      <c r="Q231" s="15">
        <v>14.336283185840708</v>
      </c>
      <c r="R231" s="17">
        <f>IFERROR(G231/(G231+Priors!$H$18),0)</f>
        <v>0.40405244338498214</v>
      </c>
      <c r="S231" s="13">
        <v>1</v>
      </c>
      <c r="T231" s="40" t="b">
        <v>0</v>
      </c>
      <c r="U231" s="13">
        <v>1</v>
      </c>
      <c r="V231" s="40" t="b">
        <v>0</v>
      </c>
      <c r="W231" s="13">
        <v>1</v>
      </c>
      <c r="X231" s="17">
        <f t="shared" si="24"/>
        <v>0.40405244338498214</v>
      </c>
      <c r="Y231" s="37">
        <f>VLOOKUP(D231,Priors!$A$18:$B$21,2,FALSE)</f>
        <v>8.7398272304160223</v>
      </c>
      <c r="Z231" s="38">
        <f t="shared" si="25"/>
        <v>8.800504904896318</v>
      </c>
      <c r="AA231" s="39">
        <v>1</v>
      </c>
      <c r="AB231" s="38">
        <f t="shared" si="26"/>
        <v>8.800504904896318</v>
      </c>
      <c r="AC231" s="37">
        <f>Priors!$K$18</f>
        <v>2.7435089299114512</v>
      </c>
      <c r="AD231" s="38" t="str">
        <f t="shared" si="27"/>
        <v/>
      </c>
      <c r="AE231" s="37">
        <f>Priors!$K$19</f>
        <v>0.67280088332719912</v>
      </c>
      <c r="AF231" s="38" t="str">
        <f t="shared" si="28"/>
        <v/>
      </c>
      <c r="AG231" s="17">
        <f t="shared" si="29"/>
        <v>0.59594755661501786</v>
      </c>
      <c r="AH231" s="7" t="s">
        <v>1643</v>
      </c>
      <c r="AI231" s="7">
        <v>10</v>
      </c>
      <c r="AJ231" s="38">
        <f t="shared" si="30"/>
        <v>0.8800504904896318</v>
      </c>
      <c r="AK231" s="9" t="b">
        <f t="shared" si="31"/>
        <v>1</v>
      </c>
      <c r="AL231" s="28" t="s">
        <v>1644</v>
      </c>
      <c r="AM231" s="28" t="s">
        <v>1645</v>
      </c>
      <c r="AN231" s="28" t="s">
        <v>1792</v>
      </c>
    </row>
    <row r="232" spans="1:40" ht="30">
      <c r="A232" s="7">
        <v>231</v>
      </c>
      <c r="B232" s="7" t="s">
        <v>764</v>
      </c>
      <c r="C232" s="7" t="s">
        <v>47</v>
      </c>
      <c r="D232" s="7" t="s">
        <v>99</v>
      </c>
      <c r="E232" s="7" t="s">
        <v>1642</v>
      </c>
      <c r="F232" s="7" t="s">
        <v>47</v>
      </c>
      <c r="G232" s="14">
        <v>2588</v>
      </c>
      <c r="H232" s="14">
        <v>332</v>
      </c>
      <c r="I232" s="15">
        <v>10.5</v>
      </c>
      <c r="J232" s="14">
        <v>0</v>
      </c>
      <c r="K232" s="15">
        <v>0</v>
      </c>
      <c r="L232" s="14">
        <v>42</v>
      </c>
      <c r="M232" s="14">
        <v>7</v>
      </c>
      <c r="N232" s="13"/>
      <c r="O232" s="14">
        <v>8</v>
      </c>
      <c r="P232" s="14">
        <v>404</v>
      </c>
      <c r="Q232" s="15">
        <v>14.049459041731067</v>
      </c>
      <c r="R232" s="17">
        <f>IFERROR(G232/(G232+Priors!$H$18),0)</f>
        <v>0.72129319955406912</v>
      </c>
      <c r="S232" s="13">
        <v>1</v>
      </c>
      <c r="T232" s="40" t="b">
        <v>0</v>
      </c>
      <c r="U232" s="13">
        <v>1</v>
      </c>
      <c r="V232" s="40" t="b">
        <v>0</v>
      </c>
      <c r="W232" s="13">
        <v>1</v>
      </c>
      <c r="X232" s="17">
        <f t="shared" si="24"/>
        <v>0.72129319955406912</v>
      </c>
      <c r="Y232" s="37">
        <f>VLOOKUP(D232,Priors!$A$18:$B$21,2,FALSE)</f>
        <v>8.7398272304160223</v>
      </c>
      <c r="Z232" s="38">
        <f t="shared" si="25"/>
        <v>10.009427879157197</v>
      </c>
      <c r="AA232" s="39">
        <v>1</v>
      </c>
      <c r="AB232" s="38">
        <f t="shared" si="26"/>
        <v>10.009427879157197</v>
      </c>
      <c r="AC232" s="37">
        <f>Priors!$K$18</f>
        <v>2.7435089299114512</v>
      </c>
      <c r="AD232" s="38" t="str">
        <f t="shared" si="27"/>
        <v/>
      </c>
      <c r="AE232" s="37">
        <f>Priors!$K$19</f>
        <v>0.67280088332719912</v>
      </c>
      <c r="AF232" s="38" t="str">
        <f t="shared" si="28"/>
        <v/>
      </c>
      <c r="AG232" s="17">
        <f t="shared" si="29"/>
        <v>0.27870680044593088</v>
      </c>
      <c r="AH232" s="7" t="s">
        <v>1643</v>
      </c>
      <c r="AI232" s="7">
        <v>10</v>
      </c>
      <c r="AJ232" s="38">
        <f t="shared" si="30"/>
        <v>1.0009427879157198</v>
      </c>
      <c r="AK232" s="9" t="b">
        <f t="shared" si="31"/>
        <v>0</v>
      </c>
      <c r="AL232" s="28" t="s">
        <v>1644</v>
      </c>
      <c r="AM232" s="28" t="s">
        <v>1645</v>
      </c>
      <c r="AN232" s="28" t="s">
        <v>1792</v>
      </c>
    </row>
    <row r="233" spans="1:40" ht="30">
      <c r="A233" s="7">
        <v>232</v>
      </c>
      <c r="B233" s="7" t="s">
        <v>767</v>
      </c>
      <c r="C233" s="7" t="s">
        <v>47</v>
      </c>
      <c r="D233" s="7" t="s">
        <v>99</v>
      </c>
      <c r="E233" s="7" t="s">
        <v>1642</v>
      </c>
      <c r="F233" s="7" t="s">
        <v>47</v>
      </c>
      <c r="G233" s="14">
        <v>3118</v>
      </c>
      <c r="H233" s="14">
        <v>259</v>
      </c>
      <c r="I233" s="15">
        <v>6.67</v>
      </c>
      <c r="J233" s="14">
        <v>0</v>
      </c>
      <c r="K233" s="15">
        <v>0</v>
      </c>
      <c r="L233" s="14">
        <v>46</v>
      </c>
      <c r="M233" s="14">
        <v>10</v>
      </c>
      <c r="N233" s="13"/>
      <c r="O233" s="14">
        <v>2</v>
      </c>
      <c r="P233" s="14">
        <v>368</v>
      </c>
      <c r="Q233" s="15">
        <v>10.622193713919179</v>
      </c>
      <c r="R233" s="17">
        <f>IFERROR(G233/(G233+Priors!$H$18),0)</f>
        <v>0.75716367168528409</v>
      </c>
      <c r="S233" s="13">
        <v>1</v>
      </c>
      <c r="T233" s="40" t="b">
        <v>0</v>
      </c>
      <c r="U233" s="13">
        <v>1</v>
      </c>
      <c r="V233" s="40" t="b">
        <v>0</v>
      </c>
      <c r="W233" s="13">
        <v>1</v>
      </c>
      <c r="X233" s="17">
        <f t="shared" si="24"/>
        <v>0.75716367168528409</v>
      </c>
      <c r="Y233" s="37">
        <f>VLOOKUP(D233,Priors!$A$18:$B$21,2,FALSE)</f>
        <v>8.7398272304160223</v>
      </c>
      <c r="Z233" s="38">
        <f t="shared" si="25"/>
        <v>7.1726292448800439</v>
      </c>
      <c r="AA233" s="39">
        <v>1</v>
      </c>
      <c r="AB233" s="38">
        <f t="shared" si="26"/>
        <v>7.1726292448800439</v>
      </c>
      <c r="AC233" s="37">
        <f>Priors!$K$18</f>
        <v>2.7435089299114512</v>
      </c>
      <c r="AD233" s="38" t="str">
        <f t="shared" si="27"/>
        <v/>
      </c>
      <c r="AE233" s="37">
        <f>Priors!$K$19</f>
        <v>0.67280088332719912</v>
      </c>
      <c r="AF233" s="38" t="str">
        <f t="shared" si="28"/>
        <v/>
      </c>
      <c r="AG233" s="17">
        <f t="shared" si="29"/>
        <v>0.24283632831471591</v>
      </c>
      <c r="AH233" s="7" t="s">
        <v>1643</v>
      </c>
      <c r="AI233" s="7">
        <v>10</v>
      </c>
      <c r="AJ233" s="38">
        <f t="shared" si="30"/>
        <v>0.71726292448800444</v>
      </c>
      <c r="AK233" s="9" t="b">
        <f t="shared" si="31"/>
        <v>0</v>
      </c>
      <c r="AL233" s="28" t="s">
        <v>1644</v>
      </c>
      <c r="AM233" s="28" t="s">
        <v>1645</v>
      </c>
      <c r="AN233" s="28" t="s">
        <v>1792</v>
      </c>
    </row>
    <row r="234" spans="1:40" ht="30">
      <c r="A234" s="7">
        <v>233</v>
      </c>
      <c r="B234" s="7" t="s">
        <v>769</v>
      </c>
      <c r="C234" s="7" t="s">
        <v>47</v>
      </c>
      <c r="D234" s="7" t="s">
        <v>99</v>
      </c>
      <c r="E234" s="7" t="s">
        <v>1642</v>
      </c>
      <c r="F234" s="7" t="s">
        <v>47</v>
      </c>
      <c r="G234" s="14">
        <v>2959</v>
      </c>
      <c r="H234" s="14">
        <v>253</v>
      </c>
      <c r="I234" s="15">
        <v>7.03</v>
      </c>
      <c r="J234" s="14">
        <v>0</v>
      </c>
      <c r="K234" s="15">
        <v>0</v>
      </c>
      <c r="L234" s="14">
        <v>47</v>
      </c>
      <c r="M234" s="14">
        <v>9</v>
      </c>
      <c r="N234" s="13"/>
      <c r="O234" s="14">
        <v>2</v>
      </c>
      <c r="P234" s="14">
        <v>350</v>
      </c>
      <c r="Q234" s="15">
        <v>10.645488340655627</v>
      </c>
      <c r="R234" s="17">
        <f>IFERROR(G234/(G234+Priors!$H$18),0)</f>
        <v>0.74741096236423343</v>
      </c>
      <c r="S234" s="13">
        <v>1</v>
      </c>
      <c r="T234" s="40" t="b">
        <v>0</v>
      </c>
      <c r="U234" s="13">
        <v>1</v>
      </c>
      <c r="V234" s="40" t="b">
        <v>0</v>
      </c>
      <c r="W234" s="13">
        <v>1</v>
      </c>
      <c r="X234" s="17">
        <f t="shared" si="24"/>
        <v>0.74741096236423343</v>
      </c>
      <c r="Y234" s="37">
        <f>VLOOKUP(D234,Priors!$A$18:$B$21,2,FALSE)</f>
        <v>8.7398272304160223</v>
      </c>
      <c r="Z234" s="38">
        <f t="shared" si="25"/>
        <v>7.4618836146542113</v>
      </c>
      <c r="AA234" s="39">
        <v>1</v>
      </c>
      <c r="AB234" s="38">
        <f t="shared" si="26"/>
        <v>7.4618836146542113</v>
      </c>
      <c r="AC234" s="37">
        <f>Priors!$K$18</f>
        <v>2.7435089299114512</v>
      </c>
      <c r="AD234" s="38" t="str">
        <f t="shared" si="27"/>
        <v/>
      </c>
      <c r="AE234" s="37">
        <f>Priors!$K$19</f>
        <v>0.67280088332719912</v>
      </c>
      <c r="AF234" s="38" t="str">
        <f t="shared" si="28"/>
        <v/>
      </c>
      <c r="AG234" s="17">
        <f t="shared" si="29"/>
        <v>0.25258903763576657</v>
      </c>
      <c r="AH234" s="7" t="s">
        <v>1643</v>
      </c>
      <c r="AI234" s="7">
        <v>10</v>
      </c>
      <c r="AJ234" s="38">
        <f t="shared" si="30"/>
        <v>0.74618836146542111</v>
      </c>
      <c r="AK234" s="9" t="b">
        <f t="shared" si="31"/>
        <v>0</v>
      </c>
      <c r="AL234" s="28" t="s">
        <v>1644</v>
      </c>
      <c r="AM234" s="28" t="s">
        <v>1645</v>
      </c>
      <c r="AN234" s="28" t="s">
        <v>1792</v>
      </c>
    </row>
    <row r="235" spans="1:40" ht="30">
      <c r="A235" s="7">
        <v>234</v>
      </c>
      <c r="B235" s="7" t="s">
        <v>772</v>
      </c>
      <c r="C235" s="7" t="s">
        <v>47</v>
      </c>
      <c r="D235" s="7" t="s">
        <v>99</v>
      </c>
      <c r="E235" s="7" t="s">
        <v>1642</v>
      </c>
      <c r="F235" s="7" t="s">
        <v>47</v>
      </c>
      <c r="G235" s="14">
        <v>238</v>
      </c>
      <c r="H235" s="14">
        <v>31</v>
      </c>
      <c r="I235" s="15">
        <v>11.72</v>
      </c>
      <c r="J235" s="14">
        <v>0</v>
      </c>
      <c r="K235" s="15">
        <v>0</v>
      </c>
      <c r="L235" s="14">
        <v>2</v>
      </c>
      <c r="M235" s="14">
        <v>2</v>
      </c>
      <c r="N235" s="13"/>
      <c r="O235" s="14">
        <v>0</v>
      </c>
      <c r="P235" s="14">
        <v>67</v>
      </c>
      <c r="Q235" s="15">
        <v>25.336134453781511</v>
      </c>
      <c r="R235" s="17">
        <f>IFERROR(G235/(G235+Priors!$H$18),0)</f>
        <v>0.19224555735056542</v>
      </c>
      <c r="S235" s="13">
        <v>1</v>
      </c>
      <c r="T235" s="40" t="b">
        <v>0</v>
      </c>
      <c r="U235" s="13">
        <v>1</v>
      </c>
      <c r="V235" s="40" t="b">
        <v>0</v>
      </c>
      <c r="W235" s="13">
        <v>1</v>
      </c>
      <c r="X235" s="17">
        <f t="shared" si="24"/>
        <v>0.19224555735056542</v>
      </c>
      <c r="Y235" s="37">
        <f>VLOOKUP(D235,Priors!$A$18:$B$21,2,FALSE)</f>
        <v>8.7398272304160223</v>
      </c>
      <c r="Z235" s="38">
        <f t="shared" si="25"/>
        <v>9.3127522055056726</v>
      </c>
      <c r="AA235" s="39">
        <v>1</v>
      </c>
      <c r="AB235" s="38">
        <f t="shared" si="26"/>
        <v>9.3127522055056726</v>
      </c>
      <c r="AC235" s="37">
        <f>Priors!$K$18</f>
        <v>2.7435089299114512</v>
      </c>
      <c r="AD235" s="38" t="str">
        <f t="shared" si="27"/>
        <v/>
      </c>
      <c r="AE235" s="37">
        <f>Priors!$K$19</f>
        <v>0.67280088332719912</v>
      </c>
      <c r="AF235" s="38" t="str">
        <f t="shared" si="28"/>
        <v/>
      </c>
      <c r="AG235" s="17">
        <f t="shared" si="29"/>
        <v>0.80775444264943452</v>
      </c>
      <c r="AH235" s="7" t="s">
        <v>1643</v>
      </c>
      <c r="AI235" s="7">
        <v>10</v>
      </c>
      <c r="AJ235" s="38">
        <f t="shared" si="30"/>
        <v>0.93127522055056722</v>
      </c>
      <c r="AK235" s="9" t="b">
        <f t="shared" si="31"/>
        <v>1</v>
      </c>
      <c r="AL235" s="28" t="s">
        <v>1644</v>
      </c>
      <c r="AM235" s="28" t="s">
        <v>1645</v>
      </c>
      <c r="AN235" s="28" t="s">
        <v>1792</v>
      </c>
    </row>
    <row r="236" spans="1:40" ht="30">
      <c r="A236" s="7">
        <v>235</v>
      </c>
      <c r="B236" s="7" t="s">
        <v>775</v>
      </c>
      <c r="C236" s="7" t="s">
        <v>47</v>
      </c>
      <c r="D236" s="7" t="s">
        <v>99</v>
      </c>
      <c r="E236" s="7" t="s">
        <v>1642</v>
      </c>
      <c r="F236" s="7" t="s">
        <v>47</v>
      </c>
      <c r="G236" s="14">
        <v>0</v>
      </c>
      <c r="H236" s="14">
        <v>0</v>
      </c>
      <c r="I236" s="15">
        <v>0</v>
      </c>
      <c r="J236" s="14">
        <v>0</v>
      </c>
      <c r="K236" s="15">
        <v>0</v>
      </c>
      <c r="L236" s="14">
        <v>0</v>
      </c>
      <c r="M236" s="14">
        <v>0</v>
      </c>
      <c r="N236" s="13"/>
      <c r="O236" s="14">
        <v>0</v>
      </c>
      <c r="P236" s="14">
        <v>0</v>
      </c>
      <c r="Q236" s="15">
        <v>0</v>
      </c>
      <c r="R236" s="17">
        <f>IFERROR(G236/(G236+Priors!$H$18),0)</f>
        <v>0</v>
      </c>
      <c r="S236" s="13">
        <v>1</v>
      </c>
      <c r="T236" s="40" t="b">
        <v>0</v>
      </c>
      <c r="U236" s="13">
        <v>1</v>
      </c>
      <c r="V236" s="40" t="b">
        <v>0</v>
      </c>
      <c r="W236" s="13">
        <v>1</v>
      </c>
      <c r="X236" s="17">
        <f t="shared" si="24"/>
        <v>0</v>
      </c>
      <c r="Y236" s="37">
        <f>VLOOKUP(D236,Priors!$A$18:$B$21,2,FALSE)</f>
        <v>8.7398272304160223</v>
      </c>
      <c r="Z236" s="38">
        <f t="shared" si="25"/>
        <v>8.7398272304160223</v>
      </c>
      <c r="AA236" s="39">
        <v>1</v>
      </c>
      <c r="AB236" s="38">
        <f t="shared" si="26"/>
        <v>8.7398272304160223</v>
      </c>
      <c r="AC236" s="37">
        <f>Priors!$K$18</f>
        <v>2.7435089299114512</v>
      </c>
      <c r="AD236" s="38" t="str">
        <f t="shared" si="27"/>
        <v/>
      </c>
      <c r="AE236" s="37">
        <f>Priors!$K$19</f>
        <v>0.67280088332719912</v>
      </c>
      <c r="AF236" s="38" t="str">
        <f t="shared" si="28"/>
        <v/>
      </c>
      <c r="AG236" s="17">
        <f t="shared" si="29"/>
        <v>1</v>
      </c>
      <c r="AH236" s="7" t="s">
        <v>1643</v>
      </c>
      <c r="AI236" s="7">
        <v>10</v>
      </c>
      <c r="AJ236" s="38">
        <f t="shared" si="30"/>
        <v>0.87398272304160218</v>
      </c>
      <c r="AK236" s="9" t="b">
        <f t="shared" si="31"/>
        <v>1</v>
      </c>
      <c r="AL236" s="28" t="s">
        <v>1644</v>
      </c>
      <c r="AM236" s="28" t="s">
        <v>1645</v>
      </c>
      <c r="AN236" s="28" t="s">
        <v>1792</v>
      </c>
    </row>
    <row r="237" spans="1:40" ht="30">
      <c r="A237" s="7">
        <v>236</v>
      </c>
      <c r="B237" s="7" t="s">
        <v>778</v>
      </c>
      <c r="C237" s="7" t="s">
        <v>47</v>
      </c>
      <c r="D237" s="7" t="s">
        <v>112</v>
      </c>
      <c r="E237" s="7" t="s">
        <v>1642</v>
      </c>
      <c r="F237" s="7" t="s">
        <v>47</v>
      </c>
      <c r="G237" s="14">
        <v>2629</v>
      </c>
      <c r="H237" s="14">
        <v>230</v>
      </c>
      <c r="I237" s="15">
        <v>7.87</v>
      </c>
      <c r="J237" s="14">
        <v>0</v>
      </c>
      <c r="K237" s="15">
        <v>0</v>
      </c>
      <c r="L237" s="14">
        <v>39</v>
      </c>
      <c r="M237" s="14">
        <v>8</v>
      </c>
      <c r="N237" s="13"/>
      <c r="O237" s="14">
        <v>18</v>
      </c>
      <c r="P237" s="14">
        <v>598</v>
      </c>
      <c r="Q237" s="15">
        <v>20.471662228984403</v>
      </c>
      <c r="R237" s="17">
        <f>IFERROR(G237/(G237+Priors!$H$18),0)</f>
        <v>0.72444199503995588</v>
      </c>
      <c r="S237" s="13">
        <v>1</v>
      </c>
      <c r="T237" s="40" t="b">
        <v>0</v>
      </c>
      <c r="U237" s="13">
        <v>1</v>
      </c>
      <c r="V237" s="40" t="b">
        <v>0</v>
      </c>
      <c r="W237" s="13">
        <v>1</v>
      </c>
      <c r="X237" s="17">
        <f t="shared" si="24"/>
        <v>0.72444199503995588</v>
      </c>
      <c r="Y237" s="37">
        <f>VLOOKUP(D237,Priors!$A$18:$B$21,2,FALSE)</f>
        <v>8.4555315342179806</v>
      </c>
      <c r="Z237" s="38">
        <f t="shared" si="25"/>
        <v>8.0313479014103013</v>
      </c>
      <c r="AA237" s="39">
        <v>1</v>
      </c>
      <c r="AB237" s="38">
        <f t="shared" si="26"/>
        <v>8.0313479014103013</v>
      </c>
      <c r="AC237" s="37">
        <f>Priors!$K$18</f>
        <v>2.7435089299114512</v>
      </c>
      <c r="AD237" s="38" t="str">
        <f t="shared" si="27"/>
        <v/>
      </c>
      <c r="AE237" s="37">
        <f>Priors!$K$19</f>
        <v>0.67280088332719912</v>
      </c>
      <c r="AF237" s="38" t="str">
        <f t="shared" si="28"/>
        <v/>
      </c>
      <c r="AG237" s="17">
        <f t="shared" si="29"/>
        <v>0.27555800496004412</v>
      </c>
      <c r="AH237" s="7" t="s">
        <v>1643</v>
      </c>
      <c r="AI237" s="7">
        <v>12</v>
      </c>
      <c r="AJ237" s="38">
        <f t="shared" si="30"/>
        <v>0.66927899178419181</v>
      </c>
      <c r="AK237" s="9" t="b">
        <f t="shared" si="31"/>
        <v>0</v>
      </c>
      <c r="AL237" s="28" t="s">
        <v>1644</v>
      </c>
      <c r="AM237" s="28" t="s">
        <v>1645</v>
      </c>
      <c r="AN237" s="28" t="s">
        <v>1792</v>
      </c>
    </row>
    <row r="238" spans="1:40" ht="30">
      <c r="A238" s="7">
        <v>237</v>
      </c>
      <c r="B238" s="7" t="s">
        <v>781</v>
      </c>
      <c r="C238" s="7" t="s">
        <v>47</v>
      </c>
      <c r="D238" s="7" t="s">
        <v>112</v>
      </c>
      <c r="E238" s="7" t="s">
        <v>1642</v>
      </c>
      <c r="F238" s="7" t="s">
        <v>47</v>
      </c>
      <c r="G238" s="14">
        <v>2781</v>
      </c>
      <c r="H238" s="14">
        <v>283</v>
      </c>
      <c r="I238" s="15">
        <v>9.16</v>
      </c>
      <c r="J238" s="14">
        <v>0</v>
      </c>
      <c r="K238" s="15">
        <v>0</v>
      </c>
      <c r="L238" s="14">
        <v>44</v>
      </c>
      <c r="M238" s="14">
        <v>8</v>
      </c>
      <c r="N238" s="13"/>
      <c r="O238" s="14">
        <v>7</v>
      </c>
      <c r="P238" s="14">
        <v>540</v>
      </c>
      <c r="Q238" s="15">
        <v>17.475728155339805</v>
      </c>
      <c r="R238" s="17">
        <f>IFERROR(G238/(G238+Priors!$H$18),0)</f>
        <v>0.73551970378206821</v>
      </c>
      <c r="S238" s="13">
        <v>1</v>
      </c>
      <c r="T238" s="40" t="b">
        <v>0</v>
      </c>
      <c r="U238" s="13">
        <v>1</v>
      </c>
      <c r="V238" s="40" t="b">
        <v>0</v>
      </c>
      <c r="W238" s="13">
        <v>1</v>
      </c>
      <c r="X238" s="17">
        <f t="shared" si="24"/>
        <v>0.73551970378206821</v>
      </c>
      <c r="Y238" s="37">
        <f>VLOOKUP(D238,Priors!$A$18:$B$21,2,FALSE)</f>
        <v>8.4555315342179806</v>
      </c>
      <c r="Z238" s="38">
        <f t="shared" si="25"/>
        <v>8.9736819714937788</v>
      </c>
      <c r="AA238" s="39">
        <v>1</v>
      </c>
      <c r="AB238" s="38">
        <f t="shared" si="26"/>
        <v>8.9736819714937788</v>
      </c>
      <c r="AC238" s="37">
        <f>Priors!$K$18</f>
        <v>2.7435089299114512</v>
      </c>
      <c r="AD238" s="38" t="str">
        <f t="shared" si="27"/>
        <v/>
      </c>
      <c r="AE238" s="37">
        <f>Priors!$K$19</f>
        <v>0.67280088332719912</v>
      </c>
      <c r="AF238" s="38" t="str">
        <f t="shared" si="28"/>
        <v/>
      </c>
      <c r="AG238" s="17">
        <f t="shared" si="29"/>
        <v>0.26448029621793179</v>
      </c>
      <c r="AH238" s="7" t="s">
        <v>1643</v>
      </c>
      <c r="AI238" s="7">
        <v>12</v>
      </c>
      <c r="AJ238" s="38">
        <f t="shared" si="30"/>
        <v>0.74780683095781486</v>
      </c>
      <c r="AK238" s="9" t="b">
        <f t="shared" si="31"/>
        <v>0</v>
      </c>
      <c r="AL238" s="28" t="s">
        <v>1644</v>
      </c>
      <c r="AM238" s="28" t="s">
        <v>1645</v>
      </c>
      <c r="AN238" s="28" t="s">
        <v>1792</v>
      </c>
    </row>
    <row r="239" spans="1:40" ht="30">
      <c r="A239" s="7">
        <v>238</v>
      </c>
      <c r="B239" s="7" t="s">
        <v>1168</v>
      </c>
      <c r="C239" s="7" t="s">
        <v>53</v>
      </c>
      <c r="D239" s="7" t="s">
        <v>112</v>
      </c>
      <c r="E239" s="7" t="s">
        <v>1642</v>
      </c>
      <c r="F239" s="7" t="s">
        <v>47</v>
      </c>
      <c r="G239" s="14">
        <v>1627</v>
      </c>
      <c r="H239" s="14">
        <v>135</v>
      </c>
      <c r="I239" s="15">
        <v>7.47</v>
      </c>
      <c r="J239" s="14">
        <v>0</v>
      </c>
      <c r="K239" s="15">
        <v>0</v>
      </c>
      <c r="L239" s="14">
        <v>23</v>
      </c>
      <c r="M239" s="14">
        <v>7</v>
      </c>
      <c r="N239" s="13"/>
      <c r="O239" s="14">
        <v>12</v>
      </c>
      <c r="P239" s="14">
        <v>356</v>
      </c>
      <c r="Q239" s="15">
        <v>19.692685925015365</v>
      </c>
      <c r="R239" s="17">
        <f>IFERROR(G239/(G239+Priors!$H$18),0)</f>
        <v>0.61933764750666154</v>
      </c>
      <c r="S239" s="13">
        <v>1</v>
      </c>
      <c r="T239" s="40" t="b">
        <v>1</v>
      </c>
      <c r="U239" s="13">
        <v>0.85</v>
      </c>
      <c r="V239" s="40" t="b">
        <v>1</v>
      </c>
      <c r="W239" s="13">
        <v>0.9</v>
      </c>
      <c r="X239" s="17">
        <f t="shared" si="24"/>
        <v>0.47379330034259609</v>
      </c>
      <c r="Y239" s="37">
        <f>VLOOKUP(D239,Priors!$A$18:$B$21,2,FALSE)</f>
        <v>8.4555315342179806</v>
      </c>
      <c r="Z239" s="38">
        <f t="shared" si="25"/>
        <v>7.9885932960291424</v>
      </c>
      <c r="AA239" s="39">
        <v>1</v>
      </c>
      <c r="AB239" s="38">
        <f t="shared" si="26"/>
        <v>7.9885932960291424</v>
      </c>
      <c r="AC239" s="37">
        <f>Priors!$K$18</f>
        <v>2.7435089299114512</v>
      </c>
      <c r="AD239" s="38" t="str">
        <f t="shared" si="27"/>
        <v/>
      </c>
      <c r="AE239" s="37">
        <f>Priors!$K$19</f>
        <v>0.67280088332719912</v>
      </c>
      <c r="AF239" s="38" t="str">
        <f t="shared" si="28"/>
        <v/>
      </c>
      <c r="AG239" s="17">
        <f t="shared" si="29"/>
        <v>0.52620669965740396</v>
      </c>
      <c r="AH239" s="7" t="s">
        <v>1643</v>
      </c>
      <c r="AI239" s="7">
        <v>12</v>
      </c>
      <c r="AJ239" s="38">
        <f t="shared" si="30"/>
        <v>0.66571610800242853</v>
      </c>
      <c r="AK239" s="9" t="b">
        <f t="shared" si="31"/>
        <v>1</v>
      </c>
      <c r="AL239" s="28" t="s">
        <v>1644</v>
      </c>
      <c r="AM239" s="28" t="s">
        <v>1645</v>
      </c>
      <c r="AN239" s="28" t="s">
        <v>1792</v>
      </c>
    </row>
    <row r="240" spans="1:40" ht="30">
      <c r="A240" s="7">
        <v>239</v>
      </c>
      <c r="B240" s="7" t="s">
        <v>784</v>
      </c>
      <c r="C240" s="7" t="s">
        <v>47</v>
      </c>
      <c r="D240" s="7" t="s">
        <v>112</v>
      </c>
      <c r="E240" s="7" t="s">
        <v>1642</v>
      </c>
      <c r="F240" s="7" t="s">
        <v>47</v>
      </c>
      <c r="G240" s="14">
        <v>3413</v>
      </c>
      <c r="H240" s="14">
        <v>458</v>
      </c>
      <c r="I240" s="15">
        <v>12.08</v>
      </c>
      <c r="J240" s="14">
        <v>0</v>
      </c>
      <c r="K240" s="15">
        <v>0</v>
      </c>
      <c r="L240" s="14">
        <v>50</v>
      </c>
      <c r="M240" s="14">
        <v>11</v>
      </c>
      <c r="N240" s="13"/>
      <c r="O240" s="14">
        <v>13</v>
      </c>
      <c r="P240" s="14">
        <v>818</v>
      </c>
      <c r="Q240" s="15">
        <v>21.570465865807208</v>
      </c>
      <c r="R240" s="17">
        <f>IFERROR(G240/(G240+Priors!$H$18),0)</f>
        <v>0.77339678223430774</v>
      </c>
      <c r="S240" s="13">
        <v>1</v>
      </c>
      <c r="T240" s="40" t="b">
        <v>0</v>
      </c>
      <c r="U240" s="13">
        <v>1</v>
      </c>
      <c r="V240" s="40" t="b">
        <v>0</v>
      </c>
      <c r="W240" s="13">
        <v>1</v>
      </c>
      <c r="X240" s="17">
        <f t="shared" si="24"/>
        <v>0.77339678223430774</v>
      </c>
      <c r="Y240" s="37">
        <f>VLOOKUP(D240,Priors!$A$18:$B$21,2,FALSE)</f>
        <v>8.4555315342179806</v>
      </c>
      <c r="Z240" s="38">
        <f t="shared" si="25"/>
        <v>11.258683782963512</v>
      </c>
      <c r="AA240" s="39">
        <v>1</v>
      </c>
      <c r="AB240" s="38">
        <f t="shared" si="26"/>
        <v>11.258683782963512</v>
      </c>
      <c r="AC240" s="37">
        <f>Priors!$K$18</f>
        <v>2.7435089299114512</v>
      </c>
      <c r="AD240" s="38" t="str">
        <f t="shared" si="27"/>
        <v/>
      </c>
      <c r="AE240" s="37">
        <f>Priors!$K$19</f>
        <v>0.67280088332719912</v>
      </c>
      <c r="AF240" s="38" t="str">
        <f t="shared" si="28"/>
        <v/>
      </c>
      <c r="AG240" s="17">
        <f t="shared" si="29"/>
        <v>0.22660321776569226</v>
      </c>
      <c r="AH240" s="7" t="s">
        <v>1643</v>
      </c>
      <c r="AI240" s="7">
        <v>12</v>
      </c>
      <c r="AJ240" s="38">
        <f t="shared" si="30"/>
        <v>0.93822364858029272</v>
      </c>
      <c r="AK240" s="9" t="b">
        <f t="shared" si="31"/>
        <v>0</v>
      </c>
      <c r="AL240" s="28" t="s">
        <v>1644</v>
      </c>
      <c r="AM240" s="28" t="s">
        <v>1645</v>
      </c>
      <c r="AN240" s="28" t="s">
        <v>1792</v>
      </c>
    </row>
    <row r="241" spans="1:40" ht="30">
      <c r="A241" s="7">
        <v>240</v>
      </c>
      <c r="B241" s="7" t="s">
        <v>788</v>
      </c>
      <c r="C241" s="7" t="s">
        <v>47</v>
      </c>
      <c r="D241" s="7" t="s">
        <v>112</v>
      </c>
      <c r="E241" s="7" t="s">
        <v>1642</v>
      </c>
      <c r="F241" s="7" t="s">
        <v>47</v>
      </c>
      <c r="G241" s="14">
        <v>1477</v>
      </c>
      <c r="H241" s="14">
        <v>189</v>
      </c>
      <c r="I241" s="15">
        <v>11.52</v>
      </c>
      <c r="J241" s="14">
        <v>0</v>
      </c>
      <c r="K241" s="15">
        <v>0</v>
      </c>
      <c r="L241" s="14">
        <v>18</v>
      </c>
      <c r="M241" s="14">
        <v>8</v>
      </c>
      <c r="N241" s="13"/>
      <c r="O241" s="14">
        <v>1</v>
      </c>
      <c r="P241" s="14">
        <v>225</v>
      </c>
      <c r="Q241" s="15">
        <v>13.710223425863237</v>
      </c>
      <c r="R241" s="17">
        <f>IFERROR(G241/(G241+Priors!$H$18),0)</f>
        <v>0.59628582963262011</v>
      </c>
      <c r="S241" s="13">
        <v>1</v>
      </c>
      <c r="T241" s="40" t="b">
        <v>0</v>
      </c>
      <c r="U241" s="13">
        <v>1</v>
      </c>
      <c r="V241" s="40" t="b">
        <v>0</v>
      </c>
      <c r="W241" s="13">
        <v>1</v>
      </c>
      <c r="X241" s="17">
        <f t="shared" si="24"/>
        <v>0.59628582963262011</v>
      </c>
      <c r="Y241" s="37">
        <f>VLOOKUP(D241,Priors!$A$18:$B$21,2,FALSE)</f>
        <v>8.4555315342179806</v>
      </c>
      <c r="Z241" s="38">
        <f t="shared" si="25"/>
        <v>10.282830655719815</v>
      </c>
      <c r="AA241" s="39">
        <v>1</v>
      </c>
      <c r="AB241" s="38">
        <f t="shared" si="26"/>
        <v>10.282830655719815</v>
      </c>
      <c r="AC241" s="37">
        <f>Priors!$K$18</f>
        <v>2.7435089299114512</v>
      </c>
      <c r="AD241" s="38" t="str">
        <f t="shared" si="27"/>
        <v/>
      </c>
      <c r="AE241" s="37">
        <f>Priors!$K$19</f>
        <v>0.67280088332719912</v>
      </c>
      <c r="AF241" s="38" t="str">
        <f t="shared" si="28"/>
        <v/>
      </c>
      <c r="AG241" s="17">
        <f t="shared" si="29"/>
        <v>0.40371417036737989</v>
      </c>
      <c r="AH241" s="7" t="s">
        <v>1643</v>
      </c>
      <c r="AI241" s="7">
        <v>12</v>
      </c>
      <c r="AJ241" s="38">
        <f t="shared" si="30"/>
        <v>0.85690255464331788</v>
      </c>
      <c r="AK241" s="9" t="b">
        <f t="shared" si="31"/>
        <v>0</v>
      </c>
      <c r="AL241" s="28" t="s">
        <v>1644</v>
      </c>
      <c r="AM241" s="28" t="s">
        <v>1645</v>
      </c>
      <c r="AN241" s="28" t="s">
        <v>1792</v>
      </c>
    </row>
    <row r="242" spans="1:40" ht="30">
      <c r="A242" s="7">
        <v>241</v>
      </c>
      <c r="B242" s="7" t="s">
        <v>791</v>
      </c>
      <c r="C242" s="7" t="s">
        <v>47</v>
      </c>
      <c r="D242" s="7" t="s">
        <v>112</v>
      </c>
      <c r="E242" s="7" t="s">
        <v>1642</v>
      </c>
      <c r="F242" s="7" t="s">
        <v>47</v>
      </c>
      <c r="G242" s="14">
        <v>1161</v>
      </c>
      <c r="H242" s="14">
        <v>111</v>
      </c>
      <c r="I242" s="15">
        <v>8.6</v>
      </c>
      <c r="J242" s="14">
        <v>0</v>
      </c>
      <c r="K242" s="15">
        <v>0</v>
      </c>
      <c r="L242" s="14">
        <v>9</v>
      </c>
      <c r="M242" s="14">
        <v>6</v>
      </c>
      <c r="N242" s="13"/>
      <c r="O242" s="14">
        <v>1</v>
      </c>
      <c r="P242" s="14">
        <v>186</v>
      </c>
      <c r="Q242" s="15">
        <v>14.418604651162791</v>
      </c>
      <c r="R242" s="17">
        <f>IFERROR(G242/(G242+Priors!$H$18),0)</f>
        <v>0.53725127255900051</v>
      </c>
      <c r="S242" s="13">
        <v>1</v>
      </c>
      <c r="T242" s="40" t="b">
        <v>0</v>
      </c>
      <c r="U242" s="13">
        <v>1</v>
      </c>
      <c r="V242" s="40" t="b">
        <v>0</v>
      </c>
      <c r="W242" s="13">
        <v>1</v>
      </c>
      <c r="X242" s="17">
        <f t="shared" si="24"/>
        <v>0.53725127255900051</v>
      </c>
      <c r="Y242" s="37">
        <f>VLOOKUP(D242,Priors!$A$18:$B$21,2,FALSE)</f>
        <v>8.4555315342179806</v>
      </c>
      <c r="Z242" s="38">
        <f t="shared" si="25"/>
        <v>8.5331474013040172</v>
      </c>
      <c r="AA242" s="39">
        <v>1</v>
      </c>
      <c r="AB242" s="38">
        <f t="shared" si="26"/>
        <v>8.5331474013040172</v>
      </c>
      <c r="AC242" s="37">
        <f>Priors!$K$18</f>
        <v>2.7435089299114512</v>
      </c>
      <c r="AD242" s="38" t="str">
        <f t="shared" si="27"/>
        <v/>
      </c>
      <c r="AE242" s="37">
        <f>Priors!$K$19</f>
        <v>0.67280088332719912</v>
      </c>
      <c r="AF242" s="38" t="str">
        <f t="shared" si="28"/>
        <v/>
      </c>
      <c r="AG242" s="17">
        <f t="shared" si="29"/>
        <v>0.46274872744099949</v>
      </c>
      <c r="AH242" s="7" t="s">
        <v>1643</v>
      </c>
      <c r="AI242" s="7">
        <v>12</v>
      </c>
      <c r="AJ242" s="38">
        <f t="shared" si="30"/>
        <v>0.71109561677533473</v>
      </c>
      <c r="AK242" s="9" t="b">
        <f t="shared" si="31"/>
        <v>0</v>
      </c>
      <c r="AL242" s="28" t="s">
        <v>1644</v>
      </c>
      <c r="AM242" s="28" t="s">
        <v>1645</v>
      </c>
      <c r="AN242" s="28" t="s">
        <v>1792</v>
      </c>
    </row>
    <row r="243" spans="1:40" ht="30">
      <c r="A243" s="7">
        <v>242</v>
      </c>
      <c r="B243" s="7" t="s">
        <v>794</v>
      </c>
      <c r="C243" s="7" t="s">
        <v>47</v>
      </c>
      <c r="D243" s="7" t="s">
        <v>112</v>
      </c>
      <c r="E243" s="7" t="s">
        <v>1642</v>
      </c>
      <c r="F243" s="7" t="s">
        <v>47</v>
      </c>
      <c r="G243" s="14">
        <v>351</v>
      </c>
      <c r="H243" s="14">
        <v>23</v>
      </c>
      <c r="I243" s="15">
        <v>5.9</v>
      </c>
      <c r="J243" s="14">
        <v>0</v>
      </c>
      <c r="K243" s="15">
        <v>0</v>
      </c>
      <c r="L243" s="14">
        <v>9</v>
      </c>
      <c r="M243" s="14">
        <v>1</v>
      </c>
      <c r="N243" s="13"/>
      <c r="O243" s="14">
        <v>0</v>
      </c>
      <c r="P243" s="14">
        <v>55</v>
      </c>
      <c r="Q243" s="15">
        <v>14.102564102564102</v>
      </c>
      <c r="R243" s="17">
        <f>IFERROR(G243/(G243+Priors!$H$18),0)</f>
        <v>0.25980754996299038</v>
      </c>
      <c r="S243" s="13">
        <v>1</v>
      </c>
      <c r="T243" s="40" t="b">
        <v>0</v>
      </c>
      <c r="U243" s="13">
        <v>1</v>
      </c>
      <c r="V243" s="40" t="b">
        <v>0</v>
      </c>
      <c r="W243" s="13">
        <v>1</v>
      </c>
      <c r="X243" s="17">
        <f t="shared" si="24"/>
        <v>0.25980754996299038</v>
      </c>
      <c r="Y243" s="37">
        <f>VLOOKUP(D243,Priors!$A$18:$B$21,2,FALSE)</f>
        <v>8.4555315342179806</v>
      </c>
      <c r="Z243" s="38">
        <f t="shared" si="25"/>
        <v>7.7915851474596458</v>
      </c>
      <c r="AA243" s="39">
        <v>1</v>
      </c>
      <c r="AB243" s="38">
        <f t="shared" si="26"/>
        <v>7.7915851474596458</v>
      </c>
      <c r="AC243" s="37">
        <f>Priors!$K$18</f>
        <v>2.7435089299114512</v>
      </c>
      <c r="AD243" s="38" t="str">
        <f t="shared" si="27"/>
        <v/>
      </c>
      <c r="AE243" s="37">
        <f>Priors!$K$19</f>
        <v>0.67280088332719912</v>
      </c>
      <c r="AF243" s="38" t="str">
        <f t="shared" si="28"/>
        <v/>
      </c>
      <c r="AG243" s="17">
        <f t="shared" si="29"/>
        <v>0.74019245003700962</v>
      </c>
      <c r="AH243" s="7" t="s">
        <v>1643</v>
      </c>
      <c r="AI243" s="7">
        <v>12</v>
      </c>
      <c r="AJ243" s="38">
        <f t="shared" si="30"/>
        <v>0.64929876228830385</v>
      </c>
      <c r="AK243" s="9" t="b">
        <f t="shared" si="31"/>
        <v>1</v>
      </c>
      <c r="AL243" s="28" t="s">
        <v>1644</v>
      </c>
      <c r="AM243" s="28" t="s">
        <v>1645</v>
      </c>
      <c r="AN243" s="28" t="s">
        <v>1792</v>
      </c>
    </row>
    <row r="244" spans="1:40" ht="30">
      <c r="A244" s="7">
        <v>243</v>
      </c>
      <c r="B244" s="7" t="s">
        <v>797</v>
      </c>
      <c r="C244" s="7" t="s">
        <v>47</v>
      </c>
      <c r="D244" s="7" t="s">
        <v>112</v>
      </c>
      <c r="E244" s="7" t="s">
        <v>1642</v>
      </c>
      <c r="F244" s="7" t="s">
        <v>47</v>
      </c>
      <c r="G244" s="14">
        <v>679</v>
      </c>
      <c r="H244" s="14">
        <v>70</v>
      </c>
      <c r="I244" s="15">
        <v>9.2799999999999994</v>
      </c>
      <c r="J244" s="14">
        <v>0</v>
      </c>
      <c r="K244" s="15">
        <v>0</v>
      </c>
      <c r="L244" s="14">
        <v>10</v>
      </c>
      <c r="M244" s="14">
        <v>3</v>
      </c>
      <c r="N244" s="13"/>
      <c r="O244" s="14">
        <v>0</v>
      </c>
      <c r="P244" s="14">
        <v>121</v>
      </c>
      <c r="Q244" s="15">
        <v>16.038291605301914</v>
      </c>
      <c r="R244" s="17">
        <f>IFERROR(G244/(G244+Priors!$H$18),0)</f>
        <v>0.40440738534842169</v>
      </c>
      <c r="S244" s="13">
        <v>1</v>
      </c>
      <c r="T244" s="40" t="b">
        <v>0</v>
      </c>
      <c r="U244" s="13">
        <v>1</v>
      </c>
      <c r="V244" s="40" t="b">
        <v>0</v>
      </c>
      <c r="W244" s="13">
        <v>1</v>
      </c>
      <c r="X244" s="17">
        <f t="shared" si="24"/>
        <v>0.40440738534842169</v>
      </c>
      <c r="Y244" s="37">
        <f>VLOOKUP(D244,Priors!$A$18:$B$21,2,FALSE)</f>
        <v>8.4555315342179806</v>
      </c>
      <c r="Z244" s="38">
        <f t="shared" si="25"/>
        <v>8.7889526707671113</v>
      </c>
      <c r="AA244" s="39">
        <v>1</v>
      </c>
      <c r="AB244" s="38">
        <f t="shared" si="26"/>
        <v>8.7889526707671113</v>
      </c>
      <c r="AC244" s="37">
        <f>Priors!$K$18</f>
        <v>2.7435089299114512</v>
      </c>
      <c r="AD244" s="38" t="str">
        <f t="shared" si="27"/>
        <v/>
      </c>
      <c r="AE244" s="37">
        <f>Priors!$K$19</f>
        <v>0.67280088332719912</v>
      </c>
      <c r="AF244" s="38" t="str">
        <f t="shared" si="28"/>
        <v/>
      </c>
      <c r="AG244" s="17">
        <f t="shared" si="29"/>
        <v>0.59559261465157831</v>
      </c>
      <c r="AH244" s="7" t="s">
        <v>1643</v>
      </c>
      <c r="AI244" s="7">
        <v>12</v>
      </c>
      <c r="AJ244" s="38">
        <f t="shared" si="30"/>
        <v>0.73241272256392598</v>
      </c>
      <c r="AK244" s="9" t="b">
        <f t="shared" si="31"/>
        <v>1</v>
      </c>
      <c r="AL244" s="28" t="s">
        <v>1644</v>
      </c>
      <c r="AM244" s="28" t="s">
        <v>1645</v>
      </c>
      <c r="AN244" s="28" t="s">
        <v>1792</v>
      </c>
    </row>
    <row r="245" spans="1:40" ht="30">
      <c r="A245" s="7">
        <v>244</v>
      </c>
      <c r="B245" s="7" t="s">
        <v>799</v>
      </c>
      <c r="C245" s="7" t="s">
        <v>47</v>
      </c>
      <c r="D245" s="7" t="s">
        <v>112</v>
      </c>
      <c r="E245" s="7" t="s">
        <v>1642</v>
      </c>
      <c r="F245" s="7" t="s">
        <v>47</v>
      </c>
      <c r="G245" s="14">
        <v>524</v>
      </c>
      <c r="H245" s="14">
        <v>50</v>
      </c>
      <c r="I245" s="15">
        <v>8.59</v>
      </c>
      <c r="J245" s="14">
        <v>0</v>
      </c>
      <c r="K245" s="15">
        <v>0</v>
      </c>
      <c r="L245" s="14">
        <v>11</v>
      </c>
      <c r="M245" s="14">
        <v>1</v>
      </c>
      <c r="N245" s="13"/>
      <c r="O245" s="14">
        <v>0</v>
      </c>
      <c r="P245" s="14">
        <v>84</v>
      </c>
      <c r="Q245" s="15">
        <v>14.427480916030534</v>
      </c>
      <c r="R245" s="17">
        <f>IFERROR(G245/(G245+Priors!$H$18),0)</f>
        <v>0.34383202099737531</v>
      </c>
      <c r="S245" s="13">
        <v>1</v>
      </c>
      <c r="T245" s="40" t="b">
        <v>0</v>
      </c>
      <c r="U245" s="13">
        <v>1</v>
      </c>
      <c r="V245" s="40" t="b">
        <v>0</v>
      </c>
      <c r="W245" s="13">
        <v>1</v>
      </c>
      <c r="X245" s="17">
        <f t="shared" si="24"/>
        <v>0.34383202099737531</v>
      </c>
      <c r="Y245" s="37">
        <f>VLOOKUP(D245,Priors!$A$18:$B$21,2,FALSE)</f>
        <v>8.4555315342179806</v>
      </c>
      <c r="Z245" s="38">
        <f t="shared" si="25"/>
        <v>8.5017660985682291</v>
      </c>
      <c r="AA245" s="39">
        <v>1</v>
      </c>
      <c r="AB245" s="38">
        <f t="shared" si="26"/>
        <v>8.5017660985682291</v>
      </c>
      <c r="AC245" s="37">
        <f>Priors!$K$18</f>
        <v>2.7435089299114512</v>
      </c>
      <c r="AD245" s="38" t="str">
        <f t="shared" si="27"/>
        <v/>
      </c>
      <c r="AE245" s="37">
        <f>Priors!$K$19</f>
        <v>0.67280088332719912</v>
      </c>
      <c r="AF245" s="38" t="str">
        <f t="shared" si="28"/>
        <v/>
      </c>
      <c r="AG245" s="17">
        <f t="shared" si="29"/>
        <v>0.65616797900262469</v>
      </c>
      <c r="AH245" s="7" t="s">
        <v>1643</v>
      </c>
      <c r="AI245" s="7">
        <v>12</v>
      </c>
      <c r="AJ245" s="38">
        <f t="shared" si="30"/>
        <v>0.70848050821401909</v>
      </c>
      <c r="AK245" s="9" t="b">
        <f t="shared" si="31"/>
        <v>1</v>
      </c>
      <c r="AL245" s="28" t="s">
        <v>1644</v>
      </c>
      <c r="AM245" s="28" t="s">
        <v>1645</v>
      </c>
      <c r="AN245" s="28" t="s">
        <v>1792</v>
      </c>
    </row>
    <row r="246" spans="1:40" ht="30">
      <c r="A246" s="7">
        <v>245</v>
      </c>
      <c r="B246" s="7" t="s">
        <v>802</v>
      </c>
      <c r="C246" s="7" t="s">
        <v>47</v>
      </c>
      <c r="D246" s="7" t="s">
        <v>112</v>
      </c>
      <c r="E246" s="7" t="s">
        <v>1642</v>
      </c>
      <c r="F246" s="7" t="s">
        <v>47</v>
      </c>
      <c r="G246" s="14">
        <v>349</v>
      </c>
      <c r="H246" s="14">
        <v>40</v>
      </c>
      <c r="I246" s="15">
        <v>10.32</v>
      </c>
      <c r="J246" s="14">
        <v>0</v>
      </c>
      <c r="K246" s="15">
        <v>0</v>
      </c>
      <c r="L246" s="14">
        <v>2</v>
      </c>
      <c r="M246" s="14">
        <v>2</v>
      </c>
      <c r="N246" s="13"/>
      <c r="O246" s="14">
        <v>0</v>
      </c>
      <c r="P246" s="14">
        <v>49</v>
      </c>
      <c r="Q246" s="15">
        <v>12.636103151862464</v>
      </c>
      <c r="R246" s="17">
        <f>IFERROR(G246/(G246+Priors!$H$18),0)</f>
        <v>0.2587101556708673</v>
      </c>
      <c r="S246" s="13">
        <v>1</v>
      </c>
      <c r="T246" s="40" t="b">
        <v>0</v>
      </c>
      <c r="U246" s="13">
        <v>1</v>
      </c>
      <c r="V246" s="40" t="b">
        <v>0</v>
      </c>
      <c r="W246" s="13">
        <v>1</v>
      </c>
      <c r="X246" s="17">
        <f t="shared" si="24"/>
        <v>0.2587101556708673</v>
      </c>
      <c r="Y246" s="37">
        <f>VLOOKUP(D246,Priors!$A$18:$B$21,2,FALSE)</f>
        <v>8.4555315342179806</v>
      </c>
      <c r="Z246" s="38">
        <f t="shared" si="25"/>
        <v>8.9378884612438689</v>
      </c>
      <c r="AA246" s="39">
        <v>1</v>
      </c>
      <c r="AB246" s="38">
        <f t="shared" si="26"/>
        <v>8.9378884612438689</v>
      </c>
      <c r="AC246" s="37">
        <f>Priors!$K$18</f>
        <v>2.7435089299114512</v>
      </c>
      <c r="AD246" s="38" t="str">
        <f t="shared" si="27"/>
        <v/>
      </c>
      <c r="AE246" s="37">
        <f>Priors!$K$19</f>
        <v>0.67280088332719912</v>
      </c>
      <c r="AF246" s="38" t="str">
        <f t="shared" si="28"/>
        <v/>
      </c>
      <c r="AG246" s="17">
        <f t="shared" si="29"/>
        <v>0.7412898443291327</v>
      </c>
      <c r="AH246" s="7" t="s">
        <v>1643</v>
      </c>
      <c r="AI246" s="7">
        <v>12</v>
      </c>
      <c r="AJ246" s="38">
        <f t="shared" si="30"/>
        <v>0.74482403843698908</v>
      </c>
      <c r="AK246" s="9" t="b">
        <f t="shared" si="31"/>
        <v>1</v>
      </c>
      <c r="AL246" s="28" t="s">
        <v>1644</v>
      </c>
      <c r="AM246" s="28" t="s">
        <v>1645</v>
      </c>
      <c r="AN246" s="28" t="s">
        <v>1792</v>
      </c>
    </row>
    <row r="247" spans="1:40" ht="30">
      <c r="A247" s="7">
        <v>246</v>
      </c>
      <c r="B247" s="7" t="s">
        <v>805</v>
      </c>
      <c r="C247" s="7" t="s">
        <v>47</v>
      </c>
      <c r="D247" s="7" t="s">
        <v>112</v>
      </c>
      <c r="E247" s="7" t="s">
        <v>1642</v>
      </c>
      <c r="F247" s="7" t="s">
        <v>47</v>
      </c>
      <c r="G247" s="14">
        <v>675</v>
      </c>
      <c r="H247" s="14">
        <v>68</v>
      </c>
      <c r="I247" s="15">
        <v>9.07</v>
      </c>
      <c r="J247" s="14">
        <v>0</v>
      </c>
      <c r="K247" s="15">
        <v>0</v>
      </c>
      <c r="L247" s="14">
        <v>13</v>
      </c>
      <c r="M247" s="14">
        <v>2</v>
      </c>
      <c r="N247" s="13"/>
      <c r="O247" s="14">
        <v>2</v>
      </c>
      <c r="P247" s="14">
        <v>98</v>
      </c>
      <c r="Q247" s="15">
        <v>13.066666666666666</v>
      </c>
      <c r="R247" s="17">
        <f>IFERROR(G247/(G247+Priors!$H$18),0)</f>
        <v>0.40298507462686567</v>
      </c>
      <c r="S247" s="13">
        <v>1</v>
      </c>
      <c r="T247" s="40" t="b">
        <v>0</v>
      </c>
      <c r="U247" s="13">
        <v>1</v>
      </c>
      <c r="V247" s="40" t="b">
        <v>0</v>
      </c>
      <c r="W247" s="13">
        <v>1</v>
      </c>
      <c r="X247" s="17">
        <f t="shared" si="24"/>
        <v>0.40298507462686567</v>
      </c>
      <c r="Y247" s="37">
        <f>VLOOKUP(D247,Priors!$A$18:$B$21,2,FALSE)</f>
        <v>8.4555315342179806</v>
      </c>
      <c r="Z247" s="38">
        <f t="shared" si="25"/>
        <v>8.7031531547570022</v>
      </c>
      <c r="AA247" s="39">
        <v>1</v>
      </c>
      <c r="AB247" s="38">
        <f t="shared" si="26"/>
        <v>8.7031531547570022</v>
      </c>
      <c r="AC247" s="37">
        <f>Priors!$K$18</f>
        <v>2.7435089299114512</v>
      </c>
      <c r="AD247" s="38" t="str">
        <f t="shared" si="27"/>
        <v/>
      </c>
      <c r="AE247" s="37">
        <f>Priors!$K$19</f>
        <v>0.67280088332719912</v>
      </c>
      <c r="AF247" s="38" t="str">
        <f t="shared" si="28"/>
        <v/>
      </c>
      <c r="AG247" s="17">
        <f t="shared" si="29"/>
        <v>0.59701492537313428</v>
      </c>
      <c r="AH247" s="7" t="s">
        <v>1643</v>
      </c>
      <c r="AI247" s="7">
        <v>12</v>
      </c>
      <c r="AJ247" s="38">
        <f t="shared" si="30"/>
        <v>0.72526276289641689</v>
      </c>
      <c r="AK247" s="9" t="b">
        <f t="shared" si="31"/>
        <v>1</v>
      </c>
      <c r="AL247" s="28" t="s">
        <v>1644</v>
      </c>
      <c r="AM247" s="28" t="s">
        <v>1645</v>
      </c>
      <c r="AN247" s="28" t="s">
        <v>1792</v>
      </c>
    </row>
    <row r="248" spans="1:40" ht="30">
      <c r="A248" s="7">
        <v>247</v>
      </c>
      <c r="B248" s="7" t="s">
        <v>807</v>
      </c>
      <c r="C248" s="7" t="s">
        <v>47</v>
      </c>
      <c r="D248" s="7" t="s">
        <v>112</v>
      </c>
      <c r="E248" s="7" t="s">
        <v>1647</v>
      </c>
      <c r="F248" s="7"/>
      <c r="G248" s="14">
        <v>0</v>
      </c>
      <c r="H248" s="14"/>
      <c r="I248" s="15"/>
      <c r="J248" s="14"/>
      <c r="K248" s="15"/>
      <c r="L248" s="14"/>
      <c r="M248" s="14"/>
      <c r="N248" s="13"/>
      <c r="O248" s="14"/>
      <c r="P248" s="14"/>
      <c r="Q248" s="15"/>
      <c r="R248" s="17">
        <f>IFERROR(G248/(G248+Priors!$H$18),0)</f>
        <v>0</v>
      </c>
      <c r="S248" s="13">
        <v>0</v>
      </c>
      <c r="T248" s="40" t="b">
        <v>0</v>
      </c>
      <c r="U248" s="13">
        <v>1</v>
      </c>
      <c r="V248" s="40" t="b">
        <v>0</v>
      </c>
      <c r="W248" s="13">
        <v>1</v>
      </c>
      <c r="X248" s="17">
        <f t="shared" si="24"/>
        <v>0</v>
      </c>
      <c r="Y248" s="37">
        <f>VLOOKUP(D248,Priors!$A$18:$B$21,2,FALSE)</f>
        <v>8.4555315342179806</v>
      </c>
      <c r="Z248" s="38">
        <f t="shared" si="25"/>
        <v>8.4555315342179806</v>
      </c>
      <c r="AA248" s="39">
        <v>1</v>
      </c>
      <c r="AB248" s="38">
        <f t="shared" si="26"/>
        <v>8.4555315342179806</v>
      </c>
      <c r="AC248" s="37">
        <f>Priors!$K$18</f>
        <v>2.7435089299114512</v>
      </c>
      <c r="AD248" s="38" t="str">
        <f t="shared" si="27"/>
        <v/>
      </c>
      <c r="AE248" s="37">
        <f>Priors!$K$19</f>
        <v>0.67280088332719912</v>
      </c>
      <c r="AF248" s="38" t="str">
        <f t="shared" si="28"/>
        <v/>
      </c>
      <c r="AG248" s="17">
        <f t="shared" si="29"/>
        <v>1</v>
      </c>
      <c r="AH248" s="7" t="s">
        <v>1793</v>
      </c>
      <c r="AI248" s="7">
        <v>12</v>
      </c>
      <c r="AJ248" s="38">
        <f t="shared" si="30"/>
        <v>0.70462762785149835</v>
      </c>
      <c r="AK248" s="9" t="b">
        <f t="shared" si="31"/>
        <v>1</v>
      </c>
      <c r="AL248" s="28" t="s">
        <v>1794</v>
      </c>
      <c r="AM248" s="28"/>
      <c r="AN248" s="28" t="s">
        <v>1792</v>
      </c>
    </row>
    <row r="249" spans="1:40" ht="30">
      <c r="A249" s="7">
        <v>248</v>
      </c>
      <c r="B249" s="7" t="s">
        <v>809</v>
      </c>
      <c r="C249" s="7" t="s">
        <v>47</v>
      </c>
      <c r="D249" s="7" t="s">
        <v>167</v>
      </c>
      <c r="E249" s="7" t="s">
        <v>1642</v>
      </c>
      <c r="F249" s="7" t="s">
        <v>47</v>
      </c>
      <c r="G249" s="14">
        <v>1551</v>
      </c>
      <c r="H249" s="14">
        <v>89</v>
      </c>
      <c r="I249" s="15">
        <v>5.16</v>
      </c>
      <c r="J249" s="14">
        <v>0</v>
      </c>
      <c r="K249" s="15">
        <v>0</v>
      </c>
      <c r="L249" s="14">
        <v>19</v>
      </c>
      <c r="M249" s="14">
        <v>5</v>
      </c>
      <c r="N249" s="13"/>
      <c r="O249" s="14">
        <v>15</v>
      </c>
      <c r="P249" s="14">
        <v>343</v>
      </c>
      <c r="Q249" s="15">
        <v>19.903288201160542</v>
      </c>
      <c r="R249" s="17">
        <f>IFERROR(G249/(G249+Priors!$H$18),0)</f>
        <v>0.60799686397491182</v>
      </c>
      <c r="S249" s="13">
        <v>1</v>
      </c>
      <c r="T249" s="40" t="b">
        <v>0</v>
      </c>
      <c r="U249" s="13">
        <v>1</v>
      </c>
      <c r="V249" s="40" t="b">
        <v>0</v>
      </c>
      <c r="W249" s="13">
        <v>1</v>
      </c>
      <c r="X249" s="17">
        <f t="shared" si="24"/>
        <v>0.60799686397491182</v>
      </c>
      <c r="Y249" s="37">
        <f>VLOOKUP(D249,Priors!$A$18:$B$21,2,FALSE)</f>
        <v>4.5137422563476139</v>
      </c>
      <c r="Z249" s="38">
        <f t="shared" si="25"/>
        <v>4.9066649378077667</v>
      </c>
      <c r="AA249" s="39">
        <v>1</v>
      </c>
      <c r="AB249" s="38">
        <f t="shared" si="26"/>
        <v>4.9066649378077667</v>
      </c>
      <c r="AC249" s="37">
        <f>Priors!$K$18</f>
        <v>2.7435089299114512</v>
      </c>
      <c r="AD249" s="38" t="str">
        <f t="shared" si="27"/>
        <v/>
      </c>
      <c r="AE249" s="37">
        <f>Priors!$K$19</f>
        <v>0.67280088332719912</v>
      </c>
      <c r="AF249" s="38" t="str">
        <f t="shared" si="28"/>
        <v/>
      </c>
      <c r="AG249" s="17">
        <f t="shared" si="29"/>
        <v>0.39200313602508818</v>
      </c>
      <c r="AH249" s="7" t="s">
        <v>1643</v>
      </c>
      <c r="AI249" s="7">
        <v>12</v>
      </c>
      <c r="AJ249" s="38">
        <f t="shared" si="30"/>
        <v>0.40888874481731391</v>
      </c>
      <c r="AK249" s="9" t="b">
        <f t="shared" si="31"/>
        <v>0</v>
      </c>
      <c r="AL249" s="28" t="s">
        <v>1644</v>
      </c>
      <c r="AM249" s="28" t="s">
        <v>1645</v>
      </c>
      <c r="AN249" s="28" t="s">
        <v>1792</v>
      </c>
    </row>
    <row r="250" spans="1:40" ht="30">
      <c r="A250" s="7">
        <v>249</v>
      </c>
      <c r="B250" s="7" t="s">
        <v>811</v>
      </c>
      <c r="C250" s="7" t="s">
        <v>47</v>
      </c>
      <c r="D250" s="7" t="s">
        <v>167</v>
      </c>
      <c r="E250" s="7" t="s">
        <v>1642</v>
      </c>
      <c r="F250" s="7" t="s">
        <v>47</v>
      </c>
      <c r="G250" s="14">
        <v>1898</v>
      </c>
      <c r="H250" s="14">
        <v>74</v>
      </c>
      <c r="I250" s="15">
        <v>3.51</v>
      </c>
      <c r="J250" s="14">
        <v>0</v>
      </c>
      <c r="K250" s="15">
        <v>0</v>
      </c>
      <c r="L250" s="14">
        <v>34</v>
      </c>
      <c r="M250" s="14">
        <v>7</v>
      </c>
      <c r="N250" s="13"/>
      <c r="O250" s="14">
        <v>9</v>
      </c>
      <c r="P250" s="14">
        <v>295</v>
      </c>
      <c r="Q250" s="15">
        <v>13.98840885142255</v>
      </c>
      <c r="R250" s="17">
        <f>IFERROR(G250/(G250+Priors!$H$18),0)</f>
        <v>0.65493443754313319</v>
      </c>
      <c r="S250" s="13">
        <v>1</v>
      </c>
      <c r="T250" s="40" t="b">
        <v>0</v>
      </c>
      <c r="U250" s="13">
        <v>1</v>
      </c>
      <c r="V250" s="40" t="b">
        <v>0</v>
      </c>
      <c r="W250" s="13">
        <v>1</v>
      </c>
      <c r="X250" s="17">
        <f t="shared" si="24"/>
        <v>0.65493443754313319</v>
      </c>
      <c r="Y250" s="37">
        <f>VLOOKUP(D250,Priors!$A$18:$B$21,2,FALSE)</f>
        <v>4.5137422563476139</v>
      </c>
      <c r="Z250" s="38">
        <f t="shared" si="25"/>
        <v>3.8563568862483137</v>
      </c>
      <c r="AA250" s="39">
        <v>1</v>
      </c>
      <c r="AB250" s="38">
        <f t="shared" si="26"/>
        <v>3.8563568862483137</v>
      </c>
      <c r="AC250" s="37">
        <f>Priors!$K$18</f>
        <v>2.7435089299114512</v>
      </c>
      <c r="AD250" s="38" t="str">
        <f t="shared" si="27"/>
        <v/>
      </c>
      <c r="AE250" s="37">
        <f>Priors!$K$19</f>
        <v>0.67280088332719912</v>
      </c>
      <c r="AF250" s="38" t="str">
        <f t="shared" si="28"/>
        <v/>
      </c>
      <c r="AG250" s="17">
        <f t="shared" si="29"/>
        <v>0.34506556245686681</v>
      </c>
      <c r="AH250" s="7" t="s">
        <v>1643</v>
      </c>
      <c r="AI250" s="7">
        <v>12</v>
      </c>
      <c r="AJ250" s="38">
        <f t="shared" si="30"/>
        <v>0.32136307385402613</v>
      </c>
      <c r="AK250" s="9" t="b">
        <f t="shared" si="31"/>
        <v>0</v>
      </c>
      <c r="AL250" s="28" t="s">
        <v>1644</v>
      </c>
      <c r="AM250" s="28" t="s">
        <v>1645</v>
      </c>
      <c r="AN250" s="28" t="s">
        <v>1792</v>
      </c>
    </row>
    <row r="251" spans="1:40" ht="30">
      <c r="A251" s="7">
        <v>250</v>
      </c>
      <c r="B251" s="7" t="s">
        <v>814</v>
      </c>
      <c r="C251" s="7" t="s">
        <v>48</v>
      </c>
      <c r="D251" s="7" t="s">
        <v>85</v>
      </c>
      <c r="E251" s="7" t="s">
        <v>1642</v>
      </c>
      <c r="F251" s="7" t="s">
        <v>48</v>
      </c>
      <c r="G251" s="14">
        <v>3420</v>
      </c>
      <c r="H251" s="14">
        <v>107</v>
      </c>
      <c r="I251" s="15">
        <v>0</v>
      </c>
      <c r="J251" s="14">
        <v>98</v>
      </c>
      <c r="K251" s="15">
        <v>2.58</v>
      </c>
      <c r="L251" s="14">
        <v>51</v>
      </c>
      <c r="M251" s="14">
        <v>9</v>
      </c>
      <c r="N251" s="13">
        <v>0.65771812080536918</v>
      </c>
      <c r="O251" s="14">
        <v>8</v>
      </c>
      <c r="P251" s="14">
        <v>556</v>
      </c>
      <c r="Q251" s="15">
        <v>14.631578947368421</v>
      </c>
      <c r="R251" s="17">
        <f>IFERROR(G251/(G251+Priors!$H$18),0)</f>
        <v>0.77375565610859731</v>
      </c>
      <c r="S251" s="13">
        <v>1</v>
      </c>
      <c r="T251" s="40" t="b">
        <v>0</v>
      </c>
      <c r="U251" s="13">
        <v>1</v>
      </c>
      <c r="V251" s="40" t="b">
        <v>1</v>
      </c>
      <c r="W251" s="13">
        <v>0.9</v>
      </c>
      <c r="X251" s="17">
        <f t="shared" si="24"/>
        <v>0.69638009049773764</v>
      </c>
      <c r="Y251" s="37">
        <f>VLOOKUP(D251,Priors!$A$18:$B$21,2,FALSE)</f>
        <v>2.6414527990394716</v>
      </c>
      <c r="Z251" s="38">
        <f t="shared" si="25"/>
        <v>0.80199765979886195</v>
      </c>
      <c r="AA251" s="39">
        <v>1</v>
      </c>
      <c r="AB251" s="38">
        <f t="shared" si="26"/>
        <v>0.80199765979886195</v>
      </c>
      <c r="AC251" s="37">
        <f>Priors!$K$18</f>
        <v>2.7435089299114512</v>
      </c>
      <c r="AD251" s="38">
        <f t="shared" si="27"/>
        <v>2.6296445665025265</v>
      </c>
      <c r="AE251" s="37">
        <f>Priors!$K$19</f>
        <v>0.67280088332719912</v>
      </c>
      <c r="AF251" s="38">
        <f t="shared" si="28"/>
        <v>0.66229754779729133</v>
      </c>
      <c r="AG251" s="17">
        <f t="shared" si="29"/>
        <v>0.30361990950226236</v>
      </c>
      <c r="AH251" s="7" t="s">
        <v>1643</v>
      </c>
      <c r="AI251" s="7"/>
      <c r="AJ251" s="38" t="str">
        <f t="shared" si="30"/>
        <v/>
      </c>
      <c r="AK251" s="9" t="b">
        <f t="shared" si="31"/>
        <v>1</v>
      </c>
      <c r="AL251" s="28" t="s">
        <v>1644</v>
      </c>
      <c r="AM251" s="28" t="s">
        <v>1645</v>
      </c>
      <c r="AN251" s="28" t="s">
        <v>1792</v>
      </c>
    </row>
    <row r="252" spans="1:40" ht="30">
      <c r="A252" s="7">
        <v>251</v>
      </c>
      <c r="B252" s="7" t="s">
        <v>818</v>
      </c>
      <c r="C252" s="7" t="s">
        <v>48</v>
      </c>
      <c r="D252" s="7" t="s">
        <v>85</v>
      </c>
      <c r="E252" s="7" t="s">
        <v>1642</v>
      </c>
      <c r="F252" s="7" t="s">
        <v>48</v>
      </c>
      <c r="G252" s="14">
        <v>0</v>
      </c>
      <c r="H252" s="14">
        <v>0</v>
      </c>
      <c r="I252" s="15">
        <v>0</v>
      </c>
      <c r="J252" s="14">
        <v>0</v>
      </c>
      <c r="K252" s="15">
        <v>0</v>
      </c>
      <c r="L252" s="14">
        <v>0</v>
      </c>
      <c r="M252" s="14">
        <v>0</v>
      </c>
      <c r="N252" s="13"/>
      <c r="O252" s="14">
        <v>0</v>
      </c>
      <c r="P252" s="14">
        <v>0</v>
      </c>
      <c r="Q252" s="15">
        <v>0</v>
      </c>
      <c r="R252" s="17">
        <f>IFERROR(G252/(G252+Priors!$H$18),0)</f>
        <v>0</v>
      </c>
      <c r="S252" s="13">
        <v>1</v>
      </c>
      <c r="T252" s="40" t="b">
        <v>0</v>
      </c>
      <c r="U252" s="13">
        <v>1</v>
      </c>
      <c r="V252" s="40" t="b">
        <v>1</v>
      </c>
      <c r="W252" s="13">
        <v>0.9</v>
      </c>
      <c r="X252" s="17">
        <f t="shared" si="24"/>
        <v>0</v>
      </c>
      <c r="Y252" s="37">
        <f>VLOOKUP(D252,Priors!$A$18:$B$21,2,FALSE)</f>
        <v>2.6414527990394716</v>
      </c>
      <c r="Z252" s="38">
        <f t="shared" si="25"/>
        <v>2.6414527990394716</v>
      </c>
      <c r="AA252" s="39">
        <v>1</v>
      </c>
      <c r="AB252" s="38">
        <f t="shared" si="26"/>
        <v>2.6414527990394716</v>
      </c>
      <c r="AC252" s="37">
        <f>Priors!$K$18</f>
        <v>2.7435089299114512</v>
      </c>
      <c r="AD252" s="38">
        <f t="shared" si="27"/>
        <v>2.7435089299114512</v>
      </c>
      <c r="AE252" s="37">
        <f>Priors!$K$19</f>
        <v>0.67280088332719912</v>
      </c>
      <c r="AF252" s="38">
        <f t="shared" si="28"/>
        <v>0.67280088332719912</v>
      </c>
      <c r="AG252" s="17">
        <f t="shared" si="29"/>
        <v>1</v>
      </c>
      <c r="AH252" s="7" t="s">
        <v>1643</v>
      </c>
      <c r="AI252" s="7"/>
      <c r="AJ252" s="38" t="str">
        <f t="shared" si="30"/>
        <v/>
      </c>
      <c r="AK252" s="9" t="b">
        <f t="shared" si="31"/>
        <v>1</v>
      </c>
      <c r="AL252" s="28" t="s">
        <v>1644</v>
      </c>
      <c r="AM252" s="28" t="s">
        <v>1645</v>
      </c>
      <c r="AN252" s="28" t="s">
        <v>1792</v>
      </c>
    </row>
    <row r="253" spans="1:40" ht="30">
      <c r="A253" s="7">
        <v>252</v>
      </c>
      <c r="B253" s="7" t="s">
        <v>820</v>
      </c>
      <c r="C253" s="7" t="s">
        <v>48</v>
      </c>
      <c r="D253" s="7" t="s">
        <v>85</v>
      </c>
      <c r="E253" s="7" t="s">
        <v>1642</v>
      </c>
      <c r="F253" s="7" t="s">
        <v>48</v>
      </c>
      <c r="G253" s="14">
        <v>0</v>
      </c>
      <c r="H253" s="14">
        <v>0</v>
      </c>
      <c r="I253" s="15">
        <v>0</v>
      </c>
      <c r="J253" s="14">
        <v>0</v>
      </c>
      <c r="K253" s="15">
        <v>0</v>
      </c>
      <c r="L253" s="14">
        <v>0</v>
      </c>
      <c r="M253" s="14">
        <v>0</v>
      </c>
      <c r="N253" s="13"/>
      <c r="O253" s="14">
        <v>0</v>
      </c>
      <c r="P253" s="14">
        <v>0</v>
      </c>
      <c r="Q253" s="15">
        <v>0</v>
      </c>
      <c r="R253" s="17">
        <f>IFERROR(G253/(G253+Priors!$H$18),0)</f>
        <v>0</v>
      </c>
      <c r="S253" s="13">
        <v>1</v>
      </c>
      <c r="T253" s="40" t="b">
        <v>0</v>
      </c>
      <c r="U253" s="13">
        <v>1</v>
      </c>
      <c r="V253" s="40" t="b">
        <v>1</v>
      </c>
      <c r="W253" s="13">
        <v>0.9</v>
      </c>
      <c r="X253" s="17">
        <f t="shared" si="24"/>
        <v>0</v>
      </c>
      <c r="Y253" s="37">
        <f>VLOOKUP(D253,Priors!$A$18:$B$21,2,FALSE)</f>
        <v>2.6414527990394716</v>
      </c>
      <c r="Z253" s="38">
        <f t="shared" si="25"/>
        <v>2.6414527990394716</v>
      </c>
      <c r="AA253" s="39">
        <v>1</v>
      </c>
      <c r="AB253" s="38">
        <f t="shared" si="26"/>
        <v>2.6414527990394716</v>
      </c>
      <c r="AC253" s="37">
        <f>Priors!$K$18</f>
        <v>2.7435089299114512</v>
      </c>
      <c r="AD253" s="38">
        <f t="shared" si="27"/>
        <v>2.7435089299114512</v>
      </c>
      <c r="AE253" s="37">
        <f>Priors!$K$19</f>
        <v>0.67280088332719912</v>
      </c>
      <c r="AF253" s="38">
        <f t="shared" si="28"/>
        <v>0.67280088332719912</v>
      </c>
      <c r="AG253" s="17">
        <f t="shared" si="29"/>
        <v>1</v>
      </c>
      <c r="AH253" s="7" t="s">
        <v>1643</v>
      </c>
      <c r="AI253" s="7"/>
      <c r="AJ253" s="38" t="str">
        <f t="shared" si="30"/>
        <v/>
      </c>
      <c r="AK253" s="9" t="b">
        <f t="shared" si="31"/>
        <v>1</v>
      </c>
      <c r="AL253" s="28" t="s">
        <v>1644</v>
      </c>
      <c r="AM253" s="28" t="s">
        <v>1645</v>
      </c>
      <c r="AN253" s="28" t="s">
        <v>1792</v>
      </c>
    </row>
    <row r="254" spans="1:40" ht="30">
      <c r="A254" s="7">
        <v>253</v>
      </c>
      <c r="B254" s="7" t="s">
        <v>822</v>
      </c>
      <c r="C254" s="7" t="s">
        <v>48</v>
      </c>
      <c r="D254" s="7" t="s">
        <v>99</v>
      </c>
      <c r="E254" s="7" t="s">
        <v>1642</v>
      </c>
      <c r="F254" s="7" t="s">
        <v>48</v>
      </c>
      <c r="G254" s="14">
        <v>2882</v>
      </c>
      <c r="H254" s="14">
        <v>366</v>
      </c>
      <c r="I254" s="15">
        <v>10.27</v>
      </c>
      <c r="J254" s="14">
        <v>0</v>
      </c>
      <c r="K254" s="15">
        <v>0</v>
      </c>
      <c r="L254" s="14">
        <v>45</v>
      </c>
      <c r="M254" s="14">
        <v>8</v>
      </c>
      <c r="N254" s="13"/>
      <c r="O254" s="14">
        <v>8</v>
      </c>
      <c r="P254" s="14">
        <v>424</v>
      </c>
      <c r="Q254" s="15">
        <v>13.240804996530187</v>
      </c>
      <c r="R254" s="17">
        <f>IFERROR(G254/(G254+Priors!$H$18),0)</f>
        <v>0.74240082431736221</v>
      </c>
      <c r="S254" s="13">
        <v>1</v>
      </c>
      <c r="T254" s="40" t="b">
        <v>0</v>
      </c>
      <c r="U254" s="13">
        <v>1</v>
      </c>
      <c r="V254" s="40" t="b">
        <v>1</v>
      </c>
      <c r="W254" s="13">
        <v>0.9</v>
      </c>
      <c r="X254" s="17">
        <f t="shared" si="24"/>
        <v>0.66816074188562602</v>
      </c>
      <c r="Y254" s="37">
        <f>VLOOKUP(D254,Priors!$A$18:$B$21,2,FALSE)</f>
        <v>8.7398272304160223</v>
      </c>
      <c r="Z254" s="38">
        <f t="shared" si="25"/>
        <v>9.7622286033544352</v>
      </c>
      <c r="AA254" s="39">
        <v>1</v>
      </c>
      <c r="AB254" s="38">
        <f t="shared" si="26"/>
        <v>9.7622286033544352</v>
      </c>
      <c r="AC254" s="37">
        <f>Priors!$K$18</f>
        <v>2.7435089299114512</v>
      </c>
      <c r="AD254" s="38" t="str">
        <f t="shared" si="27"/>
        <v/>
      </c>
      <c r="AE254" s="37">
        <f>Priors!$K$19</f>
        <v>0.67280088332719912</v>
      </c>
      <c r="AF254" s="38" t="str">
        <f t="shared" si="28"/>
        <v/>
      </c>
      <c r="AG254" s="17">
        <f t="shared" si="29"/>
        <v>0.33183925811437398</v>
      </c>
      <c r="AH254" s="7" t="s">
        <v>1643</v>
      </c>
      <c r="AI254" s="7">
        <v>10</v>
      </c>
      <c r="AJ254" s="38">
        <f t="shared" si="30"/>
        <v>0.97622286033544348</v>
      </c>
      <c r="AK254" s="9" t="b">
        <f t="shared" si="31"/>
        <v>1</v>
      </c>
      <c r="AL254" s="28" t="s">
        <v>1644</v>
      </c>
      <c r="AM254" s="28" t="s">
        <v>1645</v>
      </c>
      <c r="AN254" s="28" t="s">
        <v>1792</v>
      </c>
    </row>
    <row r="255" spans="1:40" ht="30">
      <c r="A255" s="7">
        <v>254</v>
      </c>
      <c r="B255" s="7" t="s">
        <v>825</v>
      </c>
      <c r="C255" s="7" t="s">
        <v>48</v>
      </c>
      <c r="D255" s="7" t="s">
        <v>99</v>
      </c>
      <c r="E255" s="7" t="s">
        <v>1642</v>
      </c>
      <c r="F255" s="7" t="s">
        <v>48</v>
      </c>
      <c r="G255" s="14">
        <v>1487</v>
      </c>
      <c r="H255" s="14">
        <v>137</v>
      </c>
      <c r="I255" s="15">
        <v>8.23</v>
      </c>
      <c r="J255" s="14">
        <v>0</v>
      </c>
      <c r="K255" s="15">
        <v>0</v>
      </c>
      <c r="L255" s="14">
        <v>19</v>
      </c>
      <c r="M255" s="14">
        <v>4</v>
      </c>
      <c r="N255" s="13"/>
      <c r="O255" s="14">
        <v>7</v>
      </c>
      <c r="P255" s="14">
        <v>280</v>
      </c>
      <c r="Q255" s="15">
        <v>16.946872898453261</v>
      </c>
      <c r="R255" s="17">
        <f>IFERROR(G255/(G255+Priors!$H$18),0)</f>
        <v>0.59790912746280656</v>
      </c>
      <c r="S255" s="13">
        <v>1</v>
      </c>
      <c r="T255" s="40" t="b">
        <v>0</v>
      </c>
      <c r="U255" s="13">
        <v>1</v>
      </c>
      <c r="V255" s="40" t="b">
        <v>1</v>
      </c>
      <c r="W255" s="13">
        <v>0.9</v>
      </c>
      <c r="X255" s="17">
        <f t="shared" si="24"/>
        <v>0.53811821471652588</v>
      </c>
      <c r="Y255" s="37">
        <f>VLOOKUP(D255,Priors!$A$18:$B$21,2,FALSE)</f>
        <v>8.7398272304160223</v>
      </c>
      <c r="Z255" s="38">
        <f t="shared" si="25"/>
        <v>8.4654799113706822</v>
      </c>
      <c r="AA255" s="39">
        <v>1</v>
      </c>
      <c r="AB255" s="38">
        <f t="shared" si="26"/>
        <v>8.4654799113706822</v>
      </c>
      <c r="AC255" s="37">
        <f>Priors!$K$18</f>
        <v>2.7435089299114512</v>
      </c>
      <c r="AD255" s="38" t="str">
        <f t="shared" si="27"/>
        <v/>
      </c>
      <c r="AE255" s="37">
        <f>Priors!$K$19</f>
        <v>0.67280088332719912</v>
      </c>
      <c r="AF255" s="38" t="str">
        <f t="shared" si="28"/>
        <v/>
      </c>
      <c r="AG255" s="17">
        <f t="shared" si="29"/>
        <v>0.46188178528347412</v>
      </c>
      <c r="AH255" s="7" t="s">
        <v>1643</v>
      </c>
      <c r="AI255" s="7">
        <v>10</v>
      </c>
      <c r="AJ255" s="38">
        <f t="shared" si="30"/>
        <v>0.84654799113706825</v>
      </c>
      <c r="AK255" s="9" t="b">
        <f t="shared" si="31"/>
        <v>1</v>
      </c>
      <c r="AL255" s="28" t="s">
        <v>1644</v>
      </c>
      <c r="AM255" s="28" t="s">
        <v>1645</v>
      </c>
      <c r="AN255" s="28" t="s">
        <v>1792</v>
      </c>
    </row>
    <row r="256" spans="1:40" ht="30">
      <c r="A256" s="7">
        <v>255</v>
      </c>
      <c r="B256" s="7" t="s">
        <v>828</v>
      </c>
      <c r="C256" s="7" t="s">
        <v>48</v>
      </c>
      <c r="D256" s="7" t="s">
        <v>99</v>
      </c>
      <c r="E256" s="7" t="s">
        <v>1642</v>
      </c>
      <c r="F256" s="7" t="s">
        <v>48</v>
      </c>
      <c r="G256" s="14">
        <v>935</v>
      </c>
      <c r="H256" s="14">
        <v>123</v>
      </c>
      <c r="I256" s="15">
        <v>11.26</v>
      </c>
      <c r="J256" s="14">
        <v>0</v>
      </c>
      <c r="K256" s="15">
        <v>0</v>
      </c>
      <c r="L256" s="14">
        <v>11</v>
      </c>
      <c r="M256" s="14">
        <v>2</v>
      </c>
      <c r="N256" s="13"/>
      <c r="O256" s="14">
        <v>1</v>
      </c>
      <c r="P256" s="14">
        <v>155</v>
      </c>
      <c r="Q256" s="15">
        <v>14.919786096256685</v>
      </c>
      <c r="R256" s="17">
        <f>IFERROR(G256/(G256+Priors!$H$18),0)</f>
        <v>0.48320413436692505</v>
      </c>
      <c r="S256" s="13">
        <v>1</v>
      </c>
      <c r="T256" s="40" t="b">
        <v>0</v>
      </c>
      <c r="U256" s="13">
        <v>1</v>
      </c>
      <c r="V256" s="40" t="b">
        <v>1</v>
      </c>
      <c r="W256" s="13">
        <v>0.9</v>
      </c>
      <c r="X256" s="17">
        <f t="shared" si="24"/>
        <v>0.43488372093023253</v>
      </c>
      <c r="Y256" s="37">
        <f>VLOOKUP(D256,Priors!$A$18:$B$21,2,FALSE)</f>
        <v>8.7398272304160223</v>
      </c>
      <c r="Z256" s="38">
        <f t="shared" si="25"/>
        <v>9.8358093418397523</v>
      </c>
      <c r="AA256" s="39">
        <v>1</v>
      </c>
      <c r="AB256" s="38">
        <f t="shared" si="26"/>
        <v>9.8358093418397523</v>
      </c>
      <c r="AC256" s="37">
        <f>Priors!$K$18</f>
        <v>2.7435089299114512</v>
      </c>
      <c r="AD256" s="38" t="str">
        <f t="shared" si="27"/>
        <v/>
      </c>
      <c r="AE256" s="37">
        <f>Priors!$K$19</f>
        <v>0.67280088332719912</v>
      </c>
      <c r="AF256" s="38" t="str">
        <f t="shared" si="28"/>
        <v/>
      </c>
      <c r="AG256" s="17">
        <f t="shared" si="29"/>
        <v>0.56511627906976747</v>
      </c>
      <c r="AH256" s="7" t="s">
        <v>1643</v>
      </c>
      <c r="AI256" s="7">
        <v>10</v>
      </c>
      <c r="AJ256" s="38">
        <f t="shared" si="30"/>
        <v>0.98358093418397519</v>
      </c>
      <c r="AK256" s="9" t="b">
        <f t="shared" si="31"/>
        <v>1</v>
      </c>
      <c r="AL256" s="28" t="s">
        <v>1644</v>
      </c>
      <c r="AM256" s="28" t="s">
        <v>1645</v>
      </c>
      <c r="AN256" s="28" t="s">
        <v>1792</v>
      </c>
    </row>
    <row r="257" spans="1:40" ht="30">
      <c r="A257" s="7">
        <v>256</v>
      </c>
      <c r="B257" s="7" t="s">
        <v>831</v>
      </c>
      <c r="C257" s="7" t="s">
        <v>48</v>
      </c>
      <c r="D257" s="7" t="s">
        <v>99</v>
      </c>
      <c r="E257" s="7" t="s">
        <v>1642</v>
      </c>
      <c r="F257" s="7" t="s">
        <v>48</v>
      </c>
      <c r="G257" s="14">
        <v>1791</v>
      </c>
      <c r="H257" s="14">
        <v>188</v>
      </c>
      <c r="I257" s="15">
        <v>8.2899999999999991</v>
      </c>
      <c r="J257" s="14">
        <v>0</v>
      </c>
      <c r="K257" s="15">
        <v>0</v>
      </c>
      <c r="L257" s="14">
        <v>25</v>
      </c>
      <c r="M257" s="14">
        <v>6</v>
      </c>
      <c r="N257" s="13"/>
      <c r="O257" s="14">
        <v>5</v>
      </c>
      <c r="P257" s="14">
        <v>318</v>
      </c>
      <c r="Q257" s="15">
        <v>15.979899497487438</v>
      </c>
      <c r="R257" s="17">
        <f>IFERROR(G257/(G257+Priors!$H$18),0)</f>
        <v>0.64170548190612686</v>
      </c>
      <c r="S257" s="13">
        <v>1</v>
      </c>
      <c r="T257" s="40" t="b">
        <v>0</v>
      </c>
      <c r="U257" s="13">
        <v>1</v>
      </c>
      <c r="V257" s="40" t="b">
        <v>1</v>
      </c>
      <c r="W257" s="13">
        <v>0.9</v>
      </c>
      <c r="X257" s="17">
        <f t="shared" si="24"/>
        <v>0.57753493371551423</v>
      </c>
      <c r="Y257" s="37">
        <f>VLOOKUP(D257,Priors!$A$18:$B$21,2,FALSE)</f>
        <v>8.7398272304160223</v>
      </c>
      <c r="Z257" s="38">
        <f t="shared" si="25"/>
        <v>8.4800362907142706</v>
      </c>
      <c r="AA257" s="39">
        <v>1</v>
      </c>
      <c r="AB257" s="38">
        <f t="shared" si="26"/>
        <v>8.4800362907142706</v>
      </c>
      <c r="AC257" s="37">
        <f>Priors!$K$18</f>
        <v>2.7435089299114512</v>
      </c>
      <c r="AD257" s="38" t="str">
        <f t="shared" si="27"/>
        <v/>
      </c>
      <c r="AE257" s="37">
        <f>Priors!$K$19</f>
        <v>0.67280088332719912</v>
      </c>
      <c r="AF257" s="38" t="str">
        <f t="shared" si="28"/>
        <v/>
      </c>
      <c r="AG257" s="17">
        <f t="shared" si="29"/>
        <v>0.42246506628448577</v>
      </c>
      <c r="AH257" s="7" t="s">
        <v>1643</v>
      </c>
      <c r="AI257" s="7">
        <v>10</v>
      </c>
      <c r="AJ257" s="38">
        <f t="shared" si="30"/>
        <v>0.84800362907142701</v>
      </c>
      <c r="AK257" s="9" t="b">
        <f t="shared" si="31"/>
        <v>1</v>
      </c>
      <c r="AL257" s="28" t="s">
        <v>1644</v>
      </c>
      <c r="AM257" s="28" t="s">
        <v>1645</v>
      </c>
      <c r="AN257" s="28" t="s">
        <v>1792</v>
      </c>
    </row>
    <row r="258" spans="1:40" ht="30">
      <c r="A258" s="7">
        <v>257</v>
      </c>
      <c r="B258" s="7" t="s">
        <v>834</v>
      </c>
      <c r="C258" s="7" t="s">
        <v>48</v>
      </c>
      <c r="D258" s="7" t="s">
        <v>99</v>
      </c>
      <c r="E258" s="7" t="s">
        <v>1642</v>
      </c>
      <c r="F258" s="7" t="s">
        <v>48</v>
      </c>
      <c r="G258" s="14">
        <v>2532</v>
      </c>
      <c r="H258" s="14">
        <v>245</v>
      </c>
      <c r="I258" s="15">
        <v>7.29</v>
      </c>
      <c r="J258" s="14">
        <v>0</v>
      </c>
      <c r="K258" s="15">
        <v>0</v>
      </c>
      <c r="L258" s="14">
        <v>40</v>
      </c>
      <c r="M258" s="14">
        <v>7</v>
      </c>
      <c r="N258" s="13"/>
      <c r="O258" s="14">
        <v>9</v>
      </c>
      <c r="P258" s="14">
        <v>392</v>
      </c>
      <c r="Q258" s="15">
        <v>13.933649289099526</v>
      </c>
      <c r="R258" s="17">
        <f>IFERROR(G258/(G258+Priors!$H$18),0)</f>
        <v>0.71687429218573051</v>
      </c>
      <c r="S258" s="13">
        <v>1</v>
      </c>
      <c r="T258" s="40" t="b">
        <v>0</v>
      </c>
      <c r="U258" s="13">
        <v>1</v>
      </c>
      <c r="V258" s="40" t="b">
        <v>1</v>
      </c>
      <c r="W258" s="13">
        <v>0.9</v>
      </c>
      <c r="X258" s="17">
        <f t="shared" ref="X258:X321" si="32">R258*S258*U258*W258</f>
        <v>0.64518686296715744</v>
      </c>
      <c r="Y258" s="37">
        <f>VLOOKUP(D258,Priors!$A$18:$B$21,2,FALSE)</f>
        <v>8.7398272304160223</v>
      </c>
      <c r="Z258" s="38">
        <f t="shared" ref="Z258:Z321" si="33">IF(OR(H258="",G258=0),Y258,X258*I258+(1-X258)*Y258)</f>
        <v>7.8044177477795476</v>
      </c>
      <c r="AA258" s="39">
        <v>1</v>
      </c>
      <c r="AB258" s="38">
        <f t="shared" ref="AB258:AB321" si="34">Z258*AA258</f>
        <v>7.8044177477795476</v>
      </c>
      <c r="AC258" s="37">
        <f>Priors!$K$18</f>
        <v>2.7435089299114512</v>
      </c>
      <c r="AD258" s="38" t="str">
        <f t="shared" ref="AD258:AD321" si="35">IF(D258&lt;&gt;"GK","",IF(OR(K258="",G258=0),AC258,X258*K258+(1-X258)*AC258))</f>
        <v/>
      </c>
      <c r="AE258" s="37">
        <f>Priors!$K$19</f>
        <v>0.67280088332719912</v>
      </c>
      <c r="AF258" s="38" t="str">
        <f t="shared" ref="AF258:AF321" si="36">IF(D258&lt;&gt;"GK","",IF(OR(N258="",G258=0),AE258,X258*N258+(1-X258)*AE258))</f>
        <v/>
      </c>
      <c r="AG258" s="17">
        <f t="shared" ref="AG258:AG321" si="37">1-X258</f>
        <v>0.35481313703284256</v>
      </c>
      <c r="AH258" s="7" t="s">
        <v>1643</v>
      </c>
      <c r="AI258" s="7">
        <v>10</v>
      </c>
      <c r="AJ258" s="38">
        <f t="shared" ref="AJ258:AJ321" si="38">IF(OR(AI258="",AI258=0),"",AB258/AI258)</f>
        <v>0.78044177477795473</v>
      </c>
      <c r="AK258" s="9" t="b">
        <f t="shared" ref="AK258:AK321" si="39">OR(AG258&gt;=0.5,E258&lt;&gt;"Premier League",T258=TRUE,V258=TRUE)</f>
        <v>1</v>
      </c>
      <c r="AL258" s="28" t="s">
        <v>1644</v>
      </c>
      <c r="AM258" s="28" t="s">
        <v>1645</v>
      </c>
      <c r="AN258" s="28" t="s">
        <v>1792</v>
      </c>
    </row>
    <row r="259" spans="1:40" ht="30">
      <c r="A259" s="7">
        <v>258</v>
      </c>
      <c r="B259" s="7" t="s">
        <v>837</v>
      </c>
      <c r="C259" s="7" t="s">
        <v>48</v>
      </c>
      <c r="D259" s="7" t="s">
        <v>99</v>
      </c>
      <c r="E259" s="7" t="s">
        <v>1642</v>
      </c>
      <c r="F259" s="7" t="s">
        <v>48</v>
      </c>
      <c r="G259" s="14">
        <v>1838</v>
      </c>
      <c r="H259" s="14">
        <v>161</v>
      </c>
      <c r="I259" s="15">
        <v>7.15</v>
      </c>
      <c r="J259" s="14">
        <v>0</v>
      </c>
      <c r="K259" s="15">
        <v>0</v>
      </c>
      <c r="L259" s="14">
        <v>31</v>
      </c>
      <c r="M259" s="14">
        <v>3</v>
      </c>
      <c r="N259" s="13"/>
      <c r="O259" s="14">
        <v>3</v>
      </c>
      <c r="P259" s="14">
        <v>294</v>
      </c>
      <c r="Q259" s="15">
        <v>14.396082698585419</v>
      </c>
      <c r="R259" s="17">
        <f>IFERROR(G259/(G259+Priors!$H$18),0)</f>
        <v>0.64763918252290342</v>
      </c>
      <c r="S259" s="13">
        <v>1</v>
      </c>
      <c r="T259" s="40" t="b">
        <v>0</v>
      </c>
      <c r="U259" s="13">
        <v>1</v>
      </c>
      <c r="V259" s="40" t="b">
        <v>1</v>
      </c>
      <c r="W259" s="13">
        <v>0.9</v>
      </c>
      <c r="X259" s="17">
        <f t="shared" si="32"/>
        <v>0.58287526427061309</v>
      </c>
      <c r="Y259" s="37">
        <f>VLOOKUP(D259,Priors!$A$18:$B$21,2,FALSE)</f>
        <v>8.7398272304160223</v>
      </c>
      <c r="Z259" s="38">
        <f t="shared" si="33"/>
        <v>7.8131562633426661</v>
      </c>
      <c r="AA259" s="39">
        <v>1</v>
      </c>
      <c r="AB259" s="38">
        <f t="shared" si="34"/>
        <v>7.8131562633426661</v>
      </c>
      <c r="AC259" s="37">
        <f>Priors!$K$18</f>
        <v>2.7435089299114512</v>
      </c>
      <c r="AD259" s="38" t="str">
        <f t="shared" si="35"/>
        <v/>
      </c>
      <c r="AE259" s="37">
        <f>Priors!$K$19</f>
        <v>0.67280088332719912</v>
      </c>
      <c r="AF259" s="38" t="str">
        <f t="shared" si="36"/>
        <v/>
      </c>
      <c r="AG259" s="17">
        <f t="shared" si="37"/>
        <v>0.41712473572938691</v>
      </c>
      <c r="AH259" s="7" t="s">
        <v>1643</v>
      </c>
      <c r="AI259" s="7">
        <v>10</v>
      </c>
      <c r="AJ259" s="38">
        <f t="shared" si="38"/>
        <v>0.78131562633426666</v>
      </c>
      <c r="AK259" s="9" t="b">
        <f t="shared" si="39"/>
        <v>1</v>
      </c>
      <c r="AL259" s="28" t="s">
        <v>1644</v>
      </c>
      <c r="AM259" s="28" t="s">
        <v>1645</v>
      </c>
      <c r="AN259" s="28" t="s">
        <v>1792</v>
      </c>
    </row>
    <row r="260" spans="1:40" ht="30">
      <c r="A260" s="7">
        <v>259</v>
      </c>
      <c r="B260" s="7" t="s">
        <v>942</v>
      </c>
      <c r="C260" s="7" t="s">
        <v>50</v>
      </c>
      <c r="D260" s="7" t="s">
        <v>99</v>
      </c>
      <c r="E260" s="7" t="s">
        <v>1642</v>
      </c>
      <c r="F260" s="7" t="s">
        <v>48</v>
      </c>
      <c r="G260" s="14">
        <v>812</v>
      </c>
      <c r="H260" s="14">
        <v>68</v>
      </c>
      <c r="I260" s="15">
        <v>6.76</v>
      </c>
      <c r="J260" s="14">
        <v>0</v>
      </c>
      <c r="K260" s="15">
        <v>0</v>
      </c>
      <c r="L260" s="14">
        <v>13</v>
      </c>
      <c r="M260" s="14">
        <v>1</v>
      </c>
      <c r="N260" s="13"/>
      <c r="O260" s="14">
        <v>3</v>
      </c>
      <c r="P260" s="14">
        <v>103</v>
      </c>
      <c r="Q260" s="15">
        <v>11.416256157635468</v>
      </c>
      <c r="R260" s="17">
        <f>IFERROR(G260/(G260+Priors!$H$18),0)</f>
        <v>0.44812362030905079</v>
      </c>
      <c r="S260" s="13">
        <v>1</v>
      </c>
      <c r="T260" s="40" t="b">
        <v>1</v>
      </c>
      <c r="U260" s="13">
        <v>0.85</v>
      </c>
      <c r="V260" s="40" t="b">
        <v>1</v>
      </c>
      <c r="W260" s="13">
        <v>0.9</v>
      </c>
      <c r="X260" s="17">
        <f t="shared" si="32"/>
        <v>0.34281456953642386</v>
      </c>
      <c r="Y260" s="37">
        <f>VLOOKUP(D260,Priors!$A$18:$B$21,2,FALSE)</f>
        <v>8.7398272304160223</v>
      </c>
      <c r="Z260" s="38">
        <f t="shared" si="33"/>
        <v>8.0611136106644636</v>
      </c>
      <c r="AA260" s="39">
        <v>1</v>
      </c>
      <c r="AB260" s="38">
        <f t="shared" si="34"/>
        <v>8.0611136106644636</v>
      </c>
      <c r="AC260" s="37">
        <f>Priors!$K$18</f>
        <v>2.7435089299114512</v>
      </c>
      <c r="AD260" s="38" t="str">
        <f t="shared" si="35"/>
        <v/>
      </c>
      <c r="AE260" s="37">
        <f>Priors!$K$19</f>
        <v>0.67280088332719912</v>
      </c>
      <c r="AF260" s="38" t="str">
        <f t="shared" si="36"/>
        <v/>
      </c>
      <c r="AG260" s="17">
        <f t="shared" si="37"/>
        <v>0.65718543046357614</v>
      </c>
      <c r="AH260" s="7" t="s">
        <v>1643</v>
      </c>
      <c r="AI260" s="7">
        <v>10</v>
      </c>
      <c r="AJ260" s="38">
        <f t="shared" si="38"/>
        <v>0.80611136106644632</v>
      </c>
      <c r="AK260" s="9" t="b">
        <f t="shared" si="39"/>
        <v>1</v>
      </c>
      <c r="AL260" s="28" t="s">
        <v>1644</v>
      </c>
      <c r="AM260" s="28" t="s">
        <v>1645</v>
      </c>
      <c r="AN260" s="28" t="s">
        <v>1792</v>
      </c>
    </row>
    <row r="261" spans="1:40" ht="30">
      <c r="A261" s="7">
        <v>260</v>
      </c>
      <c r="B261" s="7" t="s">
        <v>416</v>
      </c>
      <c r="C261" s="7" t="s">
        <v>51</v>
      </c>
      <c r="D261" s="7" t="s">
        <v>112</v>
      </c>
      <c r="E261" s="7" t="s">
        <v>1642</v>
      </c>
      <c r="F261" s="7" t="s">
        <v>48</v>
      </c>
      <c r="G261" s="14">
        <v>2674</v>
      </c>
      <c r="H261" s="14">
        <v>177</v>
      </c>
      <c r="I261" s="15">
        <v>5.96</v>
      </c>
      <c r="J261" s="14">
        <v>0</v>
      </c>
      <c r="K261" s="15">
        <v>0</v>
      </c>
      <c r="L261" s="14">
        <v>38</v>
      </c>
      <c r="M261" s="14">
        <v>9</v>
      </c>
      <c r="N261" s="13"/>
      <c r="O261" s="14">
        <v>21</v>
      </c>
      <c r="P261" s="14">
        <v>637</v>
      </c>
      <c r="Q261" s="15">
        <v>21.439790575916231</v>
      </c>
      <c r="R261" s="17">
        <f>IFERROR(G261/(G261+Priors!$H$18),0)</f>
        <v>0.72781709308655418</v>
      </c>
      <c r="S261" s="13">
        <v>1</v>
      </c>
      <c r="T261" s="40" t="b">
        <v>1</v>
      </c>
      <c r="U261" s="13">
        <v>0.85</v>
      </c>
      <c r="V261" s="40" t="b">
        <v>0</v>
      </c>
      <c r="W261" s="13">
        <v>1</v>
      </c>
      <c r="X261" s="17">
        <f t="shared" si="32"/>
        <v>0.61864452912357104</v>
      </c>
      <c r="Y261" s="37">
        <f>VLOOKUP(D261,Priors!$A$18:$B$21,2,FALSE)</f>
        <v>8.4555315342179806</v>
      </c>
      <c r="Z261" s="38">
        <f t="shared" si="33"/>
        <v>6.9116846033186752</v>
      </c>
      <c r="AA261" s="39">
        <v>1</v>
      </c>
      <c r="AB261" s="38">
        <f t="shared" si="34"/>
        <v>6.9116846033186752</v>
      </c>
      <c r="AC261" s="37">
        <f>Priors!$K$18</f>
        <v>2.7435089299114512</v>
      </c>
      <c r="AD261" s="38" t="str">
        <f t="shared" si="35"/>
        <v/>
      </c>
      <c r="AE261" s="37">
        <f>Priors!$K$19</f>
        <v>0.67280088332719912</v>
      </c>
      <c r="AF261" s="38" t="str">
        <f t="shared" si="36"/>
        <v/>
      </c>
      <c r="AG261" s="17">
        <f t="shared" si="37"/>
        <v>0.38135547087642896</v>
      </c>
      <c r="AH261" s="7" t="s">
        <v>1643</v>
      </c>
      <c r="AI261" s="7">
        <v>12</v>
      </c>
      <c r="AJ261" s="38">
        <f t="shared" si="38"/>
        <v>0.57597371694322297</v>
      </c>
      <c r="AK261" s="9" t="b">
        <f t="shared" si="39"/>
        <v>1</v>
      </c>
      <c r="AL261" s="28" t="s">
        <v>1644</v>
      </c>
      <c r="AM261" s="28" t="s">
        <v>1645</v>
      </c>
      <c r="AN261" s="28" t="s">
        <v>1792</v>
      </c>
    </row>
    <row r="262" spans="1:40" ht="30">
      <c r="A262" s="7">
        <v>261</v>
      </c>
      <c r="B262" s="7" t="s">
        <v>839</v>
      </c>
      <c r="C262" s="7" t="s">
        <v>48</v>
      </c>
      <c r="D262" s="7" t="s">
        <v>112</v>
      </c>
      <c r="E262" s="7" t="s">
        <v>1642</v>
      </c>
      <c r="F262" s="7" t="s">
        <v>48</v>
      </c>
      <c r="G262" s="14">
        <v>2420</v>
      </c>
      <c r="H262" s="14">
        <v>188</v>
      </c>
      <c r="I262" s="15">
        <v>6.99</v>
      </c>
      <c r="J262" s="14">
        <v>0</v>
      </c>
      <c r="K262" s="15">
        <v>0</v>
      </c>
      <c r="L262" s="14">
        <v>40</v>
      </c>
      <c r="M262" s="14">
        <v>5</v>
      </c>
      <c r="N262" s="13"/>
      <c r="O262" s="14">
        <v>13</v>
      </c>
      <c r="P262" s="14">
        <v>508</v>
      </c>
      <c r="Q262" s="15">
        <v>18.892561983471076</v>
      </c>
      <c r="R262" s="17">
        <f>IFERROR(G262/(G262+Priors!$H$18),0)</f>
        <v>0.70760233918128657</v>
      </c>
      <c r="S262" s="13">
        <v>1</v>
      </c>
      <c r="T262" s="40" t="b">
        <v>0</v>
      </c>
      <c r="U262" s="13">
        <v>1</v>
      </c>
      <c r="V262" s="40" t="b">
        <v>1</v>
      </c>
      <c r="W262" s="13">
        <v>0.9</v>
      </c>
      <c r="X262" s="17">
        <f t="shared" si="32"/>
        <v>0.63684210526315788</v>
      </c>
      <c r="Y262" s="37">
        <f>VLOOKUP(D262,Priors!$A$18:$B$21,2,FALSE)</f>
        <v>8.4555315342179806</v>
      </c>
      <c r="Z262" s="38">
        <f t="shared" si="33"/>
        <v>7.5222193466370566</v>
      </c>
      <c r="AA262" s="39">
        <v>1</v>
      </c>
      <c r="AB262" s="38">
        <f t="shared" si="34"/>
        <v>7.5222193466370566</v>
      </c>
      <c r="AC262" s="37">
        <f>Priors!$K$18</f>
        <v>2.7435089299114512</v>
      </c>
      <c r="AD262" s="38" t="str">
        <f t="shared" si="35"/>
        <v/>
      </c>
      <c r="AE262" s="37">
        <f>Priors!$K$19</f>
        <v>0.67280088332719912</v>
      </c>
      <c r="AF262" s="38" t="str">
        <f t="shared" si="36"/>
        <v/>
      </c>
      <c r="AG262" s="17">
        <f t="shared" si="37"/>
        <v>0.36315789473684212</v>
      </c>
      <c r="AH262" s="7" t="s">
        <v>1643</v>
      </c>
      <c r="AI262" s="7">
        <v>12</v>
      </c>
      <c r="AJ262" s="38">
        <f t="shared" si="38"/>
        <v>0.62685161221975472</v>
      </c>
      <c r="AK262" s="9" t="b">
        <f t="shared" si="39"/>
        <v>1</v>
      </c>
      <c r="AL262" s="28" t="s">
        <v>1644</v>
      </c>
      <c r="AM262" s="28" t="s">
        <v>1645</v>
      </c>
      <c r="AN262" s="28" t="s">
        <v>1792</v>
      </c>
    </row>
    <row r="263" spans="1:40" ht="30">
      <c r="A263" s="7">
        <v>262</v>
      </c>
      <c r="B263" s="7" t="s">
        <v>841</v>
      </c>
      <c r="C263" s="7" t="s">
        <v>48</v>
      </c>
      <c r="D263" s="7" t="s">
        <v>112</v>
      </c>
      <c r="E263" s="7" t="s">
        <v>1642</v>
      </c>
      <c r="F263" s="7" t="s">
        <v>48</v>
      </c>
      <c r="G263" s="14">
        <v>1909</v>
      </c>
      <c r="H263" s="14">
        <v>148</v>
      </c>
      <c r="I263" s="15">
        <v>6.98</v>
      </c>
      <c r="J263" s="14">
        <v>0</v>
      </c>
      <c r="K263" s="15">
        <v>0</v>
      </c>
      <c r="L263" s="14">
        <v>27</v>
      </c>
      <c r="M263" s="14">
        <v>6</v>
      </c>
      <c r="N263" s="13"/>
      <c r="O263" s="14">
        <v>1</v>
      </c>
      <c r="P263" s="14">
        <v>351</v>
      </c>
      <c r="Q263" s="15">
        <v>16.547930853850183</v>
      </c>
      <c r="R263" s="17">
        <f>IFERROR(G263/(G263+Priors!$H$18),0)</f>
        <v>0.65623925747679612</v>
      </c>
      <c r="S263" s="13">
        <v>1</v>
      </c>
      <c r="T263" s="40" t="b">
        <v>0</v>
      </c>
      <c r="U263" s="13">
        <v>1</v>
      </c>
      <c r="V263" s="40" t="b">
        <v>1</v>
      </c>
      <c r="W263" s="13">
        <v>0.9</v>
      </c>
      <c r="X263" s="17">
        <f t="shared" si="32"/>
        <v>0.59061533172911651</v>
      </c>
      <c r="Y263" s="37">
        <f>VLOOKUP(D263,Priors!$A$18:$B$21,2,FALSE)</f>
        <v>8.4555315342179806</v>
      </c>
      <c r="Z263" s="38">
        <f t="shared" si="33"/>
        <v>7.5840599876590566</v>
      </c>
      <c r="AA263" s="39">
        <v>1</v>
      </c>
      <c r="AB263" s="38">
        <f t="shared" si="34"/>
        <v>7.5840599876590566</v>
      </c>
      <c r="AC263" s="37">
        <f>Priors!$K$18</f>
        <v>2.7435089299114512</v>
      </c>
      <c r="AD263" s="38" t="str">
        <f t="shared" si="35"/>
        <v/>
      </c>
      <c r="AE263" s="37">
        <f>Priors!$K$19</f>
        <v>0.67280088332719912</v>
      </c>
      <c r="AF263" s="38" t="str">
        <f t="shared" si="36"/>
        <v/>
      </c>
      <c r="AG263" s="17">
        <f t="shared" si="37"/>
        <v>0.40938466827088349</v>
      </c>
      <c r="AH263" s="7" t="s">
        <v>1643</v>
      </c>
      <c r="AI263" s="7">
        <v>12</v>
      </c>
      <c r="AJ263" s="38">
        <f t="shared" si="38"/>
        <v>0.63200499897158802</v>
      </c>
      <c r="AK263" s="9" t="b">
        <f t="shared" si="39"/>
        <v>1</v>
      </c>
      <c r="AL263" s="28" t="s">
        <v>1644</v>
      </c>
      <c r="AM263" s="28" t="s">
        <v>1645</v>
      </c>
      <c r="AN263" s="28" t="s">
        <v>1792</v>
      </c>
    </row>
    <row r="264" spans="1:40" ht="30">
      <c r="A264" s="7">
        <v>263</v>
      </c>
      <c r="B264" s="7" t="s">
        <v>844</v>
      </c>
      <c r="C264" s="7" t="s">
        <v>48</v>
      </c>
      <c r="D264" s="7" t="s">
        <v>112</v>
      </c>
      <c r="E264" s="7" t="s">
        <v>1642</v>
      </c>
      <c r="F264" s="7" t="s">
        <v>48</v>
      </c>
      <c r="G264" s="14">
        <v>1030</v>
      </c>
      <c r="H264" s="14">
        <v>86</v>
      </c>
      <c r="I264" s="15">
        <v>7.51</v>
      </c>
      <c r="J264" s="14">
        <v>0</v>
      </c>
      <c r="K264" s="15">
        <v>0</v>
      </c>
      <c r="L264" s="14">
        <v>15</v>
      </c>
      <c r="M264" s="14">
        <v>4</v>
      </c>
      <c r="N264" s="13"/>
      <c r="O264" s="14">
        <v>0</v>
      </c>
      <c r="P264" s="14">
        <v>183</v>
      </c>
      <c r="Q264" s="15">
        <v>15.990291262135923</v>
      </c>
      <c r="R264" s="17">
        <f>IFERROR(G264/(G264+Priors!$H$18),0)</f>
        <v>0.5073891625615764</v>
      </c>
      <c r="S264" s="13">
        <v>1</v>
      </c>
      <c r="T264" s="40" t="b">
        <v>0</v>
      </c>
      <c r="U264" s="13">
        <v>1</v>
      </c>
      <c r="V264" s="40" t="b">
        <v>1</v>
      </c>
      <c r="W264" s="13">
        <v>0.9</v>
      </c>
      <c r="X264" s="17">
        <f t="shared" si="32"/>
        <v>0.45665024630541878</v>
      </c>
      <c r="Y264" s="37">
        <f>VLOOKUP(D264,Priors!$A$18:$B$21,2,FALSE)</f>
        <v>8.4555315342179806</v>
      </c>
      <c r="Z264" s="38">
        <f t="shared" si="33"/>
        <v>8.0237543262277988</v>
      </c>
      <c r="AA264" s="39">
        <v>1</v>
      </c>
      <c r="AB264" s="38">
        <f t="shared" si="34"/>
        <v>8.0237543262277988</v>
      </c>
      <c r="AC264" s="37">
        <f>Priors!$K$18</f>
        <v>2.7435089299114512</v>
      </c>
      <c r="AD264" s="38" t="str">
        <f t="shared" si="35"/>
        <v/>
      </c>
      <c r="AE264" s="37">
        <f>Priors!$K$19</f>
        <v>0.67280088332719912</v>
      </c>
      <c r="AF264" s="38" t="str">
        <f t="shared" si="36"/>
        <v/>
      </c>
      <c r="AG264" s="17">
        <f t="shared" si="37"/>
        <v>0.54334975369458127</v>
      </c>
      <c r="AH264" s="7" t="s">
        <v>1643</v>
      </c>
      <c r="AI264" s="7">
        <v>12</v>
      </c>
      <c r="AJ264" s="38">
        <f t="shared" si="38"/>
        <v>0.66864619385231661</v>
      </c>
      <c r="AK264" s="9" t="b">
        <f t="shared" si="39"/>
        <v>1</v>
      </c>
      <c r="AL264" s="28" t="s">
        <v>1644</v>
      </c>
      <c r="AM264" s="28" t="s">
        <v>1645</v>
      </c>
      <c r="AN264" s="28" t="s">
        <v>1792</v>
      </c>
    </row>
    <row r="265" spans="1:40" ht="30">
      <c r="A265" s="7">
        <v>264</v>
      </c>
      <c r="B265" s="7" t="s">
        <v>846</v>
      </c>
      <c r="C265" s="7" t="s">
        <v>48</v>
      </c>
      <c r="D265" s="7" t="s">
        <v>112</v>
      </c>
      <c r="E265" s="7" t="s">
        <v>1642</v>
      </c>
      <c r="F265" s="7" t="s">
        <v>48</v>
      </c>
      <c r="G265" s="14">
        <v>1030</v>
      </c>
      <c r="H265" s="14">
        <v>76</v>
      </c>
      <c r="I265" s="15">
        <v>6.64</v>
      </c>
      <c r="J265" s="14">
        <v>0</v>
      </c>
      <c r="K265" s="15">
        <v>0</v>
      </c>
      <c r="L265" s="14">
        <v>13</v>
      </c>
      <c r="M265" s="14">
        <v>4</v>
      </c>
      <c r="N265" s="13"/>
      <c r="O265" s="14">
        <v>0</v>
      </c>
      <c r="P265" s="14">
        <v>182</v>
      </c>
      <c r="Q265" s="15">
        <v>15.902912621359222</v>
      </c>
      <c r="R265" s="17">
        <f>IFERROR(G265/(G265+Priors!$H$18),0)</f>
        <v>0.5073891625615764</v>
      </c>
      <c r="S265" s="13">
        <v>1</v>
      </c>
      <c r="T265" s="40" t="b">
        <v>0</v>
      </c>
      <c r="U265" s="13">
        <v>1</v>
      </c>
      <c r="V265" s="40" t="b">
        <v>1</v>
      </c>
      <c r="W265" s="13">
        <v>0.9</v>
      </c>
      <c r="X265" s="17">
        <f t="shared" si="32"/>
        <v>0.45665024630541878</v>
      </c>
      <c r="Y265" s="37">
        <f>VLOOKUP(D265,Priors!$A$18:$B$21,2,FALSE)</f>
        <v>8.4555315342179806</v>
      </c>
      <c r="Z265" s="38">
        <f t="shared" si="33"/>
        <v>7.6264686119420855</v>
      </c>
      <c r="AA265" s="39">
        <v>1</v>
      </c>
      <c r="AB265" s="38">
        <f t="shared" si="34"/>
        <v>7.6264686119420855</v>
      </c>
      <c r="AC265" s="37">
        <f>Priors!$K$18</f>
        <v>2.7435089299114512</v>
      </c>
      <c r="AD265" s="38" t="str">
        <f t="shared" si="35"/>
        <v/>
      </c>
      <c r="AE265" s="37">
        <f>Priors!$K$19</f>
        <v>0.67280088332719912</v>
      </c>
      <c r="AF265" s="38" t="str">
        <f t="shared" si="36"/>
        <v/>
      </c>
      <c r="AG265" s="17">
        <f t="shared" si="37"/>
        <v>0.54334975369458127</v>
      </c>
      <c r="AH265" s="7" t="s">
        <v>1643</v>
      </c>
      <c r="AI265" s="7">
        <v>12</v>
      </c>
      <c r="AJ265" s="38">
        <f t="shared" si="38"/>
        <v>0.63553905099517383</v>
      </c>
      <c r="AK265" s="9" t="b">
        <f t="shared" si="39"/>
        <v>1</v>
      </c>
      <c r="AL265" s="28" t="s">
        <v>1644</v>
      </c>
      <c r="AM265" s="28" t="s">
        <v>1645</v>
      </c>
      <c r="AN265" s="28" t="s">
        <v>1792</v>
      </c>
    </row>
    <row r="266" spans="1:40" ht="30">
      <c r="A266" s="7">
        <v>265</v>
      </c>
      <c r="B266" s="7" t="s">
        <v>849</v>
      </c>
      <c r="C266" s="7" t="s">
        <v>48</v>
      </c>
      <c r="D266" s="7" t="s">
        <v>112</v>
      </c>
      <c r="E266" s="7" t="s">
        <v>1642</v>
      </c>
      <c r="F266" s="7" t="s">
        <v>48</v>
      </c>
      <c r="G266" s="14">
        <v>2904</v>
      </c>
      <c r="H266" s="14">
        <v>280</v>
      </c>
      <c r="I266" s="15">
        <v>8.68</v>
      </c>
      <c r="J266" s="14">
        <v>0</v>
      </c>
      <c r="K266" s="15">
        <v>0</v>
      </c>
      <c r="L266" s="14">
        <v>45</v>
      </c>
      <c r="M266" s="14">
        <v>8</v>
      </c>
      <c r="N266" s="13"/>
      <c r="O266" s="14">
        <v>3</v>
      </c>
      <c r="P266" s="14">
        <v>503</v>
      </c>
      <c r="Q266" s="15">
        <v>15.588842975206612</v>
      </c>
      <c r="R266" s="17">
        <f>IFERROR(G266/(G266+Priors!$H$18),0)</f>
        <v>0.74385245901639341</v>
      </c>
      <c r="S266" s="13">
        <v>1</v>
      </c>
      <c r="T266" s="40" t="b">
        <v>0</v>
      </c>
      <c r="U266" s="13">
        <v>1</v>
      </c>
      <c r="V266" s="40" t="b">
        <v>1</v>
      </c>
      <c r="W266" s="13">
        <v>0.9</v>
      </c>
      <c r="X266" s="17">
        <f t="shared" si="32"/>
        <v>0.6694672131147541</v>
      </c>
      <c r="Y266" s="37">
        <f>VLOOKUP(D266,Priors!$A$18:$B$21,2,FALSE)</f>
        <v>8.4555315342179806</v>
      </c>
      <c r="Z266" s="38">
        <f t="shared" si="33"/>
        <v>8.6058058124372145</v>
      </c>
      <c r="AA266" s="39">
        <v>1</v>
      </c>
      <c r="AB266" s="38">
        <f t="shared" si="34"/>
        <v>8.6058058124372145</v>
      </c>
      <c r="AC266" s="37">
        <f>Priors!$K$18</f>
        <v>2.7435089299114512</v>
      </c>
      <c r="AD266" s="38" t="str">
        <f t="shared" si="35"/>
        <v/>
      </c>
      <c r="AE266" s="37">
        <f>Priors!$K$19</f>
        <v>0.67280088332719912</v>
      </c>
      <c r="AF266" s="38" t="str">
        <f t="shared" si="36"/>
        <v/>
      </c>
      <c r="AG266" s="17">
        <f t="shared" si="37"/>
        <v>0.3305327868852459</v>
      </c>
      <c r="AH266" s="7" t="s">
        <v>1643</v>
      </c>
      <c r="AI266" s="7">
        <v>12</v>
      </c>
      <c r="AJ266" s="38">
        <f t="shared" si="38"/>
        <v>0.71715048436976792</v>
      </c>
      <c r="AK266" s="9" t="b">
        <f t="shared" si="39"/>
        <v>1</v>
      </c>
      <c r="AL266" s="28" t="s">
        <v>1644</v>
      </c>
      <c r="AM266" s="28" t="s">
        <v>1645</v>
      </c>
      <c r="AN266" s="28" t="s">
        <v>1792</v>
      </c>
    </row>
    <row r="267" spans="1:40" ht="30">
      <c r="A267" s="7">
        <v>266</v>
      </c>
      <c r="B267" s="7" t="s">
        <v>851</v>
      </c>
      <c r="C267" s="7" t="s">
        <v>48</v>
      </c>
      <c r="D267" s="7" t="s">
        <v>112</v>
      </c>
      <c r="E267" s="7" t="s">
        <v>1642</v>
      </c>
      <c r="F267" s="7" t="s">
        <v>48</v>
      </c>
      <c r="G267" s="14">
        <v>756</v>
      </c>
      <c r="H267" s="14">
        <v>61</v>
      </c>
      <c r="I267" s="15">
        <v>7.26</v>
      </c>
      <c r="J267" s="14">
        <v>0</v>
      </c>
      <c r="K267" s="15">
        <v>0</v>
      </c>
      <c r="L267" s="14">
        <v>10</v>
      </c>
      <c r="M267" s="14">
        <v>2</v>
      </c>
      <c r="N267" s="13"/>
      <c r="O267" s="14">
        <v>1</v>
      </c>
      <c r="P267" s="14">
        <v>181</v>
      </c>
      <c r="Q267" s="15">
        <v>21.547619047619047</v>
      </c>
      <c r="R267" s="17">
        <f>IFERROR(G267/(G267+Priors!$H$18),0)</f>
        <v>0.43052391799544421</v>
      </c>
      <c r="S267" s="13">
        <v>1</v>
      </c>
      <c r="T267" s="40" t="b">
        <v>0</v>
      </c>
      <c r="U267" s="13">
        <v>1</v>
      </c>
      <c r="V267" s="40" t="b">
        <v>1</v>
      </c>
      <c r="W267" s="13">
        <v>0.9</v>
      </c>
      <c r="X267" s="17">
        <f t="shared" si="32"/>
        <v>0.38747152619589981</v>
      </c>
      <c r="Y267" s="37">
        <f>VLOOKUP(D267,Priors!$A$18:$B$21,2,FALSE)</f>
        <v>8.4555315342179806</v>
      </c>
      <c r="Z267" s="38">
        <f t="shared" si="33"/>
        <v>7.9922971060392136</v>
      </c>
      <c r="AA267" s="39">
        <v>1</v>
      </c>
      <c r="AB267" s="38">
        <f t="shared" si="34"/>
        <v>7.9922971060392136</v>
      </c>
      <c r="AC267" s="37">
        <f>Priors!$K$18</f>
        <v>2.7435089299114512</v>
      </c>
      <c r="AD267" s="38" t="str">
        <f t="shared" si="35"/>
        <v/>
      </c>
      <c r="AE267" s="37">
        <f>Priors!$K$19</f>
        <v>0.67280088332719912</v>
      </c>
      <c r="AF267" s="38" t="str">
        <f t="shared" si="36"/>
        <v/>
      </c>
      <c r="AG267" s="17">
        <f t="shared" si="37"/>
        <v>0.61252847380410014</v>
      </c>
      <c r="AH267" s="7" t="s">
        <v>1643</v>
      </c>
      <c r="AI267" s="7">
        <v>12</v>
      </c>
      <c r="AJ267" s="38">
        <f t="shared" si="38"/>
        <v>0.66602475883660117</v>
      </c>
      <c r="AK267" s="9" t="b">
        <f t="shared" si="39"/>
        <v>1</v>
      </c>
      <c r="AL267" s="28" t="s">
        <v>1644</v>
      </c>
      <c r="AM267" s="28" t="s">
        <v>1645</v>
      </c>
      <c r="AN267" s="28" t="s">
        <v>1792</v>
      </c>
    </row>
    <row r="268" spans="1:40" ht="30">
      <c r="A268" s="7">
        <v>267</v>
      </c>
      <c r="B268" s="7" t="s">
        <v>854</v>
      </c>
      <c r="C268" s="7" t="s">
        <v>48</v>
      </c>
      <c r="D268" s="7" t="s">
        <v>112</v>
      </c>
      <c r="E268" s="7" t="s">
        <v>1642</v>
      </c>
      <c r="F268" s="7" t="s">
        <v>48</v>
      </c>
      <c r="G268" s="14">
        <v>1730</v>
      </c>
      <c r="H268" s="14">
        <v>183</v>
      </c>
      <c r="I268" s="15">
        <v>9.52</v>
      </c>
      <c r="J268" s="14">
        <v>0</v>
      </c>
      <c r="K268" s="15">
        <v>0</v>
      </c>
      <c r="L268" s="14">
        <v>22</v>
      </c>
      <c r="M268" s="14">
        <v>6</v>
      </c>
      <c r="N268" s="13"/>
      <c r="O268" s="14">
        <v>4</v>
      </c>
      <c r="P268" s="14">
        <v>314</v>
      </c>
      <c r="Q268" s="15">
        <v>16.335260115606935</v>
      </c>
      <c r="R268" s="17">
        <f>IFERROR(G268/(G268+Priors!$H$18),0)</f>
        <v>0.63369963369963367</v>
      </c>
      <c r="S268" s="13">
        <v>1</v>
      </c>
      <c r="T268" s="40" t="b">
        <v>0</v>
      </c>
      <c r="U268" s="13">
        <v>1</v>
      </c>
      <c r="V268" s="40" t="b">
        <v>1</v>
      </c>
      <c r="W268" s="13">
        <v>0.9</v>
      </c>
      <c r="X268" s="17">
        <f t="shared" si="32"/>
        <v>0.5703296703296703</v>
      </c>
      <c r="Y268" s="37">
        <f>VLOOKUP(D268,Priors!$A$18:$B$21,2,FALSE)</f>
        <v>8.4555315342179806</v>
      </c>
      <c r="Z268" s="38">
        <f t="shared" si="33"/>
        <v>9.0626294833837697</v>
      </c>
      <c r="AA268" s="39">
        <v>1</v>
      </c>
      <c r="AB268" s="38">
        <f t="shared" si="34"/>
        <v>9.0626294833837697</v>
      </c>
      <c r="AC268" s="37">
        <f>Priors!$K$18</f>
        <v>2.7435089299114512</v>
      </c>
      <c r="AD268" s="38" t="str">
        <f t="shared" si="35"/>
        <v/>
      </c>
      <c r="AE268" s="37">
        <f>Priors!$K$19</f>
        <v>0.67280088332719912</v>
      </c>
      <c r="AF268" s="38" t="str">
        <f t="shared" si="36"/>
        <v/>
      </c>
      <c r="AG268" s="17">
        <f t="shared" si="37"/>
        <v>0.4296703296703297</v>
      </c>
      <c r="AH268" s="7" t="s">
        <v>1643</v>
      </c>
      <c r="AI268" s="7">
        <v>12</v>
      </c>
      <c r="AJ268" s="38">
        <f t="shared" si="38"/>
        <v>0.75521912361531418</v>
      </c>
      <c r="AK268" s="9" t="b">
        <f t="shared" si="39"/>
        <v>1</v>
      </c>
      <c r="AL268" s="28" t="s">
        <v>1644</v>
      </c>
      <c r="AM268" s="28" t="s">
        <v>1645</v>
      </c>
      <c r="AN268" s="28" t="s">
        <v>1792</v>
      </c>
    </row>
    <row r="269" spans="1:40" ht="30">
      <c r="A269" s="7">
        <v>268</v>
      </c>
      <c r="B269" s="7" t="s">
        <v>756</v>
      </c>
      <c r="C269" s="7" t="s">
        <v>48</v>
      </c>
      <c r="D269" s="7" t="s">
        <v>112</v>
      </c>
      <c r="E269" s="7" t="s">
        <v>1642</v>
      </c>
      <c r="F269" s="7" t="s">
        <v>48</v>
      </c>
      <c r="G269" s="14">
        <v>1290</v>
      </c>
      <c r="H269" s="14">
        <v>107</v>
      </c>
      <c r="I269" s="15">
        <v>7.47</v>
      </c>
      <c r="J269" s="14">
        <v>0</v>
      </c>
      <c r="K269" s="15">
        <v>0</v>
      </c>
      <c r="L269" s="14">
        <v>18</v>
      </c>
      <c r="M269" s="14">
        <v>5</v>
      </c>
      <c r="N269" s="13"/>
      <c r="O269" s="14">
        <v>3</v>
      </c>
      <c r="P269" s="14">
        <v>225</v>
      </c>
      <c r="Q269" s="15">
        <v>15.697674418604651</v>
      </c>
      <c r="R269" s="17">
        <f>IFERROR(G269/(G269+Priors!$H$18),0)</f>
        <v>0.5633187772925764</v>
      </c>
      <c r="S269" s="13">
        <v>1</v>
      </c>
      <c r="T269" s="40" t="b">
        <v>0</v>
      </c>
      <c r="U269" s="13">
        <v>1</v>
      </c>
      <c r="V269" s="40" t="b">
        <v>1</v>
      </c>
      <c r="W269" s="13">
        <v>0.9</v>
      </c>
      <c r="X269" s="17">
        <f t="shared" si="32"/>
        <v>0.50698689956331877</v>
      </c>
      <c r="Y269" s="37">
        <f>VLOOKUP(D269,Priors!$A$18:$B$21,2,FALSE)</f>
        <v>8.4555315342179806</v>
      </c>
      <c r="Z269" s="38">
        <f t="shared" si="33"/>
        <v>7.9558799572629253</v>
      </c>
      <c r="AA269" s="39">
        <v>1</v>
      </c>
      <c r="AB269" s="38">
        <f t="shared" si="34"/>
        <v>7.9558799572629253</v>
      </c>
      <c r="AC269" s="37">
        <f>Priors!$K$18</f>
        <v>2.7435089299114512</v>
      </c>
      <c r="AD269" s="38" t="str">
        <f t="shared" si="35"/>
        <v/>
      </c>
      <c r="AE269" s="37">
        <f>Priors!$K$19</f>
        <v>0.67280088332719912</v>
      </c>
      <c r="AF269" s="38" t="str">
        <f t="shared" si="36"/>
        <v/>
      </c>
      <c r="AG269" s="17">
        <f t="shared" si="37"/>
        <v>0.49301310043668123</v>
      </c>
      <c r="AH269" s="7" t="s">
        <v>1643</v>
      </c>
      <c r="AI269" s="7">
        <v>12</v>
      </c>
      <c r="AJ269" s="38">
        <f t="shared" si="38"/>
        <v>0.66298999643857714</v>
      </c>
      <c r="AK269" s="9" t="b">
        <f t="shared" si="39"/>
        <v>1</v>
      </c>
      <c r="AL269" s="28" t="s">
        <v>1644</v>
      </c>
      <c r="AM269" s="28" t="s">
        <v>1645</v>
      </c>
      <c r="AN269" s="28" t="s">
        <v>1792</v>
      </c>
    </row>
    <row r="270" spans="1:40" ht="30">
      <c r="A270" s="7">
        <v>269</v>
      </c>
      <c r="B270" s="7" t="s">
        <v>858</v>
      </c>
      <c r="C270" s="7" t="s">
        <v>48</v>
      </c>
      <c r="D270" s="7" t="s">
        <v>99</v>
      </c>
      <c r="E270" s="7" t="s">
        <v>1642</v>
      </c>
      <c r="F270" s="7" t="s">
        <v>48</v>
      </c>
      <c r="G270" s="14">
        <v>1816</v>
      </c>
      <c r="H270" s="14">
        <v>218</v>
      </c>
      <c r="I270" s="15">
        <v>10.8</v>
      </c>
      <c r="J270" s="14">
        <v>0</v>
      </c>
      <c r="K270" s="15">
        <v>0</v>
      </c>
      <c r="L270" s="14">
        <v>29</v>
      </c>
      <c r="M270" s="14">
        <v>6</v>
      </c>
      <c r="N270" s="13"/>
      <c r="O270" s="14">
        <v>8</v>
      </c>
      <c r="P270" s="14">
        <v>332</v>
      </c>
      <c r="Q270" s="15">
        <v>16.453744493392069</v>
      </c>
      <c r="R270" s="17">
        <f>IFERROR(G270/(G270+Priors!$H$18),0)</f>
        <v>0.64488636363636365</v>
      </c>
      <c r="S270" s="13">
        <v>1</v>
      </c>
      <c r="T270" s="40" t="b">
        <v>0</v>
      </c>
      <c r="U270" s="13">
        <v>1</v>
      </c>
      <c r="V270" s="40" t="b">
        <v>1</v>
      </c>
      <c r="W270" s="13">
        <v>0.9</v>
      </c>
      <c r="X270" s="17">
        <f t="shared" si="32"/>
        <v>0.58039772727272732</v>
      </c>
      <c r="Y270" s="37">
        <f>VLOOKUP(D270,Priors!$A$18:$B$21,2,FALSE)</f>
        <v>8.7398272304160223</v>
      </c>
      <c r="Z270" s="38">
        <f t="shared" si="33"/>
        <v>9.9355468236717233</v>
      </c>
      <c r="AA270" s="39">
        <v>1</v>
      </c>
      <c r="AB270" s="38">
        <f t="shared" si="34"/>
        <v>9.9355468236717233</v>
      </c>
      <c r="AC270" s="37">
        <f>Priors!$K$18</f>
        <v>2.7435089299114512</v>
      </c>
      <c r="AD270" s="38" t="str">
        <f t="shared" si="35"/>
        <v/>
      </c>
      <c r="AE270" s="37">
        <f>Priors!$K$19</f>
        <v>0.67280088332719912</v>
      </c>
      <c r="AF270" s="38" t="str">
        <f t="shared" si="36"/>
        <v/>
      </c>
      <c r="AG270" s="17">
        <f t="shared" si="37"/>
        <v>0.41960227272727268</v>
      </c>
      <c r="AH270" s="7" t="s">
        <v>1643</v>
      </c>
      <c r="AI270" s="7">
        <v>10</v>
      </c>
      <c r="AJ270" s="38">
        <f t="shared" si="38"/>
        <v>0.99355468236717237</v>
      </c>
      <c r="AK270" s="9" t="b">
        <f t="shared" si="39"/>
        <v>1</v>
      </c>
      <c r="AL270" s="28" t="s">
        <v>1644</v>
      </c>
      <c r="AM270" s="28" t="s">
        <v>1645</v>
      </c>
      <c r="AN270" s="28" t="s">
        <v>1792</v>
      </c>
    </row>
    <row r="271" spans="1:40" ht="30">
      <c r="A271" s="7">
        <v>270</v>
      </c>
      <c r="B271" s="7" t="s">
        <v>861</v>
      </c>
      <c r="C271" s="7" t="s">
        <v>48</v>
      </c>
      <c r="D271" s="7" t="s">
        <v>112</v>
      </c>
      <c r="E271" s="7" t="s">
        <v>1642</v>
      </c>
      <c r="F271" s="7" t="s">
        <v>48</v>
      </c>
      <c r="G271" s="14">
        <v>89</v>
      </c>
      <c r="H271" s="14">
        <v>6</v>
      </c>
      <c r="I271" s="15">
        <v>6.07</v>
      </c>
      <c r="J271" s="14">
        <v>0</v>
      </c>
      <c r="K271" s="15">
        <v>0</v>
      </c>
      <c r="L271" s="14">
        <v>4</v>
      </c>
      <c r="M271" s="14">
        <v>0</v>
      </c>
      <c r="N271" s="13"/>
      <c r="O271" s="14">
        <v>2</v>
      </c>
      <c r="P271" s="14">
        <v>48</v>
      </c>
      <c r="Q271" s="15">
        <v>48.539325842696627</v>
      </c>
      <c r="R271" s="17">
        <f>IFERROR(G271/(G271+Priors!$H$18),0)</f>
        <v>8.1726354453627179E-2</v>
      </c>
      <c r="S271" s="13">
        <v>1</v>
      </c>
      <c r="T271" s="40" t="b">
        <v>0</v>
      </c>
      <c r="U271" s="13">
        <v>1</v>
      </c>
      <c r="V271" s="40" t="b">
        <v>1</v>
      </c>
      <c r="W271" s="13">
        <v>0.9</v>
      </c>
      <c r="X271" s="17">
        <f t="shared" si="32"/>
        <v>7.3553719008264462E-2</v>
      </c>
      <c r="Y271" s="37">
        <f>VLOOKUP(D271,Priors!$A$18:$B$21,2,FALSE)</f>
        <v>8.4555315342179806</v>
      </c>
      <c r="Z271" s="38">
        <f t="shared" si="33"/>
        <v>8.280066818064757</v>
      </c>
      <c r="AA271" s="39">
        <v>1</v>
      </c>
      <c r="AB271" s="38">
        <f t="shared" si="34"/>
        <v>8.280066818064757</v>
      </c>
      <c r="AC271" s="37">
        <f>Priors!$K$18</f>
        <v>2.7435089299114512</v>
      </c>
      <c r="AD271" s="38" t="str">
        <f t="shared" si="35"/>
        <v/>
      </c>
      <c r="AE271" s="37">
        <f>Priors!$K$19</f>
        <v>0.67280088332719912</v>
      </c>
      <c r="AF271" s="38" t="str">
        <f t="shared" si="36"/>
        <v/>
      </c>
      <c r="AG271" s="17">
        <f t="shared" si="37"/>
        <v>0.92644628099173554</v>
      </c>
      <c r="AH271" s="7" t="s">
        <v>1643</v>
      </c>
      <c r="AI271" s="7">
        <v>12</v>
      </c>
      <c r="AJ271" s="38">
        <f t="shared" si="38"/>
        <v>0.69000556817206304</v>
      </c>
      <c r="AK271" s="9" t="b">
        <f t="shared" si="39"/>
        <v>1</v>
      </c>
      <c r="AL271" s="28" t="s">
        <v>1644</v>
      </c>
      <c r="AM271" s="28" t="s">
        <v>1645</v>
      </c>
      <c r="AN271" s="28" t="s">
        <v>1792</v>
      </c>
    </row>
    <row r="272" spans="1:40" ht="30">
      <c r="A272" s="7">
        <v>271</v>
      </c>
      <c r="B272" s="7" t="s">
        <v>864</v>
      </c>
      <c r="C272" s="7" t="s">
        <v>48</v>
      </c>
      <c r="D272" s="7" t="s">
        <v>167</v>
      </c>
      <c r="E272" s="7" t="s">
        <v>1642</v>
      </c>
      <c r="F272" s="7" t="s">
        <v>48</v>
      </c>
      <c r="G272" s="14">
        <v>987</v>
      </c>
      <c r="H272" s="14">
        <v>52</v>
      </c>
      <c r="I272" s="15">
        <v>4.74</v>
      </c>
      <c r="J272" s="14">
        <v>0</v>
      </c>
      <c r="K272" s="15">
        <v>0</v>
      </c>
      <c r="L272" s="14">
        <v>13</v>
      </c>
      <c r="M272" s="14">
        <v>3</v>
      </c>
      <c r="N272" s="13"/>
      <c r="O272" s="14">
        <v>3</v>
      </c>
      <c r="P272" s="14">
        <v>94</v>
      </c>
      <c r="Q272" s="15">
        <v>8.5714285714285712</v>
      </c>
      <c r="R272" s="17">
        <f>IFERROR(G272/(G272+Priors!$H$18),0)</f>
        <v>0.49672873678912932</v>
      </c>
      <c r="S272" s="13">
        <v>1</v>
      </c>
      <c r="T272" s="40" t="b">
        <v>0</v>
      </c>
      <c r="U272" s="13">
        <v>1</v>
      </c>
      <c r="V272" s="40" t="b">
        <v>1</v>
      </c>
      <c r="W272" s="13">
        <v>0.9</v>
      </c>
      <c r="X272" s="17">
        <f t="shared" si="32"/>
        <v>0.44705586311021639</v>
      </c>
      <c r="Y272" s="37">
        <f>VLOOKUP(D272,Priors!$A$18:$B$21,2,FALSE)</f>
        <v>4.5137422563476139</v>
      </c>
      <c r="Z272" s="38">
        <f t="shared" si="33"/>
        <v>4.6148921072215021</v>
      </c>
      <c r="AA272" s="39">
        <v>1</v>
      </c>
      <c r="AB272" s="38">
        <f t="shared" si="34"/>
        <v>4.6148921072215021</v>
      </c>
      <c r="AC272" s="37">
        <f>Priors!$K$18</f>
        <v>2.7435089299114512</v>
      </c>
      <c r="AD272" s="38" t="str">
        <f t="shared" si="35"/>
        <v/>
      </c>
      <c r="AE272" s="37">
        <f>Priors!$K$19</f>
        <v>0.67280088332719912</v>
      </c>
      <c r="AF272" s="38" t="str">
        <f t="shared" si="36"/>
        <v/>
      </c>
      <c r="AG272" s="17">
        <f t="shared" si="37"/>
        <v>0.55294413688978361</v>
      </c>
      <c r="AH272" s="7" t="s">
        <v>1643</v>
      </c>
      <c r="AI272" s="7">
        <v>12</v>
      </c>
      <c r="AJ272" s="38">
        <f t="shared" si="38"/>
        <v>0.38457434226845849</v>
      </c>
      <c r="AK272" s="9" t="b">
        <f t="shared" si="39"/>
        <v>1</v>
      </c>
      <c r="AL272" s="28" t="s">
        <v>1644</v>
      </c>
      <c r="AM272" s="28" t="s">
        <v>1645</v>
      </c>
      <c r="AN272" s="28" t="s">
        <v>1792</v>
      </c>
    </row>
    <row r="273" spans="1:40" ht="30">
      <c r="A273" s="7">
        <v>272</v>
      </c>
      <c r="B273" s="7" t="s">
        <v>866</v>
      </c>
      <c r="C273" s="7" t="s">
        <v>48</v>
      </c>
      <c r="D273" s="7" t="s">
        <v>167</v>
      </c>
      <c r="E273" s="7" t="s">
        <v>1642</v>
      </c>
      <c r="F273" s="7" t="s">
        <v>48</v>
      </c>
      <c r="G273" s="14">
        <v>49</v>
      </c>
      <c r="H273" s="14">
        <v>5</v>
      </c>
      <c r="I273" s="15">
        <v>9.18</v>
      </c>
      <c r="J273" s="14">
        <v>0</v>
      </c>
      <c r="K273" s="15">
        <v>0</v>
      </c>
      <c r="L273" s="14">
        <v>2</v>
      </c>
      <c r="M273" s="14">
        <v>0</v>
      </c>
      <c r="N273" s="13"/>
      <c r="O273" s="14">
        <v>0</v>
      </c>
      <c r="P273" s="14">
        <v>19</v>
      </c>
      <c r="Q273" s="15">
        <v>34.897959183673471</v>
      </c>
      <c r="R273" s="17">
        <f>IFERROR(G273/(G273+Priors!$H$18),0)</f>
        <v>4.6711153479504289E-2</v>
      </c>
      <c r="S273" s="13">
        <v>1</v>
      </c>
      <c r="T273" s="40" t="b">
        <v>0</v>
      </c>
      <c r="U273" s="13">
        <v>1</v>
      </c>
      <c r="V273" s="40" t="b">
        <v>1</v>
      </c>
      <c r="W273" s="13">
        <v>0.9</v>
      </c>
      <c r="X273" s="17">
        <f t="shared" si="32"/>
        <v>4.204003813155386E-2</v>
      </c>
      <c r="Y273" s="37">
        <f>VLOOKUP(D273,Priors!$A$18:$B$21,2,FALSE)</f>
        <v>4.5137422563476139</v>
      </c>
      <c r="Z273" s="38">
        <f t="shared" si="33"/>
        <v>4.7099119098224183</v>
      </c>
      <c r="AA273" s="39">
        <v>1</v>
      </c>
      <c r="AB273" s="38">
        <f t="shared" si="34"/>
        <v>4.7099119098224183</v>
      </c>
      <c r="AC273" s="37">
        <f>Priors!$K$18</f>
        <v>2.7435089299114512</v>
      </c>
      <c r="AD273" s="38" t="str">
        <f t="shared" si="35"/>
        <v/>
      </c>
      <c r="AE273" s="37">
        <f>Priors!$K$19</f>
        <v>0.67280088332719912</v>
      </c>
      <c r="AF273" s="38" t="str">
        <f t="shared" si="36"/>
        <v/>
      </c>
      <c r="AG273" s="17">
        <f t="shared" si="37"/>
        <v>0.95795996186844612</v>
      </c>
      <c r="AH273" s="7" t="s">
        <v>1643</v>
      </c>
      <c r="AI273" s="7">
        <v>12</v>
      </c>
      <c r="AJ273" s="38">
        <f t="shared" si="38"/>
        <v>0.39249265915186821</v>
      </c>
      <c r="AK273" s="9" t="b">
        <f t="shared" si="39"/>
        <v>1</v>
      </c>
      <c r="AL273" s="28" t="s">
        <v>1644</v>
      </c>
      <c r="AM273" s="28" t="s">
        <v>1645</v>
      </c>
      <c r="AN273" s="28" t="s">
        <v>1792</v>
      </c>
    </row>
    <row r="274" spans="1:40" ht="30">
      <c r="A274" s="7">
        <v>273</v>
      </c>
      <c r="B274" s="7" t="s">
        <v>869</v>
      </c>
      <c r="C274" s="7" t="s">
        <v>49</v>
      </c>
      <c r="D274" s="7" t="s">
        <v>85</v>
      </c>
      <c r="E274" s="7" t="s">
        <v>1647</v>
      </c>
      <c r="F274" s="7"/>
      <c r="G274" s="14">
        <v>0</v>
      </c>
      <c r="H274" s="14"/>
      <c r="I274" s="15"/>
      <c r="J274" s="14"/>
      <c r="K274" s="15"/>
      <c r="L274" s="14"/>
      <c r="M274" s="14"/>
      <c r="N274" s="13"/>
      <c r="O274" s="14"/>
      <c r="P274" s="14"/>
      <c r="Q274" s="15"/>
      <c r="R274" s="17">
        <f>IFERROR(G274/(G274+Priors!$H$18),0)</f>
        <v>0</v>
      </c>
      <c r="S274" s="13">
        <v>0</v>
      </c>
      <c r="T274" s="40" t="b">
        <v>0</v>
      </c>
      <c r="U274" s="13">
        <v>1</v>
      </c>
      <c r="V274" s="40" t="b">
        <v>0</v>
      </c>
      <c r="W274" s="13">
        <v>1</v>
      </c>
      <c r="X274" s="17">
        <f t="shared" si="32"/>
        <v>0</v>
      </c>
      <c r="Y274" s="37">
        <f>VLOOKUP(D274,Priors!$A$18:$B$21,2,FALSE)</f>
        <v>2.6414527990394716</v>
      </c>
      <c r="Z274" s="38">
        <f t="shared" si="33"/>
        <v>2.6414527990394716</v>
      </c>
      <c r="AA274" s="39">
        <v>1</v>
      </c>
      <c r="AB274" s="38">
        <f t="shared" si="34"/>
        <v>2.6414527990394716</v>
      </c>
      <c r="AC274" s="37">
        <f>Priors!$K$18</f>
        <v>2.7435089299114512</v>
      </c>
      <c r="AD274" s="38">
        <f t="shared" si="35"/>
        <v>2.7435089299114512</v>
      </c>
      <c r="AE274" s="37">
        <f>Priors!$K$19</f>
        <v>0.67280088332719912</v>
      </c>
      <c r="AF274" s="38">
        <f t="shared" si="36"/>
        <v>0.67280088332719912</v>
      </c>
      <c r="AG274" s="17">
        <f t="shared" si="37"/>
        <v>1</v>
      </c>
      <c r="AH274" s="7" t="s">
        <v>1793</v>
      </c>
      <c r="AI274" s="7"/>
      <c r="AJ274" s="38" t="str">
        <f t="shared" si="38"/>
        <v/>
      </c>
      <c r="AK274" s="9" t="b">
        <f t="shared" si="39"/>
        <v>1</v>
      </c>
      <c r="AL274" s="28" t="s">
        <v>1794</v>
      </c>
      <c r="AM274" s="28"/>
      <c r="AN274" s="28" t="s">
        <v>1792</v>
      </c>
    </row>
    <row r="275" spans="1:40" ht="30">
      <c r="A275" s="7">
        <v>274</v>
      </c>
      <c r="B275" s="7" t="s">
        <v>873</v>
      </c>
      <c r="C275" s="7" t="s">
        <v>49</v>
      </c>
      <c r="D275" s="7" t="s">
        <v>85</v>
      </c>
      <c r="E275" s="7" t="s">
        <v>1647</v>
      </c>
      <c r="F275" s="7"/>
      <c r="G275" s="14">
        <v>0</v>
      </c>
      <c r="H275" s="14"/>
      <c r="I275" s="15"/>
      <c r="J275" s="14"/>
      <c r="K275" s="15"/>
      <c r="L275" s="14"/>
      <c r="M275" s="14"/>
      <c r="N275" s="13"/>
      <c r="O275" s="14"/>
      <c r="P275" s="14"/>
      <c r="Q275" s="15"/>
      <c r="R275" s="17">
        <f>IFERROR(G275/(G275+Priors!$H$18),0)</f>
        <v>0</v>
      </c>
      <c r="S275" s="13">
        <v>0</v>
      </c>
      <c r="T275" s="40" t="b">
        <v>0</v>
      </c>
      <c r="U275" s="13">
        <v>1</v>
      </c>
      <c r="V275" s="40" t="b">
        <v>0</v>
      </c>
      <c r="W275" s="13">
        <v>1</v>
      </c>
      <c r="X275" s="17">
        <f t="shared" si="32"/>
        <v>0</v>
      </c>
      <c r="Y275" s="37">
        <f>VLOOKUP(D275,Priors!$A$18:$B$21,2,FALSE)</f>
        <v>2.6414527990394716</v>
      </c>
      <c r="Z275" s="38">
        <f t="shared" si="33"/>
        <v>2.6414527990394716</v>
      </c>
      <c r="AA275" s="39">
        <v>1</v>
      </c>
      <c r="AB275" s="38">
        <f t="shared" si="34"/>
        <v>2.6414527990394716</v>
      </c>
      <c r="AC275" s="37">
        <f>Priors!$K$18</f>
        <v>2.7435089299114512</v>
      </c>
      <c r="AD275" s="38">
        <f t="shared" si="35"/>
        <v>2.7435089299114512</v>
      </c>
      <c r="AE275" s="37">
        <f>Priors!$K$19</f>
        <v>0.67280088332719912</v>
      </c>
      <c r="AF275" s="38">
        <f t="shared" si="36"/>
        <v>0.67280088332719912</v>
      </c>
      <c r="AG275" s="17">
        <f t="shared" si="37"/>
        <v>1</v>
      </c>
      <c r="AH275" s="7" t="s">
        <v>1793</v>
      </c>
      <c r="AI275" s="7"/>
      <c r="AJ275" s="38" t="str">
        <f t="shared" si="38"/>
        <v/>
      </c>
      <c r="AK275" s="9" t="b">
        <f t="shared" si="39"/>
        <v>1</v>
      </c>
      <c r="AL275" s="28" t="s">
        <v>1794</v>
      </c>
      <c r="AM275" s="28"/>
      <c r="AN275" s="28" t="s">
        <v>1792</v>
      </c>
    </row>
    <row r="276" spans="1:40" ht="30">
      <c r="A276" s="7">
        <v>275</v>
      </c>
      <c r="B276" s="7" t="s">
        <v>875</v>
      </c>
      <c r="C276" s="7" t="s">
        <v>49</v>
      </c>
      <c r="D276" s="7" t="s">
        <v>85</v>
      </c>
      <c r="E276" s="7" t="s">
        <v>1647</v>
      </c>
      <c r="F276" s="7"/>
      <c r="G276" s="14">
        <v>0</v>
      </c>
      <c r="H276" s="14"/>
      <c r="I276" s="15"/>
      <c r="J276" s="14"/>
      <c r="K276" s="15"/>
      <c r="L276" s="14"/>
      <c r="M276" s="14"/>
      <c r="N276" s="13"/>
      <c r="O276" s="14"/>
      <c r="P276" s="14"/>
      <c r="Q276" s="15"/>
      <c r="R276" s="17">
        <f>IFERROR(G276/(G276+Priors!$H$18),0)</f>
        <v>0</v>
      </c>
      <c r="S276" s="13">
        <v>0</v>
      </c>
      <c r="T276" s="40" t="b">
        <v>0</v>
      </c>
      <c r="U276" s="13">
        <v>1</v>
      </c>
      <c r="V276" s="40" t="b">
        <v>0</v>
      </c>
      <c r="W276" s="13">
        <v>1</v>
      </c>
      <c r="X276" s="17">
        <f t="shared" si="32"/>
        <v>0</v>
      </c>
      <c r="Y276" s="37">
        <f>VLOOKUP(D276,Priors!$A$18:$B$21,2,FALSE)</f>
        <v>2.6414527990394716</v>
      </c>
      <c r="Z276" s="38">
        <f t="shared" si="33"/>
        <v>2.6414527990394716</v>
      </c>
      <c r="AA276" s="39">
        <v>1</v>
      </c>
      <c r="AB276" s="38">
        <f t="shared" si="34"/>
        <v>2.6414527990394716</v>
      </c>
      <c r="AC276" s="37">
        <f>Priors!$K$18</f>
        <v>2.7435089299114512</v>
      </c>
      <c r="AD276" s="38">
        <f t="shared" si="35"/>
        <v>2.7435089299114512</v>
      </c>
      <c r="AE276" s="37">
        <f>Priors!$K$19</f>
        <v>0.67280088332719912</v>
      </c>
      <c r="AF276" s="38">
        <f t="shared" si="36"/>
        <v>0.67280088332719912</v>
      </c>
      <c r="AG276" s="17">
        <f t="shared" si="37"/>
        <v>1</v>
      </c>
      <c r="AH276" s="7" t="s">
        <v>1793</v>
      </c>
      <c r="AI276" s="7"/>
      <c r="AJ276" s="38" t="str">
        <f t="shared" si="38"/>
        <v/>
      </c>
      <c r="AK276" s="9" t="b">
        <f t="shared" si="39"/>
        <v>1</v>
      </c>
      <c r="AL276" s="28" t="s">
        <v>1794</v>
      </c>
      <c r="AM276" s="28"/>
      <c r="AN276" s="28" t="s">
        <v>1792</v>
      </c>
    </row>
    <row r="277" spans="1:40" ht="30">
      <c r="A277" s="7">
        <v>276</v>
      </c>
      <c r="B277" s="7" t="s">
        <v>879</v>
      </c>
      <c r="C277" s="7" t="s">
        <v>49</v>
      </c>
      <c r="D277" s="7" t="s">
        <v>85</v>
      </c>
      <c r="E277" s="7" t="s">
        <v>1647</v>
      </c>
      <c r="F277" s="7"/>
      <c r="G277" s="14">
        <v>0</v>
      </c>
      <c r="H277" s="14"/>
      <c r="I277" s="15"/>
      <c r="J277" s="14"/>
      <c r="K277" s="15"/>
      <c r="L277" s="14"/>
      <c r="M277" s="14"/>
      <c r="N277" s="13"/>
      <c r="O277" s="14"/>
      <c r="P277" s="14"/>
      <c r="Q277" s="15"/>
      <c r="R277" s="17">
        <f>IFERROR(G277/(G277+Priors!$H$18),0)</f>
        <v>0</v>
      </c>
      <c r="S277" s="13">
        <v>0</v>
      </c>
      <c r="T277" s="40" t="b">
        <v>0</v>
      </c>
      <c r="U277" s="13">
        <v>1</v>
      </c>
      <c r="V277" s="40" t="b">
        <v>0</v>
      </c>
      <c r="W277" s="13">
        <v>1</v>
      </c>
      <c r="X277" s="17">
        <f t="shared" si="32"/>
        <v>0</v>
      </c>
      <c r="Y277" s="37">
        <f>VLOOKUP(D277,Priors!$A$18:$B$21,2,FALSE)</f>
        <v>2.6414527990394716</v>
      </c>
      <c r="Z277" s="38">
        <f t="shared" si="33"/>
        <v>2.6414527990394716</v>
      </c>
      <c r="AA277" s="39">
        <v>1</v>
      </c>
      <c r="AB277" s="38">
        <f t="shared" si="34"/>
        <v>2.6414527990394716</v>
      </c>
      <c r="AC277" s="37">
        <f>Priors!$K$18</f>
        <v>2.7435089299114512</v>
      </c>
      <c r="AD277" s="38">
        <f t="shared" si="35"/>
        <v>2.7435089299114512</v>
      </c>
      <c r="AE277" s="37">
        <f>Priors!$K$19</f>
        <v>0.67280088332719912</v>
      </c>
      <c r="AF277" s="38">
        <f t="shared" si="36"/>
        <v>0.67280088332719912</v>
      </c>
      <c r="AG277" s="17">
        <f t="shared" si="37"/>
        <v>1</v>
      </c>
      <c r="AH277" s="7" t="s">
        <v>1793</v>
      </c>
      <c r="AI277" s="7"/>
      <c r="AJ277" s="38" t="str">
        <f t="shared" si="38"/>
        <v/>
      </c>
      <c r="AK277" s="9" t="b">
        <f t="shared" si="39"/>
        <v>1</v>
      </c>
      <c r="AL277" s="28" t="s">
        <v>1794</v>
      </c>
      <c r="AM277" s="28"/>
      <c r="AN277" s="28" t="s">
        <v>1792</v>
      </c>
    </row>
    <row r="278" spans="1:40" ht="30">
      <c r="A278" s="7">
        <v>277</v>
      </c>
      <c r="B278" s="7" t="s">
        <v>881</v>
      </c>
      <c r="C278" s="7" t="s">
        <v>49</v>
      </c>
      <c r="D278" s="7" t="s">
        <v>99</v>
      </c>
      <c r="E278" s="7" t="s">
        <v>1654</v>
      </c>
      <c r="F278" s="7" t="s">
        <v>49</v>
      </c>
      <c r="G278" s="14">
        <v>3240</v>
      </c>
      <c r="H278" s="14"/>
      <c r="I278" s="15"/>
      <c r="J278" s="14"/>
      <c r="K278" s="15"/>
      <c r="L278" s="14"/>
      <c r="M278" s="14"/>
      <c r="N278" s="13"/>
      <c r="O278" s="14"/>
      <c r="P278" s="14"/>
      <c r="Q278" s="15"/>
      <c r="R278" s="17">
        <f>IFERROR(G278/(G278+Priors!$H$18),0)</f>
        <v>0.76415094339622647</v>
      </c>
      <c r="S278" s="13">
        <v>0</v>
      </c>
      <c r="T278" s="40" t="b">
        <v>0</v>
      </c>
      <c r="U278" s="13">
        <v>1</v>
      </c>
      <c r="V278" s="40" t="b">
        <v>0</v>
      </c>
      <c r="W278" s="13">
        <v>1</v>
      </c>
      <c r="X278" s="17">
        <f t="shared" si="32"/>
        <v>0</v>
      </c>
      <c r="Y278" s="37">
        <f>VLOOKUP(D278,Priors!$A$18:$B$21,2,FALSE)</f>
        <v>8.7398272304160223</v>
      </c>
      <c r="Z278" s="38">
        <f t="shared" si="33"/>
        <v>8.7398272304160223</v>
      </c>
      <c r="AA278" s="39">
        <v>1</v>
      </c>
      <c r="AB278" s="38">
        <f t="shared" si="34"/>
        <v>8.7398272304160223</v>
      </c>
      <c r="AC278" s="37">
        <f>Priors!$K$18</f>
        <v>2.7435089299114512</v>
      </c>
      <c r="AD278" s="38" t="str">
        <f t="shared" si="35"/>
        <v/>
      </c>
      <c r="AE278" s="37">
        <f>Priors!$K$19</f>
        <v>0.67280088332719912</v>
      </c>
      <c r="AF278" s="38" t="str">
        <f t="shared" si="36"/>
        <v/>
      </c>
      <c r="AG278" s="17">
        <f t="shared" si="37"/>
        <v>1</v>
      </c>
      <c r="AH278" s="7" t="s">
        <v>1793</v>
      </c>
      <c r="AI278" s="7">
        <v>10</v>
      </c>
      <c r="AJ278" s="38">
        <f t="shared" si="38"/>
        <v>0.87398272304160218</v>
      </c>
      <c r="AK278" s="9" t="b">
        <f t="shared" si="39"/>
        <v>1</v>
      </c>
      <c r="AL278" s="28" t="s">
        <v>1794</v>
      </c>
      <c r="AM278" s="28"/>
      <c r="AN278" s="28" t="s">
        <v>1792</v>
      </c>
    </row>
    <row r="279" spans="1:40" ht="30">
      <c r="A279" s="7">
        <v>278</v>
      </c>
      <c r="B279" s="7" t="s">
        <v>708</v>
      </c>
      <c r="C279" s="7" t="s">
        <v>49</v>
      </c>
      <c r="D279" s="7" t="s">
        <v>99</v>
      </c>
      <c r="E279" s="7" t="s">
        <v>1654</v>
      </c>
      <c r="F279" s="7" t="s">
        <v>49</v>
      </c>
      <c r="G279" s="14">
        <v>3300</v>
      </c>
      <c r="H279" s="14"/>
      <c r="I279" s="15"/>
      <c r="J279" s="14"/>
      <c r="K279" s="15"/>
      <c r="L279" s="14"/>
      <c r="M279" s="14"/>
      <c r="N279" s="13"/>
      <c r="O279" s="14"/>
      <c r="P279" s="14"/>
      <c r="Q279" s="15"/>
      <c r="R279" s="17">
        <f>IFERROR(G279/(G279+Priors!$H$18),0)</f>
        <v>0.76744186046511631</v>
      </c>
      <c r="S279" s="13">
        <v>0</v>
      </c>
      <c r="T279" s="40" t="b">
        <v>0</v>
      </c>
      <c r="U279" s="13">
        <v>1</v>
      </c>
      <c r="V279" s="40" t="b">
        <v>0</v>
      </c>
      <c r="W279" s="13">
        <v>1</v>
      </c>
      <c r="X279" s="17">
        <f t="shared" si="32"/>
        <v>0</v>
      </c>
      <c r="Y279" s="37">
        <f>VLOOKUP(D279,Priors!$A$18:$B$21,2,FALSE)</f>
        <v>8.7398272304160223</v>
      </c>
      <c r="Z279" s="38">
        <f t="shared" si="33"/>
        <v>8.7398272304160223</v>
      </c>
      <c r="AA279" s="39">
        <v>1</v>
      </c>
      <c r="AB279" s="38">
        <f t="shared" si="34"/>
        <v>8.7398272304160223</v>
      </c>
      <c r="AC279" s="37">
        <f>Priors!$K$18</f>
        <v>2.7435089299114512</v>
      </c>
      <c r="AD279" s="38" t="str">
        <f t="shared" si="35"/>
        <v/>
      </c>
      <c r="AE279" s="37">
        <f>Priors!$K$19</f>
        <v>0.67280088332719912</v>
      </c>
      <c r="AF279" s="38" t="str">
        <f t="shared" si="36"/>
        <v/>
      </c>
      <c r="AG279" s="17">
        <f t="shared" si="37"/>
        <v>1</v>
      </c>
      <c r="AH279" s="7" t="s">
        <v>1793</v>
      </c>
      <c r="AI279" s="7">
        <v>10</v>
      </c>
      <c r="AJ279" s="38">
        <f t="shared" si="38"/>
        <v>0.87398272304160218</v>
      </c>
      <c r="AK279" s="9" t="b">
        <f t="shared" si="39"/>
        <v>1</v>
      </c>
      <c r="AL279" s="28" t="s">
        <v>1794</v>
      </c>
      <c r="AM279" s="28"/>
      <c r="AN279" s="28" t="s">
        <v>1792</v>
      </c>
    </row>
    <row r="280" spans="1:40" ht="30">
      <c r="A280" s="7">
        <v>279</v>
      </c>
      <c r="B280" s="7" t="s">
        <v>885</v>
      </c>
      <c r="C280" s="7" t="s">
        <v>49</v>
      </c>
      <c r="D280" s="7" t="s">
        <v>99</v>
      </c>
      <c r="E280" s="7" t="s">
        <v>1647</v>
      </c>
      <c r="F280" s="7"/>
      <c r="G280" s="14">
        <v>0</v>
      </c>
      <c r="H280" s="14"/>
      <c r="I280" s="15"/>
      <c r="J280" s="14"/>
      <c r="K280" s="15"/>
      <c r="L280" s="14"/>
      <c r="M280" s="14"/>
      <c r="N280" s="13"/>
      <c r="O280" s="14"/>
      <c r="P280" s="14"/>
      <c r="Q280" s="15"/>
      <c r="R280" s="17">
        <f>IFERROR(G280/(G280+Priors!$H$18),0)</f>
        <v>0</v>
      </c>
      <c r="S280" s="13">
        <v>0</v>
      </c>
      <c r="T280" s="40" t="b">
        <v>0</v>
      </c>
      <c r="U280" s="13">
        <v>1</v>
      </c>
      <c r="V280" s="40" t="b">
        <v>0</v>
      </c>
      <c r="W280" s="13">
        <v>1</v>
      </c>
      <c r="X280" s="17">
        <f t="shared" si="32"/>
        <v>0</v>
      </c>
      <c r="Y280" s="37">
        <f>VLOOKUP(D280,Priors!$A$18:$B$21,2,FALSE)</f>
        <v>8.7398272304160223</v>
      </c>
      <c r="Z280" s="38">
        <f t="shared" si="33"/>
        <v>8.7398272304160223</v>
      </c>
      <c r="AA280" s="39">
        <v>1</v>
      </c>
      <c r="AB280" s="38">
        <f t="shared" si="34"/>
        <v>8.7398272304160223</v>
      </c>
      <c r="AC280" s="37">
        <f>Priors!$K$18</f>
        <v>2.7435089299114512</v>
      </c>
      <c r="AD280" s="38" t="str">
        <f t="shared" si="35"/>
        <v/>
      </c>
      <c r="AE280" s="37">
        <f>Priors!$K$19</f>
        <v>0.67280088332719912</v>
      </c>
      <c r="AF280" s="38" t="str">
        <f t="shared" si="36"/>
        <v/>
      </c>
      <c r="AG280" s="17">
        <f t="shared" si="37"/>
        <v>1</v>
      </c>
      <c r="AH280" s="7" t="s">
        <v>1793</v>
      </c>
      <c r="AI280" s="7">
        <v>10</v>
      </c>
      <c r="AJ280" s="38">
        <f t="shared" si="38"/>
        <v>0.87398272304160218</v>
      </c>
      <c r="AK280" s="9" t="b">
        <f t="shared" si="39"/>
        <v>1</v>
      </c>
      <c r="AL280" s="28" t="s">
        <v>1794</v>
      </c>
      <c r="AM280" s="28"/>
      <c r="AN280" s="28" t="s">
        <v>1792</v>
      </c>
    </row>
    <row r="281" spans="1:40" ht="30">
      <c r="A281" s="7">
        <v>280</v>
      </c>
      <c r="B281" s="7" t="s">
        <v>887</v>
      </c>
      <c r="C281" s="7" t="s">
        <v>49</v>
      </c>
      <c r="D281" s="7" t="s">
        <v>99</v>
      </c>
      <c r="E281" s="7" t="s">
        <v>1654</v>
      </c>
      <c r="F281" s="7" t="s">
        <v>49</v>
      </c>
      <c r="G281" s="14">
        <v>3600</v>
      </c>
      <c r="H281" s="14"/>
      <c r="I281" s="15"/>
      <c r="J281" s="14"/>
      <c r="K281" s="15"/>
      <c r="L281" s="14"/>
      <c r="M281" s="14"/>
      <c r="N281" s="13"/>
      <c r="O281" s="14"/>
      <c r="P281" s="14"/>
      <c r="Q281" s="15"/>
      <c r="R281" s="17">
        <f>IFERROR(G281/(G281+Priors!$H$18),0)</f>
        <v>0.78260869565217395</v>
      </c>
      <c r="S281" s="13">
        <v>0</v>
      </c>
      <c r="T281" s="40" t="b">
        <v>0</v>
      </c>
      <c r="U281" s="13">
        <v>1</v>
      </c>
      <c r="V281" s="40" t="b">
        <v>0</v>
      </c>
      <c r="W281" s="13">
        <v>1</v>
      </c>
      <c r="X281" s="17">
        <f t="shared" si="32"/>
        <v>0</v>
      </c>
      <c r="Y281" s="37">
        <f>VLOOKUP(D281,Priors!$A$18:$B$21,2,FALSE)</f>
        <v>8.7398272304160223</v>
      </c>
      <c r="Z281" s="38">
        <f t="shared" si="33"/>
        <v>8.7398272304160223</v>
      </c>
      <c r="AA281" s="39">
        <v>1</v>
      </c>
      <c r="AB281" s="38">
        <f t="shared" si="34"/>
        <v>8.7398272304160223</v>
      </c>
      <c r="AC281" s="37">
        <f>Priors!$K$18</f>
        <v>2.7435089299114512</v>
      </c>
      <c r="AD281" s="38" t="str">
        <f t="shared" si="35"/>
        <v/>
      </c>
      <c r="AE281" s="37">
        <f>Priors!$K$19</f>
        <v>0.67280088332719912</v>
      </c>
      <c r="AF281" s="38" t="str">
        <f t="shared" si="36"/>
        <v/>
      </c>
      <c r="AG281" s="17">
        <f t="shared" si="37"/>
        <v>1</v>
      </c>
      <c r="AH281" s="7" t="s">
        <v>1793</v>
      </c>
      <c r="AI281" s="7">
        <v>10</v>
      </c>
      <c r="AJ281" s="38">
        <f t="shared" si="38"/>
        <v>0.87398272304160218</v>
      </c>
      <c r="AK281" s="9" t="b">
        <f t="shared" si="39"/>
        <v>1</v>
      </c>
      <c r="AL281" s="28" t="s">
        <v>1794</v>
      </c>
      <c r="AM281" s="28"/>
      <c r="AN281" s="28" t="s">
        <v>1792</v>
      </c>
    </row>
    <row r="282" spans="1:40" ht="30">
      <c r="A282" s="7">
        <v>281</v>
      </c>
      <c r="B282" s="7" t="s">
        <v>890</v>
      </c>
      <c r="C282" s="7" t="s">
        <v>49</v>
      </c>
      <c r="D282" s="7" t="s">
        <v>99</v>
      </c>
      <c r="E282" s="7" t="s">
        <v>1647</v>
      </c>
      <c r="F282" s="7"/>
      <c r="G282" s="14">
        <v>0</v>
      </c>
      <c r="H282" s="14"/>
      <c r="I282" s="15"/>
      <c r="J282" s="14"/>
      <c r="K282" s="15"/>
      <c r="L282" s="14"/>
      <c r="M282" s="14"/>
      <c r="N282" s="13"/>
      <c r="O282" s="14"/>
      <c r="P282" s="14"/>
      <c r="Q282" s="15"/>
      <c r="R282" s="17">
        <f>IFERROR(G282/(G282+Priors!$H$18),0)</f>
        <v>0</v>
      </c>
      <c r="S282" s="13">
        <v>0</v>
      </c>
      <c r="T282" s="40" t="b">
        <v>0</v>
      </c>
      <c r="U282" s="13">
        <v>1</v>
      </c>
      <c r="V282" s="40" t="b">
        <v>0</v>
      </c>
      <c r="W282" s="13">
        <v>1</v>
      </c>
      <c r="X282" s="17">
        <f t="shared" si="32"/>
        <v>0</v>
      </c>
      <c r="Y282" s="37">
        <f>VLOOKUP(D282,Priors!$A$18:$B$21,2,FALSE)</f>
        <v>8.7398272304160223</v>
      </c>
      <c r="Z282" s="38">
        <f t="shared" si="33"/>
        <v>8.7398272304160223</v>
      </c>
      <c r="AA282" s="39">
        <v>1</v>
      </c>
      <c r="AB282" s="38">
        <f t="shared" si="34"/>
        <v>8.7398272304160223</v>
      </c>
      <c r="AC282" s="37">
        <f>Priors!$K$18</f>
        <v>2.7435089299114512</v>
      </c>
      <c r="AD282" s="38" t="str">
        <f t="shared" si="35"/>
        <v/>
      </c>
      <c r="AE282" s="37">
        <f>Priors!$K$19</f>
        <v>0.67280088332719912</v>
      </c>
      <c r="AF282" s="38" t="str">
        <f t="shared" si="36"/>
        <v/>
      </c>
      <c r="AG282" s="17">
        <f t="shared" si="37"/>
        <v>1</v>
      </c>
      <c r="AH282" s="7" t="s">
        <v>1793</v>
      </c>
      <c r="AI282" s="7">
        <v>10</v>
      </c>
      <c r="AJ282" s="38">
        <f t="shared" si="38"/>
        <v>0.87398272304160218</v>
      </c>
      <c r="AK282" s="9" t="b">
        <f t="shared" si="39"/>
        <v>1</v>
      </c>
      <c r="AL282" s="28" t="s">
        <v>1794</v>
      </c>
      <c r="AM282" s="28"/>
      <c r="AN282" s="28" t="s">
        <v>1792</v>
      </c>
    </row>
    <row r="283" spans="1:40" ht="30">
      <c r="A283" s="7">
        <v>282</v>
      </c>
      <c r="B283" s="7" t="s">
        <v>893</v>
      </c>
      <c r="C283" s="7" t="s">
        <v>49</v>
      </c>
      <c r="D283" s="7" t="s">
        <v>99</v>
      </c>
      <c r="E283" s="7" t="s">
        <v>1654</v>
      </c>
      <c r="F283" s="7" t="s">
        <v>49</v>
      </c>
      <c r="G283" s="14">
        <v>1800</v>
      </c>
      <c r="H283" s="14"/>
      <c r="I283" s="15"/>
      <c r="J283" s="14"/>
      <c r="K283" s="15"/>
      <c r="L283" s="14"/>
      <c r="M283" s="14"/>
      <c r="N283" s="13"/>
      <c r="O283" s="14"/>
      <c r="P283" s="14"/>
      <c r="Q283" s="15"/>
      <c r="R283" s="17">
        <f>IFERROR(G283/(G283+Priors!$H$18),0)</f>
        <v>0.6428571428571429</v>
      </c>
      <c r="S283" s="13">
        <v>0</v>
      </c>
      <c r="T283" s="40" t="b">
        <v>0</v>
      </c>
      <c r="U283" s="13">
        <v>1</v>
      </c>
      <c r="V283" s="40" t="b">
        <v>0</v>
      </c>
      <c r="W283" s="13">
        <v>1</v>
      </c>
      <c r="X283" s="17">
        <f t="shared" si="32"/>
        <v>0</v>
      </c>
      <c r="Y283" s="37">
        <f>VLOOKUP(D283,Priors!$A$18:$B$21,2,FALSE)</f>
        <v>8.7398272304160223</v>
      </c>
      <c r="Z283" s="38">
        <f t="shared" si="33"/>
        <v>8.7398272304160223</v>
      </c>
      <c r="AA283" s="39">
        <v>1</v>
      </c>
      <c r="AB283" s="38">
        <f t="shared" si="34"/>
        <v>8.7398272304160223</v>
      </c>
      <c r="AC283" s="37">
        <f>Priors!$K$18</f>
        <v>2.7435089299114512</v>
      </c>
      <c r="AD283" s="38" t="str">
        <f t="shared" si="35"/>
        <v/>
      </c>
      <c r="AE283" s="37">
        <f>Priors!$K$19</f>
        <v>0.67280088332719912</v>
      </c>
      <c r="AF283" s="38" t="str">
        <f t="shared" si="36"/>
        <v/>
      </c>
      <c r="AG283" s="17">
        <f t="shared" si="37"/>
        <v>1</v>
      </c>
      <c r="AH283" s="7" t="s">
        <v>1793</v>
      </c>
      <c r="AI283" s="7">
        <v>10</v>
      </c>
      <c r="AJ283" s="38">
        <f t="shared" si="38"/>
        <v>0.87398272304160218</v>
      </c>
      <c r="AK283" s="9" t="b">
        <f t="shared" si="39"/>
        <v>1</v>
      </c>
      <c r="AL283" s="28" t="s">
        <v>1794</v>
      </c>
      <c r="AM283" s="28"/>
      <c r="AN283" s="28" t="s">
        <v>1792</v>
      </c>
    </row>
    <row r="284" spans="1:40" ht="30">
      <c r="A284" s="7">
        <v>283</v>
      </c>
      <c r="B284" s="7" t="s">
        <v>896</v>
      </c>
      <c r="C284" s="7" t="s">
        <v>49</v>
      </c>
      <c r="D284" s="7" t="s">
        <v>99</v>
      </c>
      <c r="E284" s="7" t="s">
        <v>1647</v>
      </c>
      <c r="F284" s="7"/>
      <c r="G284" s="14">
        <v>0</v>
      </c>
      <c r="H284" s="14"/>
      <c r="I284" s="15"/>
      <c r="J284" s="14"/>
      <c r="K284" s="15"/>
      <c r="L284" s="14"/>
      <c r="M284" s="14"/>
      <c r="N284" s="13"/>
      <c r="O284" s="14"/>
      <c r="P284" s="14"/>
      <c r="Q284" s="15"/>
      <c r="R284" s="17">
        <f>IFERROR(G284/(G284+Priors!$H$18),0)</f>
        <v>0</v>
      </c>
      <c r="S284" s="13">
        <v>0</v>
      </c>
      <c r="T284" s="40" t="b">
        <v>0</v>
      </c>
      <c r="U284" s="13">
        <v>1</v>
      </c>
      <c r="V284" s="40" t="b">
        <v>0</v>
      </c>
      <c r="W284" s="13">
        <v>1</v>
      </c>
      <c r="X284" s="17">
        <f t="shared" si="32"/>
        <v>0</v>
      </c>
      <c r="Y284" s="37">
        <f>VLOOKUP(D284,Priors!$A$18:$B$21,2,FALSE)</f>
        <v>8.7398272304160223</v>
      </c>
      <c r="Z284" s="38">
        <f t="shared" si="33"/>
        <v>8.7398272304160223</v>
      </c>
      <c r="AA284" s="39">
        <v>1</v>
      </c>
      <c r="AB284" s="38">
        <f t="shared" si="34"/>
        <v>8.7398272304160223</v>
      </c>
      <c r="AC284" s="37">
        <f>Priors!$K$18</f>
        <v>2.7435089299114512</v>
      </c>
      <c r="AD284" s="38" t="str">
        <f t="shared" si="35"/>
        <v/>
      </c>
      <c r="AE284" s="37">
        <f>Priors!$K$19</f>
        <v>0.67280088332719912</v>
      </c>
      <c r="AF284" s="38" t="str">
        <f t="shared" si="36"/>
        <v/>
      </c>
      <c r="AG284" s="17">
        <f t="shared" si="37"/>
        <v>1</v>
      </c>
      <c r="AH284" s="7" t="s">
        <v>1793</v>
      </c>
      <c r="AI284" s="7">
        <v>10</v>
      </c>
      <c r="AJ284" s="38">
        <f t="shared" si="38"/>
        <v>0.87398272304160218</v>
      </c>
      <c r="AK284" s="9" t="b">
        <f t="shared" si="39"/>
        <v>1</v>
      </c>
      <c r="AL284" s="28" t="s">
        <v>1794</v>
      </c>
      <c r="AM284" s="28"/>
      <c r="AN284" s="28" t="s">
        <v>1792</v>
      </c>
    </row>
    <row r="285" spans="1:40" ht="30">
      <c r="A285" s="7">
        <v>284</v>
      </c>
      <c r="B285" s="7" t="s">
        <v>899</v>
      </c>
      <c r="C285" s="7" t="s">
        <v>49</v>
      </c>
      <c r="D285" s="7" t="s">
        <v>99</v>
      </c>
      <c r="E285" s="7" t="s">
        <v>1647</v>
      </c>
      <c r="F285" s="7"/>
      <c r="G285" s="14">
        <v>0</v>
      </c>
      <c r="H285" s="14"/>
      <c r="I285" s="15"/>
      <c r="J285" s="14"/>
      <c r="K285" s="15"/>
      <c r="L285" s="14"/>
      <c r="M285" s="14"/>
      <c r="N285" s="13"/>
      <c r="O285" s="14"/>
      <c r="P285" s="14"/>
      <c r="Q285" s="15"/>
      <c r="R285" s="17">
        <f>IFERROR(G285/(G285+Priors!$H$18),0)</f>
        <v>0</v>
      </c>
      <c r="S285" s="13">
        <v>0</v>
      </c>
      <c r="T285" s="40" t="b">
        <v>0</v>
      </c>
      <c r="U285" s="13">
        <v>1</v>
      </c>
      <c r="V285" s="40" t="b">
        <v>0</v>
      </c>
      <c r="W285" s="13">
        <v>1</v>
      </c>
      <c r="X285" s="17">
        <f t="shared" si="32"/>
        <v>0</v>
      </c>
      <c r="Y285" s="37">
        <f>VLOOKUP(D285,Priors!$A$18:$B$21,2,FALSE)</f>
        <v>8.7398272304160223</v>
      </c>
      <c r="Z285" s="38">
        <f t="shared" si="33"/>
        <v>8.7398272304160223</v>
      </c>
      <c r="AA285" s="39">
        <v>1</v>
      </c>
      <c r="AB285" s="38">
        <f t="shared" si="34"/>
        <v>8.7398272304160223</v>
      </c>
      <c r="AC285" s="37">
        <f>Priors!$K$18</f>
        <v>2.7435089299114512</v>
      </c>
      <c r="AD285" s="38" t="str">
        <f t="shared" si="35"/>
        <v/>
      </c>
      <c r="AE285" s="37">
        <f>Priors!$K$19</f>
        <v>0.67280088332719912</v>
      </c>
      <c r="AF285" s="38" t="str">
        <f t="shared" si="36"/>
        <v/>
      </c>
      <c r="AG285" s="17">
        <f t="shared" si="37"/>
        <v>1</v>
      </c>
      <c r="AH285" s="7" t="s">
        <v>1793</v>
      </c>
      <c r="AI285" s="7">
        <v>10</v>
      </c>
      <c r="AJ285" s="38">
        <f t="shared" si="38"/>
        <v>0.87398272304160218</v>
      </c>
      <c r="AK285" s="9" t="b">
        <f t="shared" si="39"/>
        <v>1</v>
      </c>
      <c r="AL285" s="28" t="s">
        <v>1794</v>
      </c>
      <c r="AM285" s="28"/>
      <c r="AN285" s="28" t="s">
        <v>1792</v>
      </c>
    </row>
    <row r="286" spans="1:40" ht="30">
      <c r="A286" s="7">
        <v>285</v>
      </c>
      <c r="B286" s="7" t="s">
        <v>901</v>
      </c>
      <c r="C286" s="7" t="s">
        <v>49</v>
      </c>
      <c r="D286" s="7" t="s">
        <v>99</v>
      </c>
      <c r="E286" s="7" t="s">
        <v>1647</v>
      </c>
      <c r="F286" s="7"/>
      <c r="G286" s="14">
        <v>0</v>
      </c>
      <c r="H286" s="14"/>
      <c r="I286" s="15"/>
      <c r="J286" s="14"/>
      <c r="K286" s="15"/>
      <c r="L286" s="14"/>
      <c r="M286" s="14"/>
      <c r="N286" s="13"/>
      <c r="O286" s="14"/>
      <c r="P286" s="14"/>
      <c r="Q286" s="15"/>
      <c r="R286" s="17">
        <f>IFERROR(G286/(G286+Priors!$H$18),0)</f>
        <v>0</v>
      </c>
      <c r="S286" s="13">
        <v>0</v>
      </c>
      <c r="T286" s="40" t="b">
        <v>0</v>
      </c>
      <c r="U286" s="13">
        <v>1</v>
      </c>
      <c r="V286" s="40" t="b">
        <v>0</v>
      </c>
      <c r="W286" s="13">
        <v>1</v>
      </c>
      <c r="X286" s="17">
        <f t="shared" si="32"/>
        <v>0</v>
      </c>
      <c r="Y286" s="37">
        <f>VLOOKUP(D286,Priors!$A$18:$B$21,2,FALSE)</f>
        <v>8.7398272304160223</v>
      </c>
      <c r="Z286" s="38">
        <f t="shared" si="33"/>
        <v>8.7398272304160223</v>
      </c>
      <c r="AA286" s="39">
        <v>1</v>
      </c>
      <c r="AB286" s="38">
        <f t="shared" si="34"/>
        <v>8.7398272304160223</v>
      </c>
      <c r="AC286" s="37">
        <f>Priors!$K$18</f>
        <v>2.7435089299114512</v>
      </c>
      <c r="AD286" s="38" t="str">
        <f t="shared" si="35"/>
        <v/>
      </c>
      <c r="AE286" s="37">
        <f>Priors!$K$19</f>
        <v>0.67280088332719912</v>
      </c>
      <c r="AF286" s="38" t="str">
        <f t="shared" si="36"/>
        <v/>
      </c>
      <c r="AG286" s="17">
        <f t="shared" si="37"/>
        <v>1</v>
      </c>
      <c r="AH286" s="7" t="s">
        <v>1793</v>
      </c>
      <c r="AI286" s="7">
        <v>10</v>
      </c>
      <c r="AJ286" s="38">
        <f t="shared" si="38"/>
        <v>0.87398272304160218</v>
      </c>
      <c r="AK286" s="9" t="b">
        <f t="shared" si="39"/>
        <v>1</v>
      </c>
      <c r="AL286" s="28" t="s">
        <v>1794</v>
      </c>
      <c r="AM286" s="28"/>
      <c r="AN286" s="28" t="s">
        <v>1792</v>
      </c>
    </row>
    <row r="287" spans="1:40" ht="30">
      <c r="A287" s="7">
        <v>286</v>
      </c>
      <c r="B287" s="7" t="s">
        <v>904</v>
      </c>
      <c r="C287" s="7" t="s">
        <v>49</v>
      </c>
      <c r="D287" s="7" t="s">
        <v>112</v>
      </c>
      <c r="E287" s="7" t="s">
        <v>1647</v>
      </c>
      <c r="F287" s="7"/>
      <c r="G287" s="14">
        <v>0</v>
      </c>
      <c r="H287" s="14"/>
      <c r="I287" s="15"/>
      <c r="J287" s="14"/>
      <c r="K287" s="15"/>
      <c r="L287" s="14"/>
      <c r="M287" s="14"/>
      <c r="N287" s="13"/>
      <c r="O287" s="14"/>
      <c r="P287" s="14"/>
      <c r="Q287" s="15"/>
      <c r="R287" s="17">
        <f>IFERROR(G287/(G287+Priors!$H$18),0)</f>
        <v>0</v>
      </c>
      <c r="S287" s="13">
        <v>0</v>
      </c>
      <c r="T287" s="40" t="b">
        <v>0</v>
      </c>
      <c r="U287" s="13">
        <v>1</v>
      </c>
      <c r="V287" s="40" t="b">
        <v>0</v>
      </c>
      <c r="W287" s="13">
        <v>1</v>
      </c>
      <c r="X287" s="17">
        <f t="shared" si="32"/>
        <v>0</v>
      </c>
      <c r="Y287" s="37">
        <f>VLOOKUP(D287,Priors!$A$18:$B$21,2,FALSE)</f>
        <v>8.4555315342179806</v>
      </c>
      <c r="Z287" s="38">
        <f t="shared" si="33"/>
        <v>8.4555315342179806</v>
      </c>
      <c r="AA287" s="39">
        <v>1</v>
      </c>
      <c r="AB287" s="38">
        <f t="shared" si="34"/>
        <v>8.4555315342179806</v>
      </c>
      <c r="AC287" s="37">
        <f>Priors!$K$18</f>
        <v>2.7435089299114512</v>
      </c>
      <c r="AD287" s="38" t="str">
        <f t="shared" si="35"/>
        <v/>
      </c>
      <c r="AE287" s="37">
        <f>Priors!$K$19</f>
        <v>0.67280088332719912</v>
      </c>
      <c r="AF287" s="38" t="str">
        <f t="shared" si="36"/>
        <v/>
      </c>
      <c r="AG287" s="17">
        <f t="shared" si="37"/>
        <v>1</v>
      </c>
      <c r="AH287" s="7" t="s">
        <v>1793</v>
      </c>
      <c r="AI287" s="7">
        <v>12</v>
      </c>
      <c r="AJ287" s="38">
        <f t="shared" si="38"/>
        <v>0.70462762785149835</v>
      </c>
      <c r="AK287" s="9" t="b">
        <f t="shared" si="39"/>
        <v>1</v>
      </c>
      <c r="AL287" s="28" t="s">
        <v>1794</v>
      </c>
      <c r="AM287" s="28"/>
      <c r="AN287" s="28" t="s">
        <v>1792</v>
      </c>
    </row>
    <row r="288" spans="1:40" ht="30">
      <c r="A288" s="7">
        <v>287</v>
      </c>
      <c r="B288" s="7" t="s">
        <v>906</v>
      </c>
      <c r="C288" s="7" t="s">
        <v>49</v>
      </c>
      <c r="D288" s="7" t="s">
        <v>112</v>
      </c>
      <c r="E288" s="7" t="s">
        <v>1654</v>
      </c>
      <c r="F288" s="7" t="s">
        <v>49</v>
      </c>
      <c r="G288" s="14">
        <v>1800</v>
      </c>
      <c r="H288" s="14"/>
      <c r="I288" s="15"/>
      <c r="J288" s="14"/>
      <c r="K288" s="15"/>
      <c r="L288" s="14"/>
      <c r="M288" s="14"/>
      <c r="N288" s="13"/>
      <c r="O288" s="14"/>
      <c r="P288" s="14"/>
      <c r="Q288" s="15"/>
      <c r="R288" s="17">
        <f>IFERROR(G288/(G288+Priors!$H$18),0)</f>
        <v>0.6428571428571429</v>
      </c>
      <c r="S288" s="13">
        <v>0</v>
      </c>
      <c r="T288" s="40" t="b">
        <v>0</v>
      </c>
      <c r="U288" s="13">
        <v>1</v>
      </c>
      <c r="V288" s="40" t="b">
        <v>0</v>
      </c>
      <c r="W288" s="13">
        <v>1</v>
      </c>
      <c r="X288" s="17">
        <f t="shared" si="32"/>
        <v>0</v>
      </c>
      <c r="Y288" s="37">
        <f>VLOOKUP(D288,Priors!$A$18:$B$21,2,FALSE)</f>
        <v>8.4555315342179806</v>
      </c>
      <c r="Z288" s="38">
        <f t="shared" si="33"/>
        <v>8.4555315342179806</v>
      </c>
      <c r="AA288" s="39">
        <v>1</v>
      </c>
      <c r="AB288" s="38">
        <f t="shared" si="34"/>
        <v>8.4555315342179806</v>
      </c>
      <c r="AC288" s="37">
        <f>Priors!$K$18</f>
        <v>2.7435089299114512</v>
      </c>
      <c r="AD288" s="38" t="str">
        <f t="shared" si="35"/>
        <v/>
      </c>
      <c r="AE288" s="37">
        <f>Priors!$K$19</f>
        <v>0.67280088332719912</v>
      </c>
      <c r="AF288" s="38" t="str">
        <f t="shared" si="36"/>
        <v/>
      </c>
      <c r="AG288" s="17">
        <f t="shared" si="37"/>
        <v>1</v>
      </c>
      <c r="AH288" s="7" t="s">
        <v>1793</v>
      </c>
      <c r="AI288" s="7">
        <v>12</v>
      </c>
      <c r="AJ288" s="38">
        <f t="shared" si="38"/>
        <v>0.70462762785149835</v>
      </c>
      <c r="AK288" s="9" t="b">
        <f t="shared" si="39"/>
        <v>1</v>
      </c>
      <c r="AL288" s="28" t="s">
        <v>1794</v>
      </c>
      <c r="AM288" s="28"/>
      <c r="AN288" s="28" t="s">
        <v>1792</v>
      </c>
    </row>
    <row r="289" spans="1:40" ht="30">
      <c r="A289" s="7">
        <v>288</v>
      </c>
      <c r="B289" s="7" t="s">
        <v>908</v>
      </c>
      <c r="C289" s="7" t="s">
        <v>49</v>
      </c>
      <c r="D289" s="7" t="s">
        <v>112</v>
      </c>
      <c r="E289" s="7" t="s">
        <v>1647</v>
      </c>
      <c r="F289" s="7"/>
      <c r="G289" s="14">
        <v>0</v>
      </c>
      <c r="H289" s="14"/>
      <c r="I289" s="15"/>
      <c r="J289" s="14"/>
      <c r="K289" s="15"/>
      <c r="L289" s="14"/>
      <c r="M289" s="14"/>
      <c r="N289" s="13"/>
      <c r="O289" s="14"/>
      <c r="P289" s="14"/>
      <c r="Q289" s="15"/>
      <c r="R289" s="17">
        <f>IFERROR(G289/(G289+Priors!$H$18),0)</f>
        <v>0</v>
      </c>
      <c r="S289" s="13">
        <v>0</v>
      </c>
      <c r="T289" s="40" t="b">
        <v>0</v>
      </c>
      <c r="U289" s="13">
        <v>1</v>
      </c>
      <c r="V289" s="40" t="b">
        <v>0</v>
      </c>
      <c r="W289" s="13">
        <v>1</v>
      </c>
      <c r="X289" s="17">
        <f t="shared" si="32"/>
        <v>0</v>
      </c>
      <c r="Y289" s="37">
        <f>VLOOKUP(D289,Priors!$A$18:$B$21,2,FALSE)</f>
        <v>8.4555315342179806</v>
      </c>
      <c r="Z289" s="38">
        <f t="shared" si="33"/>
        <v>8.4555315342179806</v>
      </c>
      <c r="AA289" s="39">
        <v>1</v>
      </c>
      <c r="AB289" s="38">
        <f t="shared" si="34"/>
        <v>8.4555315342179806</v>
      </c>
      <c r="AC289" s="37">
        <f>Priors!$K$18</f>
        <v>2.7435089299114512</v>
      </c>
      <c r="AD289" s="38" t="str">
        <f t="shared" si="35"/>
        <v/>
      </c>
      <c r="AE289" s="37">
        <f>Priors!$K$19</f>
        <v>0.67280088332719912</v>
      </c>
      <c r="AF289" s="38" t="str">
        <f t="shared" si="36"/>
        <v/>
      </c>
      <c r="AG289" s="17">
        <f t="shared" si="37"/>
        <v>1</v>
      </c>
      <c r="AH289" s="7" t="s">
        <v>1793</v>
      </c>
      <c r="AI289" s="7">
        <v>12</v>
      </c>
      <c r="AJ289" s="38">
        <f t="shared" si="38"/>
        <v>0.70462762785149835</v>
      </c>
      <c r="AK289" s="9" t="b">
        <f t="shared" si="39"/>
        <v>1</v>
      </c>
      <c r="AL289" s="28" t="s">
        <v>1794</v>
      </c>
      <c r="AM289" s="28"/>
      <c r="AN289" s="28" t="s">
        <v>1792</v>
      </c>
    </row>
    <row r="290" spans="1:40" ht="30">
      <c r="A290" s="7">
        <v>289</v>
      </c>
      <c r="B290" s="7" t="s">
        <v>911</v>
      </c>
      <c r="C290" s="7" t="s">
        <v>49</v>
      </c>
      <c r="D290" s="7" t="s">
        <v>112</v>
      </c>
      <c r="E290" s="7" t="s">
        <v>1654</v>
      </c>
      <c r="F290" s="7" t="s">
        <v>49</v>
      </c>
      <c r="G290" s="14">
        <v>2423</v>
      </c>
      <c r="H290" s="14"/>
      <c r="I290" s="15"/>
      <c r="J290" s="14"/>
      <c r="K290" s="15"/>
      <c r="L290" s="14"/>
      <c r="M290" s="14"/>
      <c r="N290" s="13"/>
      <c r="O290" s="14"/>
      <c r="P290" s="14"/>
      <c r="Q290" s="15"/>
      <c r="R290" s="17">
        <f>IFERROR(G290/(G290+Priors!$H$18),0)</f>
        <v>0.707858603564125</v>
      </c>
      <c r="S290" s="13">
        <v>0</v>
      </c>
      <c r="T290" s="40" t="b">
        <v>0</v>
      </c>
      <c r="U290" s="13">
        <v>1</v>
      </c>
      <c r="V290" s="40" t="b">
        <v>0</v>
      </c>
      <c r="W290" s="13">
        <v>1</v>
      </c>
      <c r="X290" s="17">
        <f t="shared" si="32"/>
        <v>0</v>
      </c>
      <c r="Y290" s="37">
        <f>VLOOKUP(D290,Priors!$A$18:$B$21,2,FALSE)</f>
        <v>8.4555315342179806</v>
      </c>
      <c r="Z290" s="38">
        <f t="shared" si="33"/>
        <v>8.4555315342179806</v>
      </c>
      <c r="AA290" s="39">
        <v>1</v>
      </c>
      <c r="AB290" s="38">
        <f t="shared" si="34"/>
        <v>8.4555315342179806</v>
      </c>
      <c r="AC290" s="37">
        <f>Priors!$K$18</f>
        <v>2.7435089299114512</v>
      </c>
      <c r="AD290" s="38" t="str">
        <f t="shared" si="35"/>
        <v/>
      </c>
      <c r="AE290" s="37">
        <f>Priors!$K$19</f>
        <v>0.67280088332719912</v>
      </c>
      <c r="AF290" s="38" t="str">
        <f t="shared" si="36"/>
        <v/>
      </c>
      <c r="AG290" s="17">
        <f t="shared" si="37"/>
        <v>1</v>
      </c>
      <c r="AH290" s="7" t="s">
        <v>1793</v>
      </c>
      <c r="AI290" s="7">
        <v>12</v>
      </c>
      <c r="AJ290" s="38">
        <f t="shared" si="38"/>
        <v>0.70462762785149835</v>
      </c>
      <c r="AK290" s="9" t="b">
        <f t="shared" si="39"/>
        <v>1</v>
      </c>
      <c r="AL290" s="28" t="s">
        <v>1794</v>
      </c>
      <c r="AM290" s="28"/>
      <c r="AN290" s="28" t="s">
        <v>1792</v>
      </c>
    </row>
    <row r="291" spans="1:40" ht="30">
      <c r="A291" s="7">
        <v>290</v>
      </c>
      <c r="B291" s="7" t="s">
        <v>914</v>
      </c>
      <c r="C291" s="7" t="s">
        <v>49</v>
      </c>
      <c r="D291" s="7" t="s">
        <v>112</v>
      </c>
      <c r="E291" s="7" t="s">
        <v>1654</v>
      </c>
      <c r="F291" s="7" t="s">
        <v>49</v>
      </c>
      <c r="G291" s="14">
        <v>3000</v>
      </c>
      <c r="H291" s="14"/>
      <c r="I291" s="15"/>
      <c r="J291" s="14"/>
      <c r="K291" s="15"/>
      <c r="L291" s="14"/>
      <c r="M291" s="14"/>
      <c r="N291" s="13"/>
      <c r="O291" s="14"/>
      <c r="P291" s="14"/>
      <c r="Q291" s="15"/>
      <c r="R291" s="17">
        <f>IFERROR(G291/(G291+Priors!$H$18),0)</f>
        <v>0.75</v>
      </c>
      <c r="S291" s="13">
        <v>0</v>
      </c>
      <c r="T291" s="40" t="b">
        <v>0</v>
      </c>
      <c r="U291" s="13">
        <v>1</v>
      </c>
      <c r="V291" s="40" t="b">
        <v>0</v>
      </c>
      <c r="W291" s="13">
        <v>1</v>
      </c>
      <c r="X291" s="17">
        <f t="shared" si="32"/>
        <v>0</v>
      </c>
      <c r="Y291" s="37">
        <f>VLOOKUP(D291,Priors!$A$18:$B$21,2,FALSE)</f>
        <v>8.4555315342179806</v>
      </c>
      <c r="Z291" s="38">
        <f t="shared" si="33"/>
        <v>8.4555315342179806</v>
      </c>
      <c r="AA291" s="39">
        <v>1</v>
      </c>
      <c r="AB291" s="38">
        <f t="shared" si="34"/>
        <v>8.4555315342179806</v>
      </c>
      <c r="AC291" s="37">
        <f>Priors!$K$18</f>
        <v>2.7435089299114512</v>
      </c>
      <c r="AD291" s="38" t="str">
        <f t="shared" si="35"/>
        <v/>
      </c>
      <c r="AE291" s="37">
        <f>Priors!$K$19</f>
        <v>0.67280088332719912</v>
      </c>
      <c r="AF291" s="38" t="str">
        <f t="shared" si="36"/>
        <v/>
      </c>
      <c r="AG291" s="17">
        <f t="shared" si="37"/>
        <v>1</v>
      </c>
      <c r="AH291" s="7" t="s">
        <v>1793</v>
      </c>
      <c r="AI291" s="7">
        <v>12</v>
      </c>
      <c r="AJ291" s="38">
        <f t="shared" si="38"/>
        <v>0.70462762785149835</v>
      </c>
      <c r="AK291" s="9" t="b">
        <f t="shared" si="39"/>
        <v>1</v>
      </c>
      <c r="AL291" s="28" t="s">
        <v>1794</v>
      </c>
      <c r="AM291" s="28"/>
      <c r="AN291" s="28" t="s">
        <v>1792</v>
      </c>
    </row>
    <row r="292" spans="1:40" ht="30">
      <c r="A292" s="7">
        <v>291</v>
      </c>
      <c r="B292" s="7" t="s">
        <v>917</v>
      </c>
      <c r="C292" s="7" t="s">
        <v>49</v>
      </c>
      <c r="D292" s="7" t="s">
        <v>112</v>
      </c>
      <c r="E292" s="7" t="s">
        <v>1647</v>
      </c>
      <c r="F292" s="7"/>
      <c r="G292" s="14">
        <v>0</v>
      </c>
      <c r="H292" s="14"/>
      <c r="I292" s="15"/>
      <c r="J292" s="14"/>
      <c r="K292" s="15"/>
      <c r="L292" s="14"/>
      <c r="M292" s="14"/>
      <c r="N292" s="13"/>
      <c r="O292" s="14"/>
      <c r="P292" s="14"/>
      <c r="Q292" s="15"/>
      <c r="R292" s="17">
        <f>IFERROR(G292/(G292+Priors!$H$18),0)</f>
        <v>0</v>
      </c>
      <c r="S292" s="13">
        <v>0</v>
      </c>
      <c r="T292" s="40" t="b">
        <v>0</v>
      </c>
      <c r="U292" s="13">
        <v>1</v>
      </c>
      <c r="V292" s="40" t="b">
        <v>0</v>
      </c>
      <c r="W292" s="13">
        <v>1</v>
      </c>
      <c r="X292" s="17">
        <f t="shared" si="32"/>
        <v>0</v>
      </c>
      <c r="Y292" s="37">
        <f>VLOOKUP(D292,Priors!$A$18:$B$21,2,FALSE)</f>
        <v>8.4555315342179806</v>
      </c>
      <c r="Z292" s="38">
        <f t="shared" si="33"/>
        <v>8.4555315342179806</v>
      </c>
      <c r="AA292" s="39">
        <v>1</v>
      </c>
      <c r="AB292" s="38">
        <f t="shared" si="34"/>
        <v>8.4555315342179806</v>
      </c>
      <c r="AC292" s="37">
        <f>Priors!$K$18</f>
        <v>2.7435089299114512</v>
      </c>
      <c r="AD292" s="38" t="str">
        <f t="shared" si="35"/>
        <v/>
      </c>
      <c r="AE292" s="37">
        <f>Priors!$K$19</f>
        <v>0.67280088332719912</v>
      </c>
      <c r="AF292" s="38" t="str">
        <f t="shared" si="36"/>
        <v/>
      </c>
      <c r="AG292" s="17">
        <f t="shared" si="37"/>
        <v>1</v>
      </c>
      <c r="AH292" s="7" t="s">
        <v>1793</v>
      </c>
      <c r="AI292" s="7">
        <v>12</v>
      </c>
      <c r="AJ292" s="38">
        <f t="shared" si="38"/>
        <v>0.70462762785149835</v>
      </c>
      <c r="AK292" s="9" t="b">
        <f t="shared" si="39"/>
        <v>1</v>
      </c>
      <c r="AL292" s="28" t="s">
        <v>1794</v>
      </c>
      <c r="AM292" s="28"/>
      <c r="AN292" s="28" t="s">
        <v>1792</v>
      </c>
    </row>
    <row r="293" spans="1:40" ht="30">
      <c r="A293" s="7">
        <v>292</v>
      </c>
      <c r="B293" s="7" t="s">
        <v>920</v>
      </c>
      <c r="C293" s="7" t="s">
        <v>49</v>
      </c>
      <c r="D293" s="7" t="s">
        <v>112</v>
      </c>
      <c r="E293" s="7" t="s">
        <v>1647</v>
      </c>
      <c r="F293" s="7"/>
      <c r="G293" s="14">
        <v>0</v>
      </c>
      <c r="H293" s="14"/>
      <c r="I293" s="15"/>
      <c r="J293" s="14"/>
      <c r="K293" s="15"/>
      <c r="L293" s="14"/>
      <c r="M293" s="14"/>
      <c r="N293" s="13"/>
      <c r="O293" s="14"/>
      <c r="P293" s="14"/>
      <c r="Q293" s="15"/>
      <c r="R293" s="17">
        <f>IFERROR(G293/(G293+Priors!$H$18),0)</f>
        <v>0</v>
      </c>
      <c r="S293" s="13">
        <v>0</v>
      </c>
      <c r="T293" s="40" t="b">
        <v>0</v>
      </c>
      <c r="U293" s="13">
        <v>1</v>
      </c>
      <c r="V293" s="40" t="b">
        <v>0</v>
      </c>
      <c r="W293" s="13">
        <v>1</v>
      </c>
      <c r="X293" s="17">
        <f t="shared" si="32"/>
        <v>0</v>
      </c>
      <c r="Y293" s="37">
        <f>VLOOKUP(D293,Priors!$A$18:$B$21,2,FALSE)</f>
        <v>8.4555315342179806</v>
      </c>
      <c r="Z293" s="38">
        <f t="shared" si="33"/>
        <v>8.4555315342179806</v>
      </c>
      <c r="AA293" s="39">
        <v>1</v>
      </c>
      <c r="AB293" s="38">
        <f t="shared" si="34"/>
        <v>8.4555315342179806</v>
      </c>
      <c r="AC293" s="37">
        <f>Priors!$K$18</f>
        <v>2.7435089299114512</v>
      </c>
      <c r="AD293" s="38" t="str">
        <f t="shared" si="35"/>
        <v/>
      </c>
      <c r="AE293" s="37">
        <f>Priors!$K$19</f>
        <v>0.67280088332719912</v>
      </c>
      <c r="AF293" s="38" t="str">
        <f t="shared" si="36"/>
        <v/>
      </c>
      <c r="AG293" s="17">
        <f t="shared" si="37"/>
        <v>1</v>
      </c>
      <c r="AH293" s="7" t="s">
        <v>1793</v>
      </c>
      <c r="AI293" s="7">
        <v>12</v>
      </c>
      <c r="AJ293" s="38">
        <f t="shared" si="38"/>
        <v>0.70462762785149835</v>
      </c>
      <c r="AK293" s="9" t="b">
        <f t="shared" si="39"/>
        <v>1</v>
      </c>
      <c r="AL293" s="28" t="s">
        <v>1794</v>
      </c>
      <c r="AM293" s="28"/>
      <c r="AN293" s="28" t="s">
        <v>1792</v>
      </c>
    </row>
    <row r="294" spans="1:40" ht="30">
      <c r="A294" s="7">
        <v>293</v>
      </c>
      <c r="B294" s="7" t="s">
        <v>230</v>
      </c>
      <c r="C294" s="7" t="s">
        <v>49</v>
      </c>
      <c r="D294" s="7" t="s">
        <v>112</v>
      </c>
      <c r="E294" s="7" t="s">
        <v>1647</v>
      </c>
      <c r="F294" s="7"/>
      <c r="G294" s="14">
        <v>0</v>
      </c>
      <c r="H294" s="14"/>
      <c r="I294" s="15"/>
      <c r="J294" s="14"/>
      <c r="K294" s="15"/>
      <c r="L294" s="14"/>
      <c r="M294" s="14"/>
      <c r="N294" s="13"/>
      <c r="O294" s="14"/>
      <c r="P294" s="14"/>
      <c r="Q294" s="15"/>
      <c r="R294" s="17">
        <f>IFERROR(G294/(G294+Priors!$H$18),0)</f>
        <v>0</v>
      </c>
      <c r="S294" s="13">
        <v>0</v>
      </c>
      <c r="T294" s="40" t="b">
        <v>0</v>
      </c>
      <c r="U294" s="13">
        <v>1</v>
      </c>
      <c r="V294" s="40" t="b">
        <v>0</v>
      </c>
      <c r="W294" s="13">
        <v>1</v>
      </c>
      <c r="X294" s="17">
        <f t="shared" si="32"/>
        <v>0</v>
      </c>
      <c r="Y294" s="37">
        <f>VLOOKUP(D294,Priors!$A$18:$B$21,2,FALSE)</f>
        <v>8.4555315342179806</v>
      </c>
      <c r="Z294" s="38">
        <f t="shared" si="33"/>
        <v>8.4555315342179806</v>
      </c>
      <c r="AA294" s="39">
        <v>1</v>
      </c>
      <c r="AB294" s="38">
        <f t="shared" si="34"/>
        <v>8.4555315342179806</v>
      </c>
      <c r="AC294" s="37">
        <f>Priors!$K$18</f>
        <v>2.7435089299114512</v>
      </c>
      <c r="AD294" s="38" t="str">
        <f t="shared" si="35"/>
        <v/>
      </c>
      <c r="AE294" s="37">
        <f>Priors!$K$19</f>
        <v>0.67280088332719912</v>
      </c>
      <c r="AF294" s="38" t="str">
        <f t="shared" si="36"/>
        <v/>
      </c>
      <c r="AG294" s="17">
        <f t="shared" si="37"/>
        <v>1</v>
      </c>
      <c r="AH294" s="7" t="s">
        <v>1793</v>
      </c>
      <c r="AI294" s="7">
        <v>12</v>
      </c>
      <c r="AJ294" s="38">
        <f t="shared" si="38"/>
        <v>0.70462762785149835</v>
      </c>
      <c r="AK294" s="9" t="b">
        <f t="shared" si="39"/>
        <v>1</v>
      </c>
      <c r="AL294" s="28" t="s">
        <v>1794</v>
      </c>
      <c r="AM294" s="28"/>
      <c r="AN294" s="28" t="s">
        <v>1792</v>
      </c>
    </row>
    <row r="295" spans="1:40" ht="30">
      <c r="A295" s="7">
        <v>294</v>
      </c>
      <c r="B295" s="7" t="s">
        <v>923</v>
      </c>
      <c r="C295" s="7" t="s">
        <v>49</v>
      </c>
      <c r="D295" s="7" t="s">
        <v>112</v>
      </c>
      <c r="E295" s="7" t="s">
        <v>1647</v>
      </c>
      <c r="F295" s="7"/>
      <c r="G295" s="14">
        <v>0</v>
      </c>
      <c r="H295" s="14"/>
      <c r="I295" s="15"/>
      <c r="J295" s="14"/>
      <c r="K295" s="15"/>
      <c r="L295" s="14"/>
      <c r="M295" s="14"/>
      <c r="N295" s="13"/>
      <c r="O295" s="14"/>
      <c r="P295" s="14"/>
      <c r="Q295" s="15"/>
      <c r="R295" s="17">
        <f>IFERROR(G295/(G295+Priors!$H$18),0)</f>
        <v>0</v>
      </c>
      <c r="S295" s="13">
        <v>0</v>
      </c>
      <c r="T295" s="40" t="b">
        <v>0</v>
      </c>
      <c r="U295" s="13">
        <v>1</v>
      </c>
      <c r="V295" s="40" t="b">
        <v>0</v>
      </c>
      <c r="W295" s="13">
        <v>1</v>
      </c>
      <c r="X295" s="17">
        <f t="shared" si="32"/>
        <v>0</v>
      </c>
      <c r="Y295" s="37">
        <f>VLOOKUP(D295,Priors!$A$18:$B$21,2,FALSE)</f>
        <v>8.4555315342179806</v>
      </c>
      <c r="Z295" s="38">
        <f t="shared" si="33"/>
        <v>8.4555315342179806</v>
      </c>
      <c r="AA295" s="39">
        <v>1</v>
      </c>
      <c r="AB295" s="38">
        <f t="shared" si="34"/>
        <v>8.4555315342179806</v>
      </c>
      <c r="AC295" s="37">
        <f>Priors!$K$18</f>
        <v>2.7435089299114512</v>
      </c>
      <c r="AD295" s="38" t="str">
        <f t="shared" si="35"/>
        <v/>
      </c>
      <c r="AE295" s="37">
        <f>Priors!$K$19</f>
        <v>0.67280088332719912</v>
      </c>
      <c r="AF295" s="38" t="str">
        <f t="shared" si="36"/>
        <v/>
      </c>
      <c r="AG295" s="17">
        <f t="shared" si="37"/>
        <v>1</v>
      </c>
      <c r="AH295" s="7" t="s">
        <v>1793</v>
      </c>
      <c r="AI295" s="7">
        <v>12</v>
      </c>
      <c r="AJ295" s="38">
        <f t="shared" si="38"/>
        <v>0.70462762785149835</v>
      </c>
      <c r="AK295" s="9" t="b">
        <f t="shared" si="39"/>
        <v>1</v>
      </c>
      <c r="AL295" s="28" t="s">
        <v>1794</v>
      </c>
      <c r="AM295" s="28"/>
      <c r="AN295" s="28" t="s">
        <v>1792</v>
      </c>
    </row>
    <row r="296" spans="1:40" ht="30">
      <c r="A296" s="7">
        <v>295</v>
      </c>
      <c r="B296" s="7" t="s">
        <v>925</v>
      </c>
      <c r="C296" s="7" t="s">
        <v>49</v>
      </c>
      <c r="D296" s="7" t="s">
        <v>167</v>
      </c>
      <c r="E296" s="7" t="s">
        <v>1654</v>
      </c>
      <c r="F296" s="7" t="s">
        <v>49</v>
      </c>
      <c r="G296" s="14">
        <v>2913</v>
      </c>
      <c r="H296" s="14"/>
      <c r="I296" s="15"/>
      <c r="J296" s="14"/>
      <c r="K296" s="15"/>
      <c r="L296" s="14"/>
      <c r="M296" s="14"/>
      <c r="N296" s="13"/>
      <c r="O296" s="14"/>
      <c r="P296" s="14"/>
      <c r="Q296" s="15"/>
      <c r="R296" s="17">
        <f>IFERROR(G296/(G296+Priors!$H$18),0)</f>
        <v>0.74444160490672118</v>
      </c>
      <c r="S296" s="13">
        <v>0</v>
      </c>
      <c r="T296" s="40" t="b">
        <v>0</v>
      </c>
      <c r="U296" s="13">
        <v>1</v>
      </c>
      <c r="V296" s="40" t="b">
        <v>0</v>
      </c>
      <c r="W296" s="13">
        <v>1</v>
      </c>
      <c r="X296" s="17">
        <f t="shared" si="32"/>
        <v>0</v>
      </c>
      <c r="Y296" s="37">
        <f>VLOOKUP(D296,Priors!$A$18:$B$21,2,FALSE)</f>
        <v>4.5137422563476139</v>
      </c>
      <c r="Z296" s="38">
        <f t="shared" si="33"/>
        <v>4.5137422563476139</v>
      </c>
      <c r="AA296" s="39">
        <v>1</v>
      </c>
      <c r="AB296" s="38">
        <f t="shared" si="34"/>
        <v>4.5137422563476139</v>
      </c>
      <c r="AC296" s="37">
        <f>Priors!$K$18</f>
        <v>2.7435089299114512</v>
      </c>
      <c r="AD296" s="38" t="str">
        <f t="shared" si="35"/>
        <v/>
      </c>
      <c r="AE296" s="37">
        <f>Priors!$K$19</f>
        <v>0.67280088332719912</v>
      </c>
      <c r="AF296" s="38" t="str">
        <f t="shared" si="36"/>
        <v/>
      </c>
      <c r="AG296" s="17">
        <f t="shared" si="37"/>
        <v>1</v>
      </c>
      <c r="AH296" s="7" t="s">
        <v>1793</v>
      </c>
      <c r="AI296" s="7">
        <v>12</v>
      </c>
      <c r="AJ296" s="38">
        <f t="shared" si="38"/>
        <v>0.37614518802896785</v>
      </c>
      <c r="AK296" s="9" t="b">
        <f t="shared" si="39"/>
        <v>1</v>
      </c>
      <c r="AL296" s="28" t="s">
        <v>1794</v>
      </c>
      <c r="AM296" s="28"/>
      <c r="AN296" s="28" t="s">
        <v>1792</v>
      </c>
    </row>
    <row r="297" spans="1:40" ht="30">
      <c r="A297" s="7">
        <v>296</v>
      </c>
      <c r="B297" s="7" t="s">
        <v>927</v>
      </c>
      <c r="C297" s="7" t="s">
        <v>49</v>
      </c>
      <c r="D297" s="7" t="s">
        <v>112</v>
      </c>
      <c r="E297" s="7" t="s">
        <v>1647</v>
      </c>
      <c r="F297" s="7"/>
      <c r="G297" s="14">
        <v>0</v>
      </c>
      <c r="H297" s="14"/>
      <c r="I297" s="15"/>
      <c r="J297" s="14"/>
      <c r="K297" s="15"/>
      <c r="L297" s="14"/>
      <c r="M297" s="14"/>
      <c r="N297" s="13"/>
      <c r="O297" s="14"/>
      <c r="P297" s="14"/>
      <c r="Q297" s="15"/>
      <c r="R297" s="17">
        <f>IFERROR(G297/(G297+Priors!$H$18),0)</f>
        <v>0</v>
      </c>
      <c r="S297" s="13">
        <v>0</v>
      </c>
      <c r="T297" s="40" t="b">
        <v>0</v>
      </c>
      <c r="U297" s="13">
        <v>1</v>
      </c>
      <c r="V297" s="40" t="b">
        <v>0</v>
      </c>
      <c r="W297" s="13">
        <v>1</v>
      </c>
      <c r="X297" s="17">
        <f t="shared" si="32"/>
        <v>0</v>
      </c>
      <c r="Y297" s="37">
        <f>VLOOKUP(D297,Priors!$A$18:$B$21,2,FALSE)</f>
        <v>8.4555315342179806</v>
      </c>
      <c r="Z297" s="38">
        <f t="shared" si="33"/>
        <v>8.4555315342179806</v>
      </c>
      <c r="AA297" s="39">
        <v>1</v>
      </c>
      <c r="AB297" s="38">
        <f t="shared" si="34"/>
        <v>8.4555315342179806</v>
      </c>
      <c r="AC297" s="37">
        <f>Priors!$K$18</f>
        <v>2.7435089299114512</v>
      </c>
      <c r="AD297" s="38" t="str">
        <f t="shared" si="35"/>
        <v/>
      </c>
      <c r="AE297" s="37">
        <f>Priors!$K$19</f>
        <v>0.67280088332719912</v>
      </c>
      <c r="AF297" s="38" t="str">
        <f t="shared" si="36"/>
        <v/>
      </c>
      <c r="AG297" s="17">
        <f t="shared" si="37"/>
        <v>1</v>
      </c>
      <c r="AH297" s="7" t="s">
        <v>1793</v>
      </c>
      <c r="AI297" s="7">
        <v>12</v>
      </c>
      <c r="AJ297" s="38">
        <f t="shared" si="38"/>
        <v>0.70462762785149835</v>
      </c>
      <c r="AK297" s="9" t="b">
        <f t="shared" si="39"/>
        <v>1</v>
      </c>
      <c r="AL297" s="28" t="s">
        <v>1794</v>
      </c>
      <c r="AM297" s="28"/>
      <c r="AN297" s="28" t="s">
        <v>1792</v>
      </c>
    </row>
    <row r="298" spans="1:40" ht="30">
      <c r="A298" s="7">
        <v>297</v>
      </c>
      <c r="B298" s="7" t="s">
        <v>929</v>
      </c>
      <c r="C298" s="7" t="s">
        <v>49</v>
      </c>
      <c r="D298" s="7" t="s">
        <v>112</v>
      </c>
      <c r="E298" s="7" t="s">
        <v>1642</v>
      </c>
      <c r="F298" s="7" t="s">
        <v>51</v>
      </c>
      <c r="G298" s="14">
        <v>0</v>
      </c>
      <c r="H298" s="14">
        <v>0</v>
      </c>
      <c r="I298" s="15">
        <v>0</v>
      </c>
      <c r="J298" s="14">
        <v>0</v>
      </c>
      <c r="K298" s="15">
        <v>0</v>
      </c>
      <c r="L298" s="14">
        <v>0</v>
      </c>
      <c r="M298" s="14">
        <v>0</v>
      </c>
      <c r="N298" s="13"/>
      <c r="O298" s="14">
        <v>0</v>
      </c>
      <c r="P298" s="14">
        <v>0</v>
      </c>
      <c r="Q298" s="15">
        <v>0</v>
      </c>
      <c r="R298" s="17">
        <f>IFERROR(G298/(G298+Priors!$H$18),0)</f>
        <v>0</v>
      </c>
      <c r="S298" s="13">
        <v>1</v>
      </c>
      <c r="T298" s="40" t="b">
        <v>1</v>
      </c>
      <c r="U298" s="13">
        <v>0.85</v>
      </c>
      <c r="V298" s="40" t="b">
        <v>0</v>
      </c>
      <c r="W298" s="13">
        <v>1</v>
      </c>
      <c r="X298" s="17">
        <f t="shared" si="32"/>
        <v>0</v>
      </c>
      <c r="Y298" s="37">
        <f>VLOOKUP(D298,Priors!$A$18:$B$21,2,FALSE)</f>
        <v>8.4555315342179806</v>
      </c>
      <c r="Z298" s="38">
        <f t="shared" si="33"/>
        <v>8.4555315342179806</v>
      </c>
      <c r="AA298" s="39">
        <v>1</v>
      </c>
      <c r="AB298" s="38">
        <f t="shared" si="34"/>
        <v>8.4555315342179806</v>
      </c>
      <c r="AC298" s="37">
        <f>Priors!$K$18</f>
        <v>2.7435089299114512</v>
      </c>
      <c r="AD298" s="38" t="str">
        <f t="shared" si="35"/>
        <v/>
      </c>
      <c r="AE298" s="37">
        <f>Priors!$K$19</f>
        <v>0.67280088332719912</v>
      </c>
      <c r="AF298" s="38" t="str">
        <f t="shared" si="36"/>
        <v/>
      </c>
      <c r="AG298" s="17">
        <f t="shared" si="37"/>
        <v>1</v>
      </c>
      <c r="AH298" s="7" t="s">
        <v>1643</v>
      </c>
      <c r="AI298" s="7">
        <v>12</v>
      </c>
      <c r="AJ298" s="38">
        <f t="shared" si="38"/>
        <v>0.70462762785149835</v>
      </c>
      <c r="AK298" s="9" t="b">
        <f t="shared" si="39"/>
        <v>1</v>
      </c>
      <c r="AL298" s="28" t="s">
        <v>1644</v>
      </c>
      <c r="AM298" s="28" t="s">
        <v>1645</v>
      </c>
      <c r="AN298" s="28" t="s">
        <v>1792</v>
      </c>
    </row>
    <row r="299" spans="1:40" ht="30">
      <c r="A299" s="7">
        <v>298</v>
      </c>
      <c r="B299" s="7" t="s">
        <v>931</v>
      </c>
      <c r="C299" s="7" t="s">
        <v>49</v>
      </c>
      <c r="D299" s="7" t="s">
        <v>167</v>
      </c>
      <c r="E299" s="7" t="s">
        <v>1647</v>
      </c>
      <c r="F299" s="7"/>
      <c r="G299" s="14">
        <v>0</v>
      </c>
      <c r="H299" s="14"/>
      <c r="I299" s="15"/>
      <c r="J299" s="14"/>
      <c r="K299" s="15"/>
      <c r="L299" s="14"/>
      <c r="M299" s="14"/>
      <c r="N299" s="13"/>
      <c r="O299" s="14"/>
      <c r="P299" s="14"/>
      <c r="Q299" s="15"/>
      <c r="R299" s="17">
        <f>IFERROR(G299/(G299+Priors!$H$18),0)</f>
        <v>0</v>
      </c>
      <c r="S299" s="13">
        <v>0</v>
      </c>
      <c r="T299" s="40" t="b">
        <v>0</v>
      </c>
      <c r="U299" s="13">
        <v>1</v>
      </c>
      <c r="V299" s="40" t="b">
        <v>0</v>
      </c>
      <c r="W299" s="13">
        <v>1</v>
      </c>
      <c r="X299" s="17">
        <f t="shared" si="32"/>
        <v>0</v>
      </c>
      <c r="Y299" s="37">
        <f>VLOOKUP(D299,Priors!$A$18:$B$21,2,FALSE)</f>
        <v>4.5137422563476139</v>
      </c>
      <c r="Z299" s="38">
        <f t="shared" si="33"/>
        <v>4.5137422563476139</v>
      </c>
      <c r="AA299" s="39">
        <v>1</v>
      </c>
      <c r="AB299" s="38">
        <f t="shared" si="34"/>
        <v>4.5137422563476139</v>
      </c>
      <c r="AC299" s="37">
        <f>Priors!$K$18</f>
        <v>2.7435089299114512</v>
      </c>
      <c r="AD299" s="38" t="str">
        <f t="shared" si="35"/>
        <v/>
      </c>
      <c r="AE299" s="37">
        <f>Priors!$K$19</f>
        <v>0.67280088332719912</v>
      </c>
      <c r="AF299" s="38" t="str">
        <f t="shared" si="36"/>
        <v/>
      </c>
      <c r="AG299" s="17">
        <f t="shared" si="37"/>
        <v>1</v>
      </c>
      <c r="AH299" s="7" t="s">
        <v>1793</v>
      </c>
      <c r="AI299" s="7">
        <v>12</v>
      </c>
      <c r="AJ299" s="38">
        <f t="shared" si="38"/>
        <v>0.37614518802896785</v>
      </c>
      <c r="AK299" s="9" t="b">
        <f t="shared" si="39"/>
        <v>1</v>
      </c>
      <c r="AL299" s="28" t="s">
        <v>1794</v>
      </c>
      <c r="AM299" s="28"/>
      <c r="AN299" s="28" t="s">
        <v>1792</v>
      </c>
    </row>
    <row r="300" spans="1:40" ht="30">
      <c r="A300" s="7">
        <v>299</v>
      </c>
      <c r="B300" s="7" t="s">
        <v>934</v>
      </c>
      <c r="C300" s="7" t="s">
        <v>49</v>
      </c>
      <c r="D300" s="7" t="s">
        <v>167</v>
      </c>
      <c r="E300" s="7" t="s">
        <v>1647</v>
      </c>
      <c r="F300" s="7"/>
      <c r="G300" s="14">
        <v>0</v>
      </c>
      <c r="H300" s="14"/>
      <c r="I300" s="15"/>
      <c r="J300" s="14"/>
      <c r="K300" s="15"/>
      <c r="L300" s="14"/>
      <c r="M300" s="14"/>
      <c r="N300" s="13"/>
      <c r="O300" s="14"/>
      <c r="P300" s="14"/>
      <c r="Q300" s="15"/>
      <c r="R300" s="17">
        <f>IFERROR(G300/(G300+Priors!$H$18),0)</f>
        <v>0</v>
      </c>
      <c r="S300" s="13">
        <v>0</v>
      </c>
      <c r="T300" s="40" t="b">
        <v>0</v>
      </c>
      <c r="U300" s="13">
        <v>1</v>
      </c>
      <c r="V300" s="40" t="b">
        <v>0</v>
      </c>
      <c r="W300" s="13">
        <v>1</v>
      </c>
      <c r="X300" s="17">
        <f t="shared" si="32"/>
        <v>0</v>
      </c>
      <c r="Y300" s="37">
        <f>VLOOKUP(D300,Priors!$A$18:$B$21,2,FALSE)</f>
        <v>4.5137422563476139</v>
      </c>
      <c r="Z300" s="38">
        <f t="shared" si="33"/>
        <v>4.5137422563476139</v>
      </c>
      <c r="AA300" s="39">
        <v>1</v>
      </c>
      <c r="AB300" s="38">
        <f t="shared" si="34"/>
        <v>4.5137422563476139</v>
      </c>
      <c r="AC300" s="37">
        <f>Priors!$K$18</f>
        <v>2.7435089299114512</v>
      </c>
      <c r="AD300" s="38" t="str">
        <f t="shared" si="35"/>
        <v/>
      </c>
      <c r="AE300" s="37">
        <f>Priors!$K$19</f>
        <v>0.67280088332719912</v>
      </c>
      <c r="AF300" s="38" t="str">
        <f t="shared" si="36"/>
        <v/>
      </c>
      <c r="AG300" s="17">
        <f t="shared" si="37"/>
        <v>1</v>
      </c>
      <c r="AH300" s="7" t="s">
        <v>1793</v>
      </c>
      <c r="AI300" s="7">
        <v>12</v>
      </c>
      <c r="AJ300" s="38">
        <f t="shared" si="38"/>
        <v>0.37614518802896785</v>
      </c>
      <c r="AK300" s="9" t="b">
        <f t="shared" si="39"/>
        <v>1</v>
      </c>
      <c r="AL300" s="28" t="s">
        <v>1794</v>
      </c>
      <c r="AM300" s="28"/>
      <c r="AN300" s="28" t="s">
        <v>1792</v>
      </c>
    </row>
    <row r="301" spans="1:40" ht="30">
      <c r="A301" s="7">
        <v>300</v>
      </c>
      <c r="B301" s="7" t="s">
        <v>947</v>
      </c>
      <c r="C301" s="7" t="s">
        <v>50</v>
      </c>
      <c r="D301" s="7" t="s">
        <v>85</v>
      </c>
      <c r="E301" s="7" t="s">
        <v>1647</v>
      </c>
      <c r="F301" s="7"/>
      <c r="G301" s="14">
        <v>0</v>
      </c>
      <c r="H301" s="14"/>
      <c r="I301" s="15"/>
      <c r="J301" s="14"/>
      <c r="K301" s="15"/>
      <c r="L301" s="14"/>
      <c r="M301" s="14"/>
      <c r="N301" s="13"/>
      <c r="O301" s="14"/>
      <c r="P301" s="14"/>
      <c r="Q301" s="15"/>
      <c r="R301" s="17">
        <f>IFERROR(G301/(G301+Priors!$H$18),0)</f>
        <v>0</v>
      </c>
      <c r="S301" s="13">
        <v>0</v>
      </c>
      <c r="T301" s="40" t="b">
        <v>0</v>
      </c>
      <c r="U301" s="13">
        <v>1</v>
      </c>
      <c r="V301" s="40" t="b">
        <v>1</v>
      </c>
      <c r="W301" s="13">
        <v>0.9</v>
      </c>
      <c r="X301" s="17">
        <f t="shared" si="32"/>
        <v>0</v>
      </c>
      <c r="Y301" s="37">
        <f>VLOOKUP(D301,Priors!$A$18:$B$21,2,FALSE)</f>
        <v>2.6414527990394716</v>
      </c>
      <c r="Z301" s="38">
        <f t="shared" si="33"/>
        <v>2.6414527990394716</v>
      </c>
      <c r="AA301" s="39">
        <v>1</v>
      </c>
      <c r="AB301" s="38">
        <f t="shared" si="34"/>
        <v>2.6414527990394716</v>
      </c>
      <c r="AC301" s="37">
        <f>Priors!$K$18</f>
        <v>2.7435089299114512</v>
      </c>
      <c r="AD301" s="38">
        <f t="shared" si="35"/>
        <v>2.7435089299114512</v>
      </c>
      <c r="AE301" s="37">
        <f>Priors!$K$19</f>
        <v>0.67280088332719912</v>
      </c>
      <c r="AF301" s="38">
        <f t="shared" si="36"/>
        <v>0.67280088332719912</v>
      </c>
      <c r="AG301" s="17">
        <f t="shared" si="37"/>
        <v>1</v>
      </c>
      <c r="AH301" s="7" t="s">
        <v>1793</v>
      </c>
      <c r="AI301" s="7"/>
      <c r="AJ301" s="38" t="str">
        <f t="shared" si="38"/>
        <v/>
      </c>
      <c r="AK301" s="9" t="b">
        <f t="shared" si="39"/>
        <v>1</v>
      </c>
      <c r="AL301" s="28" t="s">
        <v>1794</v>
      </c>
      <c r="AM301" s="28"/>
      <c r="AN301" s="28" t="s">
        <v>1792</v>
      </c>
    </row>
    <row r="302" spans="1:40" ht="30">
      <c r="A302" s="7">
        <v>301</v>
      </c>
      <c r="B302" s="7" t="s">
        <v>553</v>
      </c>
      <c r="C302" s="7" t="s">
        <v>50</v>
      </c>
      <c r="D302" s="7" t="s">
        <v>85</v>
      </c>
      <c r="E302" s="7" t="s">
        <v>1647</v>
      </c>
      <c r="F302" s="7"/>
      <c r="G302" s="14">
        <v>0</v>
      </c>
      <c r="H302" s="14"/>
      <c r="I302" s="15"/>
      <c r="J302" s="14"/>
      <c r="K302" s="15"/>
      <c r="L302" s="14"/>
      <c r="M302" s="14"/>
      <c r="N302" s="13"/>
      <c r="O302" s="14"/>
      <c r="P302" s="14"/>
      <c r="Q302" s="15"/>
      <c r="R302" s="17">
        <f>IFERROR(G302/(G302+Priors!$H$18),0)</f>
        <v>0</v>
      </c>
      <c r="S302" s="13">
        <v>0</v>
      </c>
      <c r="T302" s="40" t="b">
        <v>0</v>
      </c>
      <c r="U302" s="13">
        <v>1</v>
      </c>
      <c r="V302" s="40" t="b">
        <v>1</v>
      </c>
      <c r="W302" s="13">
        <v>0.9</v>
      </c>
      <c r="X302" s="17">
        <f t="shared" si="32"/>
        <v>0</v>
      </c>
      <c r="Y302" s="37">
        <f>VLOOKUP(D302,Priors!$A$18:$B$21,2,FALSE)</f>
        <v>2.6414527990394716</v>
      </c>
      <c r="Z302" s="38">
        <f t="shared" si="33"/>
        <v>2.6414527990394716</v>
      </c>
      <c r="AA302" s="39">
        <v>1</v>
      </c>
      <c r="AB302" s="38">
        <f t="shared" si="34"/>
        <v>2.6414527990394716</v>
      </c>
      <c r="AC302" s="37">
        <f>Priors!$K$18</f>
        <v>2.7435089299114512</v>
      </c>
      <c r="AD302" s="38">
        <f t="shared" si="35"/>
        <v>2.7435089299114512</v>
      </c>
      <c r="AE302" s="37">
        <f>Priors!$K$19</f>
        <v>0.67280088332719912</v>
      </c>
      <c r="AF302" s="38">
        <f t="shared" si="36"/>
        <v>0.67280088332719912</v>
      </c>
      <c r="AG302" s="17">
        <f t="shared" si="37"/>
        <v>1</v>
      </c>
      <c r="AH302" s="7" t="s">
        <v>1793</v>
      </c>
      <c r="AI302" s="7"/>
      <c r="AJ302" s="38" t="str">
        <f t="shared" si="38"/>
        <v/>
      </c>
      <c r="AK302" s="9" t="b">
        <f t="shared" si="39"/>
        <v>1</v>
      </c>
      <c r="AL302" s="28" t="s">
        <v>1794</v>
      </c>
      <c r="AM302" s="28"/>
      <c r="AN302" s="28" t="s">
        <v>1792</v>
      </c>
    </row>
    <row r="303" spans="1:40" ht="30">
      <c r="A303" s="7">
        <v>302</v>
      </c>
      <c r="B303" s="7" t="s">
        <v>951</v>
      </c>
      <c r="C303" s="7" t="s">
        <v>50</v>
      </c>
      <c r="D303" s="7" t="s">
        <v>85</v>
      </c>
      <c r="E303" s="7" t="s">
        <v>1647</v>
      </c>
      <c r="F303" s="7"/>
      <c r="G303" s="14">
        <v>0</v>
      </c>
      <c r="H303" s="14"/>
      <c r="I303" s="15"/>
      <c r="J303" s="14"/>
      <c r="K303" s="15"/>
      <c r="L303" s="14"/>
      <c r="M303" s="14"/>
      <c r="N303" s="13"/>
      <c r="O303" s="14"/>
      <c r="P303" s="14"/>
      <c r="Q303" s="15"/>
      <c r="R303" s="17">
        <f>IFERROR(G303/(G303+Priors!$H$18),0)</f>
        <v>0</v>
      </c>
      <c r="S303" s="13">
        <v>0</v>
      </c>
      <c r="T303" s="40" t="b">
        <v>0</v>
      </c>
      <c r="U303" s="13">
        <v>1</v>
      </c>
      <c r="V303" s="40" t="b">
        <v>1</v>
      </c>
      <c r="W303" s="13">
        <v>0.9</v>
      </c>
      <c r="X303" s="17">
        <f t="shared" si="32"/>
        <v>0</v>
      </c>
      <c r="Y303" s="37">
        <f>VLOOKUP(D303,Priors!$A$18:$B$21,2,FALSE)</f>
        <v>2.6414527990394716</v>
      </c>
      <c r="Z303" s="38">
        <f t="shared" si="33"/>
        <v>2.6414527990394716</v>
      </c>
      <c r="AA303" s="39">
        <v>1</v>
      </c>
      <c r="AB303" s="38">
        <f t="shared" si="34"/>
        <v>2.6414527990394716</v>
      </c>
      <c r="AC303" s="37">
        <f>Priors!$K$18</f>
        <v>2.7435089299114512</v>
      </c>
      <c r="AD303" s="38">
        <f t="shared" si="35"/>
        <v>2.7435089299114512</v>
      </c>
      <c r="AE303" s="37">
        <f>Priors!$K$19</f>
        <v>0.67280088332719912</v>
      </c>
      <c r="AF303" s="38">
        <f t="shared" si="36"/>
        <v>0.67280088332719912</v>
      </c>
      <c r="AG303" s="17">
        <f t="shared" si="37"/>
        <v>1</v>
      </c>
      <c r="AH303" s="7" t="s">
        <v>1793</v>
      </c>
      <c r="AI303" s="7"/>
      <c r="AJ303" s="38" t="str">
        <f t="shared" si="38"/>
        <v/>
      </c>
      <c r="AK303" s="9" t="b">
        <f t="shared" si="39"/>
        <v>1</v>
      </c>
      <c r="AL303" s="28" t="s">
        <v>1794</v>
      </c>
      <c r="AM303" s="28"/>
      <c r="AN303" s="28" t="s">
        <v>1792</v>
      </c>
    </row>
    <row r="304" spans="1:40" ht="30">
      <c r="A304" s="7">
        <v>303</v>
      </c>
      <c r="B304" s="7" t="s">
        <v>954</v>
      </c>
      <c r="C304" s="7" t="s">
        <v>50</v>
      </c>
      <c r="D304" s="7" t="s">
        <v>99</v>
      </c>
      <c r="E304" s="7" t="s">
        <v>1654</v>
      </c>
      <c r="F304" s="7" t="s">
        <v>50</v>
      </c>
      <c r="G304" s="14">
        <v>2700</v>
      </c>
      <c r="H304" s="14"/>
      <c r="I304" s="15"/>
      <c r="J304" s="14"/>
      <c r="K304" s="15"/>
      <c r="L304" s="14"/>
      <c r="M304" s="14"/>
      <c r="N304" s="13"/>
      <c r="O304" s="14"/>
      <c r="P304" s="14"/>
      <c r="Q304" s="15"/>
      <c r="R304" s="17">
        <f>IFERROR(G304/(G304+Priors!$H$18),0)</f>
        <v>0.72972972972972971</v>
      </c>
      <c r="S304" s="13">
        <v>0</v>
      </c>
      <c r="T304" s="40" t="b">
        <v>0</v>
      </c>
      <c r="U304" s="13">
        <v>1</v>
      </c>
      <c r="V304" s="40" t="b">
        <v>1</v>
      </c>
      <c r="W304" s="13">
        <v>0.9</v>
      </c>
      <c r="X304" s="17">
        <f t="shared" si="32"/>
        <v>0</v>
      </c>
      <c r="Y304" s="37">
        <f>VLOOKUP(D304,Priors!$A$18:$B$21,2,FALSE)</f>
        <v>8.7398272304160223</v>
      </c>
      <c r="Z304" s="38">
        <f t="shared" si="33"/>
        <v>8.7398272304160223</v>
      </c>
      <c r="AA304" s="39">
        <v>1</v>
      </c>
      <c r="AB304" s="38">
        <f t="shared" si="34"/>
        <v>8.7398272304160223</v>
      </c>
      <c r="AC304" s="37">
        <f>Priors!$K$18</f>
        <v>2.7435089299114512</v>
      </c>
      <c r="AD304" s="38" t="str">
        <f t="shared" si="35"/>
        <v/>
      </c>
      <c r="AE304" s="37">
        <f>Priors!$K$19</f>
        <v>0.67280088332719912</v>
      </c>
      <c r="AF304" s="38" t="str">
        <f t="shared" si="36"/>
        <v/>
      </c>
      <c r="AG304" s="17">
        <f t="shared" si="37"/>
        <v>1</v>
      </c>
      <c r="AH304" s="7" t="s">
        <v>1793</v>
      </c>
      <c r="AI304" s="7">
        <v>10</v>
      </c>
      <c r="AJ304" s="38">
        <f t="shared" si="38"/>
        <v>0.87398272304160218</v>
      </c>
      <c r="AK304" s="9" t="b">
        <f t="shared" si="39"/>
        <v>1</v>
      </c>
      <c r="AL304" s="28" t="s">
        <v>1794</v>
      </c>
      <c r="AM304" s="28"/>
      <c r="AN304" s="28" t="s">
        <v>1792</v>
      </c>
    </row>
    <row r="305" spans="1:40" ht="30">
      <c r="A305" s="7">
        <v>304</v>
      </c>
      <c r="B305" s="7" t="s">
        <v>956</v>
      </c>
      <c r="C305" s="7" t="s">
        <v>50</v>
      </c>
      <c r="D305" s="7" t="s">
        <v>99</v>
      </c>
      <c r="E305" s="7" t="s">
        <v>1654</v>
      </c>
      <c r="F305" s="7" t="s">
        <v>50</v>
      </c>
      <c r="G305" s="14">
        <v>4243</v>
      </c>
      <c r="H305" s="14"/>
      <c r="I305" s="15"/>
      <c r="J305" s="14"/>
      <c r="K305" s="15"/>
      <c r="L305" s="14"/>
      <c r="M305" s="14"/>
      <c r="N305" s="13"/>
      <c r="O305" s="14"/>
      <c r="P305" s="14"/>
      <c r="Q305" s="15"/>
      <c r="R305" s="17">
        <f>IFERROR(G305/(G305+Priors!$H$18),0)</f>
        <v>0.80926950219340077</v>
      </c>
      <c r="S305" s="13">
        <v>0</v>
      </c>
      <c r="T305" s="40" t="b">
        <v>0</v>
      </c>
      <c r="U305" s="13">
        <v>1</v>
      </c>
      <c r="V305" s="40" t="b">
        <v>1</v>
      </c>
      <c r="W305" s="13">
        <v>0.9</v>
      </c>
      <c r="X305" s="17">
        <f t="shared" si="32"/>
        <v>0</v>
      </c>
      <c r="Y305" s="37">
        <f>VLOOKUP(D305,Priors!$A$18:$B$21,2,FALSE)</f>
        <v>8.7398272304160223</v>
      </c>
      <c r="Z305" s="38">
        <f t="shared" si="33"/>
        <v>8.7398272304160223</v>
      </c>
      <c r="AA305" s="39">
        <v>1</v>
      </c>
      <c r="AB305" s="38">
        <f t="shared" si="34"/>
        <v>8.7398272304160223</v>
      </c>
      <c r="AC305" s="37">
        <f>Priors!$K$18</f>
        <v>2.7435089299114512</v>
      </c>
      <c r="AD305" s="38" t="str">
        <f t="shared" si="35"/>
        <v/>
      </c>
      <c r="AE305" s="37">
        <f>Priors!$K$19</f>
        <v>0.67280088332719912</v>
      </c>
      <c r="AF305" s="38" t="str">
        <f t="shared" si="36"/>
        <v/>
      </c>
      <c r="AG305" s="17">
        <f t="shared" si="37"/>
        <v>1</v>
      </c>
      <c r="AH305" s="7" t="s">
        <v>1793</v>
      </c>
      <c r="AI305" s="7">
        <v>10</v>
      </c>
      <c r="AJ305" s="38">
        <f t="shared" si="38"/>
        <v>0.87398272304160218</v>
      </c>
      <c r="AK305" s="9" t="b">
        <f t="shared" si="39"/>
        <v>1</v>
      </c>
      <c r="AL305" s="28" t="s">
        <v>1794</v>
      </c>
      <c r="AM305" s="28"/>
      <c r="AN305" s="28" t="s">
        <v>1792</v>
      </c>
    </row>
    <row r="306" spans="1:40" ht="30">
      <c r="A306" s="7">
        <v>305</v>
      </c>
      <c r="B306" s="7" t="s">
        <v>959</v>
      </c>
      <c r="C306" s="7" t="s">
        <v>50</v>
      </c>
      <c r="D306" s="7" t="s">
        <v>99</v>
      </c>
      <c r="E306" s="7" t="s">
        <v>1654</v>
      </c>
      <c r="F306" s="7" t="s">
        <v>50</v>
      </c>
      <c r="G306" s="14">
        <v>3300</v>
      </c>
      <c r="H306" s="14"/>
      <c r="I306" s="15"/>
      <c r="J306" s="14"/>
      <c r="K306" s="15"/>
      <c r="L306" s="14"/>
      <c r="M306" s="14"/>
      <c r="N306" s="13"/>
      <c r="O306" s="14"/>
      <c r="P306" s="14"/>
      <c r="Q306" s="15"/>
      <c r="R306" s="17">
        <f>IFERROR(G306/(G306+Priors!$H$18),0)</f>
        <v>0.76744186046511631</v>
      </c>
      <c r="S306" s="13">
        <v>0</v>
      </c>
      <c r="T306" s="40" t="b">
        <v>0</v>
      </c>
      <c r="U306" s="13">
        <v>1</v>
      </c>
      <c r="V306" s="40" t="b">
        <v>1</v>
      </c>
      <c r="W306" s="13">
        <v>0.9</v>
      </c>
      <c r="X306" s="17">
        <f t="shared" si="32"/>
        <v>0</v>
      </c>
      <c r="Y306" s="37">
        <f>VLOOKUP(D306,Priors!$A$18:$B$21,2,FALSE)</f>
        <v>8.7398272304160223</v>
      </c>
      <c r="Z306" s="38">
        <f t="shared" si="33"/>
        <v>8.7398272304160223</v>
      </c>
      <c r="AA306" s="39">
        <v>1</v>
      </c>
      <c r="AB306" s="38">
        <f t="shared" si="34"/>
        <v>8.7398272304160223</v>
      </c>
      <c r="AC306" s="37">
        <f>Priors!$K$18</f>
        <v>2.7435089299114512</v>
      </c>
      <c r="AD306" s="38" t="str">
        <f t="shared" si="35"/>
        <v/>
      </c>
      <c r="AE306" s="37">
        <f>Priors!$K$19</f>
        <v>0.67280088332719912</v>
      </c>
      <c r="AF306" s="38" t="str">
        <f t="shared" si="36"/>
        <v/>
      </c>
      <c r="AG306" s="17">
        <f t="shared" si="37"/>
        <v>1</v>
      </c>
      <c r="AH306" s="7" t="s">
        <v>1793</v>
      </c>
      <c r="AI306" s="7">
        <v>10</v>
      </c>
      <c r="AJ306" s="38">
        <f t="shared" si="38"/>
        <v>0.87398272304160218</v>
      </c>
      <c r="AK306" s="9" t="b">
        <f t="shared" si="39"/>
        <v>1</v>
      </c>
      <c r="AL306" s="28" t="s">
        <v>1794</v>
      </c>
      <c r="AM306" s="28"/>
      <c r="AN306" s="28" t="s">
        <v>1792</v>
      </c>
    </row>
    <row r="307" spans="1:40" ht="30">
      <c r="A307" s="7">
        <v>306</v>
      </c>
      <c r="B307" s="7" t="s">
        <v>962</v>
      </c>
      <c r="C307" s="7" t="s">
        <v>50</v>
      </c>
      <c r="D307" s="7" t="s">
        <v>99</v>
      </c>
      <c r="E307" s="7" t="s">
        <v>1654</v>
      </c>
      <c r="F307" s="7" t="s">
        <v>50</v>
      </c>
      <c r="G307" s="14">
        <v>2186</v>
      </c>
      <c r="H307" s="14"/>
      <c r="I307" s="15"/>
      <c r="J307" s="14"/>
      <c r="K307" s="15"/>
      <c r="L307" s="14"/>
      <c r="M307" s="14"/>
      <c r="N307" s="13"/>
      <c r="O307" s="14"/>
      <c r="P307" s="14"/>
      <c r="Q307" s="15"/>
      <c r="R307" s="17">
        <f>IFERROR(G307/(G307+Priors!$H$18),0)</f>
        <v>0.68612680477087262</v>
      </c>
      <c r="S307" s="13">
        <v>0</v>
      </c>
      <c r="T307" s="40" t="b">
        <v>0</v>
      </c>
      <c r="U307" s="13">
        <v>1</v>
      </c>
      <c r="V307" s="40" t="b">
        <v>1</v>
      </c>
      <c r="W307" s="13">
        <v>0.9</v>
      </c>
      <c r="X307" s="17">
        <f t="shared" si="32"/>
        <v>0</v>
      </c>
      <c r="Y307" s="37">
        <f>VLOOKUP(D307,Priors!$A$18:$B$21,2,FALSE)</f>
        <v>8.7398272304160223</v>
      </c>
      <c r="Z307" s="38">
        <f t="shared" si="33"/>
        <v>8.7398272304160223</v>
      </c>
      <c r="AA307" s="39">
        <v>1</v>
      </c>
      <c r="AB307" s="38">
        <f t="shared" si="34"/>
        <v>8.7398272304160223</v>
      </c>
      <c r="AC307" s="37">
        <f>Priors!$K$18</f>
        <v>2.7435089299114512</v>
      </c>
      <c r="AD307" s="38" t="str">
        <f t="shared" si="35"/>
        <v/>
      </c>
      <c r="AE307" s="37">
        <f>Priors!$K$19</f>
        <v>0.67280088332719912</v>
      </c>
      <c r="AF307" s="38" t="str">
        <f t="shared" si="36"/>
        <v/>
      </c>
      <c r="AG307" s="17">
        <f t="shared" si="37"/>
        <v>1</v>
      </c>
      <c r="AH307" s="7" t="s">
        <v>1793</v>
      </c>
      <c r="AI307" s="7">
        <v>10</v>
      </c>
      <c r="AJ307" s="38">
        <f t="shared" si="38"/>
        <v>0.87398272304160218</v>
      </c>
      <c r="AK307" s="9" t="b">
        <f t="shared" si="39"/>
        <v>1</v>
      </c>
      <c r="AL307" s="28" t="s">
        <v>1794</v>
      </c>
      <c r="AM307" s="28"/>
      <c r="AN307" s="28" t="s">
        <v>1792</v>
      </c>
    </row>
    <row r="308" spans="1:40" ht="30">
      <c r="A308" s="7">
        <v>307</v>
      </c>
      <c r="B308" s="7" t="s">
        <v>700</v>
      </c>
      <c r="C308" s="7" t="s">
        <v>50</v>
      </c>
      <c r="D308" s="7" t="s">
        <v>99</v>
      </c>
      <c r="E308" s="7" t="s">
        <v>1647</v>
      </c>
      <c r="F308" s="7"/>
      <c r="G308" s="14">
        <v>0</v>
      </c>
      <c r="H308" s="14"/>
      <c r="I308" s="15"/>
      <c r="J308" s="14"/>
      <c r="K308" s="15"/>
      <c r="L308" s="14"/>
      <c r="M308" s="14"/>
      <c r="N308" s="13"/>
      <c r="O308" s="14"/>
      <c r="P308" s="14"/>
      <c r="Q308" s="15"/>
      <c r="R308" s="17">
        <f>IFERROR(G308/(G308+Priors!$H$18),0)</f>
        <v>0</v>
      </c>
      <c r="S308" s="13">
        <v>0</v>
      </c>
      <c r="T308" s="40" t="b">
        <v>0</v>
      </c>
      <c r="U308" s="13">
        <v>1</v>
      </c>
      <c r="V308" s="40" t="b">
        <v>1</v>
      </c>
      <c r="W308" s="13">
        <v>0.9</v>
      </c>
      <c r="X308" s="17">
        <f t="shared" si="32"/>
        <v>0</v>
      </c>
      <c r="Y308" s="37">
        <f>VLOOKUP(D308,Priors!$A$18:$B$21,2,FALSE)</f>
        <v>8.7398272304160223</v>
      </c>
      <c r="Z308" s="38">
        <f t="shared" si="33"/>
        <v>8.7398272304160223</v>
      </c>
      <c r="AA308" s="39">
        <v>1</v>
      </c>
      <c r="AB308" s="38">
        <f t="shared" si="34"/>
        <v>8.7398272304160223</v>
      </c>
      <c r="AC308" s="37">
        <f>Priors!$K$18</f>
        <v>2.7435089299114512</v>
      </c>
      <c r="AD308" s="38" t="str">
        <f t="shared" si="35"/>
        <v/>
      </c>
      <c r="AE308" s="37">
        <f>Priors!$K$19</f>
        <v>0.67280088332719912</v>
      </c>
      <c r="AF308" s="38" t="str">
        <f t="shared" si="36"/>
        <v/>
      </c>
      <c r="AG308" s="17">
        <f t="shared" si="37"/>
        <v>1</v>
      </c>
      <c r="AH308" s="7" t="s">
        <v>1793</v>
      </c>
      <c r="AI308" s="7">
        <v>10</v>
      </c>
      <c r="AJ308" s="38">
        <f t="shared" si="38"/>
        <v>0.87398272304160218</v>
      </c>
      <c r="AK308" s="9" t="b">
        <f t="shared" si="39"/>
        <v>1</v>
      </c>
      <c r="AL308" s="28" t="s">
        <v>1794</v>
      </c>
      <c r="AM308" s="28"/>
      <c r="AN308" s="28" t="s">
        <v>1792</v>
      </c>
    </row>
    <row r="309" spans="1:40" ht="30">
      <c r="A309" s="7">
        <v>308</v>
      </c>
      <c r="B309" s="7" t="s">
        <v>966</v>
      </c>
      <c r="C309" s="7" t="s">
        <v>50</v>
      </c>
      <c r="D309" s="7" t="s">
        <v>99</v>
      </c>
      <c r="E309" s="7" t="s">
        <v>1654</v>
      </c>
      <c r="F309" s="7" t="s">
        <v>50</v>
      </c>
      <c r="G309" s="14">
        <v>3960</v>
      </c>
      <c r="H309" s="14"/>
      <c r="I309" s="15"/>
      <c r="J309" s="14"/>
      <c r="K309" s="15"/>
      <c r="L309" s="14"/>
      <c r="M309" s="14"/>
      <c r="N309" s="13"/>
      <c r="O309" s="14"/>
      <c r="P309" s="14"/>
      <c r="Q309" s="15"/>
      <c r="R309" s="17">
        <f>IFERROR(G309/(G309+Priors!$H$18),0)</f>
        <v>0.79838709677419351</v>
      </c>
      <c r="S309" s="13">
        <v>0</v>
      </c>
      <c r="T309" s="40" t="b">
        <v>0</v>
      </c>
      <c r="U309" s="13">
        <v>1</v>
      </c>
      <c r="V309" s="40" t="b">
        <v>1</v>
      </c>
      <c r="W309" s="13">
        <v>0.9</v>
      </c>
      <c r="X309" s="17">
        <f t="shared" si="32"/>
        <v>0</v>
      </c>
      <c r="Y309" s="37">
        <f>VLOOKUP(D309,Priors!$A$18:$B$21,2,FALSE)</f>
        <v>8.7398272304160223</v>
      </c>
      <c r="Z309" s="38">
        <f t="shared" si="33"/>
        <v>8.7398272304160223</v>
      </c>
      <c r="AA309" s="39">
        <v>1</v>
      </c>
      <c r="AB309" s="38">
        <f t="shared" si="34"/>
        <v>8.7398272304160223</v>
      </c>
      <c r="AC309" s="37">
        <f>Priors!$K$18</f>
        <v>2.7435089299114512</v>
      </c>
      <c r="AD309" s="38" t="str">
        <f t="shared" si="35"/>
        <v/>
      </c>
      <c r="AE309" s="37">
        <f>Priors!$K$19</f>
        <v>0.67280088332719912</v>
      </c>
      <c r="AF309" s="38" t="str">
        <f t="shared" si="36"/>
        <v/>
      </c>
      <c r="AG309" s="17">
        <f t="shared" si="37"/>
        <v>1</v>
      </c>
      <c r="AH309" s="7" t="s">
        <v>1793</v>
      </c>
      <c r="AI309" s="7">
        <v>10</v>
      </c>
      <c r="AJ309" s="38">
        <f t="shared" si="38"/>
        <v>0.87398272304160218</v>
      </c>
      <c r="AK309" s="9" t="b">
        <f t="shared" si="39"/>
        <v>1</v>
      </c>
      <c r="AL309" s="28" t="s">
        <v>1794</v>
      </c>
      <c r="AM309" s="28"/>
      <c r="AN309" s="28" t="s">
        <v>1792</v>
      </c>
    </row>
    <row r="310" spans="1:40" ht="30">
      <c r="A310" s="7">
        <v>309</v>
      </c>
      <c r="B310" s="7" t="s">
        <v>969</v>
      </c>
      <c r="C310" s="7" t="s">
        <v>50</v>
      </c>
      <c r="D310" s="7" t="s">
        <v>112</v>
      </c>
      <c r="E310" s="7" t="s">
        <v>1654</v>
      </c>
      <c r="F310" s="7" t="s">
        <v>50</v>
      </c>
      <c r="G310" s="14">
        <v>2168</v>
      </c>
      <c r="H310" s="14"/>
      <c r="I310" s="15"/>
      <c r="J310" s="14"/>
      <c r="K310" s="15"/>
      <c r="L310" s="14"/>
      <c r="M310" s="14"/>
      <c r="N310" s="13"/>
      <c r="O310" s="14"/>
      <c r="P310" s="14"/>
      <c r="Q310" s="15"/>
      <c r="R310" s="17">
        <f>IFERROR(G310/(G310+Priors!$H$18),0)</f>
        <v>0.68434343434343436</v>
      </c>
      <c r="S310" s="13">
        <v>0</v>
      </c>
      <c r="T310" s="40" t="b">
        <v>0</v>
      </c>
      <c r="U310" s="13">
        <v>1</v>
      </c>
      <c r="V310" s="40" t="b">
        <v>1</v>
      </c>
      <c r="W310" s="13">
        <v>0.9</v>
      </c>
      <c r="X310" s="17">
        <f t="shared" si="32"/>
        <v>0</v>
      </c>
      <c r="Y310" s="37">
        <f>VLOOKUP(D310,Priors!$A$18:$B$21,2,FALSE)</f>
        <v>8.4555315342179806</v>
      </c>
      <c r="Z310" s="38">
        <f t="shared" si="33"/>
        <v>8.4555315342179806</v>
      </c>
      <c r="AA310" s="39">
        <v>1</v>
      </c>
      <c r="AB310" s="38">
        <f t="shared" si="34"/>
        <v>8.4555315342179806</v>
      </c>
      <c r="AC310" s="37">
        <f>Priors!$K$18</f>
        <v>2.7435089299114512</v>
      </c>
      <c r="AD310" s="38" t="str">
        <f t="shared" si="35"/>
        <v/>
      </c>
      <c r="AE310" s="37">
        <f>Priors!$K$19</f>
        <v>0.67280088332719912</v>
      </c>
      <c r="AF310" s="38" t="str">
        <f t="shared" si="36"/>
        <v/>
      </c>
      <c r="AG310" s="17">
        <f t="shared" si="37"/>
        <v>1</v>
      </c>
      <c r="AH310" s="7" t="s">
        <v>1793</v>
      </c>
      <c r="AI310" s="7">
        <v>12</v>
      </c>
      <c r="AJ310" s="38">
        <f t="shared" si="38"/>
        <v>0.70462762785149835</v>
      </c>
      <c r="AK310" s="9" t="b">
        <f t="shared" si="39"/>
        <v>1</v>
      </c>
      <c r="AL310" s="28" t="s">
        <v>1794</v>
      </c>
      <c r="AM310" s="28"/>
      <c r="AN310" s="28" t="s">
        <v>1792</v>
      </c>
    </row>
    <row r="311" spans="1:40" ht="30">
      <c r="A311" s="7">
        <v>310</v>
      </c>
      <c r="B311" s="7" t="s">
        <v>971</v>
      </c>
      <c r="C311" s="7" t="s">
        <v>50</v>
      </c>
      <c r="D311" s="7" t="s">
        <v>112</v>
      </c>
      <c r="E311" s="7" t="s">
        <v>1654</v>
      </c>
      <c r="F311" s="7" t="s">
        <v>50</v>
      </c>
      <c r="G311" s="14">
        <v>2700</v>
      </c>
      <c r="H311" s="14"/>
      <c r="I311" s="15"/>
      <c r="J311" s="14"/>
      <c r="K311" s="15"/>
      <c r="L311" s="14"/>
      <c r="M311" s="14"/>
      <c r="N311" s="13"/>
      <c r="O311" s="14"/>
      <c r="P311" s="14"/>
      <c r="Q311" s="15"/>
      <c r="R311" s="17">
        <f>IFERROR(G311/(G311+Priors!$H$18),0)</f>
        <v>0.72972972972972971</v>
      </c>
      <c r="S311" s="13">
        <v>0</v>
      </c>
      <c r="T311" s="40" t="b">
        <v>0</v>
      </c>
      <c r="U311" s="13">
        <v>1</v>
      </c>
      <c r="V311" s="40" t="b">
        <v>1</v>
      </c>
      <c r="W311" s="13">
        <v>0.9</v>
      </c>
      <c r="X311" s="17">
        <f t="shared" si="32"/>
        <v>0</v>
      </c>
      <c r="Y311" s="37">
        <f>VLOOKUP(D311,Priors!$A$18:$B$21,2,FALSE)</f>
        <v>8.4555315342179806</v>
      </c>
      <c r="Z311" s="38">
        <f t="shared" si="33"/>
        <v>8.4555315342179806</v>
      </c>
      <c r="AA311" s="39">
        <v>1</v>
      </c>
      <c r="AB311" s="38">
        <f t="shared" si="34"/>
        <v>8.4555315342179806</v>
      </c>
      <c r="AC311" s="37">
        <f>Priors!$K$18</f>
        <v>2.7435089299114512</v>
      </c>
      <c r="AD311" s="38" t="str">
        <f t="shared" si="35"/>
        <v/>
      </c>
      <c r="AE311" s="37">
        <f>Priors!$K$19</f>
        <v>0.67280088332719912</v>
      </c>
      <c r="AF311" s="38" t="str">
        <f t="shared" si="36"/>
        <v/>
      </c>
      <c r="AG311" s="17">
        <f t="shared" si="37"/>
        <v>1</v>
      </c>
      <c r="AH311" s="7" t="s">
        <v>1793</v>
      </c>
      <c r="AI311" s="7">
        <v>12</v>
      </c>
      <c r="AJ311" s="38">
        <f t="shared" si="38"/>
        <v>0.70462762785149835</v>
      </c>
      <c r="AK311" s="9" t="b">
        <f t="shared" si="39"/>
        <v>1</v>
      </c>
      <c r="AL311" s="28" t="s">
        <v>1794</v>
      </c>
      <c r="AM311" s="28"/>
      <c r="AN311" s="28" t="s">
        <v>1792</v>
      </c>
    </row>
    <row r="312" spans="1:40" ht="30">
      <c r="A312" s="7">
        <v>311</v>
      </c>
      <c r="B312" s="7" t="s">
        <v>975</v>
      </c>
      <c r="C312" s="7" t="s">
        <v>50</v>
      </c>
      <c r="D312" s="7" t="s">
        <v>112</v>
      </c>
      <c r="E312" s="7" t="s">
        <v>1647</v>
      </c>
      <c r="F312" s="7"/>
      <c r="G312" s="14">
        <v>0</v>
      </c>
      <c r="H312" s="14"/>
      <c r="I312" s="15"/>
      <c r="J312" s="14"/>
      <c r="K312" s="15"/>
      <c r="L312" s="14"/>
      <c r="M312" s="14"/>
      <c r="N312" s="13"/>
      <c r="O312" s="14"/>
      <c r="P312" s="14"/>
      <c r="Q312" s="15"/>
      <c r="R312" s="17">
        <f>IFERROR(G312/(G312+Priors!$H$18),0)</f>
        <v>0</v>
      </c>
      <c r="S312" s="13">
        <v>0</v>
      </c>
      <c r="T312" s="40" t="b">
        <v>0</v>
      </c>
      <c r="U312" s="13">
        <v>1</v>
      </c>
      <c r="V312" s="40" t="b">
        <v>1</v>
      </c>
      <c r="W312" s="13">
        <v>0.9</v>
      </c>
      <c r="X312" s="17">
        <f t="shared" si="32"/>
        <v>0</v>
      </c>
      <c r="Y312" s="37">
        <f>VLOOKUP(D312,Priors!$A$18:$B$21,2,FALSE)</f>
        <v>8.4555315342179806</v>
      </c>
      <c r="Z312" s="38">
        <f t="shared" si="33"/>
        <v>8.4555315342179806</v>
      </c>
      <c r="AA312" s="39">
        <v>1</v>
      </c>
      <c r="AB312" s="38">
        <f t="shared" si="34"/>
        <v>8.4555315342179806</v>
      </c>
      <c r="AC312" s="37">
        <f>Priors!$K$18</f>
        <v>2.7435089299114512</v>
      </c>
      <c r="AD312" s="38" t="str">
        <f t="shared" si="35"/>
        <v/>
      </c>
      <c r="AE312" s="37">
        <f>Priors!$K$19</f>
        <v>0.67280088332719912</v>
      </c>
      <c r="AF312" s="38" t="str">
        <f t="shared" si="36"/>
        <v/>
      </c>
      <c r="AG312" s="17">
        <f t="shared" si="37"/>
        <v>1</v>
      </c>
      <c r="AH312" s="7" t="s">
        <v>1793</v>
      </c>
      <c r="AI312" s="7">
        <v>12</v>
      </c>
      <c r="AJ312" s="38">
        <f t="shared" si="38"/>
        <v>0.70462762785149835</v>
      </c>
      <c r="AK312" s="9" t="b">
        <f t="shared" si="39"/>
        <v>1</v>
      </c>
      <c r="AL312" s="28" t="s">
        <v>1794</v>
      </c>
      <c r="AM312" s="28"/>
      <c r="AN312" s="28" t="s">
        <v>1792</v>
      </c>
    </row>
    <row r="313" spans="1:40" ht="30">
      <c r="A313" s="7">
        <v>312</v>
      </c>
      <c r="B313" s="7" t="s">
        <v>978</v>
      </c>
      <c r="C313" s="7" t="s">
        <v>50</v>
      </c>
      <c r="D313" s="7" t="s">
        <v>112</v>
      </c>
      <c r="E313" s="7" t="s">
        <v>1654</v>
      </c>
      <c r="F313" s="7" t="s">
        <v>50</v>
      </c>
      <c r="G313" s="14">
        <v>2025</v>
      </c>
      <c r="H313" s="14"/>
      <c r="I313" s="15"/>
      <c r="J313" s="14"/>
      <c r="K313" s="15"/>
      <c r="L313" s="14"/>
      <c r="M313" s="14"/>
      <c r="N313" s="13"/>
      <c r="O313" s="14"/>
      <c r="P313" s="14"/>
      <c r="Q313" s="15"/>
      <c r="R313" s="17">
        <f>IFERROR(G313/(G313+Priors!$H$18),0)</f>
        <v>0.66942148760330578</v>
      </c>
      <c r="S313" s="13">
        <v>0</v>
      </c>
      <c r="T313" s="40" t="b">
        <v>0</v>
      </c>
      <c r="U313" s="13">
        <v>1</v>
      </c>
      <c r="V313" s="40" t="b">
        <v>1</v>
      </c>
      <c r="W313" s="13">
        <v>0.9</v>
      </c>
      <c r="X313" s="17">
        <f t="shared" si="32"/>
        <v>0</v>
      </c>
      <c r="Y313" s="37">
        <f>VLOOKUP(D313,Priors!$A$18:$B$21,2,FALSE)</f>
        <v>8.4555315342179806</v>
      </c>
      <c r="Z313" s="38">
        <f t="shared" si="33"/>
        <v>8.4555315342179806</v>
      </c>
      <c r="AA313" s="39">
        <v>1</v>
      </c>
      <c r="AB313" s="38">
        <f t="shared" si="34"/>
        <v>8.4555315342179806</v>
      </c>
      <c r="AC313" s="37">
        <f>Priors!$K$18</f>
        <v>2.7435089299114512</v>
      </c>
      <c r="AD313" s="38" t="str">
        <f t="shared" si="35"/>
        <v/>
      </c>
      <c r="AE313" s="37">
        <f>Priors!$K$19</f>
        <v>0.67280088332719912</v>
      </c>
      <c r="AF313" s="38" t="str">
        <f t="shared" si="36"/>
        <v/>
      </c>
      <c r="AG313" s="17">
        <f t="shared" si="37"/>
        <v>1</v>
      </c>
      <c r="AH313" s="7" t="s">
        <v>1793</v>
      </c>
      <c r="AI313" s="7">
        <v>12</v>
      </c>
      <c r="AJ313" s="38">
        <f t="shared" si="38"/>
        <v>0.70462762785149835</v>
      </c>
      <c r="AK313" s="9" t="b">
        <f t="shared" si="39"/>
        <v>1</v>
      </c>
      <c r="AL313" s="28" t="s">
        <v>1794</v>
      </c>
      <c r="AM313" s="28"/>
      <c r="AN313" s="28" t="s">
        <v>1792</v>
      </c>
    </row>
    <row r="314" spans="1:40" ht="30">
      <c r="A314" s="7">
        <v>313</v>
      </c>
      <c r="B314" s="7" t="s">
        <v>981</v>
      </c>
      <c r="C314" s="7" t="s">
        <v>50</v>
      </c>
      <c r="D314" s="7" t="s">
        <v>112</v>
      </c>
      <c r="E314" s="7" t="s">
        <v>1654</v>
      </c>
      <c r="F314" s="7" t="s">
        <v>50</v>
      </c>
      <c r="G314" s="14">
        <v>2400</v>
      </c>
      <c r="H314" s="14"/>
      <c r="I314" s="15"/>
      <c r="J314" s="14"/>
      <c r="K314" s="15"/>
      <c r="L314" s="14"/>
      <c r="M314" s="14"/>
      <c r="N314" s="13"/>
      <c r="O314" s="14"/>
      <c r="P314" s="14"/>
      <c r="Q314" s="15"/>
      <c r="R314" s="17">
        <f>IFERROR(G314/(G314+Priors!$H$18),0)</f>
        <v>0.70588235294117652</v>
      </c>
      <c r="S314" s="13">
        <v>0</v>
      </c>
      <c r="T314" s="40" t="b">
        <v>0</v>
      </c>
      <c r="U314" s="13">
        <v>1</v>
      </c>
      <c r="V314" s="40" t="b">
        <v>1</v>
      </c>
      <c r="W314" s="13">
        <v>0.9</v>
      </c>
      <c r="X314" s="17">
        <f t="shared" si="32"/>
        <v>0</v>
      </c>
      <c r="Y314" s="37">
        <f>VLOOKUP(D314,Priors!$A$18:$B$21,2,FALSE)</f>
        <v>8.4555315342179806</v>
      </c>
      <c r="Z314" s="38">
        <f t="shared" si="33"/>
        <v>8.4555315342179806</v>
      </c>
      <c r="AA314" s="39">
        <v>1</v>
      </c>
      <c r="AB314" s="38">
        <f t="shared" si="34"/>
        <v>8.4555315342179806</v>
      </c>
      <c r="AC314" s="37">
        <f>Priors!$K$18</f>
        <v>2.7435089299114512</v>
      </c>
      <c r="AD314" s="38" t="str">
        <f t="shared" si="35"/>
        <v/>
      </c>
      <c r="AE314" s="37">
        <f>Priors!$K$19</f>
        <v>0.67280088332719912</v>
      </c>
      <c r="AF314" s="38" t="str">
        <f t="shared" si="36"/>
        <v/>
      </c>
      <c r="AG314" s="17">
        <f t="shared" si="37"/>
        <v>1</v>
      </c>
      <c r="AH314" s="7" t="s">
        <v>1793</v>
      </c>
      <c r="AI314" s="7">
        <v>12</v>
      </c>
      <c r="AJ314" s="38">
        <f t="shared" si="38"/>
        <v>0.70462762785149835</v>
      </c>
      <c r="AK314" s="9" t="b">
        <f t="shared" si="39"/>
        <v>1</v>
      </c>
      <c r="AL314" s="28" t="s">
        <v>1794</v>
      </c>
      <c r="AM314" s="28"/>
      <c r="AN314" s="28" t="s">
        <v>1792</v>
      </c>
    </row>
    <row r="315" spans="1:40" ht="30">
      <c r="A315" s="7">
        <v>314</v>
      </c>
      <c r="B315" s="7" t="s">
        <v>984</v>
      </c>
      <c r="C315" s="7" t="s">
        <v>50</v>
      </c>
      <c r="D315" s="7" t="s">
        <v>112</v>
      </c>
      <c r="E315" s="7" t="s">
        <v>1647</v>
      </c>
      <c r="F315" s="7"/>
      <c r="G315" s="14">
        <v>0</v>
      </c>
      <c r="H315" s="14"/>
      <c r="I315" s="15"/>
      <c r="J315" s="14"/>
      <c r="K315" s="15"/>
      <c r="L315" s="14"/>
      <c r="M315" s="14"/>
      <c r="N315" s="13"/>
      <c r="O315" s="14"/>
      <c r="P315" s="14"/>
      <c r="Q315" s="15"/>
      <c r="R315" s="17">
        <f>IFERROR(G315/(G315+Priors!$H$18),0)</f>
        <v>0</v>
      </c>
      <c r="S315" s="13">
        <v>0</v>
      </c>
      <c r="T315" s="40" t="b">
        <v>0</v>
      </c>
      <c r="U315" s="13">
        <v>1</v>
      </c>
      <c r="V315" s="40" t="b">
        <v>1</v>
      </c>
      <c r="W315" s="13">
        <v>0.9</v>
      </c>
      <c r="X315" s="17">
        <f t="shared" si="32"/>
        <v>0</v>
      </c>
      <c r="Y315" s="37">
        <f>VLOOKUP(D315,Priors!$A$18:$B$21,2,FALSE)</f>
        <v>8.4555315342179806</v>
      </c>
      <c r="Z315" s="38">
        <f t="shared" si="33"/>
        <v>8.4555315342179806</v>
      </c>
      <c r="AA315" s="39">
        <v>1</v>
      </c>
      <c r="AB315" s="38">
        <f t="shared" si="34"/>
        <v>8.4555315342179806</v>
      </c>
      <c r="AC315" s="37">
        <f>Priors!$K$18</f>
        <v>2.7435089299114512</v>
      </c>
      <c r="AD315" s="38" t="str">
        <f t="shared" si="35"/>
        <v/>
      </c>
      <c r="AE315" s="37">
        <f>Priors!$K$19</f>
        <v>0.67280088332719912</v>
      </c>
      <c r="AF315" s="38" t="str">
        <f t="shared" si="36"/>
        <v/>
      </c>
      <c r="AG315" s="17">
        <f t="shared" si="37"/>
        <v>1</v>
      </c>
      <c r="AH315" s="7" t="s">
        <v>1793</v>
      </c>
      <c r="AI315" s="7">
        <v>12</v>
      </c>
      <c r="AJ315" s="38">
        <f t="shared" si="38"/>
        <v>0.70462762785149835</v>
      </c>
      <c r="AK315" s="9" t="b">
        <f t="shared" si="39"/>
        <v>1</v>
      </c>
      <c r="AL315" s="28" t="s">
        <v>1794</v>
      </c>
      <c r="AM315" s="28"/>
      <c r="AN315" s="28" t="s">
        <v>1792</v>
      </c>
    </row>
    <row r="316" spans="1:40" ht="30">
      <c r="A316" s="7">
        <v>315</v>
      </c>
      <c r="B316" s="7" t="s">
        <v>987</v>
      </c>
      <c r="C316" s="7" t="s">
        <v>50</v>
      </c>
      <c r="D316" s="7" t="s">
        <v>112</v>
      </c>
      <c r="E316" s="7" t="s">
        <v>1647</v>
      </c>
      <c r="F316" s="7"/>
      <c r="G316" s="14">
        <v>0</v>
      </c>
      <c r="H316" s="14"/>
      <c r="I316" s="15"/>
      <c r="J316" s="14"/>
      <c r="K316" s="15"/>
      <c r="L316" s="14"/>
      <c r="M316" s="14"/>
      <c r="N316" s="13"/>
      <c r="O316" s="14"/>
      <c r="P316" s="14"/>
      <c r="Q316" s="15"/>
      <c r="R316" s="17">
        <f>IFERROR(G316/(G316+Priors!$H$18),0)</f>
        <v>0</v>
      </c>
      <c r="S316" s="13">
        <v>0</v>
      </c>
      <c r="T316" s="40" t="b">
        <v>0</v>
      </c>
      <c r="U316" s="13">
        <v>1</v>
      </c>
      <c r="V316" s="40" t="b">
        <v>1</v>
      </c>
      <c r="W316" s="13">
        <v>0.9</v>
      </c>
      <c r="X316" s="17">
        <f t="shared" si="32"/>
        <v>0</v>
      </c>
      <c r="Y316" s="37">
        <f>VLOOKUP(D316,Priors!$A$18:$B$21,2,FALSE)</f>
        <v>8.4555315342179806</v>
      </c>
      <c r="Z316" s="38">
        <f t="shared" si="33"/>
        <v>8.4555315342179806</v>
      </c>
      <c r="AA316" s="39">
        <v>1</v>
      </c>
      <c r="AB316" s="38">
        <f t="shared" si="34"/>
        <v>8.4555315342179806</v>
      </c>
      <c r="AC316" s="37">
        <f>Priors!$K$18</f>
        <v>2.7435089299114512</v>
      </c>
      <c r="AD316" s="38" t="str">
        <f t="shared" si="35"/>
        <v/>
      </c>
      <c r="AE316" s="37">
        <f>Priors!$K$19</f>
        <v>0.67280088332719912</v>
      </c>
      <c r="AF316" s="38" t="str">
        <f t="shared" si="36"/>
        <v/>
      </c>
      <c r="AG316" s="17">
        <f t="shared" si="37"/>
        <v>1</v>
      </c>
      <c r="AH316" s="7" t="s">
        <v>1793</v>
      </c>
      <c r="AI316" s="7">
        <v>12</v>
      </c>
      <c r="AJ316" s="38">
        <f t="shared" si="38"/>
        <v>0.70462762785149835</v>
      </c>
      <c r="AK316" s="9" t="b">
        <f t="shared" si="39"/>
        <v>1</v>
      </c>
      <c r="AL316" s="28" t="s">
        <v>1794</v>
      </c>
      <c r="AM316" s="28"/>
      <c r="AN316" s="28" t="s">
        <v>1792</v>
      </c>
    </row>
    <row r="317" spans="1:40" ht="30">
      <c r="A317" s="7">
        <v>316</v>
      </c>
      <c r="B317" s="7" t="s">
        <v>989</v>
      </c>
      <c r="C317" s="7" t="s">
        <v>50</v>
      </c>
      <c r="D317" s="7" t="s">
        <v>167</v>
      </c>
      <c r="E317" s="7" t="s">
        <v>1647</v>
      </c>
      <c r="F317" s="7"/>
      <c r="G317" s="14">
        <v>0</v>
      </c>
      <c r="H317" s="14"/>
      <c r="I317" s="15"/>
      <c r="J317" s="14"/>
      <c r="K317" s="15"/>
      <c r="L317" s="14"/>
      <c r="M317" s="14"/>
      <c r="N317" s="13"/>
      <c r="O317" s="14"/>
      <c r="P317" s="14"/>
      <c r="Q317" s="15"/>
      <c r="R317" s="17">
        <f>IFERROR(G317/(G317+Priors!$H$18),0)</f>
        <v>0</v>
      </c>
      <c r="S317" s="13">
        <v>0</v>
      </c>
      <c r="T317" s="40" t="b">
        <v>0</v>
      </c>
      <c r="U317" s="13">
        <v>1</v>
      </c>
      <c r="V317" s="40" t="b">
        <v>1</v>
      </c>
      <c r="W317" s="13">
        <v>0.9</v>
      </c>
      <c r="X317" s="17">
        <f t="shared" si="32"/>
        <v>0</v>
      </c>
      <c r="Y317" s="37">
        <f>VLOOKUP(D317,Priors!$A$18:$B$21,2,FALSE)</f>
        <v>4.5137422563476139</v>
      </c>
      <c r="Z317" s="38">
        <f t="shared" si="33"/>
        <v>4.5137422563476139</v>
      </c>
      <c r="AA317" s="39">
        <v>1</v>
      </c>
      <c r="AB317" s="38">
        <f t="shared" si="34"/>
        <v>4.5137422563476139</v>
      </c>
      <c r="AC317" s="37">
        <f>Priors!$K$18</f>
        <v>2.7435089299114512</v>
      </c>
      <c r="AD317" s="38" t="str">
        <f t="shared" si="35"/>
        <v/>
      </c>
      <c r="AE317" s="37">
        <f>Priors!$K$19</f>
        <v>0.67280088332719912</v>
      </c>
      <c r="AF317" s="38" t="str">
        <f t="shared" si="36"/>
        <v/>
      </c>
      <c r="AG317" s="17">
        <f t="shared" si="37"/>
        <v>1</v>
      </c>
      <c r="AH317" s="7" t="s">
        <v>1793</v>
      </c>
      <c r="AI317" s="7">
        <v>12</v>
      </c>
      <c r="AJ317" s="38">
        <f t="shared" si="38"/>
        <v>0.37614518802896785</v>
      </c>
      <c r="AK317" s="9" t="b">
        <f t="shared" si="39"/>
        <v>1</v>
      </c>
      <c r="AL317" s="28" t="s">
        <v>1794</v>
      </c>
      <c r="AM317" s="28"/>
      <c r="AN317" s="28" t="s">
        <v>1792</v>
      </c>
    </row>
    <row r="318" spans="1:40" ht="30">
      <c r="A318" s="7">
        <v>317</v>
      </c>
      <c r="B318" s="7" t="s">
        <v>992</v>
      </c>
      <c r="C318" s="7" t="s">
        <v>50</v>
      </c>
      <c r="D318" s="7" t="s">
        <v>167</v>
      </c>
      <c r="E318" s="7" t="s">
        <v>1654</v>
      </c>
      <c r="F318" s="7" t="s">
        <v>50</v>
      </c>
      <c r="G318" s="14">
        <v>2105</v>
      </c>
      <c r="H318" s="14"/>
      <c r="I318" s="15"/>
      <c r="J318" s="14"/>
      <c r="K318" s="15"/>
      <c r="L318" s="14"/>
      <c r="M318" s="14"/>
      <c r="N318" s="13"/>
      <c r="O318" s="14"/>
      <c r="P318" s="14"/>
      <c r="Q318" s="15"/>
      <c r="R318" s="17">
        <f>IFERROR(G318/(G318+Priors!$H$18),0)</f>
        <v>0.677938808373591</v>
      </c>
      <c r="S318" s="13">
        <v>0</v>
      </c>
      <c r="T318" s="40" t="b">
        <v>0</v>
      </c>
      <c r="U318" s="13">
        <v>1</v>
      </c>
      <c r="V318" s="40" t="b">
        <v>1</v>
      </c>
      <c r="W318" s="13">
        <v>0.9</v>
      </c>
      <c r="X318" s="17">
        <f t="shared" si="32"/>
        <v>0</v>
      </c>
      <c r="Y318" s="37">
        <f>VLOOKUP(D318,Priors!$A$18:$B$21,2,FALSE)</f>
        <v>4.5137422563476139</v>
      </c>
      <c r="Z318" s="38">
        <f t="shared" si="33"/>
        <v>4.5137422563476139</v>
      </c>
      <c r="AA318" s="39">
        <v>1</v>
      </c>
      <c r="AB318" s="38">
        <f t="shared" si="34"/>
        <v>4.5137422563476139</v>
      </c>
      <c r="AC318" s="37">
        <f>Priors!$K$18</f>
        <v>2.7435089299114512</v>
      </c>
      <c r="AD318" s="38" t="str">
        <f t="shared" si="35"/>
        <v/>
      </c>
      <c r="AE318" s="37">
        <f>Priors!$K$19</f>
        <v>0.67280088332719912</v>
      </c>
      <c r="AF318" s="38" t="str">
        <f t="shared" si="36"/>
        <v/>
      </c>
      <c r="AG318" s="17">
        <f t="shared" si="37"/>
        <v>1</v>
      </c>
      <c r="AH318" s="7" t="s">
        <v>1793</v>
      </c>
      <c r="AI318" s="7">
        <v>12</v>
      </c>
      <c r="AJ318" s="38">
        <f t="shared" si="38"/>
        <v>0.37614518802896785</v>
      </c>
      <c r="AK318" s="9" t="b">
        <f t="shared" si="39"/>
        <v>1</v>
      </c>
      <c r="AL318" s="28" t="s">
        <v>1794</v>
      </c>
      <c r="AM318" s="28"/>
      <c r="AN318" s="28" t="s">
        <v>1792</v>
      </c>
    </row>
    <row r="319" spans="1:40" ht="30">
      <c r="A319" s="7">
        <v>318</v>
      </c>
      <c r="B319" s="7" t="s">
        <v>995</v>
      </c>
      <c r="C319" s="7" t="s">
        <v>50</v>
      </c>
      <c r="D319" s="7" t="s">
        <v>112</v>
      </c>
      <c r="E319" s="7" t="s">
        <v>1654</v>
      </c>
      <c r="F319" s="7" t="s">
        <v>50</v>
      </c>
      <c r="G319" s="14">
        <v>1955</v>
      </c>
      <c r="H319" s="14"/>
      <c r="I319" s="15"/>
      <c r="J319" s="14"/>
      <c r="K319" s="15"/>
      <c r="L319" s="14"/>
      <c r="M319" s="14"/>
      <c r="N319" s="13"/>
      <c r="O319" s="14"/>
      <c r="P319" s="14"/>
      <c r="Q319" s="15"/>
      <c r="R319" s="17">
        <f>IFERROR(G319/(G319+Priors!$H$18),0)</f>
        <v>0.66159052453468692</v>
      </c>
      <c r="S319" s="13">
        <v>0</v>
      </c>
      <c r="T319" s="40" t="b">
        <v>0</v>
      </c>
      <c r="U319" s="13">
        <v>1</v>
      </c>
      <c r="V319" s="40" t="b">
        <v>1</v>
      </c>
      <c r="W319" s="13">
        <v>0.9</v>
      </c>
      <c r="X319" s="17">
        <f t="shared" si="32"/>
        <v>0</v>
      </c>
      <c r="Y319" s="37">
        <f>VLOOKUP(D319,Priors!$A$18:$B$21,2,FALSE)</f>
        <v>8.4555315342179806</v>
      </c>
      <c r="Z319" s="38">
        <f t="shared" si="33"/>
        <v>8.4555315342179806</v>
      </c>
      <c r="AA319" s="39">
        <v>1</v>
      </c>
      <c r="AB319" s="38">
        <f t="shared" si="34"/>
        <v>8.4555315342179806</v>
      </c>
      <c r="AC319" s="37">
        <f>Priors!$K$18</f>
        <v>2.7435089299114512</v>
      </c>
      <c r="AD319" s="38" t="str">
        <f t="shared" si="35"/>
        <v/>
      </c>
      <c r="AE319" s="37">
        <f>Priors!$K$19</f>
        <v>0.67280088332719912</v>
      </c>
      <c r="AF319" s="38" t="str">
        <f t="shared" si="36"/>
        <v/>
      </c>
      <c r="AG319" s="17">
        <f t="shared" si="37"/>
        <v>1</v>
      </c>
      <c r="AH319" s="7" t="s">
        <v>1793</v>
      </c>
      <c r="AI319" s="7">
        <v>12</v>
      </c>
      <c r="AJ319" s="38">
        <f t="shared" si="38"/>
        <v>0.70462762785149835</v>
      </c>
      <c r="AK319" s="9" t="b">
        <f t="shared" si="39"/>
        <v>1</v>
      </c>
      <c r="AL319" s="28" t="s">
        <v>1794</v>
      </c>
      <c r="AM319" s="28"/>
      <c r="AN319" s="28" t="s">
        <v>1792</v>
      </c>
    </row>
    <row r="320" spans="1:40" ht="30">
      <c r="A320" s="7">
        <v>319</v>
      </c>
      <c r="B320" s="7" t="s">
        <v>998</v>
      </c>
      <c r="C320" s="7" t="s">
        <v>50</v>
      </c>
      <c r="D320" s="7" t="s">
        <v>112</v>
      </c>
      <c r="E320" s="7" t="s">
        <v>1647</v>
      </c>
      <c r="F320" s="7"/>
      <c r="G320" s="14">
        <v>0</v>
      </c>
      <c r="H320" s="14"/>
      <c r="I320" s="15"/>
      <c r="J320" s="14"/>
      <c r="K320" s="15"/>
      <c r="L320" s="14"/>
      <c r="M320" s="14"/>
      <c r="N320" s="13"/>
      <c r="O320" s="14"/>
      <c r="P320" s="14"/>
      <c r="Q320" s="15"/>
      <c r="R320" s="17">
        <f>IFERROR(G320/(G320+Priors!$H$18),0)</f>
        <v>0</v>
      </c>
      <c r="S320" s="13">
        <v>0</v>
      </c>
      <c r="T320" s="40" t="b">
        <v>0</v>
      </c>
      <c r="U320" s="13">
        <v>1</v>
      </c>
      <c r="V320" s="40" t="b">
        <v>1</v>
      </c>
      <c r="W320" s="13">
        <v>0.9</v>
      </c>
      <c r="X320" s="17">
        <f t="shared" si="32"/>
        <v>0</v>
      </c>
      <c r="Y320" s="37">
        <f>VLOOKUP(D320,Priors!$A$18:$B$21,2,FALSE)</f>
        <v>8.4555315342179806</v>
      </c>
      <c r="Z320" s="38">
        <f t="shared" si="33"/>
        <v>8.4555315342179806</v>
      </c>
      <c r="AA320" s="39">
        <v>1</v>
      </c>
      <c r="AB320" s="38">
        <f t="shared" si="34"/>
        <v>8.4555315342179806</v>
      </c>
      <c r="AC320" s="37">
        <f>Priors!$K$18</f>
        <v>2.7435089299114512</v>
      </c>
      <c r="AD320" s="38" t="str">
        <f t="shared" si="35"/>
        <v/>
      </c>
      <c r="AE320" s="37">
        <f>Priors!$K$19</f>
        <v>0.67280088332719912</v>
      </c>
      <c r="AF320" s="38" t="str">
        <f t="shared" si="36"/>
        <v/>
      </c>
      <c r="AG320" s="17">
        <f t="shared" si="37"/>
        <v>1</v>
      </c>
      <c r="AH320" s="7" t="s">
        <v>1793</v>
      </c>
      <c r="AI320" s="7">
        <v>12</v>
      </c>
      <c r="AJ320" s="38">
        <f t="shared" si="38"/>
        <v>0.70462762785149835</v>
      </c>
      <c r="AK320" s="9" t="b">
        <f t="shared" si="39"/>
        <v>1</v>
      </c>
      <c r="AL320" s="28" t="s">
        <v>1794</v>
      </c>
      <c r="AM320" s="28"/>
      <c r="AN320" s="28" t="s">
        <v>1792</v>
      </c>
    </row>
    <row r="321" spans="1:40" ht="30">
      <c r="A321" s="7">
        <v>320</v>
      </c>
      <c r="B321" s="7" t="s">
        <v>1000</v>
      </c>
      <c r="C321" s="7" t="s">
        <v>50</v>
      </c>
      <c r="D321" s="7" t="s">
        <v>167</v>
      </c>
      <c r="E321" s="7" t="s">
        <v>1654</v>
      </c>
      <c r="F321" s="7" t="s">
        <v>50</v>
      </c>
      <c r="G321" s="14">
        <v>881</v>
      </c>
      <c r="H321" s="14"/>
      <c r="I321" s="15"/>
      <c r="J321" s="14"/>
      <c r="K321" s="15"/>
      <c r="L321" s="14"/>
      <c r="M321" s="14"/>
      <c r="N321" s="13"/>
      <c r="O321" s="14"/>
      <c r="P321" s="14"/>
      <c r="Q321" s="15"/>
      <c r="R321" s="17">
        <f>IFERROR(G321/(G321+Priors!$H$18),0)</f>
        <v>0.46836788942052099</v>
      </c>
      <c r="S321" s="13">
        <v>0</v>
      </c>
      <c r="T321" s="40" t="b">
        <v>0</v>
      </c>
      <c r="U321" s="13">
        <v>1</v>
      </c>
      <c r="V321" s="40" t="b">
        <v>1</v>
      </c>
      <c r="W321" s="13">
        <v>0.9</v>
      </c>
      <c r="X321" s="17">
        <f t="shared" si="32"/>
        <v>0</v>
      </c>
      <c r="Y321" s="37">
        <f>VLOOKUP(D321,Priors!$A$18:$B$21,2,FALSE)</f>
        <v>4.5137422563476139</v>
      </c>
      <c r="Z321" s="38">
        <f t="shared" si="33"/>
        <v>4.5137422563476139</v>
      </c>
      <c r="AA321" s="39">
        <v>1</v>
      </c>
      <c r="AB321" s="38">
        <f t="shared" si="34"/>
        <v>4.5137422563476139</v>
      </c>
      <c r="AC321" s="37">
        <f>Priors!$K$18</f>
        <v>2.7435089299114512</v>
      </c>
      <c r="AD321" s="38" t="str">
        <f t="shared" si="35"/>
        <v/>
      </c>
      <c r="AE321" s="37">
        <f>Priors!$K$19</f>
        <v>0.67280088332719912</v>
      </c>
      <c r="AF321" s="38" t="str">
        <f t="shared" si="36"/>
        <v/>
      </c>
      <c r="AG321" s="17">
        <f t="shared" si="37"/>
        <v>1</v>
      </c>
      <c r="AH321" s="7" t="s">
        <v>1793</v>
      </c>
      <c r="AI321" s="7">
        <v>12</v>
      </c>
      <c r="AJ321" s="38">
        <f t="shared" si="38"/>
        <v>0.37614518802896785</v>
      </c>
      <c r="AK321" s="9" t="b">
        <f t="shared" si="39"/>
        <v>1</v>
      </c>
      <c r="AL321" s="28" t="s">
        <v>1794</v>
      </c>
      <c r="AM321" s="28"/>
      <c r="AN321" s="28" t="s">
        <v>1792</v>
      </c>
    </row>
    <row r="322" spans="1:40" ht="30">
      <c r="A322" s="7">
        <v>321</v>
      </c>
      <c r="B322" s="7" t="s">
        <v>1002</v>
      </c>
      <c r="C322" s="7" t="s">
        <v>50</v>
      </c>
      <c r="D322" s="7" t="s">
        <v>167</v>
      </c>
      <c r="E322" s="7" t="s">
        <v>1654</v>
      </c>
      <c r="F322" s="7" t="s">
        <v>50</v>
      </c>
      <c r="G322" s="14">
        <v>1516</v>
      </c>
      <c r="H322" s="14"/>
      <c r="I322" s="15"/>
      <c r="J322" s="14"/>
      <c r="K322" s="15"/>
      <c r="L322" s="14"/>
      <c r="M322" s="14"/>
      <c r="N322" s="13"/>
      <c r="O322" s="14"/>
      <c r="P322" s="14"/>
      <c r="Q322" s="15"/>
      <c r="R322" s="17">
        <f>IFERROR(G322/(G322+Priors!$H$18),0)</f>
        <v>0.60254372019077906</v>
      </c>
      <c r="S322" s="13">
        <v>0</v>
      </c>
      <c r="T322" s="40" t="b">
        <v>0</v>
      </c>
      <c r="U322" s="13">
        <v>1</v>
      </c>
      <c r="V322" s="40" t="b">
        <v>1</v>
      </c>
      <c r="W322" s="13">
        <v>0.9</v>
      </c>
      <c r="X322" s="17">
        <f t="shared" ref="X322:X385" si="40">R322*S322*U322*W322</f>
        <v>0</v>
      </c>
      <c r="Y322" s="37">
        <f>VLOOKUP(D322,Priors!$A$18:$B$21,2,FALSE)</f>
        <v>4.5137422563476139</v>
      </c>
      <c r="Z322" s="38">
        <f t="shared" ref="Z322:Z385" si="41">IF(OR(H322="",G322=0),Y322,X322*I322+(1-X322)*Y322)</f>
        <v>4.5137422563476139</v>
      </c>
      <c r="AA322" s="39">
        <v>1</v>
      </c>
      <c r="AB322" s="38">
        <f t="shared" ref="AB322:AB385" si="42">Z322*AA322</f>
        <v>4.5137422563476139</v>
      </c>
      <c r="AC322" s="37">
        <f>Priors!$K$18</f>
        <v>2.7435089299114512</v>
      </c>
      <c r="AD322" s="38" t="str">
        <f t="shared" ref="AD322:AD385" si="43">IF(D322&lt;&gt;"GK","",IF(OR(K322="",G322=0),AC322,X322*K322+(1-X322)*AC322))</f>
        <v/>
      </c>
      <c r="AE322" s="37">
        <f>Priors!$K$19</f>
        <v>0.67280088332719912</v>
      </c>
      <c r="AF322" s="38" t="str">
        <f t="shared" ref="AF322:AF385" si="44">IF(D322&lt;&gt;"GK","",IF(OR(N322="",G322=0),AE322,X322*N322+(1-X322)*AE322))</f>
        <v/>
      </c>
      <c r="AG322" s="17">
        <f t="shared" ref="AG322:AG385" si="45">1-X322</f>
        <v>1</v>
      </c>
      <c r="AH322" s="7" t="s">
        <v>1793</v>
      </c>
      <c r="AI322" s="7">
        <v>12</v>
      </c>
      <c r="AJ322" s="38">
        <f t="shared" ref="AJ322:AJ385" si="46">IF(OR(AI322="",AI322=0),"",AB322/AI322)</f>
        <v>0.37614518802896785</v>
      </c>
      <c r="AK322" s="9" t="b">
        <f t="shared" ref="AK322:AK385" si="47">OR(AG322&gt;=0.5,E322&lt;&gt;"Premier League",T322=TRUE,V322=TRUE)</f>
        <v>1</v>
      </c>
      <c r="AL322" s="28" t="s">
        <v>1794</v>
      </c>
      <c r="AM322" s="28"/>
      <c r="AN322" s="28" t="s">
        <v>1792</v>
      </c>
    </row>
    <row r="323" spans="1:40" ht="30">
      <c r="A323" s="7">
        <v>322</v>
      </c>
      <c r="B323" s="7" t="s">
        <v>1004</v>
      </c>
      <c r="C323" s="7" t="s">
        <v>50</v>
      </c>
      <c r="D323" s="7" t="s">
        <v>167</v>
      </c>
      <c r="E323" s="7" t="s">
        <v>1647</v>
      </c>
      <c r="F323" s="7"/>
      <c r="G323" s="14">
        <v>0</v>
      </c>
      <c r="H323" s="14"/>
      <c r="I323" s="15"/>
      <c r="J323" s="14"/>
      <c r="K323" s="15"/>
      <c r="L323" s="14"/>
      <c r="M323" s="14"/>
      <c r="N323" s="13"/>
      <c r="O323" s="14"/>
      <c r="P323" s="14"/>
      <c r="Q323" s="15"/>
      <c r="R323" s="17">
        <f>IFERROR(G323/(G323+Priors!$H$18),0)</f>
        <v>0</v>
      </c>
      <c r="S323" s="13">
        <v>0</v>
      </c>
      <c r="T323" s="40" t="b">
        <v>0</v>
      </c>
      <c r="U323" s="13">
        <v>1</v>
      </c>
      <c r="V323" s="40" t="b">
        <v>1</v>
      </c>
      <c r="W323" s="13">
        <v>0.9</v>
      </c>
      <c r="X323" s="17">
        <f t="shared" si="40"/>
        <v>0</v>
      </c>
      <c r="Y323" s="37">
        <f>VLOOKUP(D323,Priors!$A$18:$B$21,2,FALSE)</f>
        <v>4.5137422563476139</v>
      </c>
      <c r="Z323" s="38">
        <f t="shared" si="41"/>
        <v>4.5137422563476139</v>
      </c>
      <c r="AA323" s="39">
        <v>1</v>
      </c>
      <c r="AB323" s="38">
        <f t="shared" si="42"/>
        <v>4.5137422563476139</v>
      </c>
      <c r="AC323" s="37">
        <f>Priors!$K$18</f>
        <v>2.7435089299114512</v>
      </c>
      <c r="AD323" s="38" t="str">
        <f t="shared" si="43"/>
        <v/>
      </c>
      <c r="AE323" s="37">
        <f>Priors!$K$19</f>
        <v>0.67280088332719912</v>
      </c>
      <c r="AF323" s="38" t="str">
        <f t="shared" si="44"/>
        <v/>
      </c>
      <c r="AG323" s="17">
        <f t="shared" si="45"/>
        <v>1</v>
      </c>
      <c r="AH323" s="7" t="s">
        <v>1793</v>
      </c>
      <c r="AI323" s="7">
        <v>12</v>
      </c>
      <c r="AJ323" s="38">
        <f t="shared" si="46"/>
        <v>0.37614518802896785</v>
      </c>
      <c r="AK323" s="9" t="b">
        <f t="shared" si="47"/>
        <v>1</v>
      </c>
      <c r="AL323" s="28" t="s">
        <v>1794</v>
      </c>
      <c r="AM323" s="28"/>
      <c r="AN323" s="28" t="s">
        <v>1792</v>
      </c>
    </row>
    <row r="324" spans="1:40" ht="30">
      <c r="A324" s="7">
        <v>323</v>
      </c>
      <c r="B324" s="7" t="s">
        <v>1007</v>
      </c>
      <c r="C324" s="7" t="s">
        <v>50</v>
      </c>
      <c r="D324" s="7" t="s">
        <v>112</v>
      </c>
      <c r="E324" s="7" t="s">
        <v>1654</v>
      </c>
      <c r="F324" s="7" t="s">
        <v>50</v>
      </c>
      <c r="G324" s="14">
        <v>1254</v>
      </c>
      <c r="H324" s="14"/>
      <c r="I324" s="15"/>
      <c r="J324" s="14"/>
      <c r="K324" s="15"/>
      <c r="L324" s="14"/>
      <c r="M324" s="14"/>
      <c r="N324" s="13"/>
      <c r="O324" s="14"/>
      <c r="P324" s="14"/>
      <c r="Q324" s="15"/>
      <c r="R324" s="17">
        <f>IFERROR(G324/(G324+Priors!$H$18),0)</f>
        <v>0.55634427684117127</v>
      </c>
      <c r="S324" s="13">
        <v>0</v>
      </c>
      <c r="T324" s="40" t="b">
        <v>0</v>
      </c>
      <c r="U324" s="13">
        <v>1</v>
      </c>
      <c r="V324" s="40" t="b">
        <v>1</v>
      </c>
      <c r="W324" s="13">
        <v>0.9</v>
      </c>
      <c r="X324" s="17">
        <f t="shared" si="40"/>
        <v>0</v>
      </c>
      <c r="Y324" s="37">
        <f>VLOOKUP(D324,Priors!$A$18:$B$21,2,FALSE)</f>
        <v>8.4555315342179806</v>
      </c>
      <c r="Z324" s="38">
        <f t="shared" si="41"/>
        <v>8.4555315342179806</v>
      </c>
      <c r="AA324" s="39">
        <v>1</v>
      </c>
      <c r="AB324" s="38">
        <f t="shared" si="42"/>
        <v>8.4555315342179806</v>
      </c>
      <c r="AC324" s="37">
        <f>Priors!$K$18</f>
        <v>2.7435089299114512</v>
      </c>
      <c r="AD324" s="38" t="str">
        <f t="shared" si="43"/>
        <v/>
      </c>
      <c r="AE324" s="37">
        <f>Priors!$K$19</f>
        <v>0.67280088332719912</v>
      </c>
      <c r="AF324" s="38" t="str">
        <f t="shared" si="44"/>
        <v/>
      </c>
      <c r="AG324" s="17">
        <f t="shared" si="45"/>
        <v>1</v>
      </c>
      <c r="AH324" s="7" t="s">
        <v>1793</v>
      </c>
      <c r="AI324" s="7">
        <v>12</v>
      </c>
      <c r="AJ324" s="38">
        <f t="shared" si="46"/>
        <v>0.70462762785149835</v>
      </c>
      <c r="AK324" s="9" t="b">
        <f t="shared" si="47"/>
        <v>1</v>
      </c>
      <c r="AL324" s="28" t="s">
        <v>1794</v>
      </c>
      <c r="AM324" s="28"/>
      <c r="AN324" s="28" t="s">
        <v>1792</v>
      </c>
    </row>
    <row r="325" spans="1:40" ht="30">
      <c r="A325" s="7">
        <v>324</v>
      </c>
      <c r="B325" s="7" t="s">
        <v>1010</v>
      </c>
      <c r="C325" s="7" t="s">
        <v>50</v>
      </c>
      <c r="D325" s="7" t="s">
        <v>112</v>
      </c>
      <c r="E325" s="7" t="s">
        <v>1654</v>
      </c>
      <c r="F325" s="7" t="s">
        <v>50</v>
      </c>
      <c r="G325" s="14">
        <v>3343</v>
      </c>
      <c r="H325" s="14"/>
      <c r="I325" s="15"/>
      <c r="J325" s="14"/>
      <c r="K325" s="15"/>
      <c r="L325" s="14"/>
      <c r="M325" s="14"/>
      <c r="N325" s="13"/>
      <c r="O325" s="14"/>
      <c r="P325" s="14"/>
      <c r="Q325" s="15"/>
      <c r="R325" s="17">
        <f>IFERROR(G325/(G325+Priors!$H$18),0)</f>
        <v>0.76974441630209534</v>
      </c>
      <c r="S325" s="13">
        <v>0</v>
      </c>
      <c r="T325" s="40" t="b">
        <v>0</v>
      </c>
      <c r="U325" s="13">
        <v>1</v>
      </c>
      <c r="V325" s="40" t="b">
        <v>1</v>
      </c>
      <c r="W325" s="13">
        <v>0.9</v>
      </c>
      <c r="X325" s="17">
        <f t="shared" si="40"/>
        <v>0</v>
      </c>
      <c r="Y325" s="37">
        <f>VLOOKUP(D325,Priors!$A$18:$B$21,2,FALSE)</f>
        <v>8.4555315342179806</v>
      </c>
      <c r="Z325" s="38">
        <f t="shared" si="41"/>
        <v>8.4555315342179806</v>
      </c>
      <c r="AA325" s="39">
        <v>1</v>
      </c>
      <c r="AB325" s="38">
        <f t="shared" si="42"/>
        <v>8.4555315342179806</v>
      </c>
      <c r="AC325" s="37">
        <f>Priors!$K$18</f>
        <v>2.7435089299114512</v>
      </c>
      <c r="AD325" s="38" t="str">
        <f t="shared" si="43"/>
        <v/>
      </c>
      <c r="AE325" s="37">
        <f>Priors!$K$19</f>
        <v>0.67280088332719912</v>
      </c>
      <c r="AF325" s="38" t="str">
        <f t="shared" si="44"/>
        <v/>
      </c>
      <c r="AG325" s="17">
        <f t="shared" si="45"/>
        <v>1</v>
      </c>
      <c r="AH325" s="7" t="s">
        <v>1793</v>
      </c>
      <c r="AI325" s="7">
        <v>12</v>
      </c>
      <c r="AJ325" s="38">
        <f t="shared" si="46"/>
        <v>0.70462762785149835</v>
      </c>
      <c r="AK325" s="9" t="b">
        <f t="shared" si="47"/>
        <v>1</v>
      </c>
      <c r="AL325" s="28" t="s">
        <v>1794</v>
      </c>
      <c r="AM325" s="28"/>
      <c r="AN325" s="28" t="s">
        <v>1792</v>
      </c>
    </row>
    <row r="326" spans="1:40" ht="30">
      <c r="A326" s="7">
        <v>325</v>
      </c>
      <c r="B326" s="7" t="s">
        <v>1251</v>
      </c>
      <c r="C326" s="7" t="s">
        <v>54</v>
      </c>
      <c r="D326" s="7" t="s">
        <v>85</v>
      </c>
      <c r="E326" s="7" t="s">
        <v>1642</v>
      </c>
      <c r="F326" s="7" t="s">
        <v>51</v>
      </c>
      <c r="G326" s="14">
        <v>1980</v>
      </c>
      <c r="H326" s="14">
        <v>59</v>
      </c>
      <c r="I326" s="15">
        <v>0</v>
      </c>
      <c r="J326" s="14">
        <v>63</v>
      </c>
      <c r="K326" s="15">
        <v>2.86</v>
      </c>
      <c r="L326" s="14">
        <v>27</v>
      </c>
      <c r="M326" s="14">
        <v>5</v>
      </c>
      <c r="N326" s="13">
        <v>0.7</v>
      </c>
      <c r="O326" s="14">
        <v>3</v>
      </c>
      <c r="P326" s="14">
        <v>334</v>
      </c>
      <c r="Q326" s="15">
        <v>15.181818181818182</v>
      </c>
      <c r="R326" s="17">
        <f>IFERROR(G326/(G326+Priors!$H$18),0)</f>
        <v>0.66442953020134232</v>
      </c>
      <c r="S326" s="13">
        <v>1</v>
      </c>
      <c r="T326" s="40" t="b">
        <v>1</v>
      </c>
      <c r="U326" s="13">
        <v>0.85</v>
      </c>
      <c r="V326" s="40" t="b">
        <v>0</v>
      </c>
      <c r="W326" s="13">
        <v>1</v>
      </c>
      <c r="X326" s="17">
        <f t="shared" si="40"/>
        <v>0.56476510067114094</v>
      </c>
      <c r="Y326" s="37">
        <f>VLOOKUP(D326,Priors!$A$18:$B$21,2,FALSE)</f>
        <v>2.6414527990394716</v>
      </c>
      <c r="Z326" s="38">
        <f t="shared" si="41"/>
        <v>1.1496524430718773</v>
      </c>
      <c r="AA326" s="39">
        <v>1</v>
      </c>
      <c r="AB326" s="38">
        <f t="shared" si="42"/>
        <v>1.1496524430718773</v>
      </c>
      <c r="AC326" s="37">
        <f>Priors!$K$18</f>
        <v>2.7435089299114512</v>
      </c>
      <c r="AD326" s="38">
        <f t="shared" si="43"/>
        <v>2.8092990208372992</v>
      </c>
      <c r="AE326" s="37">
        <f>Priors!$K$19</f>
        <v>0.67280088332719912</v>
      </c>
      <c r="AF326" s="38">
        <f t="shared" si="44"/>
        <v>0.68816199519307952</v>
      </c>
      <c r="AG326" s="17">
        <f t="shared" si="45"/>
        <v>0.43523489932885906</v>
      </c>
      <c r="AH326" s="7" t="s">
        <v>1643</v>
      </c>
      <c r="AI326" s="7"/>
      <c r="AJ326" s="38" t="str">
        <f t="shared" si="46"/>
        <v/>
      </c>
      <c r="AK326" s="9" t="b">
        <f t="shared" si="47"/>
        <v>1</v>
      </c>
      <c r="AL326" s="28" t="s">
        <v>1644</v>
      </c>
      <c r="AM326" s="28" t="s">
        <v>1645</v>
      </c>
      <c r="AN326" s="28" t="s">
        <v>1792</v>
      </c>
    </row>
    <row r="327" spans="1:40" ht="30">
      <c r="A327" s="7">
        <v>326</v>
      </c>
      <c r="B327" s="7" t="s">
        <v>1022</v>
      </c>
      <c r="C327" s="7" t="s">
        <v>51</v>
      </c>
      <c r="D327" s="7" t="s">
        <v>85</v>
      </c>
      <c r="E327" s="7" t="s">
        <v>1642</v>
      </c>
      <c r="F327" s="7" t="s">
        <v>51</v>
      </c>
      <c r="G327" s="14">
        <v>1440</v>
      </c>
      <c r="H327" s="14">
        <v>39</v>
      </c>
      <c r="I327" s="15">
        <v>0</v>
      </c>
      <c r="J327" s="14">
        <v>38</v>
      </c>
      <c r="K327" s="15">
        <v>2.38</v>
      </c>
      <c r="L327" s="14">
        <v>29</v>
      </c>
      <c r="M327" s="14">
        <v>3</v>
      </c>
      <c r="N327" s="13">
        <v>0.56716417910447758</v>
      </c>
      <c r="O327" s="14">
        <v>3</v>
      </c>
      <c r="P327" s="14">
        <v>153</v>
      </c>
      <c r="Q327" s="15">
        <v>9.5625</v>
      </c>
      <c r="R327" s="17">
        <f>IFERROR(G327/(G327+Priors!$H$18),0)</f>
        <v>0.5901639344262295</v>
      </c>
      <c r="S327" s="13">
        <v>1</v>
      </c>
      <c r="T327" s="40" t="b">
        <v>0</v>
      </c>
      <c r="U327" s="13">
        <v>1</v>
      </c>
      <c r="V327" s="40" t="b">
        <v>0</v>
      </c>
      <c r="W327" s="13">
        <v>1</v>
      </c>
      <c r="X327" s="17">
        <f t="shared" si="40"/>
        <v>0.5901639344262295</v>
      </c>
      <c r="Y327" s="37">
        <f>VLOOKUP(D327,Priors!$A$18:$B$21,2,FALSE)</f>
        <v>2.6414527990394716</v>
      </c>
      <c r="Z327" s="38">
        <f t="shared" si="41"/>
        <v>1.0825626225571605</v>
      </c>
      <c r="AA327" s="39">
        <v>1</v>
      </c>
      <c r="AB327" s="38">
        <f t="shared" si="42"/>
        <v>1.0825626225571605</v>
      </c>
      <c r="AC327" s="37">
        <f>Priors!$K$18</f>
        <v>2.7435089299114512</v>
      </c>
      <c r="AD327" s="38">
        <f t="shared" si="43"/>
        <v>2.5289790696358407</v>
      </c>
      <c r="AE327" s="37">
        <f>Priors!$K$19</f>
        <v>0.67280088332719912</v>
      </c>
      <c r="AF327" s="38">
        <f t="shared" si="44"/>
        <v>0.61045791034329788</v>
      </c>
      <c r="AG327" s="17">
        <f t="shared" si="45"/>
        <v>0.4098360655737705</v>
      </c>
      <c r="AH327" s="7" t="s">
        <v>1643</v>
      </c>
      <c r="AI327" s="7"/>
      <c r="AJ327" s="38" t="str">
        <f t="shared" si="46"/>
        <v/>
      </c>
      <c r="AK327" s="9" t="b">
        <f t="shared" si="47"/>
        <v>0</v>
      </c>
      <c r="AL327" s="28" t="s">
        <v>1644</v>
      </c>
      <c r="AM327" s="28" t="s">
        <v>1645</v>
      </c>
      <c r="AN327" s="28" t="s">
        <v>1792</v>
      </c>
    </row>
    <row r="328" spans="1:40" ht="30">
      <c r="A328" s="7">
        <v>327</v>
      </c>
      <c r="B328" s="7" t="s">
        <v>1024</v>
      </c>
      <c r="C328" s="7" t="s">
        <v>51</v>
      </c>
      <c r="D328" s="7" t="s">
        <v>99</v>
      </c>
      <c r="E328" s="7" t="s">
        <v>1642</v>
      </c>
      <c r="F328" s="7" t="s">
        <v>51</v>
      </c>
      <c r="G328" s="14">
        <v>1888</v>
      </c>
      <c r="H328" s="14">
        <v>230</v>
      </c>
      <c r="I328" s="15">
        <v>10.44</v>
      </c>
      <c r="J328" s="14">
        <v>0</v>
      </c>
      <c r="K328" s="15">
        <v>0</v>
      </c>
      <c r="L328" s="14">
        <v>26</v>
      </c>
      <c r="M328" s="14">
        <v>5</v>
      </c>
      <c r="N328" s="13"/>
      <c r="O328" s="14">
        <v>6</v>
      </c>
      <c r="P328" s="14">
        <v>323</v>
      </c>
      <c r="Q328" s="15">
        <v>15.397245762711865</v>
      </c>
      <c r="R328" s="17">
        <f>IFERROR(G328/(G328+Priors!$H$18),0)</f>
        <v>0.65373961218836563</v>
      </c>
      <c r="S328" s="13">
        <v>1</v>
      </c>
      <c r="T328" s="40" t="b">
        <v>0</v>
      </c>
      <c r="U328" s="13">
        <v>1</v>
      </c>
      <c r="V328" s="40" t="b">
        <v>0</v>
      </c>
      <c r="W328" s="13">
        <v>1</v>
      </c>
      <c r="X328" s="17">
        <f t="shared" si="40"/>
        <v>0.65373961218836563</v>
      </c>
      <c r="Y328" s="37">
        <f>VLOOKUP(D328,Priors!$A$18:$B$21,2,FALSE)</f>
        <v>8.7398272304160223</v>
      </c>
      <c r="Z328" s="38">
        <f t="shared" si="41"/>
        <v>9.8512975174570716</v>
      </c>
      <c r="AA328" s="39">
        <v>1</v>
      </c>
      <c r="AB328" s="38">
        <f t="shared" si="42"/>
        <v>9.8512975174570716</v>
      </c>
      <c r="AC328" s="37">
        <f>Priors!$K$18</f>
        <v>2.7435089299114512</v>
      </c>
      <c r="AD328" s="38" t="str">
        <f t="shared" si="43"/>
        <v/>
      </c>
      <c r="AE328" s="37">
        <f>Priors!$K$19</f>
        <v>0.67280088332719912</v>
      </c>
      <c r="AF328" s="38" t="str">
        <f t="shared" si="44"/>
        <v/>
      </c>
      <c r="AG328" s="17">
        <f t="shared" si="45"/>
        <v>0.34626038781163437</v>
      </c>
      <c r="AH328" s="7" t="s">
        <v>1643</v>
      </c>
      <c r="AI328" s="7">
        <v>10</v>
      </c>
      <c r="AJ328" s="38">
        <f t="shared" si="46"/>
        <v>0.98512975174570716</v>
      </c>
      <c r="AK328" s="9" t="b">
        <f t="shared" si="47"/>
        <v>0</v>
      </c>
      <c r="AL328" s="28" t="s">
        <v>1644</v>
      </c>
      <c r="AM328" s="28" t="s">
        <v>1645</v>
      </c>
      <c r="AN328" s="28" t="s">
        <v>1792</v>
      </c>
    </row>
    <row r="329" spans="1:40" ht="30">
      <c r="A329" s="7">
        <v>328</v>
      </c>
      <c r="B329" s="7" t="s">
        <v>501</v>
      </c>
      <c r="C329" s="7" t="s">
        <v>43</v>
      </c>
      <c r="D329" s="7" t="s">
        <v>99</v>
      </c>
      <c r="E329" s="7" t="s">
        <v>1642</v>
      </c>
      <c r="F329" s="7" t="s">
        <v>51</v>
      </c>
      <c r="G329" s="14">
        <v>2935</v>
      </c>
      <c r="H329" s="14">
        <v>316</v>
      </c>
      <c r="I329" s="15">
        <v>9.11</v>
      </c>
      <c r="J329" s="14">
        <v>0</v>
      </c>
      <c r="K329" s="15">
        <v>0</v>
      </c>
      <c r="L329" s="14">
        <v>48</v>
      </c>
      <c r="M329" s="14">
        <v>7</v>
      </c>
      <c r="N329" s="13"/>
      <c r="O329" s="14">
        <v>4</v>
      </c>
      <c r="P329" s="14">
        <v>412</v>
      </c>
      <c r="Q329" s="15">
        <v>12.633730834752981</v>
      </c>
      <c r="R329" s="17">
        <f>IFERROR(G329/(G329+Priors!$H$18),0)</f>
        <v>0.74587039390088949</v>
      </c>
      <c r="S329" s="13">
        <v>1</v>
      </c>
      <c r="T329" s="40" t="b">
        <v>1</v>
      </c>
      <c r="U329" s="13">
        <v>0.85</v>
      </c>
      <c r="V329" s="40" t="b">
        <v>0</v>
      </c>
      <c r="W329" s="13">
        <v>1</v>
      </c>
      <c r="X329" s="17">
        <f t="shared" si="40"/>
        <v>0.6339898348157561</v>
      </c>
      <c r="Y329" s="37">
        <f>VLOOKUP(D329,Priors!$A$18:$B$21,2,FALSE)</f>
        <v>8.7398272304160223</v>
      </c>
      <c r="Z329" s="38">
        <f t="shared" si="41"/>
        <v>8.974513003457858</v>
      </c>
      <c r="AA329" s="39">
        <v>1</v>
      </c>
      <c r="AB329" s="38">
        <f t="shared" si="42"/>
        <v>8.974513003457858</v>
      </c>
      <c r="AC329" s="37">
        <f>Priors!$K$18</f>
        <v>2.7435089299114512</v>
      </c>
      <c r="AD329" s="38" t="str">
        <f t="shared" si="43"/>
        <v/>
      </c>
      <c r="AE329" s="37">
        <f>Priors!$K$19</f>
        <v>0.67280088332719912</v>
      </c>
      <c r="AF329" s="38" t="str">
        <f t="shared" si="44"/>
        <v/>
      </c>
      <c r="AG329" s="17">
        <f t="shared" si="45"/>
        <v>0.3660101651842439</v>
      </c>
      <c r="AH329" s="7" t="s">
        <v>1643</v>
      </c>
      <c r="AI329" s="7">
        <v>10</v>
      </c>
      <c r="AJ329" s="38">
        <f t="shared" si="46"/>
        <v>0.8974513003457858</v>
      </c>
      <c r="AK329" s="9" t="b">
        <f t="shared" si="47"/>
        <v>1</v>
      </c>
      <c r="AL329" s="28" t="s">
        <v>1644</v>
      </c>
      <c r="AM329" s="28" t="s">
        <v>1645</v>
      </c>
      <c r="AN329" s="28" t="s">
        <v>1792</v>
      </c>
    </row>
    <row r="330" spans="1:40" ht="30">
      <c r="A330" s="7">
        <v>329</v>
      </c>
      <c r="B330" s="7" t="s">
        <v>1027</v>
      </c>
      <c r="C330" s="7" t="s">
        <v>51</v>
      </c>
      <c r="D330" s="7" t="s">
        <v>99</v>
      </c>
      <c r="E330" s="7" t="s">
        <v>1642</v>
      </c>
      <c r="F330" s="7" t="s">
        <v>51</v>
      </c>
      <c r="G330" s="14">
        <v>2952</v>
      </c>
      <c r="H330" s="14">
        <v>302</v>
      </c>
      <c r="I330" s="15">
        <v>8.35</v>
      </c>
      <c r="J330" s="14">
        <v>0</v>
      </c>
      <c r="K330" s="15">
        <v>0</v>
      </c>
      <c r="L330" s="14">
        <v>53</v>
      </c>
      <c r="M330" s="14">
        <v>6</v>
      </c>
      <c r="N330" s="13"/>
      <c r="O330" s="14">
        <v>5</v>
      </c>
      <c r="P330" s="14">
        <v>373</v>
      </c>
      <c r="Q330" s="15">
        <v>11.371951219512194</v>
      </c>
      <c r="R330" s="17">
        <f>IFERROR(G330/(G330+Priors!$H$18),0)</f>
        <v>0.74696356275303644</v>
      </c>
      <c r="S330" s="13">
        <v>1</v>
      </c>
      <c r="T330" s="40" t="b">
        <v>0</v>
      </c>
      <c r="U330" s="13">
        <v>1</v>
      </c>
      <c r="V330" s="40" t="b">
        <v>0</v>
      </c>
      <c r="W330" s="13">
        <v>1</v>
      </c>
      <c r="X330" s="17">
        <f t="shared" si="40"/>
        <v>0.74696356275303644</v>
      </c>
      <c r="Y330" s="37">
        <f>VLOOKUP(D330,Priors!$A$18:$B$21,2,FALSE)</f>
        <v>8.7398272304160223</v>
      </c>
      <c r="Z330" s="38">
        <f t="shared" si="41"/>
        <v>8.4486404935263213</v>
      </c>
      <c r="AA330" s="39">
        <v>1</v>
      </c>
      <c r="AB330" s="38">
        <f t="shared" si="42"/>
        <v>8.4486404935263213</v>
      </c>
      <c r="AC330" s="37">
        <f>Priors!$K$18</f>
        <v>2.7435089299114512</v>
      </c>
      <c r="AD330" s="38" t="str">
        <f t="shared" si="43"/>
        <v/>
      </c>
      <c r="AE330" s="37">
        <f>Priors!$K$19</f>
        <v>0.67280088332719912</v>
      </c>
      <c r="AF330" s="38" t="str">
        <f t="shared" si="44"/>
        <v/>
      </c>
      <c r="AG330" s="17">
        <f t="shared" si="45"/>
        <v>0.25303643724696356</v>
      </c>
      <c r="AH330" s="7" t="s">
        <v>1643</v>
      </c>
      <c r="AI330" s="7">
        <v>10</v>
      </c>
      <c r="AJ330" s="38">
        <f t="shared" si="46"/>
        <v>0.84486404935263215</v>
      </c>
      <c r="AK330" s="9" t="b">
        <f t="shared" si="47"/>
        <v>0</v>
      </c>
      <c r="AL330" s="28" t="s">
        <v>1644</v>
      </c>
      <c r="AM330" s="28" t="s">
        <v>1645</v>
      </c>
      <c r="AN330" s="28" t="s">
        <v>1792</v>
      </c>
    </row>
    <row r="331" spans="1:40" ht="30">
      <c r="A331" s="7">
        <v>330</v>
      </c>
      <c r="B331" s="7" t="s">
        <v>1030</v>
      </c>
      <c r="C331" s="7" t="s">
        <v>51</v>
      </c>
      <c r="D331" s="7" t="s">
        <v>99</v>
      </c>
      <c r="E331" s="7" t="s">
        <v>1642</v>
      </c>
      <c r="F331" s="7" t="s">
        <v>51</v>
      </c>
      <c r="G331" s="14">
        <v>2795</v>
      </c>
      <c r="H331" s="14">
        <v>222</v>
      </c>
      <c r="I331" s="15">
        <v>5.73</v>
      </c>
      <c r="J331" s="14">
        <v>0</v>
      </c>
      <c r="K331" s="15">
        <v>0</v>
      </c>
      <c r="L331" s="14">
        <v>44</v>
      </c>
      <c r="M331" s="14">
        <v>6</v>
      </c>
      <c r="N331" s="13"/>
      <c r="O331" s="14">
        <v>1</v>
      </c>
      <c r="P331" s="14">
        <v>311</v>
      </c>
      <c r="Q331" s="15">
        <v>10.014311270125223</v>
      </c>
      <c r="R331" s="17">
        <f>IFERROR(G331/(G331+Priors!$H$18),0)</f>
        <v>0.73649538866930175</v>
      </c>
      <c r="S331" s="13">
        <v>1</v>
      </c>
      <c r="T331" s="40" t="b">
        <v>0</v>
      </c>
      <c r="U331" s="13">
        <v>1</v>
      </c>
      <c r="V331" s="40" t="b">
        <v>0</v>
      </c>
      <c r="W331" s="13">
        <v>1</v>
      </c>
      <c r="X331" s="17">
        <f t="shared" si="40"/>
        <v>0.73649538866930175</v>
      </c>
      <c r="Y331" s="37">
        <f>VLOOKUP(D331,Priors!$A$18:$B$21,2,FALSE)</f>
        <v>8.7398272304160223</v>
      </c>
      <c r="Z331" s="38">
        <f t="shared" si="41"/>
        <v>6.5231033545233261</v>
      </c>
      <c r="AA331" s="39">
        <v>1</v>
      </c>
      <c r="AB331" s="38">
        <f t="shared" si="42"/>
        <v>6.5231033545233261</v>
      </c>
      <c r="AC331" s="37">
        <f>Priors!$K$18</f>
        <v>2.7435089299114512</v>
      </c>
      <c r="AD331" s="38" t="str">
        <f t="shared" si="43"/>
        <v/>
      </c>
      <c r="AE331" s="37">
        <f>Priors!$K$19</f>
        <v>0.67280088332719912</v>
      </c>
      <c r="AF331" s="38" t="str">
        <f t="shared" si="44"/>
        <v/>
      </c>
      <c r="AG331" s="17">
        <f t="shared" si="45"/>
        <v>0.26350461133069825</v>
      </c>
      <c r="AH331" s="7" t="s">
        <v>1643</v>
      </c>
      <c r="AI331" s="7">
        <v>10</v>
      </c>
      <c r="AJ331" s="38">
        <f t="shared" si="46"/>
        <v>0.65231033545233263</v>
      </c>
      <c r="AK331" s="9" t="b">
        <f t="shared" si="47"/>
        <v>0</v>
      </c>
      <c r="AL331" s="28" t="s">
        <v>1644</v>
      </c>
      <c r="AM331" s="28" t="s">
        <v>1645</v>
      </c>
      <c r="AN331" s="28" t="s">
        <v>1792</v>
      </c>
    </row>
    <row r="332" spans="1:40" ht="30">
      <c r="A332" s="7">
        <v>331</v>
      </c>
      <c r="B332" s="7" t="s">
        <v>1033</v>
      </c>
      <c r="C332" s="7" t="s">
        <v>51</v>
      </c>
      <c r="D332" s="7" t="s">
        <v>99</v>
      </c>
      <c r="E332" s="7" t="s">
        <v>1642</v>
      </c>
      <c r="F332" s="7" t="s">
        <v>51</v>
      </c>
      <c r="G332" s="14">
        <v>2637</v>
      </c>
      <c r="H332" s="14">
        <v>219</v>
      </c>
      <c r="I332" s="15">
        <v>6.28</v>
      </c>
      <c r="J332" s="14">
        <v>0</v>
      </c>
      <c r="K332" s="15">
        <v>0</v>
      </c>
      <c r="L332" s="14">
        <v>45</v>
      </c>
      <c r="M332" s="14">
        <v>5</v>
      </c>
      <c r="N332" s="13"/>
      <c r="O332" s="14">
        <v>8</v>
      </c>
      <c r="P332" s="14">
        <v>286</v>
      </c>
      <c r="Q332" s="15">
        <v>9.7610921501706489</v>
      </c>
      <c r="R332" s="17">
        <f>IFERROR(G332/(G332+Priors!$H$18),0)</f>
        <v>0.72504811657959856</v>
      </c>
      <c r="S332" s="13">
        <v>1</v>
      </c>
      <c r="T332" s="40" t="b">
        <v>0</v>
      </c>
      <c r="U332" s="13">
        <v>1</v>
      </c>
      <c r="V332" s="40" t="b">
        <v>0</v>
      </c>
      <c r="W332" s="13">
        <v>1</v>
      </c>
      <c r="X332" s="17">
        <f t="shared" si="40"/>
        <v>0.72504811657959856</v>
      </c>
      <c r="Y332" s="37">
        <f>VLOOKUP(D332,Priors!$A$18:$B$21,2,FALSE)</f>
        <v>8.7398272304160223</v>
      </c>
      <c r="Z332" s="38">
        <f t="shared" si="41"/>
        <v>6.9563341298916743</v>
      </c>
      <c r="AA332" s="39">
        <v>1</v>
      </c>
      <c r="AB332" s="38">
        <f t="shared" si="42"/>
        <v>6.9563341298916743</v>
      </c>
      <c r="AC332" s="37">
        <f>Priors!$K$18</f>
        <v>2.7435089299114512</v>
      </c>
      <c r="AD332" s="38" t="str">
        <f t="shared" si="43"/>
        <v/>
      </c>
      <c r="AE332" s="37">
        <f>Priors!$K$19</f>
        <v>0.67280088332719912</v>
      </c>
      <c r="AF332" s="38" t="str">
        <f t="shared" si="44"/>
        <v/>
      </c>
      <c r="AG332" s="17">
        <f t="shared" si="45"/>
        <v>0.27495188342040144</v>
      </c>
      <c r="AH332" s="7" t="s">
        <v>1643</v>
      </c>
      <c r="AI332" s="7">
        <v>10</v>
      </c>
      <c r="AJ332" s="38">
        <f t="shared" si="46"/>
        <v>0.69563341298916748</v>
      </c>
      <c r="AK332" s="9" t="b">
        <f t="shared" si="47"/>
        <v>0</v>
      </c>
      <c r="AL332" s="28" t="s">
        <v>1644</v>
      </c>
      <c r="AM332" s="28" t="s">
        <v>1645</v>
      </c>
      <c r="AN332" s="28" t="s">
        <v>1792</v>
      </c>
    </row>
    <row r="333" spans="1:40" ht="30">
      <c r="A333" s="7">
        <v>332</v>
      </c>
      <c r="B333" s="7" t="s">
        <v>1036</v>
      </c>
      <c r="C333" s="7" t="s">
        <v>51</v>
      </c>
      <c r="D333" s="7" t="s">
        <v>99</v>
      </c>
      <c r="E333" s="7" t="s">
        <v>1642</v>
      </c>
      <c r="F333" s="7" t="s">
        <v>51</v>
      </c>
      <c r="G333" s="14">
        <v>1893</v>
      </c>
      <c r="H333" s="14">
        <v>190</v>
      </c>
      <c r="I333" s="15">
        <v>8.6999999999999993</v>
      </c>
      <c r="J333" s="14">
        <v>0</v>
      </c>
      <c r="K333" s="15">
        <v>0</v>
      </c>
      <c r="L333" s="14">
        <v>26</v>
      </c>
      <c r="M333" s="14">
        <v>6</v>
      </c>
      <c r="N333" s="13"/>
      <c r="O333" s="14">
        <v>9</v>
      </c>
      <c r="P333" s="14">
        <v>338</v>
      </c>
      <c r="Q333" s="15">
        <v>16.069730586370842</v>
      </c>
      <c r="R333" s="17">
        <f>IFERROR(G333/(G333+Priors!$H$18),0)</f>
        <v>0.65433805737988249</v>
      </c>
      <c r="S333" s="13">
        <v>1</v>
      </c>
      <c r="T333" s="40" t="b">
        <v>0</v>
      </c>
      <c r="U333" s="13">
        <v>1</v>
      </c>
      <c r="V333" s="40" t="b">
        <v>0</v>
      </c>
      <c r="W333" s="13">
        <v>1</v>
      </c>
      <c r="X333" s="17">
        <f t="shared" si="40"/>
        <v>0.65433805737988249</v>
      </c>
      <c r="Y333" s="37">
        <f>VLOOKUP(D333,Priors!$A$18:$B$21,2,FALSE)</f>
        <v>8.7398272304160223</v>
      </c>
      <c r="Z333" s="38">
        <f t="shared" si="41"/>
        <v>8.7137667578347813</v>
      </c>
      <c r="AA333" s="39">
        <v>1</v>
      </c>
      <c r="AB333" s="38">
        <f t="shared" si="42"/>
        <v>8.7137667578347813</v>
      </c>
      <c r="AC333" s="37">
        <f>Priors!$K$18</f>
        <v>2.7435089299114512</v>
      </c>
      <c r="AD333" s="38" t="str">
        <f t="shared" si="43"/>
        <v/>
      </c>
      <c r="AE333" s="37">
        <f>Priors!$K$19</f>
        <v>0.67280088332719912</v>
      </c>
      <c r="AF333" s="38" t="str">
        <f t="shared" si="44"/>
        <v/>
      </c>
      <c r="AG333" s="17">
        <f t="shared" si="45"/>
        <v>0.34566194262011751</v>
      </c>
      <c r="AH333" s="7" t="s">
        <v>1643</v>
      </c>
      <c r="AI333" s="7">
        <v>10</v>
      </c>
      <c r="AJ333" s="38">
        <f t="shared" si="46"/>
        <v>0.87137667578347811</v>
      </c>
      <c r="AK333" s="9" t="b">
        <f t="shared" si="47"/>
        <v>0</v>
      </c>
      <c r="AL333" s="28" t="s">
        <v>1644</v>
      </c>
      <c r="AM333" s="28" t="s">
        <v>1645</v>
      </c>
      <c r="AN333" s="28" t="s">
        <v>1792</v>
      </c>
    </row>
    <row r="334" spans="1:40" ht="30">
      <c r="A334" s="7">
        <v>333</v>
      </c>
      <c r="B334" s="7" t="s">
        <v>1038</v>
      </c>
      <c r="C334" s="7" t="s">
        <v>51</v>
      </c>
      <c r="D334" s="7" t="s">
        <v>99</v>
      </c>
      <c r="E334" s="7" t="s">
        <v>1642</v>
      </c>
      <c r="F334" s="7" t="s">
        <v>51</v>
      </c>
      <c r="G334" s="14">
        <v>429</v>
      </c>
      <c r="H334" s="14">
        <v>49</v>
      </c>
      <c r="I334" s="15">
        <v>10.28</v>
      </c>
      <c r="J334" s="14">
        <v>0</v>
      </c>
      <c r="K334" s="15">
        <v>0</v>
      </c>
      <c r="L334" s="14">
        <v>5</v>
      </c>
      <c r="M334" s="14">
        <v>2</v>
      </c>
      <c r="N334" s="13"/>
      <c r="O334" s="14">
        <v>0</v>
      </c>
      <c r="P334" s="14">
        <v>73</v>
      </c>
      <c r="Q334" s="15">
        <v>15.314685314685315</v>
      </c>
      <c r="R334" s="17">
        <f>IFERROR(G334/(G334+Priors!$H$18),0)</f>
        <v>0.30020993701889431</v>
      </c>
      <c r="S334" s="13">
        <v>1</v>
      </c>
      <c r="T334" s="40" t="b">
        <v>0</v>
      </c>
      <c r="U334" s="13">
        <v>1</v>
      </c>
      <c r="V334" s="40" t="b">
        <v>0</v>
      </c>
      <c r="W334" s="13">
        <v>1</v>
      </c>
      <c r="X334" s="17">
        <f t="shared" si="40"/>
        <v>0.30020993701889431</v>
      </c>
      <c r="Y334" s="37">
        <f>VLOOKUP(D334,Priors!$A$18:$B$21,2,FALSE)</f>
        <v>8.7398272304160223</v>
      </c>
      <c r="Z334" s="38">
        <f t="shared" si="41"/>
        <v>9.2022024005710445</v>
      </c>
      <c r="AA334" s="39">
        <v>1</v>
      </c>
      <c r="AB334" s="38">
        <f t="shared" si="42"/>
        <v>9.2022024005710445</v>
      </c>
      <c r="AC334" s="37">
        <f>Priors!$K$18</f>
        <v>2.7435089299114512</v>
      </c>
      <c r="AD334" s="38" t="str">
        <f t="shared" si="43"/>
        <v/>
      </c>
      <c r="AE334" s="37">
        <f>Priors!$K$19</f>
        <v>0.67280088332719912</v>
      </c>
      <c r="AF334" s="38" t="str">
        <f t="shared" si="44"/>
        <v/>
      </c>
      <c r="AG334" s="17">
        <f t="shared" si="45"/>
        <v>0.69979006298110569</v>
      </c>
      <c r="AH334" s="7" t="s">
        <v>1643</v>
      </c>
      <c r="AI334" s="7">
        <v>10</v>
      </c>
      <c r="AJ334" s="38">
        <f t="shared" si="46"/>
        <v>0.92022024005710445</v>
      </c>
      <c r="AK334" s="9" t="b">
        <f t="shared" si="47"/>
        <v>1</v>
      </c>
      <c r="AL334" s="28" t="s">
        <v>1644</v>
      </c>
      <c r="AM334" s="28" t="s">
        <v>1645</v>
      </c>
      <c r="AN334" s="28" t="s">
        <v>1792</v>
      </c>
    </row>
    <row r="335" spans="1:40" ht="30">
      <c r="A335" s="7">
        <v>334</v>
      </c>
      <c r="B335" s="7" t="s">
        <v>1040</v>
      </c>
      <c r="C335" s="7" t="s">
        <v>51</v>
      </c>
      <c r="D335" s="7" t="s">
        <v>99</v>
      </c>
      <c r="E335" s="7" t="s">
        <v>1647</v>
      </c>
      <c r="F335" s="7"/>
      <c r="G335" s="14">
        <v>0</v>
      </c>
      <c r="H335" s="14"/>
      <c r="I335" s="15"/>
      <c r="J335" s="14"/>
      <c r="K335" s="15"/>
      <c r="L335" s="14"/>
      <c r="M335" s="14"/>
      <c r="N335" s="13"/>
      <c r="O335" s="14"/>
      <c r="P335" s="14"/>
      <c r="Q335" s="15"/>
      <c r="R335" s="17">
        <f>IFERROR(G335/(G335+Priors!$H$18),0)</f>
        <v>0</v>
      </c>
      <c r="S335" s="13">
        <v>0</v>
      </c>
      <c r="T335" s="40" t="b">
        <v>0</v>
      </c>
      <c r="U335" s="13">
        <v>1</v>
      </c>
      <c r="V335" s="40" t="b">
        <v>0</v>
      </c>
      <c r="W335" s="13">
        <v>1</v>
      </c>
      <c r="X335" s="17">
        <f t="shared" si="40"/>
        <v>0</v>
      </c>
      <c r="Y335" s="37">
        <f>VLOOKUP(D335,Priors!$A$18:$B$21,2,FALSE)</f>
        <v>8.7398272304160223</v>
      </c>
      <c r="Z335" s="38">
        <f t="shared" si="41"/>
        <v>8.7398272304160223</v>
      </c>
      <c r="AA335" s="39">
        <v>1</v>
      </c>
      <c r="AB335" s="38">
        <f t="shared" si="42"/>
        <v>8.7398272304160223</v>
      </c>
      <c r="AC335" s="37">
        <f>Priors!$K$18</f>
        <v>2.7435089299114512</v>
      </c>
      <c r="AD335" s="38" t="str">
        <f t="shared" si="43"/>
        <v/>
      </c>
      <c r="AE335" s="37">
        <f>Priors!$K$19</f>
        <v>0.67280088332719912</v>
      </c>
      <c r="AF335" s="38" t="str">
        <f t="shared" si="44"/>
        <v/>
      </c>
      <c r="AG335" s="17">
        <f t="shared" si="45"/>
        <v>1</v>
      </c>
      <c r="AH335" s="7" t="s">
        <v>1793</v>
      </c>
      <c r="AI335" s="7">
        <v>10</v>
      </c>
      <c r="AJ335" s="38">
        <f t="shared" si="46"/>
        <v>0.87398272304160218</v>
      </c>
      <c r="AK335" s="9" t="b">
        <f t="shared" si="47"/>
        <v>1</v>
      </c>
      <c r="AL335" s="28" t="s">
        <v>1794</v>
      </c>
      <c r="AM335" s="28"/>
      <c r="AN335" s="28" t="s">
        <v>1792</v>
      </c>
    </row>
    <row r="336" spans="1:40" ht="30">
      <c r="A336" s="7">
        <v>335</v>
      </c>
      <c r="B336" s="7" t="s">
        <v>1042</v>
      </c>
      <c r="C336" s="7" t="s">
        <v>51</v>
      </c>
      <c r="D336" s="7" t="s">
        <v>112</v>
      </c>
      <c r="E336" s="7" t="s">
        <v>1642</v>
      </c>
      <c r="F336" s="7" t="s">
        <v>51</v>
      </c>
      <c r="G336" s="14">
        <v>2369</v>
      </c>
      <c r="H336" s="14">
        <v>266</v>
      </c>
      <c r="I336" s="15">
        <v>10.11</v>
      </c>
      <c r="J336" s="14">
        <v>0</v>
      </c>
      <c r="K336" s="15">
        <v>0</v>
      </c>
      <c r="L336" s="14">
        <v>36</v>
      </c>
      <c r="M336" s="14">
        <v>7</v>
      </c>
      <c r="N336" s="13"/>
      <c r="O336" s="14">
        <v>14</v>
      </c>
      <c r="P336" s="14">
        <v>550</v>
      </c>
      <c r="Q336" s="15">
        <v>20.894892359645421</v>
      </c>
      <c r="R336" s="17">
        <f>IFERROR(G336/(G336+Priors!$H$18),0)</f>
        <v>0.70317601662214302</v>
      </c>
      <c r="S336" s="13">
        <v>1</v>
      </c>
      <c r="T336" s="40" t="b">
        <v>0</v>
      </c>
      <c r="U336" s="13">
        <v>1</v>
      </c>
      <c r="V336" s="40" t="b">
        <v>0</v>
      </c>
      <c r="W336" s="13">
        <v>1</v>
      </c>
      <c r="X336" s="17">
        <f t="shared" si="40"/>
        <v>0.70317601662214302</v>
      </c>
      <c r="Y336" s="37">
        <f>VLOOKUP(D336,Priors!$A$18:$B$21,2,FALSE)</f>
        <v>8.4555315342179806</v>
      </c>
      <c r="Z336" s="38">
        <f t="shared" si="41"/>
        <v>9.6189140796135284</v>
      </c>
      <c r="AA336" s="39">
        <v>1</v>
      </c>
      <c r="AB336" s="38">
        <f t="shared" si="42"/>
        <v>9.6189140796135284</v>
      </c>
      <c r="AC336" s="37">
        <f>Priors!$K$18</f>
        <v>2.7435089299114512</v>
      </c>
      <c r="AD336" s="38" t="str">
        <f t="shared" si="43"/>
        <v/>
      </c>
      <c r="AE336" s="37">
        <f>Priors!$K$19</f>
        <v>0.67280088332719912</v>
      </c>
      <c r="AF336" s="38" t="str">
        <f t="shared" si="44"/>
        <v/>
      </c>
      <c r="AG336" s="17">
        <f t="shared" si="45"/>
        <v>0.29682398337785698</v>
      </c>
      <c r="AH336" s="7" t="s">
        <v>1643</v>
      </c>
      <c r="AI336" s="7">
        <v>12</v>
      </c>
      <c r="AJ336" s="38">
        <f t="shared" si="46"/>
        <v>0.8015761733011274</v>
      </c>
      <c r="AK336" s="9" t="b">
        <f t="shared" si="47"/>
        <v>0</v>
      </c>
      <c r="AL336" s="28" t="s">
        <v>1644</v>
      </c>
      <c r="AM336" s="28" t="s">
        <v>1645</v>
      </c>
      <c r="AN336" s="28" t="s">
        <v>1792</v>
      </c>
    </row>
    <row r="337" spans="1:40" ht="30">
      <c r="A337" s="7">
        <v>336</v>
      </c>
      <c r="B337" s="7" t="s">
        <v>1045</v>
      </c>
      <c r="C337" s="7" t="s">
        <v>51</v>
      </c>
      <c r="D337" s="7" t="s">
        <v>112</v>
      </c>
      <c r="E337" s="7" t="s">
        <v>1642</v>
      </c>
      <c r="F337" s="7" t="s">
        <v>51</v>
      </c>
      <c r="G337" s="14">
        <v>1553</v>
      </c>
      <c r="H337" s="14">
        <v>113</v>
      </c>
      <c r="I337" s="15">
        <v>6.55</v>
      </c>
      <c r="J337" s="14">
        <v>0</v>
      </c>
      <c r="K337" s="15">
        <v>0</v>
      </c>
      <c r="L337" s="14">
        <v>26</v>
      </c>
      <c r="M337" s="14">
        <v>6</v>
      </c>
      <c r="N337" s="13"/>
      <c r="O337" s="14">
        <v>11</v>
      </c>
      <c r="P337" s="14">
        <v>354</v>
      </c>
      <c r="Q337" s="15">
        <v>20.515132002575658</v>
      </c>
      <c r="R337" s="17">
        <f>IFERROR(G337/(G337+Priors!$H$18),0)</f>
        <v>0.60830395613004307</v>
      </c>
      <c r="S337" s="13">
        <v>1</v>
      </c>
      <c r="T337" s="40" t="b">
        <v>0</v>
      </c>
      <c r="U337" s="13">
        <v>1</v>
      </c>
      <c r="V337" s="40" t="b">
        <v>0</v>
      </c>
      <c r="W337" s="13">
        <v>1</v>
      </c>
      <c r="X337" s="17">
        <f t="shared" si="40"/>
        <v>0.60830395613004307</v>
      </c>
      <c r="Y337" s="37">
        <f>VLOOKUP(D337,Priors!$A$18:$B$21,2,FALSE)</f>
        <v>8.4555315342179806</v>
      </c>
      <c r="Z337" s="38">
        <f t="shared" si="41"/>
        <v>7.2963891634226323</v>
      </c>
      <c r="AA337" s="39">
        <v>1</v>
      </c>
      <c r="AB337" s="38">
        <f t="shared" si="42"/>
        <v>7.2963891634226323</v>
      </c>
      <c r="AC337" s="37">
        <f>Priors!$K$18</f>
        <v>2.7435089299114512</v>
      </c>
      <c r="AD337" s="38" t="str">
        <f t="shared" si="43"/>
        <v/>
      </c>
      <c r="AE337" s="37">
        <f>Priors!$K$19</f>
        <v>0.67280088332719912</v>
      </c>
      <c r="AF337" s="38" t="str">
        <f t="shared" si="44"/>
        <v/>
      </c>
      <c r="AG337" s="17">
        <f t="shared" si="45"/>
        <v>0.39169604386995693</v>
      </c>
      <c r="AH337" s="7" t="s">
        <v>1643</v>
      </c>
      <c r="AI337" s="7">
        <v>12</v>
      </c>
      <c r="AJ337" s="38">
        <f t="shared" si="46"/>
        <v>0.60803243028521936</v>
      </c>
      <c r="AK337" s="9" t="b">
        <f t="shared" si="47"/>
        <v>0</v>
      </c>
      <c r="AL337" s="28" t="s">
        <v>1644</v>
      </c>
      <c r="AM337" s="28" t="s">
        <v>1645</v>
      </c>
      <c r="AN337" s="28" t="s">
        <v>1792</v>
      </c>
    </row>
    <row r="338" spans="1:40" ht="30">
      <c r="A338" s="7">
        <v>337</v>
      </c>
      <c r="B338" s="7" t="s">
        <v>1047</v>
      </c>
      <c r="C338" s="7" t="s">
        <v>51</v>
      </c>
      <c r="D338" s="7" t="s">
        <v>112</v>
      </c>
      <c r="E338" s="7" t="s">
        <v>1642</v>
      </c>
      <c r="F338" s="7" t="s">
        <v>51</v>
      </c>
      <c r="G338" s="14">
        <v>2449</v>
      </c>
      <c r="H338" s="14">
        <v>216</v>
      </c>
      <c r="I338" s="15">
        <v>7.94</v>
      </c>
      <c r="J338" s="14">
        <v>0</v>
      </c>
      <c r="K338" s="15">
        <v>0</v>
      </c>
      <c r="L338" s="14">
        <v>32</v>
      </c>
      <c r="M338" s="14">
        <v>9</v>
      </c>
      <c r="N338" s="13"/>
      <c r="O338" s="14">
        <v>5</v>
      </c>
      <c r="P338" s="14">
        <v>446</v>
      </c>
      <c r="Q338" s="15">
        <v>16.390363413638219</v>
      </c>
      <c r="R338" s="17">
        <f>IFERROR(G338/(G338+Priors!$H$18),0)</f>
        <v>0.7100608872136851</v>
      </c>
      <c r="S338" s="13">
        <v>1</v>
      </c>
      <c r="T338" s="40" t="b">
        <v>0</v>
      </c>
      <c r="U338" s="13">
        <v>1</v>
      </c>
      <c r="V338" s="40" t="b">
        <v>0</v>
      </c>
      <c r="W338" s="13">
        <v>1</v>
      </c>
      <c r="X338" s="17">
        <f t="shared" si="40"/>
        <v>0.7100608872136851</v>
      </c>
      <c r="Y338" s="37">
        <f>VLOOKUP(D338,Priors!$A$18:$B$21,2,FALSE)</f>
        <v>8.4555315342179806</v>
      </c>
      <c r="Z338" s="38">
        <f t="shared" si="41"/>
        <v>8.0894727556445289</v>
      </c>
      <c r="AA338" s="39">
        <v>1</v>
      </c>
      <c r="AB338" s="38">
        <f t="shared" si="42"/>
        <v>8.0894727556445289</v>
      </c>
      <c r="AC338" s="37">
        <f>Priors!$K$18</f>
        <v>2.7435089299114512</v>
      </c>
      <c r="AD338" s="38" t="str">
        <f t="shared" si="43"/>
        <v/>
      </c>
      <c r="AE338" s="37">
        <f>Priors!$K$19</f>
        <v>0.67280088332719912</v>
      </c>
      <c r="AF338" s="38" t="str">
        <f t="shared" si="44"/>
        <v/>
      </c>
      <c r="AG338" s="17">
        <f t="shared" si="45"/>
        <v>0.2899391127863149</v>
      </c>
      <c r="AH338" s="7" t="s">
        <v>1643</v>
      </c>
      <c r="AI338" s="7">
        <v>12</v>
      </c>
      <c r="AJ338" s="38">
        <f t="shared" si="46"/>
        <v>0.67412272963704412</v>
      </c>
      <c r="AK338" s="9" t="b">
        <f t="shared" si="47"/>
        <v>0</v>
      </c>
      <c r="AL338" s="28" t="s">
        <v>1644</v>
      </c>
      <c r="AM338" s="28" t="s">
        <v>1645</v>
      </c>
      <c r="AN338" s="28" t="s">
        <v>1792</v>
      </c>
    </row>
    <row r="339" spans="1:40" ht="30">
      <c r="A339" s="7">
        <v>338</v>
      </c>
      <c r="B339" s="7" t="s">
        <v>1049</v>
      </c>
      <c r="C339" s="7" t="s">
        <v>51</v>
      </c>
      <c r="D339" s="7" t="s">
        <v>112</v>
      </c>
      <c r="E339" s="7" t="s">
        <v>1642</v>
      </c>
      <c r="F339" s="7" t="s">
        <v>51</v>
      </c>
      <c r="G339" s="14">
        <v>3119</v>
      </c>
      <c r="H339" s="14">
        <v>416</v>
      </c>
      <c r="I339" s="15">
        <v>12</v>
      </c>
      <c r="J339" s="14">
        <v>0</v>
      </c>
      <c r="K339" s="15">
        <v>0</v>
      </c>
      <c r="L339" s="14">
        <v>49</v>
      </c>
      <c r="M339" s="14">
        <v>8</v>
      </c>
      <c r="N339" s="13"/>
      <c r="O339" s="14">
        <v>11</v>
      </c>
      <c r="P339" s="14">
        <v>586</v>
      </c>
      <c r="Q339" s="15">
        <v>16.909265790317409</v>
      </c>
      <c r="R339" s="17">
        <f>IFERROR(G339/(G339+Priors!$H$18),0)</f>
        <v>0.75722262685117747</v>
      </c>
      <c r="S339" s="13">
        <v>1</v>
      </c>
      <c r="T339" s="40" t="b">
        <v>0</v>
      </c>
      <c r="U339" s="13">
        <v>1</v>
      </c>
      <c r="V339" s="40" t="b">
        <v>0</v>
      </c>
      <c r="W339" s="13">
        <v>1</v>
      </c>
      <c r="X339" s="17">
        <f t="shared" si="40"/>
        <v>0.75722262685117747</v>
      </c>
      <c r="Y339" s="37">
        <f>VLOOKUP(D339,Priors!$A$18:$B$21,2,FALSE)</f>
        <v>8.4555315342179806</v>
      </c>
      <c r="Z339" s="38">
        <f t="shared" si="41"/>
        <v>11.139483256668603</v>
      </c>
      <c r="AA339" s="39">
        <v>1</v>
      </c>
      <c r="AB339" s="38">
        <f t="shared" si="42"/>
        <v>11.139483256668603</v>
      </c>
      <c r="AC339" s="37">
        <f>Priors!$K$18</f>
        <v>2.7435089299114512</v>
      </c>
      <c r="AD339" s="38" t="str">
        <f t="shared" si="43"/>
        <v/>
      </c>
      <c r="AE339" s="37">
        <f>Priors!$K$19</f>
        <v>0.67280088332719912</v>
      </c>
      <c r="AF339" s="38" t="str">
        <f t="shared" si="44"/>
        <v/>
      </c>
      <c r="AG339" s="17">
        <f t="shared" si="45"/>
        <v>0.24277737314882253</v>
      </c>
      <c r="AH339" s="7" t="s">
        <v>1643</v>
      </c>
      <c r="AI339" s="7">
        <v>12</v>
      </c>
      <c r="AJ339" s="38">
        <f t="shared" si="46"/>
        <v>0.92829027138905029</v>
      </c>
      <c r="AK339" s="9" t="b">
        <f t="shared" si="47"/>
        <v>0</v>
      </c>
      <c r="AL339" s="28" t="s">
        <v>1644</v>
      </c>
      <c r="AM339" s="28" t="s">
        <v>1645</v>
      </c>
      <c r="AN339" s="28" t="s">
        <v>1792</v>
      </c>
    </row>
    <row r="340" spans="1:40" ht="30">
      <c r="A340" s="7">
        <v>339</v>
      </c>
      <c r="B340" s="7" t="s">
        <v>1052</v>
      </c>
      <c r="C340" s="7" t="s">
        <v>51</v>
      </c>
      <c r="D340" s="7" t="s">
        <v>112</v>
      </c>
      <c r="E340" s="7" t="s">
        <v>1642</v>
      </c>
      <c r="F340" s="7" t="s">
        <v>51</v>
      </c>
      <c r="G340" s="14">
        <v>1003</v>
      </c>
      <c r="H340" s="14">
        <v>110</v>
      </c>
      <c r="I340" s="15">
        <v>9.8699999999999992</v>
      </c>
      <c r="J340" s="14">
        <v>0</v>
      </c>
      <c r="K340" s="15">
        <v>0</v>
      </c>
      <c r="L340" s="14">
        <v>20</v>
      </c>
      <c r="M340" s="14">
        <v>1</v>
      </c>
      <c r="N340" s="13"/>
      <c r="O340" s="14">
        <v>5</v>
      </c>
      <c r="P340" s="14">
        <v>273</v>
      </c>
      <c r="Q340" s="15">
        <v>24.496510468594217</v>
      </c>
      <c r="R340" s="17">
        <f>IFERROR(G340/(G340+Priors!$H$18),0)</f>
        <v>0.50074887668497259</v>
      </c>
      <c r="S340" s="13">
        <v>1</v>
      </c>
      <c r="T340" s="40" t="b">
        <v>0</v>
      </c>
      <c r="U340" s="13">
        <v>1</v>
      </c>
      <c r="V340" s="40" t="b">
        <v>0</v>
      </c>
      <c r="W340" s="13">
        <v>1</v>
      </c>
      <c r="X340" s="17">
        <f t="shared" si="40"/>
        <v>0.50074887668497259</v>
      </c>
      <c r="Y340" s="37">
        <f>VLOOKUP(D340,Priors!$A$18:$B$21,2,FALSE)</f>
        <v>8.4555315342179806</v>
      </c>
      <c r="Z340" s="38">
        <f t="shared" si="41"/>
        <v>9.1638250295646415</v>
      </c>
      <c r="AA340" s="39">
        <v>1</v>
      </c>
      <c r="AB340" s="38">
        <f t="shared" si="42"/>
        <v>9.1638250295646415</v>
      </c>
      <c r="AC340" s="37">
        <f>Priors!$K$18</f>
        <v>2.7435089299114512</v>
      </c>
      <c r="AD340" s="38" t="str">
        <f t="shared" si="43"/>
        <v/>
      </c>
      <c r="AE340" s="37">
        <f>Priors!$K$19</f>
        <v>0.67280088332719912</v>
      </c>
      <c r="AF340" s="38" t="str">
        <f t="shared" si="44"/>
        <v/>
      </c>
      <c r="AG340" s="17">
        <f t="shared" si="45"/>
        <v>0.49925112331502741</v>
      </c>
      <c r="AH340" s="7" t="s">
        <v>1643</v>
      </c>
      <c r="AI340" s="7">
        <v>12</v>
      </c>
      <c r="AJ340" s="38">
        <f t="shared" si="46"/>
        <v>0.76365208579705346</v>
      </c>
      <c r="AK340" s="9" t="b">
        <f t="shared" si="47"/>
        <v>0</v>
      </c>
      <c r="AL340" s="28" t="s">
        <v>1644</v>
      </c>
      <c r="AM340" s="28" t="s">
        <v>1645</v>
      </c>
      <c r="AN340" s="28" t="s">
        <v>1792</v>
      </c>
    </row>
    <row r="341" spans="1:40" ht="30">
      <c r="A341" s="7">
        <v>340</v>
      </c>
      <c r="B341" s="7" t="s">
        <v>1054</v>
      </c>
      <c r="C341" s="7" t="s">
        <v>51</v>
      </c>
      <c r="D341" s="7" t="s">
        <v>112</v>
      </c>
      <c r="E341" s="7" t="s">
        <v>1642</v>
      </c>
      <c r="F341" s="7" t="s">
        <v>51</v>
      </c>
      <c r="G341" s="14">
        <v>0</v>
      </c>
      <c r="H341" s="14">
        <v>0</v>
      </c>
      <c r="I341" s="15">
        <v>0</v>
      </c>
      <c r="J341" s="14">
        <v>0</v>
      </c>
      <c r="K341" s="15">
        <v>0</v>
      </c>
      <c r="L341" s="14">
        <v>0</v>
      </c>
      <c r="M341" s="14">
        <v>0</v>
      </c>
      <c r="N341" s="13"/>
      <c r="O341" s="14">
        <v>0</v>
      </c>
      <c r="P341" s="14">
        <v>0</v>
      </c>
      <c r="Q341" s="15">
        <v>0</v>
      </c>
      <c r="R341" s="17">
        <f>IFERROR(G341/(G341+Priors!$H$18),0)</f>
        <v>0</v>
      </c>
      <c r="S341" s="13">
        <v>1</v>
      </c>
      <c r="T341" s="40" t="b">
        <v>0</v>
      </c>
      <c r="U341" s="13">
        <v>1</v>
      </c>
      <c r="V341" s="40" t="b">
        <v>0</v>
      </c>
      <c r="W341" s="13">
        <v>1</v>
      </c>
      <c r="X341" s="17">
        <f t="shared" si="40"/>
        <v>0</v>
      </c>
      <c r="Y341" s="37">
        <f>VLOOKUP(D341,Priors!$A$18:$B$21,2,FALSE)</f>
        <v>8.4555315342179806</v>
      </c>
      <c r="Z341" s="38">
        <f t="shared" si="41"/>
        <v>8.4555315342179806</v>
      </c>
      <c r="AA341" s="39">
        <v>1</v>
      </c>
      <c r="AB341" s="38">
        <f t="shared" si="42"/>
        <v>8.4555315342179806</v>
      </c>
      <c r="AC341" s="37">
        <f>Priors!$K$18</f>
        <v>2.7435089299114512</v>
      </c>
      <c r="AD341" s="38" t="str">
        <f t="shared" si="43"/>
        <v/>
      </c>
      <c r="AE341" s="37">
        <f>Priors!$K$19</f>
        <v>0.67280088332719912</v>
      </c>
      <c r="AF341" s="38" t="str">
        <f t="shared" si="44"/>
        <v/>
      </c>
      <c r="AG341" s="17">
        <f t="shared" si="45"/>
        <v>1</v>
      </c>
      <c r="AH341" s="7" t="s">
        <v>1643</v>
      </c>
      <c r="AI341" s="7">
        <v>12</v>
      </c>
      <c r="AJ341" s="38">
        <f t="shared" si="46"/>
        <v>0.70462762785149835</v>
      </c>
      <c r="AK341" s="9" t="b">
        <f t="shared" si="47"/>
        <v>1</v>
      </c>
      <c r="AL341" s="28" t="s">
        <v>1644</v>
      </c>
      <c r="AM341" s="28" t="s">
        <v>1645</v>
      </c>
      <c r="AN341" s="28" t="s">
        <v>1792</v>
      </c>
    </row>
    <row r="342" spans="1:40" ht="30">
      <c r="A342" s="7">
        <v>341</v>
      </c>
      <c r="B342" s="7" t="s">
        <v>1057</v>
      </c>
      <c r="C342" s="7" t="s">
        <v>51</v>
      </c>
      <c r="D342" s="7" t="s">
        <v>112</v>
      </c>
      <c r="E342" s="7" t="s">
        <v>1642</v>
      </c>
      <c r="F342" s="7" t="s">
        <v>51</v>
      </c>
      <c r="G342" s="14">
        <v>521</v>
      </c>
      <c r="H342" s="14">
        <v>59</v>
      </c>
      <c r="I342" s="15">
        <v>10.19</v>
      </c>
      <c r="J342" s="14">
        <v>0</v>
      </c>
      <c r="K342" s="15">
        <v>0</v>
      </c>
      <c r="L342" s="14">
        <v>14</v>
      </c>
      <c r="M342" s="14">
        <v>1</v>
      </c>
      <c r="N342" s="13"/>
      <c r="O342" s="14">
        <v>0</v>
      </c>
      <c r="P342" s="14">
        <v>134</v>
      </c>
      <c r="Q342" s="15">
        <v>23.147792706333973</v>
      </c>
      <c r="R342" s="17">
        <f>IFERROR(G342/(G342+Priors!$H$18),0)</f>
        <v>0.34253780407626561</v>
      </c>
      <c r="S342" s="13">
        <v>1</v>
      </c>
      <c r="T342" s="40" t="b">
        <v>0</v>
      </c>
      <c r="U342" s="13">
        <v>1</v>
      </c>
      <c r="V342" s="40" t="b">
        <v>0</v>
      </c>
      <c r="W342" s="13">
        <v>1</v>
      </c>
      <c r="X342" s="17">
        <f t="shared" si="40"/>
        <v>0.34253780407626561</v>
      </c>
      <c r="Y342" s="37">
        <f>VLOOKUP(D342,Priors!$A$18:$B$21,2,FALSE)</f>
        <v>8.4555315342179806</v>
      </c>
      <c r="Z342" s="38">
        <f t="shared" si="41"/>
        <v>9.0496525537264816</v>
      </c>
      <c r="AA342" s="39">
        <v>1</v>
      </c>
      <c r="AB342" s="38">
        <f t="shared" si="42"/>
        <v>9.0496525537264816</v>
      </c>
      <c r="AC342" s="37">
        <f>Priors!$K$18</f>
        <v>2.7435089299114512</v>
      </c>
      <c r="AD342" s="38" t="str">
        <f t="shared" si="43"/>
        <v/>
      </c>
      <c r="AE342" s="37">
        <f>Priors!$K$19</f>
        <v>0.67280088332719912</v>
      </c>
      <c r="AF342" s="38" t="str">
        <f t="shared" si="44"/>
        <v/>
      </c>
      <c r="AG342" s="17">
        <f t="shared" si="45"/>
        <v>0.65746219592373434</v>
      </c>
      <c r="AH342" s="7" t="s">
        <v>1643</v>
      </c>
      <c r="AI342" s="7">
        <v>12</v>
      </c>
      <c r="AJ342" s="38">
        <f t="shared" si="46"/>
        <v>0.7541377128105401</v>
      </c>
      <c r="AK342" s="9" t="b">
        <f t="shared" si="47"/>
        <v>1</v>
      </c>
      <c r="AL342" s="28" t="s">
        <v>1644</v>
      </c>
      <c r="AM342" s="28" t="s">
        <v>1645</v>
      </c>
      <c r="AN342" s="28" t="s">
        <v>1792</v>
      </c>
    </row>
    <row r="343" spans="1:40" ht="30">
      <c r="A343" s="7">
        <v>342</v>
      </c>
      <c r="B343" s="7" t="s">
        <v>1059</v>
      </c>
      <c r="C343" s="7" t="s">
        <v>51</v>
      </c>
      <c r="D343" s="7" t="s">
        <v>112</v>
      </c>
      <c r="E343" s="7" t="s">
        <v>1642</v>
      </c>
      <c r="F343" s="7" t="s">
        <v>51</v>
      </c>
      <c r="G343" s="14">
        <v>262</v>
      </c>
      <c r="H343" s="14">
        <v>24</v>
      </c>
      <c r="I343" s="15">
        <v>8.24</v>
      </c>
      <c r="J343" s="14">
        <v>0</v>
      </c>
      <c r="K343" s="15">
        <v>0</v>
      </c>
      <c r="L343" s="14">
        <v>5</v>
      </c>
      <c r="M343" s="14">
        <v>0</v>
      </c>
      <c r="N343" s="13"/>
      <c r="O343" s="14">
        <v>0</v>
      </c>
      <c r="P343" s="14">
        <v>51</v>
      </c>
      <c r="Q343" s="15">
        <v>17.519083969465647</v>
      </c>
      <c r="R343" s="17">
        <f>IFERROR(G343/(G343+Priors!$H$18),0)</f>
        <v>0.2076069730586371</v>
      </c>
      <c r="S343" s="13">
        <v>1</v>
      </c>
      <c r="T343" s="40" t="b">
        <v>0</v>
      </c>
      <c r="U343" s="13">
        <v>1</v>
      </c>
      <c r="V343" s="40" t="b">
        <v>0</v>
      </c>
      <c r="W343" s="13">
        <v>1</v>
      </c>
      <c r="X343" s="17">
        <f t="shared" si="40"/>
        <v>0.2076069730586371</v>
      </c>
      <c r="Y343" s="37">
        <f>VLOOKUP(D343,Priors!$A$18:$B$21,2,FALSE)</f>
        <v>8.4555315342179806</v>
      </c>
      <c r="Z343" s="38">
        <f t="shared" si="41"/>
        <v>8.4107856848003024</v>
      </c>
      <c r="AA343" s="39">
        <v>1</v>
      </c>
      <c r="AB343" s="38">
        <f t="shared" si="42"/>
        <v>8.4107856848003024</v>
      </c>
      <c r="AC343" s="37">
        <f>Priors!$K$18</f>
        <v>2.7435089299114512</v>
      </c>
      <c r="AD343" s="38" t="str">
        <f t="shared" si="43"/>
        <v/>
      </c>
      <c r="AE343" s="37">
        <f>Priors!$K$19</f>
        <v>0.67280088332719912</v>
      </c>
      <c r="AF343" s="38" t="str">
        <f t="shared" si="44"/>
        <v/>
      </c>
      <c r="AG343" s="17">
        <f t="shared" si="45"/>
        <v>0.79239302694136293</v>
      </c>
      <c r="AH343" s="7" t="s">
        <v>1643</v>
      </c>
      <c r="AI343" s="7">
        <v>12</v>
      </c>
      <c r="AJ343" s="38">
        <f t="shared" si="46"/>
        <v>0.70089880706669183</v>
      </c>
      <c r="AK343" s="9" t="b">
        <f t="shared" si="47"/>
        <v>1</v>
      </c>
      <c r="AL343" s="28" t="s">
        <v>1644</v>
      </c>
      <c r="AM343" s="28" t="s">
        <v>1645</v>
      </c>
      <c r="AN343" s="28" t="s">
        <v>1792</v>
      </c>
    </row>
    <row r="344" spans="1:40" ht="30">
      <c r="A344" s="7">
        <v>343</v>
      </c>
      <c r="B344" s="7" t="s">
        <v>518</v>
      </c>
      <c r="C344" s="7" t="s">
        <v>51</v>
      </c>
      <c r="D344" s="7" t="s">
        <v>112</v>
      </c>
      <c r="E344" s="7" t="s">
        <v>1642</v>
      </c>
      <c r="F344" s="7" t="s">
        <v>51</v>
      </c>
      <c r="G344" s="14">
        <v>547</v>
      </c>
      <c r="H344" s="14">
        <v>35</v>
      </c>
      <c r="I344" s="15">
        <v>5.76</v>
      </c>
      <c r="J344" s="14">
        <v>0</v>
      </c>
      <c r="K344" s="15">
        <v>0</v>
      </c>
      <c r="L344" s="14">
        <v>16</v>
      </c>
      <c r="M344" s="14">
        <v>1</v>
      </c>
      <c r="N344" s="13"/>
      <c r="O344" s="14">
        <v>0</v>
      </c>
      <c r="P344" s="14">
        <v>93</v>
      </c>
      <c r="Q344" s="15">
        <v>15.301645338208409</v>
      </c>
      <c r="R344" s="17">
        <f>IFERROR(G344/(G344+Priors!$H$18),0)</f>
        <v>0.35358758888170655</v>
      </c>
      <c r="S344" s="13">
        <v>1</v>
      </c>
      <c r="T344" s="40" t="b">
        <v>0</v>
      </c>
      <c r="U344" s="13">
        <v>1</v>
      </c>
      <c r="V344" s="40" t="b">
        <v>0</v>
      </c>
      <c r="W344" s="13">
        <v>1</v>
      </c>
      <c r="X344" s="17">
        <f t="shared" si="40"/>
        <v>0.35358758888170655</v>
      </c>
      <c r="Y344" s="37">
        <f>VLOOKUP(D344,Priors!$A$18:$B$21,2,FALSE)</f>
        <v>8.4555315342179806</v>
      </c>
      <c r="Z344" s="38">
        <f t="shared" si="41"/>
        <v>7.5024250382792363</v>
      </c>
      <c r="AA344" s="39">
        <v>1</v>
      </c>
      <c r="AB344" s="38">
        <f t="shared" si="42"/>
        <v>7.5024250382792363</v>
      </c>
      <c r="AC344" s="37">
        <f>Priors!$K$18</f>
        <v>2.7435089299114512</v>
      </c>
      <c r="AD344" s="38" t="str">
        <f t="shared" si="43"/>
        <v/>
      </c>
      <c r="AE344" s="37">
        <f>Priors!$K$19</f>
        <v>0.67280088332719912</v>
      </c>
      <c r="AF344" s="38" t="str">
        <f t="shared" si="44"/>
        <v/>
      </c>
      <c r="AG344" s="17">
        <f t="shared" si="45"/>
        <v>0.6464124111182934</v>
      </c>
      <c r="AH344" s="7" t="s">
        <v>1643</v>
      </c>
      <c r="AI344" s="7">
        <v>12</v>
      </c>
      <c r="AJ344" s="38">
        <f t="shared" si="46"/>
        <v>0.6252020865232697</v>
      </c>
      <c r="AK344" s="9" t="b">
        <f t="shared" si="47"/>
        <v>1</v>
      </c>
      <c r="AL344" s="28" t="s">
        <v>1644</v>
      </c>
      <c r="AM344" s="28" t="s">
        <v>1645</v>
      </c>
      <c r="AN344" s="28" t="s">
        <v>1792</v>
      </c>
    </row>
    <row r="345" spans="1:40" ht="30">
      <c r="A345" s="7">
        <v>344</v>
      </c>
      <c r="B345" s="7" t="s">
        <v>1064</v>
      </c>
      <c r="C345" s="7" t="s">
        <v>51</v>
      </c>
      <c r="D345" s="7" t="s">
        <v>112</v>
      </c>
      <c r="E345" s="7" t="s">
        <v>1642</v>
      </c>
      <c r="F345" s="7" t="s">
        <v>51</v>
      </c>
      <c r="G345" s="14">
        <v>1318</v>
      </c>
      <c r="H345" s="14">
        <v>114</v>
      </c>
      <c r="I345" s="15">
        <v>7.78</v>
      </c>
      <c r="J345" s="14">
        <v>0</v>
      </c>
      <c r="K345" s="15">
        <v>0</v>
      </c>
      <c r="L345" s="14">
        <v>23</v>
      </c>
      <c r="M345" s="14">
        <v>5</v>
      </c>
      <c r="N345" s="13"/>
      <c r="O345" s="14">
        <v>3</v>
      </c>
      <c r="P345" s="14">
        <v>245</v>
      </c>
      <c r="Q345" s="15">
        <v>16.729893778452201</v>
      </c>
      <c r="R345" s="17">
        <f>IFERROR(G345/(G345+Priors!$H$18),0)</f>
        <v>0.56859361518550477</v>
      </c>
      <c r="S345" s="13">
        <v>1</v>
      </c>
      <c r="T345" s="40" t="b">
        <v>0</v>
      </c>
      <c r="U345" s="13">
        <v>1</v>
      </c>
      <c r="V345" s="40" t="b">
        <v>0</v>
      </c>
      <c r="W345" s="13">
        <v>1</v>
      </c>
      <c r="X345" s="17">
        <f t="shared" si="40"/>
        <v>0.56859361518550477</v>
      </c>
      <c r="Y345" s="37">
        <f>VLOOKUP(D345,Priors!$A$18:$B$21,2,FALSE)</f>
        <v>8.4555315342179806</v>
      </c>
      <c r="Z345" s="38">
        <f t="shared" si="41"/>
        <v>8.0714286170051679</v>
      </c>
      <c r="AA345" s="39">
        <v>1</v>
      </c>
      <c r="AB345" s="38">
        <f t="shared" si="42"/>
        <v>8.0714286170051679</v>
      </c>
      <c r="AC345" s="37">
        <f>Priors!$K$18</f>
        <v>2.7435089299114512</v>
      </c>
      <c r="AD345" s="38" t="str">
        <f t="shared" si="43"/>
        <v/>
      </c>
      <c r="AE345" s="37">
        <f>Priors!$K$19</f>
        <v>0.67280088332719912</v>
      </c>
      <c r="AF345" s="38" t="str">
        <f t="shared" si="44"/>
        <v/>
      </c>
      <c r="AG345" s="17">
        <f t="shared" si="45"/>
        <v>0.43140638481449523</v>
      </c>
      <c r="AH345" s="7" t="s">
        <v>1643</v>
      </c>
      <c r="AI345" s="7">
        <v>12</v>
      </c>
      <c r="AJ345" s="38">
        <f t="shared" si="46"/>
        <v>0.67261905141709732</v>
      </c>
      <c r="AK345" s="9" t="b">
        <f t="shared" si="47"/>
        <v>0</v>
      </c>
      <c r="AL345" s="28" t="s">
        <v>1644</v>
      </c>
      <c r="AM345" s="28" t="s">
        <v>1645</v>
      </c>
      <c r="AN345" s="28" t="s">
        <v>1792</v>
      </c>
    </row>
    <row r="346" spans="1:40" ht="30">
      <c r="A346" s="7">
        <v>345</v>
      </c>
      <c r="B346" s="7" t="s">
        <v>1066</v>
      </c>
      <c r="C346" s="7" t="s">
        <v>51</v>
      </c>
      <c r="D346" s="7" t="s">
        <v>112</v>
      </c>
      <c r="E346" s="7" t="s">
        <v>1642</v>
      </c>
      <c r="F346" s="7" t="s">
        <v>51</v>
      </c>
      <c r="G346" s="14">
        <v>1307</v>
      </c>
      <c r="H346" s="14">
        <v>147</v>
      </c>
      <c r="I346" s="15">
        <v>10.119999999999999</v>
      </c>
      <c r="J346" s="14">
        <v>0</v>
      </c>
      <c r="K346" s="15">
        <v>0</v>
      </c>
      <c r="L346" s="14">
        <v>22</v>
      </c>
      <c r="M346" s="14">
        <v>3</v>
      </c>
      <c r="N346" s="13"/>
      <c r="O346" s="14">
        <v>4</v>
      </c>
      <c r="P346" s="14">
        <v>288</v>
      </c>
      <c r="Q346" s="15">
        <v>19.83167559296098</v>
      </c>
      <c r="R346" s="17">
        <f>IFERROR(G346/(G346+Priors!$H$18),0)</f>
        <v>0.56653662765496315</v>
      </c>
      <c r="S346" s="13">
        <v>1</v>
      </c>
      <c r="T346" s="40" t="b">
        <v>0</v>
      </c>
      <c r="U346" s="13">
        <v>1</v>
      </c>
      <c r="V346" s="40" t="b">
        <v>0</v>
      </c>
      <c r="W346" s="13">
        <v>1</v>
      </c>
      <c r="X346" s="17">
        <f t="shared" si="40"/>
        <v>0.56653662765496315</v>
      </c>
      <c r="Y346" s="37">
        <f>VLOOKUP(D346,Priors!$A$18:$B$21,2,FALSE)</f>
        <v>8.4555315342179806</v>
      </c>
      <c r="Z346" s="38">
        <f t="shared" si="41"/>
        <v>9.3985138856601562</v>
      </c>
      <c r="AA346" s="39">
        <v>1</v>
      </c>
      <c r="AB346" s="38">
        <f t="shared" si="42"/>
        <v>9.3985138856601562</v>
      </c>
      <c r="AC346" s="37">
        <f>Priors!$K$18</f>
        <v>2.7435089299114512</v>
      </c>
      <c r="AD346" s="38" t="str">
        <f t="shared" si="43"/>
        <v/>
      </c>
      <c r="AE346" s="37">
        <f>Priors!$K$19</f>
        <v>0.67280088332719912</v>
      </c>
      <c r="AF346" s="38" t="str">
        <f t="shared" si="44"/>
        <v/>
      </c>
      <c r="AG346" s="17">
        <f t="shared" si="45"/>
        <v>0.43346337234503685</v>
      </c>
      <c r="AH346" s="7" t="s">
        <v>1643</v>
      </c>
      <c r="AI346" s="7">
        <v>12</v>
      </c>
      <c r="AJ346" s="38">
        <f t="shared" si="46"/>
        <v>0.78320949047167965</v>
      </c>
      <c r="AK346" s="9" t="b">
        <f t="shared" si="47"/>
        <v>0</v>
      </c>
      <c r="AL346" s="28" t="s">
        <v>1644</v>
      </c>
      <c r="AM346" s="28" t="s">
        <v>1645</v>
      </c>
      <c r="AN346" s="28" t="s">
        <v>1792</v>
      </c>
    </row>
    <row r="347" spans="1:40" ht="30">
      <c r="A347" s="7">
        <v>346</v>
      </c>
      <c r="B347" s="7" t="s">
        <v>1068</v>
      </c>
      <c r="C347" s="7" t="s">
        <v>51</v>
      </c>
      <c r="D347" s="7" t="s">
        <v>167</v>
      </c>
      <c r="E347" s="7" t="s">
        <v>1642</v>
      </c>
      <c r="F347" s="7" t="s">
        <v>51</v>
      </c>
      <c r="G347" s="14">
        <v>2721</v>
      </c>
      <c r="H347" s="14">
        <v>105</v>
      </c>
      <c r="I347" s="15">
        <v>3.47</v>
      </c>
      <c r="J347" s="14">
        <v>0</v>
      </c>
      <c r="K347" s="15">
        <v>0</v>
      </c>
      <c r="L347" s="14">
        <v>34</v>
      </c>
      <c r="M347" s="14">
        <v>8</v>
      </c>
      <c r="N347" s="13"/>
      <c r="O347" s="14">
        <v>20</v>
      </c>
      <c r="P347" s="14">
        <v>472</v>
      </c>
      <c r="Q347" s="15">
        <v>15.611907386990078</v>
      </c>
      <c r="R347" s="17">
        <f>IFERROR(G347/(G347+Priors!$H$18),0)</f>
        <v>0.73125503896801936</v>
      </c>
      <c r="S347" s="13">
        <v>1</v>
      </c>
      <c r="T347" s="40" t="b">
        <v>0</v>
      </c>
      <c r="U347" s="13">
        <v>1</v>
      </c>
      <c r="V347" s="40" t="b">
        <v>0</v>
      </c>
      <c r="W347" s="13">
        <v>1</v>
      </c>
      <c r="X347" s="17">
        <f t="shared" si="40"/>
        <v>0.73125503896801936</v>
      </c>
      <c r="Y347" s="37">
        <f>VLOOKUP(D347,Priors!$A$18:$B$21,2,FALSE)</f>
        <v>4.5137422563476139</v>
      </c>
      <c r="Z347" s="38">
        <f t="shared" si="41"/>
        <v>3.7505004720095707</v>
      </c>
      <c r="AA347" s="39">
        <v>1</v>
      </c>
      <c r="AB347" s="38">
        <f t="shared" si="42"/>
        <v>3.7505004720095707</v>
      </c>
      <c r="AC347" s="37">
        <f>Priors!$K$18</f>
        <v>2.7435089299114512</v>
      </c>
      <c r="AD347" s="38" t="str">
        <f t="shared" si="43"/>
        <v/>
      </c>
      <c r="AE347" s="37">
        <f>Priors!$K$19</f>
        <v>0.67280088332719912</v>
      </c>
      <c r="AF347" s="38" t="str">
        <f t="shared" si="44"/>
        <v/>
      </c>
      <c r="AG347" s="17">
        <f t="shared" si="45"/>
        <v>0.26874496103198064</v>
      </c>
      <c r="AH347" s="7" t="s">
        <v>1643</v>
      </c>
      <c r="AI347" s="7">
        <v>12</v>
      </c>
      <c r="AJ347" s="38">
        <f t="shared" si="46"/>
        <v>0.31254170600079756</v>
      </c>
      <c r="AK347" s="9" t="b">
        <f t="shared" si="47"/>
        <v>0</v>
      </c>
      <c r="AL347" s="28" t="s">
        <v>1644</v>
      </c>
      <c r="AM347" s="28" t="s">
        <v>1645</v>
      </c>
      <c r="AN347" s="28" t="s">
        <v>1792</v>
      </c>
    </row>
    <row r="348" spans="1:40" ht="30">
      <c r="A348" s="7">
        <v>347</v>
      </c>
      <c r="B348" s="7" t="s">
        <v>1070</v>
      </c>
      <c r="C348" s="7" t="s">
        <v>51</v>
      </c>
      <c r="D348" s="7" t="s">
        <v>167</v>
      </c>
      <c r="E348" s="7" t="s">
        <v>1642</v>
      </c>
      <c r="F348" s="7" t="s">
        <v>51</v>
      </c>
      <c r="G348" s="14">
        <v>1065</v>
      </c>
      <c r="H348" s="14">
        <v>57</v>
      </c>
      <c r="I348" s="15">
        <v>4.82</v>
      </c>
      <c r="J348" s="14">
        <v>0</v>
      </c>
      <c r="K348" s="15">
        <v>0</v>
      </c>
      <c r="L348" s="14">
        <v>23</v>
      </c>
      <c r="M348" s="14">
        <v>3</v>
      </c>
      <c r="N348" s="13"/>
      <c r="O348" s="14">
        <v>8</v>
      </c>
      <c r="P348" s="14">
        <v>268</v>
      </c>
      <c r="Q348" s="15">
        <v>22.64788732394366</v>
      </c>
      <c r="R348" s="17">
        <f>IFERROR(G348/(G348+Priors!$H$18),0)</f>
        <v>0.5157384987893463</v>
      </c>
      <c r="S348" s="13">
        <v>1</v>
      </c>
      <c r="T348" s="40" t="b">
        <v>0</v>
      </c>
      <c r="U348" s="13">
        <v>1</v>
      </c>
      <c r="V348" s="40" t="b">
        <v>0</v>
      </c>
      <c r="W348" s="13">
        <v>1</v>
      </c>
      <c r="X348" s="17">
        <f t="shared" si="40"/>
        <v>0.5157384987893463</v>
      </c>
      <c r="Y348" s="37">
        <f>VLOOKUP(D348,Priors!$A$18:$B$21,2,FALSE)</f>
        <v>4.5137422563476139</v>
      </c>
      <c r="Z348" s="38">
        <f t="shared" si="41"/>
        <v>4.6716911653015085</v>
      </c>
      <c r="AA348" s="39">
        <v>1</v>
      </c>
      <c r="AB348" s="38">
        <f t="shared" si="42"/>
        <v>4.6716911653015085</v>
      </c>
      <c r="AC348" s="37">
        <f>Priors!$K$18</f>
        <v>2.7435089299114512</v>
      </c>
      <c r="AD348" s="38" t="str">
        <f t="shared" si="43"/>
        <v/>
      </c>
      <c r="AE348" s="37">
        <f>Priors!$K$19</f>
        <v>0.67280088332719912</v>
      </c>
      <c r="AF348" s="38" t="str">
        <f t="shared" si="44"/>
        <v/>
      </c>
      <c r="AG348" s="17">
        <f t="shared" si="45"/>
        <v>0.4842615012106537</v>
      </c>
      <c r="AH348" s="7" t="s">
        <v>1643</v>
      </c>
      <c r="AI348" s="7">
        <v>12</v>
      </c>
      <c r="AJ348" s="38">
        <f t="shared" si="46"/>
        <v>0.38930759710845902</v>
      </c>
      <c r="AK348" s="9" t="b">
        <f t="shared" si="47"/>
        <v>0</v>
      </c>
      <c r="AL348" s="28" t="s">
        <v>1644</v>
      </c>
      <c r="AM348" s="28" t="s">
        <v>1645</v>
      </c>
      <c r="AN348" s="28" t="s">
        <v>1792</v>
      </c>
    </row>
    <row r="349" spans="1:40" ht="30">
      <c r="A349" s="7">
        <v>348</v>
      </c>
      <c r="B349" s="7" t="s">
        <v>1072</v>
      </c>
      <c r="C349" s="7" t="s">
        <v>51</v>
      </c>
      <c r="D349" s="7" t="s">
        <v>167</v>
      </c>
      <c r="E349" s="7" t="s">
        <v>1642</v>
      </c>
      <c r="F349" s="7" t="s">
        <v>51</v>
      </c>
      <c r="G349" s="14">
        <v>244</v>
      </c>
      <c r="H349" s="14">
        <v>14</v>
      </c>
      <c r="I349" s="15">
        <v>5.16</v>
      </c>
      <c r="J349" s="14">
        <v>0</v>
      </c>
      <c r="K349" s="15">
        <v>0</v>
      </c>
      <c r="L349" s="14">
        <v>9</v>
      </c>
      <c r="M349" s="14">
        <v>1</v>
      </c>
      <c r="N349" s="13"/>
      <c r="O349" s="14">
        <v>0</v>
      </c>
      <c r="P349" s="14">
        <v>42</v>
      </c>
      <c r="Q349" s="15">
        <v>15.491803278688524</v>
      </c>
      <c r="R349" s="17">
        <f>IFERROR(G349/(G349+Priors!$H$18),0)</f>
        <v>0.19614147909967847</v>
      </c>
      <c r="S349" s="13">
        <v>1</v>
      </c>
      <c r="T349" s="40" t="b">
        <v>0</v>
      </c>
      <c r="U349" s="13">
        <v>1</v>
      </c>
      <c r="V349" s="40" t="b">
        <v>0</v>
      </c>
      <c r="W349" s="13">
        <v>1</v>
      </c>
      <c r="X349" s="17">
        <f t="shared" si="40"/>
        <v>0.19614147909967847</v>
      </c>
      <c r="Y349" s="37">
        <f>VLOOKUP(D349,Priors!$A$18:$B$21,2,FALSE)</f>
        <v>4.5137422563476139</v>
      </c>
      <c r="Z349" s="38">
        <f t="shared" si="41"/>
        <v>4.6405002060672134</v>
      </c>
      <c r="AA349" s="39">
        <v>1</v>
      </c>
      <c r="AB349" s="38">
        <f t="shared" si="42"/>
        <v>4.6405002060672134</v>
      </c>
      <c r="AC349" s="37">
        <f>Priors!$K$18</f>
        <v>2.7435089299114512</v>
      </c>
      <c r="AD349" s="38" t="str">
        <f t="shared" si="43"/>
        <v/>
      </c>
      <c r="AE349" s="37">
        <f>Priors!$K$19</f>
        <v>0.67280088332719912</v>
      </c>
      <c r="AF349" s="38" t="str">
        <f t="shared" si="44"/>
        <v/>
      </c>
      <c r="AG349" s="17">
        <f t="shared" si="45"/>
        <v>0.8038585209003215</v>
      </c>
      <c r="AH349" s="7" t="s">
        <v>1643</v>
      </c>
      <c r="AI349" s="7">
        <v>12</v>
      </c>
      <c r="AJ349" s="38">
        <f t="shared" si="46"/>
        <v>0.3867083505056011</v>
      </c>
      <c r="AK349" s="9" t="b">
        <f t="shared" si="47"/>
        <v>1</v>
      </c>
      <c r="AL349" s="28" t="s">
        <v>1644</v>
      </c>
      <c r="AM349" s="28" t="s">
        <v>1645</v>
      </c>
      <c r="AN349" s="28" t="s">
        <v>1792</v>
      </c>
    </row>
    <row r="350" spans="1:40" ht="30">
      <c r="A350" s="7">
        <v>349</v>
      </c>
      <c r="B350" s="7" t="s">
        <v>1075</v>
      </c>
      <c r="C350" s="7" t="s">
        <v>51</v>
      </c>
      <c r="D350" s="7" t="s">
        <v>167</v>
      </c>
      <c r="E350" s="7" t="s">
        <v>1642</v>
      </c>
      <c r="F350" s="7" t="s">
        <v>51</v>
      </c>
      <c r="G350" s="14">
        <v>0</v>
      </c>
      <c r="H350" s="14">
        <v>0</v>
      </c>
      <c r="I350" s="15">
        <v>0</v>
      </c>
      <c r="J350" s="14">
        <v>0</v>
      </c>
      <c r="K350" s="15">
        <v>0</v>
      </c>
      <c r="L350" s="14">
        <v>0</v>
      </c>
      <c r="M350" s="14">
        <v>0</v>
      </c>
      <c r="N350" s="13"/>
      <c r="O350" s="14">
        <v>0</v>
      </c>
      <c r="P350" s="14">
        <v>0</v>
      </c>
      <c r="Q350" s="15">
        <v>0</v>
      </c>
      <c r="R350" s="17">
        <f>IFERROR(G350/(G350+Priors!$H$18),0)</f>
        <v>0</v>
      </c>
      <c r="S350" s="13">
        <v>1</v>
      </c>
      <c r="T350" s="40" t="b">
        <v>0</v>
      </c>
      <c r="U350" s="13">
        <v>1</v>
      </c>
      <c r="V350" s="40" t="b">
        <v>0</v>
      </c>
      <c r="W350" s="13">
        <v>1</v>
      </c>
      <c r="X350" s="17">
        <f t="shared" si="40"/>
        <v>0</v>
      </c>
      <c r="Y350" s="37">
        <f>VLOOKUP(D350,Priors!$A$18:$B$21,2,FALSE)</f>
        <v>4.5137422563476139</v>
      </c>
      <c r="Z350" s="38">
        <f t="shared" si="41"/>
        <v>4.5137422563476139</v>
      </c>
      <c r="AA350" s="39">
        <v>1</v>
      </c>
      <c r="AB350" s="38">
        <f t="shared" si="42"/>
        <v>4.5137422563476139</v>
      </c>
      <c r="AC350" s="37">
        <f>Priors!$K$18</f>
        <v>2.7435089299114512</v>
      </c>
      <c r="AD350" s="38" t="str">
        <f t="shared" si="43"/>
        <v/>
      </c>
      <c r="AE350" s="37">
        <f>Priors!$K$19</f>
        <v>0.67280088332719912</v>
      </c>
      <c r="AF350" s="38" t="str">
        <f t="shared" si="44"/>
        <v/>
      </c>
      <c r="AG350" s="17">
        <f t="shared" si="45"/>
        <v>1</v>
      </c>
      <c r="AH350" s="7" t="s">
        <v>1643</v>
      </c>
      <c r="AI350" s="7">
        <v>12</v>
      </c>
      <c r="AJ350" s="38">
        <f t="shared" si="46"/>
        <v>0.37614518802896785</v>
      </c>
      <c r="AK350" s="9" t="b">
        <f t="shared" si="47"/>
        <v>1</v>
      </c>
      <c r="AL350" s="28" t="s">
        <v>1644</v>
      </c>
      <c r="AM350" s="28" t="s">
        <v>1645</v>
      </c>
      <c r="AN350" s="28" t="s">
        <v>1792</v>
      </c>
    </row>
    <row r="351" spans="1:40" ht="30">
      <c r="A351" s="7">
        <v>350</v>
      </c>
      <c r="B351" s="7" t="s">
        <v>1078</v>
      </c>
      <c r="C351" s="7" t="s">
        <v>52</v>
      </c>
      <c r="D351" s="7" t="s">
        <v>85</v>
      </c>
      <c r="E351" s="7" t="s">
        <v>1642</v>
      </c>
      <c r="F351" s="7" t="s">
        <v>52</v>
      </c>
      <c r="G351" s="14">
        <v>2340</v>
      </c>
      <c r="H351" s="14">
        <v>63</v>
      </c>
      <c r="I351" s="15">
        <v>0</v>
      </c>
      <c r="J351" s="14">
        <v>57</v>
      </c>
      <c r="K351" s="15">
        <v>2.19</v>
      </c>
      <c r="L351" s="14">
        <v>31</v>
      </c>
      <c r="M351" s="14">
        <v>8</v>
      </c>
      <c r="N351" s="13">
        <v>0.64772727272727271</v>
      </c>
      <c r="O351" s="14">
        <v>8</v>
      </c>
      <c r="P351" s="14">
        <v>389</v>
      </c>
      <c r="Q351" s="15">
        <v>14.961538461538462</v>
      </c>
      <c r="R351" s="17">
        <f>IFERROR(G351/(G351+Priors!$H$18),0)</f>
        <v>0.70059880239520955</v>
      </c>
      <c r="S351" s="13">
        <v>1</v>
      </c>
      <c r="T351" s="40" t="b">
        <v>0</v>
      </c>
      <c r="U351" s="13">
        <v>1</v>
      </c>
      <c r="V351" s="40" t="b">
        <v>1</v>
      </c>
      <c r="W351" s="13">
        <v>0.9</v>
      </c>
      <c r="X351" s="17">
        <f t="shared" si="40"/>
        <v>0.63053892215568863</v>
      </c>
      <c r="Y351" s="37">
        <f>VLOOKUP(D351,Priors!$A$18:$B$21,2,FALSE)</f>
        <v>2.6414527990394716</v>
      </c>
      <c r="Z351" s="38">
        <f t="shared" si="41"/>
        <v>0.9759139982079964</v>
      </c>
      <c r="AA351" s="39">
        <v>1</v>
      </c>
      <c r="AB351" s="38">
        <f t="shared" si="42"/>
        <v>0.9759139982079964</v>
      </c>
      <c r="AC351" s="37">
        <f>Priors!$K$18</f>
        <v>2.7435089299114512</v>
      </c>
      <c r="AD351" s="38">
        <f t="shared" si="43"/>
        <v>2.394500005841536</v>
      </c>
      <c r="AE351" s="37">
        <f>Priors!$K$19</f>
        <v>0.67280088332719912</v>
      </c>
      <c r="AF351" s="38">
        <f t="shared" si="44"/>
        <v>0.65699099592497001</v>
      </c>
      <c r="AG351" s="17">
        <f t="shared" si="45"/>
        <v>0.36946107784431137</v>
      </c>
      <c r="AH351" s="7" t="s">
        <v>1643</v>
      </c>
      <c r="AI351" s="7"/>
      <c r="AJ351" s="38" t="str">
        <f t="shared" si="46"/>
        <v/>
      </c>
      <c r="AK351" s="9" t="b">
        <f t="shared" si="47"/>
        <v>1</v>
      </c>
      <c r="AL351" s="28" t="s">
        <v>1644</v>
      </c>
      <c r="AM351" s="28" t="s">
        <v>1645</v>
      </c>
      <c r="AN351" s="28" t="s">
        <v>1792</v>
      </c>
    </row>
    <row r="352" spans="1:40" ht="30">
      <c r="A352" s="7">
        <v>351</v>
      </c>
      <c r="B352" s="7" t="s">
        <v>1083</v>
      </c>
      <c r="C352" s="7" t="s">
        <v>52</v>
      </c>
      <c r="D352" s="7" t="s">
        <v>85</v>
      </c>
      <c r="E352" s="7" t="s">
        <v>1642</v>
      </c>
      <c r="F352" s="7" t="s">
        <v>52</v>
      </c>
      <c r="G352" s="14">
        <v>867</v>
      </c>
      <c r="H352" s="14">
        <v>45</v>
      </c>
      <c r="I352" s="15">
        <v>0</v>
      </c>
      <c r="J352" s="14">
        <v>34</v>
      </c>
      <c r="K352" s="15">
        <v>3.53</v>
      </c>
      <c r="L352" s="14">
        <v>18</v>
      </c>
      <c r="M352" s="14">
        <v>2</v>
      </c>
      <c r="N352" s="13">
        <v>0.65384615384615385</v>
      </c>
      <c r="O352" s="14">
        <v>2</v>
      </c>
      <c r="P352" s="14">
        <v>139</v>
      </c>
      <c r="Q352" s="15">
        <v>14.429065743944637</v>
      </c>
      <c r="R352" s="17">
        <f>IFERROR(G352/(G352+Priors!$H$18),0)</f>
        <v>0.46438136047134443</v>
      </c>
      <c r="S352" s="13">
        <v>1</v>
      </c>
      <c r="T352" s="40" t="b">
        <v>0</v>
      </c>
      <c r="U352" s="13">
        <v>1</v>
      </c>
      <c r="V352" s="40" t="b">
        <v>1</v>
      </c>
      <c r="W352" s="13">
        <v>0.9</v>
      </c>
      <c r="X352" s="17">
        <f t="shared" si="40"/>
        <v>0.41794322442421</v>
      </c>
      <c r="Y352" s="37">
        <f>VLOOKUP(D352,Priors!$A$18:$B$21,2,FALSE)</f>
        <v>2.6414527990394716</v>
      </c>
      <c r="Z352" s="38">
        <f t="shared" si="41"/>
        <v>1.5374754990445598</v>
      </c>
      <c r="AA352" s="39">
        <v>1</v>
      </c>
      <c r="AB352" s="38">
        <f t="shared" si="42"/>
        <v>1.5374754990445598</v>
      </c>
      <c r="AC352" s="37">
        <f>Priors!$K$18</f>
        <v>2.7435089299114512</v>
      </c>
      <c r="AD352" s="38">
        <f t="shared" si="43"/>
        <v>3.0722175437251065</v>
      </c>
      <c r="AE352" s="37">
        <f>Priors!$K$19</f>
        <v>0.67280088332719912</v>
      </c>
      <c r="AF352" s="38">
        <f t="shared" si="44"/>
        <v>0.66487888256980243</v>
      </c>
      <c r="AG352" s="17">
        <f t="shared" si="45"/>
        <v>0.58205677557578994</v>
      </c>
      <c r="AH352" s="7" t="s">
        <v>1643</v>
      </c>
      <c r="AI352" s="7"/>
      <c r="AJ352" s="38" t="str">
        <f t="shared" si="46"/>
        <v/>
      </c>
      <c r="AK352" s="9" t="b">
        <f t="shared" si="47"/>
        <v>1</v>
      </c>
      <c r="AL352" s="28" t="s">
        <v>1644</v>
      </c>
      <c r="AM352" s="28" t="s">
        <v>1645</v>
      </c>
      <c r="AN352" s="28" t="s">
        <v>1792</v>
      </c>
    </row>
    <row r="353" spans="1:40" ht="30">
      <c r="A353" s="7">
        <v>352</v>
      </c>
      <c r="B353" s="7" t="s">
        <v>1085</v>
      </c>
      <c r="C353" s="7" t="s">
        <v>52</v>
      </c>
      <c r="D353" s="7" t="s">
        <v>85</v>
      </c>
      <c r="E353" s="7" t="s">
        <v>1642</v>
      </c>
      <c r="F353" s="7" t="s">
        <v>52</v>
      </c>
      <c r="G353" s="14">
        <v>212</v>
      </c>
      <c r="H353" s="14">
        <v>0</v>
      </c>
      <c r="I353" s="15">
        <v>0</v>
      </c>
      <c r="J353" s="14">
        <v>9</v>
      </c>
      <c r="K353" s="15">
        <v>3.82</v>
      </c>
      <c r="L353" s="14">
        <v>4</v>
      </c>
      <c r="M353" s="14">
        <v>0</v>
      </c>
      <c r="N353" s="13">
        <v>0.69230769230769229</v>
      </c>
      <c r="O353" s="14">
        <v>0</v>
      </c>
      <c r="P353" s="14">
        <v>34</v>
      </c>
      <c r="Q353" s="15">
        <v>14.433962264150944</v>
      </c>
      <c r="R353" s="17">
        <f>IFERROR(G353/(G353+Priors!$H$18),0)</f>
        <v>0.17491749174917492</v>
      </c>
      <c r="S353" s="13">
        <v>1</v>
      </c>
      <c r="T353" s="40" t="b">
        <v>0</v>
      </c>
      <c r="U353" s="13">
        <v>1</v>
      </c>
      <c r="V353" s="40" t="b">
        <v>1</v>
      </c>
      <c r="W353" s="13">
        <v>0.9</v>
      </c>
      <c r="X353" s="17">
        <f t="shared" si="40"/>
        <v>0.15742574257425743</v>
      </c>
      <c r="Y353" s="37">
        <f>VLOOKUP(D353,Priors!$A$18:$B$21,2,FALSE)</f>
        <v>2.6414527990394716</v>
      </c>
      <c r="Z353" s="38">
        <f t="shared" si="41"/>
        <v>2.2256201306758321</v>
      </c>
      <c r="AA353" s="39">
        <v>1</v>
      </c>
      <c r="AB353" s="38">
        <f t="shared" si="42"/>
        <v>2.2256201306758321</v>
      </c>
      <c r="AC353" s="37">
        <f>Priors!$K$18</f>
        <v>2.7435089299114512</v>
      </c>
      <c r="AD353" s="38">
        <f t="shared" si="43"/>
        <v>2.9129763359946979</v>
      </c>
      <c r="AE353" s="37">
        <f>Priors!$K$19</f>
        <v>0.67280088332719912</v>
      </c>
      <c r="AF353" s="38">
        <f t="shared" si="44"/>
        <v>0.6758717572162074</v>
      </c>
      <c r="AG353" s="17">
        <f t="shared" si="45"/>
        <v>0.84257425742574255</v>
      </c>
      <c r="AH353" s="7" t="s">
        <v>1643</v>
      </c>
      <c r="AI353" s="7"/>
      <c r="AJ353" s="38" t="str">
        <f t="shared" si="46"/>
        <v/>
      </c>
      <c r="AK353" s="9" t="b">
        <f t="shared" si="47"/>
        <v>1</v>
      </c>
      <c r="AL353" s="28" t="s">
        <v>1644</v>
      </c>
      <c r="AM353" s="28" t="s">
        <v>1645</v>
      </c>
      <c r="AN353" s="28" t="s">
        <v>1792</v>
      </c>
    </row>
    <row r="354" spans="1:40" ht="30">
      <c r="A354" s="7">
        <v>353</v>
      </c>
      <c r="B354" s="7" t="s">
        <v>1087</v>
      </c>
      <c r="C354" s="7" t="s">
        <v>52</v>
      </c>
      <c r="D354" s="7" t="s">
        <v>85</v>
      </c>
      <c r="E354" s="7" t="s">
        <v>1642</v>
      </c>
      <c r="F354" s="7" t="s">
        <v>52</v>
      </c>
      <c r="G354" s="14">
        <v>0</v>
      </c>
      <c r="H354" s="14">
        <v>0</v>
      </c>
      <c r="I354" s="15">
        <v>0</v>
      </c>
      <c r="J354" s="14">
        <v>0</v>
      </c>
      <c r="K354" s="15">
        <v>0</v>
      </c>
      <c r="L354" s="14">
        <v>0</v>
      </c>
      <c r="M354" s="14">
        <v>0</v>
      </c>
      <c r="N354" s="13"/>
      <c r="O354" s="14">
        <v>0</v>
      </c>
      <c r="P354" s="14">
        <v>0</v>
      </c>
      <c r="Q354" s="15">
        <v>0</v>
      </c>
      <c r="R354" s="17">
        <f>IFERROR(G354/(G354+Priors!$H$18),0)</f>
        <v>0</v>
      </c>
      <c r="S354" s="13">
        <v>1</v>
      </c>
      <c r="T354" s="40" t="b">
        <v>0</v>
      </c>
      <c r="U354" s="13">
        <v>1</v>
      </c>
      <c r="V354" s="40" t="b">
        <v>1</v>
      </c>
      <c r="W354" s="13">
        <v>0.9</v>
      </c>
      <c r="X354" s="17">
        <f t="shared" si="40"/>
        <v>0</v>
      </c>
      <c r="Y354" s="37">
        <f>VLOOKUP(D354,Priors!$A$18:$B$21,2,FALSE)</f>
        <v>2.6414527990394716</v>
      </c>
      <c r="Z354" s="38">
        <f t="shared" si="41"/>
        <v>2.6414527990394716</v>
      </c>
      <c r="AA354" s="39">
        <v>1</v>
      </c>
      <c r="AB354" s="38">
        <f t="shared" si="42"/>
        <v>2.6414527990394716</v>
      </c>
      <c r="AC354" s="37">
        <f>Priors!$K$18</f>
        <v>2.7435089299114512</v>
      </c>
      <c r="AD354" s="38">
        <f t="shared" si="43"/>
        <v>2.7435089299114512</v>
      </c>
      <c r="AE354" s="37">
        <f>Priors!$K$19</f>
        <v>0.67280088332719912</v>
      </c>
      <c r="AF354" s="38">
        <f t="shared" si="44"/>
        <v>0.67280088332719912</v>
      </c>
      <c r="AG354" s="17">
        <f t="shared" si="45"/>
        <v>1</v>
      </c>
      <c r="AH354" s="7" t="s">
        <v>1643</v>
      </c>
      <c r="AI354" s="7"/>
      <c r="AJ354" s="38" t="str">
        <f t="shared" si="46"/>
        <v/>
      </c>
      <c r="AK354" s="9" t="b">
        <f t="shared" si="47"/>
        <v>1</v>
      </c>
      <c r="AL354" s="28" t="s">
        <v>1644</v>
      </c>
      <c r="AM354" s="28" t="s">
        <v>1645</v>
      </c>
      <c r="AN354" s="28" t="s">
        <v>1792</v>
      </c>
    </row>
    <row r="355" spans="1:40" ht="30">
      <c r="A355" s="7">
        <v>354</v>
      </c>
      <c r="B355" s="7" t="s">
        <v>1089</v>
      </c>
      <c r="C355" s="7" t="s">
        <v>52</v>
      </c>
      <c r="D355" s="7" t="s">
        <v>85</v>
      </c>
      <c r="E355" s="7" t="s">
        <v>1647</v>
      </c>
      <c r="F355" s="7"/>
      <c r="G355" s="14">
        <v>0</v>
      </c>
      <c r="H355" s="14"/>
      <c r="I355" s="15"/>
      <c r="J355" s="14"/>
      <c r="K355" s="15"/>
      <c r="L355" s="14"/>
      <c r="M355" s="14"/>
      <c r="N355" s="13"/>
      <c r="O355" s="14"/>
      <c r="P355" s="14"/>
      <c r="Q355" s="15"/>
      <c r="R355" s="17">
        <f>IFERROR(G355/(G355+Priors!$H$18),0)</f>
        <v>0</v>
      </c>
      <c r="S355" s="13">
        <v>0</v>
      </c>
      <c r="T355" s="40" t="b">
        <v>0</v>
      </c>
      <c r="U355" s="13">
        <v>1</v>
      </c>
      <c r="V355" s="40" t="b">
        <v>1</v>
      </c>
      <c r="W355" s="13">
        <v>0.9</v>
      </c>
      <c r="X355" s="17">
        <f t="shared" si="40"/>
        <v>0</v>
      </c>
      <c r="Y355" s="37">
        <f>VLOOKUP(D355,Priors!$A$18:$B$21,2,FALSE)</f>
        <v>2.6414527990394716</v>
      </c>
      <c r="Z355" s="38">
        <f t="shared" si="41"/>
        <v>2.6414527990394716</v>
      </c>
      <c r="AA355" s="39">
        <v>1</v>
      </c>
      <c r="AB355" s="38">
        <f t="shared" si="42"/>
        <v>2.6414527990394716</v>
      </c>
      <c r="AC355" s="37">
        <f>Priors!$K$18</f>
        <v>2.7435089299114512</v>
      </c>
      <c r="AD355" s="38">
        <f t="shared" si="43"/>
        <v>2.7435089299114512</v>
      </c>
      <c r="AE355" s="37">
        <f>Priors!$K$19</f>
        <v>0.67280088332719912</v>
      </c>
      <c r="AF355" s="38">
        <f t="shared" si="44"/>
        <v>0.67280088332719912</v>
      </c>
      <c r="AG355" s="17">
        <f t="shared" si="45"/>
        <v>1</v>
      </c>
      <c r="AH355" s="7" t="s">
        <v>1793</v>
      </c>
      <c r="AI355" s="7"/>
      <c r="AJ355" s="38" t="str">
        <f t="shared" si="46"/>
        <v/>
      </c>
      <c r="AK355" s="9" t="b">
        <f t="shared" si="47"/>
        <v>1</v>
      </c>
      <c r="AL355" s="28" t="s">
        <v>1794</v>
      </c>
      <c r="AM355" s="28"/>
      <c r="AN355" s="28" t="s">
        <v>1792</v>
      </c>
    </row>
    <row r="356" spans="1:40" ht="30">
      <c r="A356" s="7">
        <v>355</v>
      </c>
      <c r="B356" s="7" t="s">
        <v>1091</v>
      </c>
      <c r="C356" s="7" t="s">
        <v>52</v>
      </c>
      <c r="D356" s="7" t="s">
        <v>85</v>
      </c>
      <c r="E356" s="7" t="s">
        <v>1647</v>
      </c>
      <c r="F356" s="7"/>
      <c r="G356" s="14">
        <v>0</v>
      </c>
      <c r="H356" s="14"/>
      <c r="I356" s="15"/>
      <c r="J356" s="14"/>
      <c r="K356" s="15"/>
      <c r="L356" s="14"/>
      <c r="M356" s="14"/>
      <c r="N356" s="13"/>
      <c r="O356" s="14"/>
      <c r="P356" s="14"/>
      <c r="Q356" s="15"/>
      <c r="R356" s="17">
        <f>IFERROR(G356/(G356+Priors!$H$18),0)</f>
        <v>0</v>
      </c>
      <c r="S356" s="13">
        <v>0</v>
      </c>
      <c r="T356" s="40" t="b">
        <v>0</v>
      </c>
      <c r="U356" s="13">
        <v>1</v>
      </c>
      <c r="V356" s="40" t="b">
        <v>1</v>
      </c>
      <c r="W356" s="13">
        <v>0.9</v>
      </c>
      <c r="X356" s="17">
        <f t="shared" si="40"/>
        <v>0</v>
      </c>
      <c r="Y356" s="37">
        <f>VLOOKUP(D356,Priors!$A$18:$B$21,2,FALSE)</f>
        <v>2.6414527990394716</v>
      </c>
      <c r="Z356" s="38">
        <f t="shared" si="41"/>
        <v>2.6414527990394716</v>
      </c>
      <c r="AA356" s="39">
        <v>1</v>
      </c>
      <c r="AB356" s="38">
        <f t="shared" si="42"/>
        <v>2.6414527990394716</v>
      </c>
      <c r="AC356" s="37">
        <f>Priors!$K$18</f>
        <v>2.7435089299114512</v>
      </c>
      <c r="AD356" s="38">
        <f t="shared" si="43"/>
        <v>2.7435089299114512</v>
      </c>
      <c r="AE356" s="37">
        <f>Priors!$K$19</f>
        <v>0.67280088332719912</v>
      </c>
      <c r="AF356" s="38">
        <f t="shared" si="44"/>
        <v>0.67280088332719912</v>
      </c>
      <c r="AG356" s="17">
        <f t="shared" si="45"/>
        <v>1</v>
      </c>
      <c r="AH356" s="7" t="s">
        <v>1793</v>
      </c>
      <c r="AI356" s="7"/>
      <c r="AJ356" s="38" t="str">
        <f t="shared" si="46"/>
        <v/>
      </c>
      <c r="AK356" s="9" t="b">
        <f t="shared" si="47"/>
        <v>1</v>
      </c>
      <c r="AL356" s="28" t="s">
        <v>1794</v>
      </c>
      <c r="AM356" s="28"/>
      <c r="AN356" s="28" t="s">
        <v>1792</v>
      </c>
    </row>
    <row r="357" spans="1:40" ht="30">
      <c r="A357" s="7">
        <v>356</v>
      </c>
      <c r="B357" s="7" t="s">
        <v>1094</v>
      </c>
      <c r="C357" s="7" t="s">
        <v>52</v>
      </c>
      <c r="D357" s="7" t="s">
        <v>99</v>
      </c>
      <c r="E357" s="7" t="s">
        <v>1642</v>
      </c>
      <c r="F357" s="7" t="s">
        <v>52</v>
      </c>
      <c r="G357" s="14">
        <v>3420</v>
      </c>
      <c r="H357" s="14">
        <v>377</v>
      </c>
      <c r="I357" s="15">
        <v>9.26</v>
      </c>
      <c r="J357" s="14">
        <v>0</v>
      </c>
      <c r="K357" s="15">
        <v>0</v>
      </c>
      <c r="L357" s="14">
        <v>53</v>
      </c>
      <c r="M357" s="14">
        <v>10</v>
      </c>
      <c r="N357" s="13"/>
      <c r="O357" s="14">
        <v>10</v>
      </c>
      <c r="P357" s="14">
        <v>593</v>
      </c>
      <c r="Q357" s="15">
        <v>15.605263157894736</v>
      </c>
      <c r="R357" s="17">
        <f>IFERROR(G357/(G357+Priors!$H$18),0)</f>
        <v>0.77375565610859731</v>
      </c>
      <c r="S357" s="13">
        <v>1</v>
      </c>
      <c r="T357" s="40" t="b">
        <v>0</v>
      </c>
      <c r="U357" s="13">
        <v>1</v>
      </c>
      <c r="V357" s="40" t="b">
        <v>1</v>
      </c>
      <c r="W357" s="13">
        <v>0.9</v>
      </c>
      <c r="X357" s="17">
        <f t="shared" si="40"/>
        <v>0.69638009049773764</v>
      </c>
      <c r="Y357" s="37">
        <f>VLOOKUP(D357,Priors!$A$18:$B$21,2,FALSE)</f>
        <v>8.7398272304160223</v>
      </c>
      <c r="Z357" s="38">
        <f t="shared" si="41"/>
        <v>9.1020651907733718</v>
      </c>
      <c r="AA357" s="39">
        <v>1</v>
      </c>
      <c r="AB357" s="38">
        <f t="shared" si="42"/>
        <v>9.1020651907733718</v>
      </c>
      <c r="AC357" s="37">
        <f>Priors!$K$18</f>
        <v>2.7435089299114512</v>
      </c>
      <c r="AD357" s="38" t="str">
        <f t="shared" si="43"/>
        <v/>
      </c>
      <c r="AE357" s="37">
        <f>Priors!$K$19</f>
        <v>0.67280088332719912</v>
      </c>
      <c r="AF357" s="38" t="str">
        <f t="shared" si="44"/>
        <v/>
      </c>
      <c r="AG357" s="17">
        <f t="shared" si="45"/>
        <v>0.30361990950226236</v>
      </c>
      <c r="AH357" s="7" t="s">
        <v>1643</v>
      </c>
      <c r="AI357" s="7">
        <v>10</v>
      </c>
      <c r="AJ357" s="38">
        <f t="shared" si="46"/>
        <v>0.91020651907733718</v>
      </c>
      <c r="AK357" s="9" t="b">
        <f t="shared" si="47"/>
        <v>1</v>
      </c>
      <c r="AL357" s="28" t="s">
        <v>1644</v>
      </c>
      <c r="AM357" s="28" t="s">
        <v>1645</v>
      </c>
      <c r="AN357" s="28" t="s">
        <v>1792</v>
      </c>
    </row>
    <row r="358" spans="1:40" ht="30">
      <c r="A358" s="7">
        <v>357</v>
      </c>
      <c r="B358" s="7" t="s">
        <v>1097</v>
      </c>
      <c r="C358" s="7" t="s">
        <v>52</v>
      </c>
      <c r="D358" s="7" t="s">
        <v>99</v>
      </c>
      <c r="E358" s="7" t="s">
        <v>1642</v>
      </c>
      <c r="F358" s="7" t="s">
        <v>52</v>
      </c>
      <c r="G358" s="14">
        <v>1032</v>
      </c>
      <c r="H358" s="14">
        <v>34</v>
      </c>
      <c r="I358" s="15">
        <v>2.62</v>
      </c>
      <c r="J358" s="14">
        <v>0</v>
      </c>
      <c r="K358" s="15">
        <v>0</v>
      </c>
      <c r="L358" s="14">
        <v>13</v>
      </c>
      <c r="M358" s="14">
        <v>5</v>
      </c>
      <c r="N358" s="13"/>
      <c r="O358" s="14">
        <v>1</v>
      </c>
      <c r="P358" s="14">
        <v>237</v>
      </c>
      <c r="Q358" s="15">
        <v>20.668604651162791</v>
      </c>
      <c r="R358" s="17">
        <f>IFERROR(G358/(G358+Priors!$H$18),0)</f>
        <v>0.50787401574803148</v>
      </c>
      <c r="S358" s="13">
        <v>1</v>
      </c>
      <c r="T358" s="40" t="b">
        <v>0</v>
      </c>
      <c r="U358" s="13">
        <v>1</v>
      </c>
      <c r="V358" s="40" t="b">
        <v>1</v>
      </c>
      <c r="W358" s="13">
        <v>0.9</v>
      </c>
      <c r="X358" s="17">
        <f t="shared" si="40"/>
        <v>0.45708661417322832</v>
      </c>
      <c r="Y358" s="37">
        <f>VLOOKUP(D358,Priors!$A$18:$B$21,2,FALSE)</f>
        <v>8.7398272304160223</v>
      </c>
      <c r="Z358" s="38">
        <f t="shared" si="41"/>
        <v>5.9425361223400364</v>
      </c>
      <c r="AA358" s="39">
        <v>1</v>
      </c>
      <c r="AB358" s="38">
        <f t="shared" si="42"/>
        <v>5.9425361223400364</v>
      </c>
      <c r="AC358" s="37">
        <f>Priors!$K$18</f>
        <v>2.7435089299114512</v>
      </c>
      <c r="AD358" s="38" t="str">
        <f t="shared" si="43"/>
        <v/>
      </c>
      <c r="AE358" s="37">
        <f>Priors!$K$19</f>
        <v>0.67280088332719912</v>
      </c>
      <c r="AF358" s="38" t="str">
        <f t="shared" si="44"/>
        <v/>
      </c>
      <c r="AG358" s="17">
        <f t="shared" si="45"/>
        <v>0.54291338582677162</v>
      </c>
      <c r="AH358" s="7" t="s">
        <v>1643</v>
      </c>
      <c r="AI358" s="7">
        <v>10</v>
      </c>
      <c r="AJ358" s="38">
        <f t="shared" si="46"/>
        <v>0.59425361223400364</v>
      </c>
      <c r="AK358" s="9" t="b">
        <f t="shared" si="47"/>
        <v>1</v>
      </c>
      <c r="AL358" s="28" t="s">
        <v>1644</v>
      </c>
      <c r="AM358" s="28" t="s">
        <v>1645</v>
      </c>
      <c r="AN358" s="28" t="s">
        <v>1792</v>
      </c>
    </row>
    <row r="359" spans="1:40" ht="30">
      <c r="A359" s="7">
        <v>358</v>
      </c>
      <c r="B359" s="7" t="s">
        <v>1099</v>
      </c>
      <c r="C359" s="7" t="s">
        <v>52</v>
      </c>
      <c r="D359" s="7" t="s">
        <v>99</v>
      </c>
      <c r="E359" s="7" t="s">
        <v>1642</v>
      </c>
      <c r="F359" s="7" t="s">
        <v>52</v>
      </c>
      <c r="G359" s="14">
        <v>2251</v>
      </c>
      <c r="H359" s="14">
        <v>160</v>
      </c>
      <c r="I359" s="15">
        <v>5.36</v>
      </c>
      <c r="J359" s="14">
        <v>0</v>
      </c>
      <c r="K359" s="15">
        <v>0</v>
      </c>
      <c r="L359" s="14">
        <v>37</v>
      </c>
      <c r="M359" s="14">
        <v>6</v>
      </c>
      <c r="N359" s="13"/>
      <c r="O359" s="14">
        <v>4</v>
      </c>
      <c r="P359" s="14">
        <v>357</v>
      </c>
      <c r="Q359" s="15">
        <v>14.273656152820969</v>
      </c>
      <c r="R359" s="17">
        <f>IFERROR(G359/(G359+Priors!$H$18),0)</f>
        <v>0.69240233774223314</v>
      </c>
      <c r="S359" s="13">
        <v>1</v>
      </c>
      <c r="T359" s="40" t="b">
        <v>0</v>
      </c>
      <c r="U359" s="13">
        <v>1</v>
      </c>
      <c r="V359" s="40" t="b">
        <v>1</v>
      </c>
      <c r="W359" s="13">
        <v>0.9</v>
      </c>
      <c r="X359" s="17">
        <f t="shared" si="40"/>
        <v>0.62316210396800986</v>
      </c>
      <c r="Y359" s="37">
        <f>VLOOKUP(D359,Priors!$A$18:$B$21,2,FALSE)</f>
        <v>8.7398272304160223</v>
      </c>
      <c r="Z359" s="38">
        <f t="shared" si="41"/>
        <v>6.6336469824616024</v>
      </c>
      <c r="AA359" s="39">
        <v>1</v>
      </c>
      <c r="AB359" s="38">
        <f t="shared" si="42"/>
        <v>6.6336469824616024</v>
      </c>
      <c r="AC359" s="37">
        <f>Priors!$K$18</f>
        <v>2.7435089299114512</v>
      </c>
      <c r="AD359" s="38" t="str">
        <f t="shared" si="43"/>
        <v/>
      </c>
      <c r="AE359" s="37">
        <f>Priors!$K$19</f>
        <v>0.67280088332719912</v>
      </c>
      <c r="AF359" s="38" t="str">
        <f t="shared" si="44"/>
        <v/>
      </c>
      <c r="AG359" s="17">
        <f t="shared" si="45"/>
        <v>0.37683789603199014</v>
      </c>
      <c r="AH359" s="7" t="s">
        <v>1643</v>
      </c>
      <c r="AI359" s="7">
        <v>10</v>
      </c>
      <c r="AJ359" s="38">
        <f t="shared" si="46"/>
        <v>0.66336469824616029</v>
      </c>
      <c r="AK359" s="9" t="b">
        <f t="shared" si="47"/>
        <v>1</v>
      </c>
      <c r="AL359" s="28" t="s">
        <v>1644</v>
      </c>
      <c r="AM359" s="28" t="s">
        <v>1645</v>
      </c>
      <c r="AN359" s="28" t="s">
        <v>1792</v>
      </c>
    </row>
    <row r="360" spans="1:40" ht="30">
      <c r="A360" s="7">
        <v>359</v>
      </c>
      <c r="B360" s="7" t="s">
        <v>467</v>
      </c>
      <c r="C360" s="7" t="s">
        <v>52</v>
      </c>
      <c r="D360" s="7" t="s">
        <v>99</v>
      </c>
      <c r="E360" s="7" t="s">
        <v>1642</v>
      </c>
      <c r="F360" s="7" t="s">
        <v>52</v>
      </c>
      <c r="G360" s="14">
        <v>594</v>
      </c>
      <c r="H360" s="14">
        <v>47</v>
      </c>
      <c r="I360" s="15">
        <v>6.97</v>
      </c>
      <c r="J360" s="14">
        <v>0</v>
      </c>
      <c r="K360" s="15">
        <v>0</v>
      </c>
      <c r="L360" s="14">
        <v>14</v>
      </c>
      <c r="M360" s="14">
        <v>2</v>
      </c>
      <c r="N360" s="13"/>
      <c r="O360" s="14">
        <v>2</v>
      </c>
      <c r="P360" s="14">
        <v>94</v>
      </c>
      <c r="Q360" s="15">
        <v>14.242424242424242</v>
      </c>
      <c r="R360" s="17">
        <f>IFERROR(G360/(G360+Priors!$H$18),0)</f>
        <v>0.37264742785445421</v>
      </c>
      <c r="S360" s="13">
        <v>1</v>
      </c>
      <c r="T360" s="40" t="b">
        <v>0</v>
      </c>
      <c r="U360" s="13">
        <v>1</v>
      </c>
      <c r="V360" s="40" t="b">
        <v>1</v>
      </c>
      <c r="W360" s="13">
        <v>0.9</v>
      </c>
      <c r="X360" s="17">
        <f t="shared" si="40"/>
        <v>0.33538268506900881</v>
      </c>
      <c r="Y360" s="37">
        <f>VLOOKUP(D360,Priors!$A$18:$B$21,2,FALSE)</f>
        <v>8.7398272304160223</v>
      </c>
      <c r="Z360" s="38">
        <f t="shared" si="41"/>
        <v>8.146257821770849</v>
      </c>
      <c r="AA360" s="39">
        <v>1</v>
      </c>
      <c r="AB360" s="38">
        <f t="shared" si="42"/>
        <v>8.146257821770849</v>
      </c>
      <c r="AC360" s="37">
        <f>Priors!$K$18</f>
        <v>2.7435089299114512</v>
      </c>
      <c r="AD360" s="38" t="str">
        <f t="shared" si="43"/>
        <v/>
      </c>
      <c r="AE360" s="37">
        <f>Priors!$K$19</f>
        <v>0.67280088332719912</v>
      </c>
      <c r="AF360" s="38" t="str">
        <f t="shared" si="44"/>
        <v/>
      </c>
      <c r="AG360" s="17">
        <f t="shared" si="45"/>
        <v>0.66461731493099119</v>
      </c>
      <c r="AH360" s="7" t="s">
        <v>1643</v>
      </c>
      <c r="AI360" s="7">
        <v>10</v>
      </c>
      <c r="AJ360" s="38">
        <f t="shared" si="46"/>
        <v>0.81462578217708492</v>
      </c>
      <c r="AK360" s="9" t="b">
        <f t="shared" si="47"/>
        <v>1</v>
      </c>
      <c r="AL360" s="28" t="s">
        <v>1644</v>
      </c>
      <c r="AM360" s="28" t="s">
        <v>1645</v>
      </c>
      <c r="AN360" s="28" t="s">
        <v>1792</v>
      </c>
    </row>
    <row r="361" spans="1:40" ht="30">
      <c r="A361" s="7">
        <v>360</v>
      </c>
      <c r="B361" s="7" t="s">
        <v>1104</v>
      </c>
      <c r="C361" s="7" t="s">
        <v>52</v>
      </c>
      <c r="D361" s="7" t="s">
        <v>99</v>
      </c>
      <c r="E361" s="7" t="s">
        <v>1642</v>
      </c>
      <c r="F361" s="7" t="s">
        <v>52</v>
      </c>
      <c r="G361" s="14">
        <v>928</v>
      </c>
      <c r="H361" s="14">
        <v>82</v>
      </c>
      <c r="I361" s="15">
        <v>6.3</v>
      </c>
      <c r="J361" s="14">
        <v>0</v>
      </c>
      <c r="K361" s="15">
        <v>0</v>
      </c>
      <c r="L361" s="14">
        <v>13</v>
      </c>
      <c r="M361" s="14">
        <v>4</v>
      </c>
      <c r="N361" s="13"/>
      <c r="O361" s="14">
        <v>2</v>
      </c>
      <c r="P361" s="14">
        <v>157</v>
      </c>
      <c r="Q361" s="15">
        <v>15.226293103448276</v>
      </c>
      <c r="R361" s="17">
        <f>IFERROR(G361/(G361+Priors!$H$18),0)</f>
        <v>0.48132780082987553</v>
      </c>
      <c r="S361" s="13">
        <v>1</v>
      </c>
      <c r="T361" s="40" t="b">
        <v>0</v>
      </c>
      <c r="U361" s="13">
        <v>1</v>
      </c>
      <c r="V361" s="40" t="b">
        <v>1</v>
      </c>
      <c r="W361" s="13">
        <v>0.9</v>
      </c>
      <c r="X361" s="17">
        <f t="shared" si="40"/>
        <v>0.43319502074688798</v>
      </c>
      <c r="Y361" s="37">
        <f>VLOOKUP(D361,Priors!$A$18:$B$21,2,FALSE)</f>
        <v>8.7398272304160223</v>
      </c>
      <c r="Z361" s="38">
        <f t="shared" si="41"/>
        <v>7.682906222717131</v>
      </c>
      <c r="AA361" s="39">
        <v>1</v>
      </c>
      <c r="AB361" s="38">
        <f t="shared" si="42"/>
        <v>7.682906222717131</v>
      </c>
      <c r="AC361" s="37">
        <f>Priors!$K$18</f>
        <v>2.7435089299114512</v>
      </c>
      <c r="AD361" s="38" t="str">
        <f t="shared" si="43"/>
        <v/>
      </c>
      <c r="AE361" s="37">
        <f>Priors!$K$19</f>
        <v>0.67280088332719912</v>
      </c>
      <c r="AF361" s="38" t="str">
        <f t="shared" si="44"/>
        <v/>
      </c>
      <c r="AG361" s="17">
        <f t="shared" si="45"/>
        <v>0.56680497925311202</v>
      </c>
      <c r="AH361" s="7" t="s">
        <v>1643</v>
      </c>
      <c r="AI361" s="7">
        <v>10</v>
      </c>
      <c r="AJ361" s="38">
        <f t="shared" si="46"/>
        <v>0.76829062227171308</v>
      </c>
      <c r="AK361" s="9" t="b">
        <f t="shared" si="47"/>
        <v>1</v>
      </c>
      <c r="AL361" s="28" t="s">
        <v>1644</v>
      </c>
      <c r="AM361" s="28" t="s">
        <v>1645</v>
      </c>
      <c r="AN361" s="28" t="s">
        <v>1792</v>
      </c>
    </row>
    <row r="362" spans="1:40" ht="30">
      <c r="A362" s="7">
        <v>361</v>
      </c>
      <c r="B362" s="7" t="s">
        <v>1107</v>
      </c>
      <c r="C362" s="7" t="s">
        <v>52</v>
      </c>
      <c r="D362" s="7" t="s">
        <v>99</v>
      </c>
      <c r="E362" s="7" t="s">
        <v>1642</v>
      </c>
      <c r="F362" s="7" t="s">
        <v>52</v>
      </c>
      <c r="G362" s="14">
        <v>0</v>
      </c>
      <c r="H362" s="14">
        <v>0</v>
      </c>
      <c r="I362" s="15">
        <v>0</v>
      </c>
      <c r="J362" s="14">
        <v>0</v>
      </c>
      <c r="K362" s="15">
        <v>0</v>
      </c>
      <c r="L362" s="14">
        <v>0</v>
      </c>
      <c r="M362" s="14">
        <v>0</v>
      </c>
      <c r="N362" s="13"/>
      <c r="O362" s="14">
        <v>0</v>
      </c>
      <c r="P362" s="14">
        <v>0</v>
      </c>
      <c r="Q362" s="15">
        <v>0</v>
      </c>
      <c r="R362" s="17">
        <f>IFERROR(G362/(G362+Priors!$H$18),0)</f>
        <v>0</v>
      </c>
      <c r="S362" s="13">
        <v>1</v>
      </c>
      <c r="T362" s="40" t="b">
        <v>0</v>
      </c>
      <c r="U362" s="13">
        <v>1</v>
      </c>
      <c r="V362" s="40" t="b">
        <v>1</v>
      </c>
      <c r="W362" s="13">
        <v>0.9</v>
      </c>
      <c r="X362" s="17">
        <f t="shared" si="40"/>
        <v>0</v>
      </c>
      <c r="Y362" s="37">
        <f>VLOOKUP(D362,Priors!$A$18:$B$21,2,FALSE)</f>
        <v>8.7398272304160223</v>
      </c>
      <c r="Z362" s="38">
        <f t="shared" si="41"/>
        <v>8.7398272304160223</v>
      </c>
      <c r="AA362" s="39">
        <v>1</v>
      </c>
      <c r="AB362" s="38">
        <f t="shared" si="42"/>
        <v>8.7398272304160223</v>
      </c>
      <c r="AC362" s="37">
        <f>Priors!$K$18</f>
        <v>2.7435089299114512</v>
      </c>
      <c r="AD362" s="38" t="str">
        <f t="shared" si="43"/>
        <v/>
      </c>
      <c r="AE362" s="37">
        <f>Priors!$K$19</f>
        <v>0.67280088332719912</v>
      </c>
      <c r="AF362" s="38" t="str">
        <f t="shared" si="44"/>
        <v/>
      </c>
      <c r="AG362" s="17">
        <f t="shared" si="45"/>
        <v>1</v>
      </c>
      <c r="AH362" s="7" t="s">
        <v>1643</v>
      </c>
      <c r="AI362" s="7">
        <v>10</v>
      </c>
      <c r="AJ362" s="38">
        <f t="shared" si="46"/>
        <v>0.87398272304160218</v>
      </c>
      <c r="AK362" s="9" t="b">
        <f t="shared" si="47"/>
        <v>1</v>
      </c>
      <c r="AL362" s="28" t="s">
        <v>1644</v>
      </c>
      <c r="AM362" s="28" t="s">
        <v>1645</v>
      </c>
      <c r="AN362" s="28" t="s">
        <v>1792</v>
      </c>
    </row>
    <row r="363" spans="1:40" ht="30">
      <c r="A363" s="7">
        <v>362</v>
      </c>
      <c r="B363" s="7" t="s">
        <v>1109</v>
      </c>
      <c r="C363" s="7" t="s">
        <v>52</v>
      </c>
      <c r="D363" s="7" t="s">
        <v>99</v>
      </c>
      <c r="E363" s="7" t="s">
        <v>1647</v>
      </c>
      <c r="F363" s="7"/>
      <c r="G363" s="14">
        <v>0</v>
      </c>
      <c r="H363" s="14"/>
      <c r="I363" s="15"/>
      <c r="J363" s="14"/>
      <c r="K363" s="15"/>
      <c r="L363" s="14"/>
      <c r="M363" s="14"/>
      <c r="N363" s="13"/>
      <c r="O363" s="14"/>
      <c r="P363" s="14"/>
      <c r="Q363" s="15"/>
      <c r="R363" s="17">
        <f>IFERROR(G363/(G363+Priors!$H$18),0)</f>
        <v>0</v>
      </c>
      <c r="S363" s="13">
        <v>0</v>
      </c>
      <c r="T363" s="40" t="b">
        <v>0</v>
      </c>
      <c r="U363" s="13">
        <v>1</v>
      </c>
      <c r="V363" s="40" t="b">
        <v>1</v>
      </c>
      <c r="W363" s="13">
        <v>0.9</v>
      </c>
      <c r="X363" s="17">
        <f t="shared" si="40"/>
        <v>0</v>
      </c>
      <c r="Y363" s="37">
        <f>VLOOKUP(D363,Priors!$A$18:$B$21,2,FALSE)</f>
        <v>8.7398272304160223</v>
      </c>
      <c r="Z363" s="38">
        <f t="shared" si="41"/>
        <v>8.7398272304160223</v>
      </c>
      <c r="AA363" s="39">
        <v>1</v>
      </c>
      <c r="AB363" s="38">
        <f t="shared" si="42"/>
        <v>8.7398272304160223</v>
      </c>
      <c r="AC363" s="37">
        <f>Priors!$K$18</f>
        <v>2.7435089299114512</v>
      </c>
      <c r="AD363" s="38" t="str">
        <f t="shared" si="43"/>
        <v/>
      </c>
      <c r="AE363" s="37">
        <f>Priors!$K$19</f>
        <v>0.67280088332719912</v>
      </c>
      <c r="AF363" s="38" t="str">
        <f t="shared" si="44"/>
        <v/>
      </c>
      <c r="AG363" s="17">
        <f t="shared" si="45"/>
        <v>1</v>
      </c>
      <c r="AH363" s="7" t="s">
        <v>1793</v>
      </c>
      <c r="AI363" s="7">
        <v>10</v>
      </c>
      <c r="AJ363" s="38">
        <f t="shared" si="46"/>
        <v>0.87398272304160218</v>
      </c>
      <c r="AK363" s="9" t="b">
        <f t="shared" si="47"/>
        <v>1</v>
      </c>
      <c r="AL363" s="28" t="s">
        <v>1794</v>
      </c>
      <c r="AM363" s="28"/>
      <c r="AN363" s="28" t="s">
        <v>1792</v>
      </c>
    </row>
    <row r="364" spans="1:40" ht="30">
      <c r="A364" s="7">
        <v>363</v>
      </c>
      <c r="B364" s="7" t="s">
        <v>1111</v>
      </c>
      <c r="C364" s="7" t="s">
        <v>52</v>
      </c>
      <c r="D364" s="7" t="s">
        <v>99</v>
      </c>
      <c r="E364" s="7" t="s">
        <v>1642</v>
      </c>
      <c r="F364" s="7" t="s">
        <v>52</v>
      </c>
      <c r="G364" s="14">
        <v>0</v>
      </c>
      <c r="H364" s="14">
        <v>0</v>
      </c>
      <c r="I364" s="15">
        <v>0</v>
      </c>
      <c r="J364" s="14">
        <v>0</v>
      </c>
      <c r="K364" s="15">
        <v>0</v>
      </c>
      <c r="L364" s="14">
        <v>0</v>
      </c>
      <c r="M364" s="14">
        <v>0</v>
      </c>
      <c r="N364" s="13"/>
      <c r="O364" s="14">
        <v>0</v>
      </c>
      <c r="P364" s="14">
        <v>0</v>
      </c>
      <c r="Q364" s="15">
        <v>0</v>
      </c>
      <c r="R364" s="17">
        <f>IFERROR(G364/(G364+Priors!$H$18),0)</f>
        <v>0</v>
      </c>
      <c r="S364" s="13">
        <v>1</v>
      </c>
      <c r="T364" s="40" t="b">
        <v>0</v>
      </c>
      <c r="U364" s="13">
        <v>1</v>
      </c>
      <c r="V364" s="40" t="b">
        <v>1</v>
      </c>
      <c r="W364" s="13">
        <v>0.9</v>
      </c>
      <c r="X364" s="17">
        <f t="shared" si="40"/>
        <v>0</v>
      </c>
      <c r="Y364" s="37">
        <f>VLOOKUP(D364,Priors!$A$18:$B$21,2,FALSE)</f>
        <v>8.7398272304160223</v>
      </c>
      <c r="Z364" s="38">
        <f t="shared" si="41"/>
        <v>8.7398272304160223</v>
      </c>
      <c r="AA364" s="39">
        <v>1</v>
      </c>
      <c r="AB364" s="38">
        <f t="shared" si="42"/>
        <v>8.7398272304160223</v>
      </c>
      <c r="AC364" s="37">
        <f>Priors!$K$18</f>
        <v>2.7435089299114512</v>
      </c>
      <c r="AD364" s="38" t="str">
        <f t="shared" si="43"/>
        <v/>
      </c>
      <c r="AE364" s="37">
        <f>Priors!$K$19</f>
        <v>0.67280088332719912</v>
      </c>
      <c r="AF364" s="38" t="str">
        <f t="shared" si="44"/>
        <v/>
      </c>
      <c r="AG364" s="17">
        <f t="shared" si="45"/>
        <v>1</v>
      </c>
      <c r="AH364" s="7" t="s">
        <v>1643</v>
      </c>
      <c r="AI364" s="7">
        <v>10</v>
      </c>
      <c r="AJ364" s="38">
        <f t="shared" si="46"/>
        <v>0.87398272304160218</v>
      </c>
      <c r="AK364" s="9" t="b">
        <f t="shared" si="47"/>
        <v>1</v>
      </c>
      <c r="AL364" s="28" t="s">
        <v>1644</v>
      </c>
      <c r="AM364" s="28" t="s">
        <v>1645</v>
      </c>
      <c r="AN364" s="28" t="s">
        <v>1792</v>
      </c>
    </row>
    <row r="365" spans="1:40" ht="30">
      <c r="A365" s="7">
        <v>364</v>
      </c>
      <c r="B365" s="7" t="s">
        <v>1113</v>
      </c>
      <c r="C365" s="7" t="s">
        <v>52</v>
      </c>
      <c r="D365" s="7" t="s">
        <v>99</v>
      </c>
      <c r="E365" s="7" t="s">
        <v>1642</v>
      </c>
      <c r="F365" s="7" t="s">
        <v>52</v>
      </c>
      <c r="G365" s="14">
        <v>0</v>
      </c>
      <c r="H365" s="14">
        <v>0</v>
      </c>
      <c r="I365" s="15">
        <v>0</v>
      </c>
      <c r="J365" s="14">
        <v>0</v>
      </c>
      <c r="K365" s="15">
        <v>0</v>
      </c>
      <c r="L365" s="14">
        <v>0</v>
      </c>
      <c r="M365" s="14">
        <v>0</v>
      </c>
      <c r="N365" s="13"/>
      <c r="O365" s="14">
        <v>0</v>
      </c>
      <c r="P365" s="14">
        <v>0</v>
      </c>
      <c r="Q365" s="15">
        <v>0</v>
      </c>
      <c r="R365" s="17">
        <f>IFERROR(G365/(G365+Priors!$H$18),0)</f>
        <v>0</v>
      </c>
      <c r="S365" s="13">
        <v>1</v>
      </c>
      <c r="T365" s="40" t="b">
        <v>0</v>
      </c>
      <c r="U365" s="13">
        <v>1</v>
      </c>
      <c r="V365" s="40" t="b">
        <v>1</v>
      </c>
      <c r="W365" s="13">
        <v>0.9</v>
      </c>
      <c r="X365" s="17">
        <f t="shared" si="40"/>
        <v>0</v>
      </c>
      <c r="Y365" s="37">
        <f>VLOOKUP(D365,Priors!$A$18:$B$21,2,FALSE)</f>
        <v>8.7398272304160223</v>
      </c>
      <c r="Z365" s="38">
        <f t="shared" si="41"/>
        <v>8.7398272304160223</v>
      </c>
      <c r="AA365" s="39">
        <v>1</v>
      </c>
      <c r="AB365" s="38">
        <f t="shared" si="42"/>
        <v>8.7398272304160223</v>
      </c>
      <c r="AC365" s="37">
        <f>Priors!$K$18</f>
        <v>2.7435089299114512</v>
      </c>
      <c r="AD365" s="38" t="str">
        <f t="shared" si="43"/>
        <v/>
      </c>
      <c r="AE365" s="37">
        <f>Priors!$K$19</f>
        <v>0.67280088332719912</v>
      </c>
      <c r="AF365" s="38" t="str">
        <f t="shared" si="44"/>
        <v/>
      </c>
      <c r="AG365" s="17">
        <f t="shared" si="45"/>
        <v>1</v>
      </c>
      <c r="AH365" s="7" t="s">
        <v>1643</v>
      </c>
      <c r="AI365" s="7">
        <v>10</v>
      </c>
      <c r="AJ365" s="38">
        <f t="shared" si="46"/>
        <v>0.87398272304160218</v>
      </c>
      <c r="AK365" s="9" t="b">
        <f t="shared" si="47"/>
        <v>1</v>
      </c>
      <c r="AL365" s="28" t="s">
        <v>1644</v>
      </c>
      <c r="AM365" s="28" t="s">
        <v>1645</v>
      </c>
      <c r="AN365" s="28" t="s">
        <v>1792</v>
      </c>
    </row>
    <row r="366" spans="1:40" ht="30">
      <c r="A366" s="7">
        <v>365</v>
      </c>
      <c r="B366" s="7" t="s">
        <v>1116</v>
      </c>
      <c r="C366" s="7" t="s">
        <v>52</v>
      </c>
      <c r="D366" s="7" t="s">
        <v>99</v>
      </c>
      <c r="E366" s="7" t="s">
        <v>1642</v>
      </c>
      <c r="F366" s="7" t="s">
        <v>52</v>
      </c>
      <c r="G366" s="14">
        <v>0</v>
      </c>
      <c r="H366" s="14">
        <v>0</v>
      </c>
      <c r="I366" s="15">
        <v>0</v>
      </c>
      <c r="J366" s="14">
        <v>0</v>
      </c>
      <c r="K366" s="15">
        <v>0</v>
      </c>
      <c r="L366" s="14">
        <v>0</v>
      </c>
      <c r="M366" s="14">
        <v>0</v>
      </c>
      <c r="N366" s="13"/>
      <c r="O366" s="14">
        <v>0</v>
      </c>
      <c r="P366" s="14">
        <v>0</v>
      </c>
      <c r="Q366" s="15">
        <v>0</v>
      </c>
      <c r="R366" s="17">
        <f>IFERROR(G366/(G366+Priors!$H$18),0)</f>
        <v>0</v>
      </c>
      <c r="S366" s="13">
        <v>1</v>
      </c>
      <c r="T366" s="40" t="b">
        <v>0</v>
      </c>
      <c r="U366" s="13">
        <v>1</v>
      </c>
      <c r="V366" s="40" t="b">
        <v>1</v>
      </c>
      <c r="W366" s="13">
        <v>0.9</v>
      </c>
      <c r="X366" s="17">
        <f t="shared" si="40"/>
        <v>0</v>
      </c>
      <c r="Y366" s="37">
        <f>VLOOKUP(D366,Priors!$A$18:$B$21,2,FALSE)</f>
        <v>8.7398272304160223</v>
      </c>
      <c r="Z366" s="38">
        <f t="shared" si="41"/>
        <v>8.7398272304160223</v>
      </c>
      <c r="AA366" s="39">
        <v>1</v>
      </c>
      <c r="AB366" s="38">
        <f t="shared" si="42"/>
        <v>8.7398272304160223</v>
      </c>
      <c r="AC366" s="37">
        <f>Priors!$K$18</f>
        <v>2.7435089299114512</v>
      </c>
      <c r="AD366" s="38" t="str">
        <f t="shared" si="43"/>
        <v/>
      </c>
      <c r="AE366" s="37">
        <f>Priors!$K$19</f>
        <v>0.67280088332719912</v>
      </c>
      <c r="AF366" s="38" t="str">
        <f t="shared" si="44"/>
        <v/>
      </c>
      <c r="AG366" s="17">
        <f t="shared" si="45"/>
        <v>1</v>
      </c>
      <c r="AH366" s="7" t="s">
        <v>1643</v>
      </c>
      <c r="AI366" s="7">
        <v>10</v>
      </c>
      <c r="AJ366" s="38">
        <f t="shared" si="46"/>
        <v>0.87398272304160218</v>
      </c>
      <c r="AK366" s="9" t="b">
        <f t="shared" si="47"/>
        <v>1</v>
      </c>
      <c r="AL366" s="28" t="s">
        <v>1644</v>
      </c>
      <c r="AM366" s="28" t="s">
        <v>1645</v>
      </c>
      <c r="AN366" s="28" t="s">
        <v>1792</v>
      </c>
    </row>
    <row r="367" spans="1:40" ht="30">
      <c r="A367" s="7">
        <v>366</v>
      </c>
      <c r="B367" s="7" t="s">
        <v>1119</v>
      </c>
      <c r="C367" s="7" t="s">
        <v>52</v>
      </c>
      <c r="D367" s="7" t="s">
        <v>112</v>
      </c>
      <c r="E367" s="7" t="s">
        <v>1642</v>
      </c>
      <c r="F367" s="7" t="s">
        <v>52</v>
      </c>
      <c r="G367" s="14">
        <v>2374</v>
      </c>
      <c r="H367" s="14">
        <v>176</v>
      </c>
      <c r="I367" s="15">
        <v>6.67</v>
      </c>
      <c r="J367" s="14">
        <v>0</v>
      </c>
      <c r="K367" s="15">
        <v>0</v>
      </c>
      <c r="L367" s="14">
        <v>32</v>
      </c>
      <c r="M367" s="14">
        <v>10</v>
      </c>
      <c r="N367" s="13"/>
      <c r="O367" s="14">
        <v>17</v>
      </c>
      <c r="P367" s="14">
        <v>521</v>
      </c>
      <c r="Q367" s="15">
        <v>19.751474304970515</v>
      </c>
      <c r="R367" s="17">
        <f>IFERROR(G367/(G367+Priors!$H$18),0)</f>
        <v>0.70361588618850035</v>
      </c>
      <c r="S367" s="13">
        <v>1</v>
      </c>
      <c r="T367" s="40" t="b">
        <v>0</v>
      </c>
      <c r="U367" s="13">
        <v>1</v>
      </c>
      <c r="V367" s="40" t="b">
        <v>1</v>
      </c>
      <c r="W367" s="13">
        <v>0.9</v>
      </c>
      <c r="X367" s="17">
        <f t="shared" si="40"/>
        <v>0.63325429756965035</v>
      </c>
      <c r="Y367" s="37">
        <f>VLOOKUP(D367,Priors!$A$18:$B$21,2,FALSE)</f>
        <v>8.4555315342179806</v>
      </c>
      <c r="Z367" s="38">
        <f t="shared" si="41"/>
        <v>7.3248360167283124</v>
      </c>
      <c r="AA367" s="39">
        <v>1</v>
      </c>
      <c r="AB367" s="38">
        <f t="shared" si="42"/>
        <v>7.3248360167283124</v>
      </c>
      <c r="AC367" s="37">
        <f>Priors!$K$18</f>
        <v>2.7435089299114512</v>
      </c>
      <c r="AD367" s="38" t="str">
        <f t="shared" si="43"/>
        <v/>
      </c>
      <c r="AE367" s="37">
        <f>Priors!$K$19</f>
        <v>0.67280088332719912</v>
      </c>
      <c r="AF367" s="38" t="str">
        <f t="shared" si="44"/>
        <v/>
      </c>
      <c r="AG367" s="17">
        <f t="shared" si="45"/>
        <v>0.36674570243034965</v>
      </c>
      <c r="AH367" s="7" t="s">
        <v>1643</v>
      </c>
      <c r="AI367" s="7">
        <v>12</v>
      </c>
      <c r="AJ367" s="38">
        <f t="shared" si="46"/>
        <v>0.61040300139402603</v>
      </c>
      <c r="AK367" s="9" t="b">
        <f t="shared" si="47"/>
        <v>1</v>
      </c>
      <c r="AL367" s="28" t="s">
        <v>1644</v>
      </c>
      <c r="AM367" s="28" t="s">
        <v>1645</v>
      </c>
      <c r="AN367" s="28" t="s">
        <v>1792</v>
      </c>
    </row>
    <row r="368" spans="1:40" ht="30">
      <c r="A368" s="7">
        <v>367</v>
      </c>
      <c r="B368" s="7" t="s">
        <v>1122</v>
      </c>
      <c r="C368" s="7" t="s">
        <v>52</v>
      </c>
      <c r="D368" s="7" t="s">
        <v>112</v>
      </c>
      <c r="E368" s="7" t="s">
        <v>1642</v>
      </c>
      <c r="F368" s="7" t="s">
        <v>52</v>
      </c>
      <c r="G368" s="14">
        <v>2736</v>
      </c>
      <c r="H368" s="14">
        <v>152</v>
      </c>
      <c r="I368" s="15">
        <v>5</v>
      </c>
      <c r="J368" s="14">
        <v>0</v>
      </c>
      <c r="K368" s="15">
        <v>0</v>
      </c>
      <c r="L368" s="14">
        <v>39</v>
      </c>
      <c r="M368" s="14">
        <v>10</v>
      </c>
      <c r="N368" s="13"/>
      <c r="O368" s="14">
        <v>5</v>
      </c>
      <c r="P368" s="14">
        <v>449</v>
      </c>
      <c r="Q368" s="15">
        <v>14.769736842105264</v>
      </c>
      <c r="R368" s="17">
        <f>IFERROR(G368/(G368+Priors!$H$18),0)</f>
        <v>0.73233404710920769</v>
      </c>
      <c r="S368" s="13">
        <v>1</v>
      </c>
      <c r="T368" s="40" t="b">
        <v>0</v>
      </c>
      <c r="U368" s="13">
        <v>1</v>
      </c>
      <c r="V368" s="40" t="b">
        <v>1</v>
      </c>
      <c r="W368" s="13">
        <v>0.9</v>
      </c>
      <c r="X368" s="17">
        <f t="shared" si="40"/>
        <v>0.65910064239828692</v>
      </c>
      <c r="Y368" s="37">
        <f>VLOOKUP(D368,Priors!$A$18:$B$21,2,FALSE)</f>
        <v>8.4555315342179806</v>
      </c>
      <c r="Z368" s="38">
        <f t="shared" si="41"/>
        <v>6.1779884801873717</v>
      </c>
      <c r="AA368" s="39">
        <v>1</v>
      </c>
      <c r="AB368" s="38">
        <f t="shared" si="42"/>
        <v>6.1779884801873717</v>
      </c>
      <c r="AC368" s="37">
        <f>Priors!$K$18</f>
        <v>2.7435089299114512</v>
      </c>
      <c r="AD368" s="38" t="str">
        <f t="shared" si="43"/>
        <v/>
      </c>
      <c r="AE368" s="37">
        <f>Priors!$K$19</f>
        <v>0.67280088332719912</v>
      </c>
      <c r="AF368" s="38" t="str">
        <f t="shared" si="44"/>
        <v/>
      </c>
      <c r="AG368" s="17">
        <f t="shared" si="45"/>
        <v>0.34089935760171308</v>
      </c>
      <c r="AH368" s="7" t="s">
        <v>1643</v>
      </c>
      <c r="AI368" s="7">
        <v>12</v>
      </c>
      <c r="AJ368" s="38">
        <f t="shared" si="46"/>
        <v>0.5148323733489476</v>
      </c>
      <c r="AK368" s="9" t="b">
        <f t="shared" si="47"/>
        <v>1</v>
      </c>
      <c r="AL368" s="28" t="s">
        <v>1644</v>
      </c>
      <c r="AM368" s="28" t="s">
        <v>1645</v>
      </c>
      <c r="AN368" s="28" t="s">
        <v>1792</v>
      </c>
    </row>
    <row r="369" spans="1:40" ht="30">
      <c r="A369" s="7">
        <v>368</v>
      </c>
      <c r="B369" s="7" t="s">
        <v>1124</v>
      </c>
      <c r="C369" s="7" t="s">
        <v>52</v>
      </c>
      <c r="D369" s="7" t="s">
        <v>112</v>
      </c>
      <c r="E369" s="7" t="s">
        <v>1642</v>
      </c>
      <c r="F369" s="7" t="s">
        <v>52</v>
      </c>
      <c r="G369" s="14">
        <v>3232</v>
      </c>
      <c r="H369" s="14">
        <v>338</v>
      </c>
      <c r="I369" s="15">
        <v>9.41</v>
      </c>
      <c r="J369" s="14">
        <v>0</v>
      </c>
      <c r="K369" s="15">
        <v>0</v>
      </c>
      <c r="L369" s="14">
        <v>52</v>
      </c>
      <c r="M369" s="14">
        <v>9</v>
      </c>
      <c r="N369" s="13"/>
      <c r="O369" s="14">
        <v>21</v>
      </c>
      <c r="P369" s="14">
        <v>780</v>
      </c>
      <c r="Q369" s="15">
        <v>21.720297029702969</v>
      </c>
      <c r="R369" s="17">
        <f>IFERROR(G369/(G369+Priors!$H$18),0)</f>
        <v>0.76370510396975422</v>
      </c>
      <c r="S369" s="13">
        <v>1</v>
      </c>
      <c r="T369" s="40" t="b">
        <v>0</v>
      </c>
      <c r="U369" s="13">
        <v>1</v>
      </c>
      <c r="V369" s="40" t="b">
        <v>1</v>
      </c>
      <c r="W369" s="13">
        <v>0.9</v>
      </c>
      <c r="X369" s="17">
        <f t="shared" si="40"/>
        <v>0.68733459357277882</v>
      </c>
      <c r="Y369" s="37">
        <f>VLOOKUP(D369,Priors!$A$18:$B$21,2,FALSE)</f>
        <v>8.4555315342179806</v>
      </c>
      <c r="Z369" s="38">
        <f t="shared" si="41"/>
        <v>9.1115707292242973</v>
      </c>
      <c r="AA369" s="39">
        <v>1</v>
      </c>
      <c r="AB369" s="38">
        <f t="shared" si="42"/>
        <v>9.1115707292242973</v>
      </c>
      <c r="AC369" s="37">
        <f>Priors!$K$18</f>
        <v>2.7435089299114512</v>
      </c>
      <c r="AD369" s="38" t="str">
        <f t="shared" si="43"/>
        <v/>
      </c>
      <c r="AE369" s="37">
        <f>Priors!$K$19</f>
        <v>0.67280088332719912</v>
      </c>
      <c r="AF369" s="38" t="str">
        <f t="shared" si="44"/>
        <v/>
      </c>
      <c r="AG369" s="17">
        <f t="shared" si="45"/>
        <v>0.31266540642722118</v>
      </c>
      <c r="AH369" s="7" t="s">
        <v>1643</v>
      </c>
      <c r="AI369" s="7">
        <v>12</v>
      </c>
      <c r="AJ369" s="38">
        <f t="shared" si="46"/>
        <v>0.75929756076869148</v>
      </c>
      <c r="AK369" s="9" t="b">
        <f t="shared" si="47"/>
        <v>1</v>
      </c>
      <c r="AL369" s="28" t="s">
        <v>1644</v>
      </c>
      <c r="AM369" s="28" t="s">
        <v>1645</v>
      </c>
      <c r="AN369" s="28" t="s">
        <v>1792</v>
      </c>
    </row>
    <row r="370" spans="1:40" ht="30">
      <c r="A370" s="7">
        <v>369</v>
      </c>
      <c r="B370" s="7" t="s">
        <v>1127</v>
      </c>
      <c r="C370" s="7" t="s">
        <v>52</v>
      </c>
      <c r="D370" s="7" t="s">
        <v>112</v>
      </c>
      <c r="E370" s="7" t="s">
        <v>1642</v>
      </c>
      <c r="F370" s="7" t="s">
        <v>52</v>
      </c>
      <c r="G370" s="14">
        <v>547</v>
      </c>
      <c r="H370" s="14">
        <v>30</v>
      </c>
      <c r="I370" s="15">
        <v>4.9400000000000004</v>
      </c>
      <c r="J370" s="14">
        <v>0</v>
      </c>
      <c r="K370" s="15">
        <v>0</v>
      </c>
      <c r="L370" s="14">
        <v>12</v>
      </c>
      <c r="M370" s="14">
        <v>2</v>
      </c>
      <c r="N370" s="13"/>
      <c r="O370" s="14">
        <v>4</v>
      </c>
      <c r="P370" s="14">
        <v>188</v>
      </c>
      <c r="Q370" s="15">
        <v>30.932358318098721</v>
      </c>
      <c r="R370" s="17">
        <f>IFERROR(G370/(G370+Priors!$H$18),0)</f>
        <v>0.35358758888170655</v>
      </c>
      <c r="S370" s="13">
        <v>1</v>
      </c>
      <c r="T370" s="40" t="b">
        <v>0</v>
      </c>
      <c r="U370" s="13">
        <v>1</v>
      </c>
      <c r="V370" s="40" t="b">
        <v>1</v>
      </c>
      <c r="W370" s="13">
        <v>0.9</v>
      </c>
      <c r="X370" s="17">
        <f t="shared" si="40"/>
        <v>0.31822882999353591</v>
      </c>
      <c r="Y370" s="37">
        <f>VLOOKUP(D370,Priors!$A$18:$B$21,2,FALSE)</f>
        <v>8.4555315342179806</v>
      </c>
      <c r="Z370" s="38">
        <f t="shared" si="41"/>
        <v>7.3367880472784126</v>
      </c>
      <c r="AA370" s="39">
        <v>1</v>
      </c>
      <c r="AB370" s="38">
        <f t="shared" si="42"/>
        <v>7.3367880472784126</v>
      </c>
      <c r="AC370" s="37">
        <f>Priors!$K$18</f>
        <v>2.7435089299114512</v>
      </c>
      <c r="AD370" s="38" t="str">
        <f t="shared" si="43"/>
        <v/>
      </c>
      <c r="AE370" s="37">
        <f>Priors!$K$19</f>
        <v>0.67280088332719912</v>
      </c>
      <c r="AF370" s="38" t="str">
        <f t="shared" si="44"/>
        <v/>
      </c>
      <c r="AG370" s="17">
        <f t="shared" si="45"/>
        <v>0.68177117000646414</v>
      </c>
      <c r="AH370" s="7" t="s">
        <v>1643</v>
      </c>
      <c r="AI370" s="7">
        <v>12</v>
      </c>
      <c r="AJ370" s="38">
        <f t="shared" si="46"/>
        <v>0.61139900393986768</v>
      </c>
      <c r="AK370" s="9" t="b">
        <f t="shared" si="47"/>
        <v>1</v>
      </c>
      <c r="AL370" s="28" t="s">
        <v>1644</v>
      </c>
      <c r="AM370" s="28" t="s">
        <v>1645</v>
      </c>
      <c r="AN370" s="28" t="s">
        <v>1792</v>
      </c>
    </row>
    <row r="371" spans="1:40" ht="30">
      <c r="A371" s="7">
        <v>370</v>
      </c>
      <c r="B371" s="7" t="s">
        <v>1130</v>
      </c>
      <c r="C371" s="7" t="s">
        <v>52</v>
      </c>
      <c r="D371" s="7" t="s">
        <v>112</v>
      </c>
      <c r="E371" s="7" t="s">
        <v>1642</v>
      </c>
      <c r="F371" s="7" t="s">
        <v>52</v>
      </c>
      <c r="G371" s="14">
        <v>317</v>
      </c>
      <c r="H371" s="14">
        <v>30</v>
      </c>
      <c r="I371" s="15">
        <v>8.52</v>
      </c>
      <c r="J371" s="14">
        <v>0</v>
      </c>
      <c r="K371" s="15">
        <v>0</v>
      </c>
      <c r="L371" s="14">
        <v>9</v>
      </c>
      <c r="M371" s="14">
        <v>0</v>
      </c>
      <c r="N371" s="13"/>
      <c r="O371" s="14">
        <v>0</v>
      </c>
      <c r="P371" s="14">
        <v>135</v>
      </c>
      <c r="Q371" s="15">
        <v>38.328075709779178</v>
      </c>
      <c r="R371" s="17">
        <f>IFERROR(G371/(G371+Priors!$H$18),0)</f>
        <v>0.24069855732725892</v>
      </c>
      <c r="S371" s="13">
        <v>1</v>
      </c>
      <c r="T371" s="40" t="b">
        <v>0</v>
      </c>
      <c r="U371" s="13">
        <v>1</v>
      </c>
      <c r="V371" s="40" t="b">
        <v>1</v>
      </c>
      <c r="W371" s="13">
        <v>0.9</v>
      </c>
      <c r="X371" s="17">
        <f t="shared" si="40"/>
        <v>0.21662870159453304</v>
      </c>
      <c r="Y371" s="37">
        <f>VLOOKUP(D371,Priors!$A$18:$B$21,2,FALSE)</f>
        <v>8.4555315342179806</v>
      </c>
      <c r="Z371" s="38">
        <f t="shared" si="41"/>
        <v>8.4694972542541311</v>
      </c>
      <c r="AA371" s="39">
        <v>1</v>
      </c>
      <c r="AB371" s="38">
        <f t="shared" si="42"/>
        <v>8.4694972542541311</v>
      </c>
      <c r="AC371" s="37">
        <f>Priors!$K$18</f>
        <v>2.7435089299114512</v>
      </c>
      <c r="AD371" s="38" t="str">
        <f t="shared" si="43"/>
        <v/>
      </c>
      <c r="AE371" s="37">
        <f>Priors!$K$19</f>
        <v>0.67280088332719912</v>
      </c>
      <c r="AF371" s="38" t="str">
        <f t="shared" si="44"/>
        <v/>
      </c>
      <c r="AG371" s="17">
        <f t="shared" si="45"/>
        <v>0.78337129840546693</v>
      </c>
      <c r="AH371" s="7" t="s">
        <v>1643</v>
      </c>
      <c r="AI371" s="7">
        <v>12</v>
      </c>
      <c r="AJ371" s="38">
        <f t="shared" si="46"/>
        <v>0.70579143785451093</v>
      </c>
      <c r="AK371" s="9" t="b">
        <f t="shared" si="47"/>
        <v>1</v>
      </c>
      <c r="AL371" s="28" t="s">
        <v>1644</v>
      </c>
      <c r="AM371" s="28" t="s">
        <v>1645</v>
      </c>
      <c r="AN371" s="28" t="s">
        <v>1792</v>
      </c>
    </row>
    <row r="372" spans="1:40" ht="30">
      <c r="A372" s="7">
        <v>371</v>
      </c>
      <c r="B372" s="7" t="s">
        <v>1133</v>
      </c>
      <c r="C372" s="7" t="s">
        <v>52</v>
      </c>
      <c r="D372" s="7" t="s">
        <v>112</v>
      </c>
      <c r="E372" s="7" t="s">
        <v>1642</v>
      </c>
      <c r="F372" s="7" t="s">
        <v>52</v>
      </c>
      <c r="G372" s="14">
        <v>2991</v>
      </c>
      <c r="H372" s="14">
        <v>298</v>
      </c>
      <c r="I372" s="15">
        <v>8.9700000000000006</v>
      </c>
      <c r="J372" s="14">
        <v>0</v>
      </c>
      <c r="K372" s="15">
        <v>0</v>
      </c>
      <c r="L372" s="14">
        <v>42</v>
      </c>
      <c r="M372" s="14">
        <v>9</v>
      </c>
      <c r="N372" s="13"/>
      <c r="O372" s="14">
        <v>17</v>
      </c>
      <c r="P372" s="14">
        <v>671</v>
      </c>
      <c r="Q372" s="15">
        <v>20.190571715145435</v>
      </c>
      <c r="R372" s="17">
        <f>IFERROR(G372/(G372+Priors!$H$18),0)</f>
        <v>0.74943623152092209</v>
      </c>
      <c r="S372" s="13">
        <v>1</v>
      </c>
      <c r="T372" s="40" t="b">
        <v>0</v>
      </c>
      <c r="U372" s="13">
        <v>1</v>
      </c>
      <c r="V372" s="40" t="b">
        <v>1</v>
      </c>
      <c r="W372" s="13">
        <v>0.9</v>
      </c>
      <c r="X372" s="17">
        <f t="shared" si="40"/>
        <v>0.67449260836882985</v>
      </c>
      <c r="Y372" s="37">
        <f>VLOOKUP(D372,Priors!$A$18:$B$21,2,FALSE)</f>
        <v>8.4555315342179806</v>
      </c>
      <c r="Z372" s="38">
        <f t="shared" si="41"/>
        <v>8.8025367116268054</v>
      </c>
      <c r="AA372" s="39">
        <v>1</v>
      </c>
      <c r="AB372" s="38">
        <f t="shared" si="42"/>
        <v>8.8025367116268054</v>
      </c>
      <c r="AC372" s="37">
        <f>Priors!$K$18</f>
        <v>2.7435089299114512</v>
      </c>
      <c r="AD372" s="38" t="str">
        <f t="shared" si="43"/>
        <v/>
      </c>
      <c r="AE372" s="37">
        <f>Priors!$K$19</f>
        <v>0.67280088332719912</v>
      </c>
      <c r="AF372" s="38" t="str">
        <f t="shared" si="44"/>
        <v/>
      </c>
      <c r="AG372" s="17">
        <f t="shared" si="45"/>
        <v>0.32550739163117015</v>
      </c>
      <c r="AH372" s="7" t="s">
        <v>1643</v>
      </c>
      <c r="AI372" s="7">
        <v>12</v>
      </c>
      <c r="AJ372" s="38">
        <f t="shared" si="46"/>
        <v>0.73354472596890041</v>
      </c>
      <c r="AK372" s="9" t="b">
        <f t="shared" si="47"/>
        <v>1</v>
      </c>
      <c r="AL372" s="28" t="s">
        <v>1644</v>
      </c>
      <c r="AM372" s="28" t="s">
        <v>1645</v>
      </c>
      <c r="AN372" s="28" t="s">
        <v>1792</v>
      </c>
    </row>
    <row r="373" spans="1:40" ht="30">
      <c r="A373" s="7">
        <v>372</v>
      </c>
      <c r="B373" s="7" t="s">
        <v>1135</v>
      </c>
      <c r="C373" s="7" t="s">
        <v>52</v>
      </c>
      <c r="D373" s="7" t="s">
        <v>112</v>
      </c>
      <c r="E373" s="7" t="s">
        <v>1642</v>
      </c>
      <c r="F373" s="7" t="s">
        <v>52</v>
      </c>
      <c r="G373" s="14">
        <v>2654</v>
      </c>
      <c r="H373" s="14">
        <v>229</v>
      </c>
      <c r="I373" s="15">
        <v>7.77</v>
      </c>
      <c r="J373" s="14">
        <v>0</v>
      </c>
      <c r="K373" s="15">
        <v>0</v>
      </c>
      <c r="L373" s="14">
        <v>41</v>
      </c>
      <c r="M373" s="14">
        <v>7</v>
      </c>
      <c r="N373" s="13"/>
      <c r="O373" s="14">
        <v>9</v>
      </c>
      <c r="P373" s="14">
        <v>490</v>
      </c>
      <c r="Q373" s="15">
        <v>16.616428033157497</v>
      </c>
      <c r="R373" s="17">
        <f>IFERROR(G373/(G373+Priors!$H$18),0)</f>
        <v>0.72632731253420912</v>
      </c>
      <c r="S373" s="13">
        <v>1</v>
      </c>
      <c r="T373" s="40" t="b">
        <v>0</v>
      </c>
      <c r="U373" s="13">
        <v>1</v>
      </c>
      <c r="V373" s="40" t="b">
        <v>1</v>
      </c>
      <c r="W373" s="13">
        <v>0.9</v>
      </c>
      <c r="X373" s="17">
        <f t="shared" si="40"/>
        <v>0.65369458128078828</v>
      </c>
      <c r="Y373" s="37">
        <f>VLOOKUP(D373,Priors!$A$18:$B$21,2,FALSE)</f>
        <v>8.4555315342179806</v>
      </c>
      <c r="Z373" s="38">
        <f t="shared" si="41"/>
        <v>8.0074032850025816</v>
      </c>
      <c r="AA373" s="39">
        <v>1</v>
      </c>
      <c r="AB373" s="38">
        <f t="shared" si="42"/>
        <v>8.0074032850025816</v>
      </c>
      <c r="AC373" s="37">
        <f>Priors!$K$18</f>
        <v>2.7435089299114512</v>
      </c>
      <c r="AD373" s="38" t="str">
        <f t="shared" si="43"/>
        <v/>
      </c>
      <c r="AE373" s="37">
        <f>Priors!$K$19</f>
        <v>0.67280088332719912</v>
      </c>
      <c r="AF373" s="38" t="str">
        <f t="shared" si="44"/>
        <v/>
      </c>
      <c r="AG373" s="17">
        <f t="shared" si="45"/>
        <v>0.34630541871921172</v>
      </c>
      <c r="AH373" s="7" t="s">
        <v>1643</v>
      </c>
      <c r="AI373" s="7">
        <v>12</v>
      </c>
      <c r="AJ373" s="38">
        <f t="shared" si="46"/>
        <v>0.6672836070835485</v>
      </c>
      <c r="AK373" s="9" t="b">
        <f t="shared" si="47"/>
        <v>1</v>
      </c>
      <c r="AL373" s="28" t="s">
        <v>1644</v>
      </c>
      <c r="AM373" s="28" t="s">
        <v>1645</v>
      </c>
      <c r="AN373" s="28" t="s">
        <v>1792</v>
      </c>
    </row>
    <row r="374" spans="1:40" ht="30">
      <c r="A374" s="7">
        <v>373</v>
      </c>
      <c r="B374" s="7" t="s">
        <v>1138</v>
      </c>
      <c r="C374" s="7" t="s">
        <v>52</v>
      </c>
      <c r="D374" s="7" t="s">
        <v>112</v>
      </c>
      <c r="E374" s="7" t="s">
        <v>1642</v>
      </c>
      <c r="F374" s="7" t="s">
        <v>52</v>
      </c>
      <c r="G374" s="14">
        <v>1923</v>
      </c>
      <c r="H374" s="14">
        <v>237</v>
      </c>
      <c r="I374" s="15">
        <v>11.09</v>
      </c>
      <c r="J374" s="14">
        <v>0</v>
      </c>
      <c r="K374" s="15">
        <v>0</v>
      </c>
      <c r="L374" s="14">
        <v>37</v>
      </c>
      <c r="M374" s="14">
        <v>3</v>
      </c>
      <c r="N374" s="13"/>
      <c r="O374" s="14">
        <v>6</v>
      </c>
      <c r="P374" s="14">
        <v>447</v>
      </c>
      <c r="Q374" s="15">
        <v>20.920436817472698</v>
      </c>
      <c r="R374" s="17">
        <f>IFERROR(G374/(G374+Priors!$H$18),0)</f>
        <v>0.65788573383510096</v>
      </c>
      <c r="S374" s="13">
        <v>1</v>
      </c>
      <c r="T374" s="40" t="b">
        <v>0</v>
      </c>
      <c r="U374" s="13">
        <v>1</v>
      </c>
      <c r="V374" s="40" t="b">
        <v>1</v>
      </c>
      <c r="W374" s="13">
        <v>0.9</v>
      </c>
      <c r="X374" s="17">
        <f t="shared" si="40"/>
        <v>0.59209716045159089</v>
      </c>
      <c r="Y374" s="37">
        <f>VLOOKUP(D374,Priors!$A$18:$B$21,2,FALSE)</f>
        <v>8.4555315342179806</v>
      </c>
      <c r="Z374" s="38">
        <f t="shared" si="41"/>
        <v>10.015392832106773</v>
      </c>
      <c r="AA374" s="39">
        <v>1</v>
      </c>
      <c r="AB374" s="38">
        <f t="shared" si="42"/>
        <v>10.015392832106773</v>
      </c>
      <c r="AC374" s="37">
        <f>Priors!$K$18</f>
        <v>2.7435089299114512</v>
      </c>
      <c r="AD374" s="38" t="str">
        <f t="shared" si="43"/>
        <v/>
      </c>
      <c r="AE374" s="37">
        <f>Priors!$K$19</f>
        <v>0.67280088332719912</v>
      </c>
      <c r="AF374" s="38" t="str">
        <f t="shared" si="44"/>
        <v/>
      </c>
      <c r="AG374" s="17">
        <f t="shared" si="45"/>
        <v>0.40790283954840911</v>
      </c>
      <c r="AH374" s="7" t="s">
        <v>1643</v>
      </c>
      <c r="AI374" s="7">
        <v>12</v>
      </c>
      <c r="AJ374" s="38">
        <f t="shared" si="46"/>
        <v>0.83461606934223109</v>
      </c>
      <c r="AK374" s="9" t="b">
        <f t="shared" si="47"/>
        <v>1</v>
      </c>
      <c r="AL374" s="28" t="s">
        <v>1644</v>
      </c>
      <c r="AM374" s="28" t="s">
        <v>1645</v>
      </c>
      <c r="AN374" s="28" t="s">
        <v>1792</v>
      </c>
    </row>
    <row r="375" spans="1:40" ht="30">
      <c r="A375" s="7">
        <v>374</v>
      </c>
      <c r="B375" s="7" t="s">
        <v>1141</v>
      </c>
      <c r="C375" s="7" t="s">
        <v>52</v>
      </c>
      <c r="D375" s="7" t="s">
        <v>112</v>
      </c>
      <c r="E375" s="7" t="s">
        <v>1642</v>
      </c>
      <c r="F375" s="7" t="s">
        <v>52</v>
      </c>
      <c r="G375" s="14">
        <v>170</v>
      </c>
      <c r="H375" s="14">
        <v>23</v>
      </c>
      <c r="I375" s="15">
        <v>12.18</v>
      </c>
      <c r="J375" s="14">
        <v>0</v>
      </c>
      <c r="K375" s="15">
        <v>0</v>
      </c>
      <c r="L375" s="14">
        <v>5</v>
      </c>
      <c r="M375" s="14">
        <v>1</v>
      </c>
      <c r="N375" s="13"/>
      <c r="O375" s="14">
        <v>0</v>
      </c>
      <c r="P375" s="14">
        <v>49</v>
      </c>
      <c r="Q375" s="15">
        <v>25.941176470588236</v>
      </c>
      <c r="R375" s="17">
        <f>IFERROR(G375/(G375+Priors!$H$18),0)</f>
        <v>0.14529914529914531</v>
      </c>
      <c r="S375" s="13">
        <v>1</v>
      </c>
      <c r="T375" s="40" t="b">
        <v>0</v>
      </c>
      <c r="U375" s="13">
        <v>1</v>
      </c>
      <c r="V375" s="40" t="b">
        <v>1</v>
      </c>
      <c r="W375" s="13">
        <v>0.9</v>
      </c>
      <c r="X375" s="17">
        <f t="shared" si="40"/>
        <v>0.13076923076923078</v>
      </c>
      <c r="Y375" s="37">
        <f>VLOOKUP(D375,Priors!$A$18:$B$21,2,FALSE)</f>
        <v>8.4555315342179806</v>
      </c>
      <c r="Z375" s="38">
        <f t="shared" si="41"/>
        <v>8.9425774105125519</v>
      </c>
      <c r="AA375" s="39">
        <v>1</v>
      </c>
      <c r="AB375" s="38">
        <f t="shared" si="42"/>
        <v>8.9425774105125519</v>
      </c>
      <c r="AC375" s="37">
        <f>Priors!$K$18</f>
        <v>2.7435089299114512</v>
      </c>
      <c r="AD375" s="38" t="str">
        <f t="shared" si="43"/>
        <v/>
      </c>
      <c r="AE375" s="37">
        <f>Priors!$K$19</f>
        <v>0.67280088332719912</v>
      </c>
      <c r="AF375" s="38" t="str">
        <f t="shared" si="44"/>
        <v/>
      </c>
      <c r="AG375" s="17">
        <f t="shared" si="45"/>
        <v>0.86923076923076925</v>
      </c>
      <c r="AH375" s="7" t="s">
        <v>1643</v>
      </c>
      <c r="AI375" s="7">
        <v>12</v>
      </c>
      <c r="AJ375" s="38">
        <f t="shared" si="46"/>
        <v>0.74521478420937937</v>
      </c>
      <c r="AK375" s="9" t="b">
        <f t="shared" si="47"/>
        <v>1</v>
      </c>
      <c r="AL375" s="28" t="s">
        <v>1644</v>
      </c>
      <c r="AM375" s="28" t="s">
        <v>1645</v>
      </c>
      <c r="AN375" s="28" t="s">
        <v>1792</v>
      </c>
    </row>
    <row r="376" spans="1:40" ht="30">
      <c r="A376" s="7">
        <v>375</v>
      </c>
      <c r="B376" s="7" t="s">
        <v>1143</v>
      </c>
      <c r="C376" s="7" t="s">
        <v>52</v>
      </c>
      <c r="D376" s="7" t="s">
        <v>112</v>
      </c>
      <c r="E376" s="7" t="s">
        <v>1642</v>
      </c>
      <c r="F376" s="7" t="s">
        <v>52</v>
      </c>
      <c r="G376" s="14">
        <v>21</v>
      </c>
      <c r="H376" s="14">
        <v>5</v>
      </c>
      <c r="I376" s="15">
        <v>21.43</v>
      </c>
      <c r="J376" s="14">
        <v>0</v>
      </c>
      <c r="K376" s="15">
        <v>0</v>
      </c>
      <c r="L376" s="14">
        <v>1</v>
      </c>
      <c r="M376" s="14">
        <v>0</v>
      </c>
      <c r="N376" s="13"/>
      <c r="O376" s="14">
        <v>0</v>
      </c>
      <c r="P376" s="14">
        <v>11</v>
      </c>
      <c r="Q376" s="15">
        <v>47.142857142857146</v>
      </c>
      <c r="R376" s="17">
        <f>IFERROR(G376/(G376+Priors!$H$18),0)</f>
        <v>2.0568070519098921E-2</v>
      </c>
      <c r="S376" s="13">
        <v>1</v>
      </c>
      <c r="T376" s="40" t="b">
        <v>0</v>
      </c>
      <c r="U376" s="13">
        <v>1</v>
      </c>
      <c r="V376" s="40" t="b">
        <v>1</v>
      </c>
      <c r="W376" s="13">
        <v>0.9</v>
      </c>
      <c r="X376" s="17">
        <f t="shared" si="40"/>
        <v>1.8511263467189031E-2</v>
      </c>
      <c r="Y376" s="37">
        <f>VLOOKUP(D376,Priors!$A$18:$B$21,2,FALSE)</f>
        <v>8.4555315342179806</v>
      </c>
      <c r="Z376" s="38">
        <f t="shared" si="41"/>
        <v>8.6957053383348075</v>
      </c>
      <c r="AA376" s="39">
        <v>1</v>
      </c>
      <c r="AB376" s="38">
        <f t="shared" si="42"/>
        <v>8.6957053383348075</v>
      </c>
      <c r="AC376" s="37">
        <f>Priors!$K$18</f>
        <v>2.7435089299114512</v>
      </c>
      <c r="AD376" s="38" t="str">
        <f t="shared" si="43"/>
        <v/>
      </c>
      <c r="AE376" s="37">
        <f>Priors!$K$19</f>
        <v>0.67280088332719912</v>
      </c>
      <c r="AF376" s="38" t="str">
        <f t="shared" si="44"/>
        <v/>
      </c>
      <c r="AG376" s="17">
        <f t="shared" si="45"/>
        <v>0.98148873653281099</v>
      </c>
      <c r="AH376" s="7" t="s">
        <v>1643</v>
      </c>
      <c r="AI376" s="7">
        <v>12</v>
      </c>
      <c r="AJ376" s="38">
        <f t="shared" si="46"/>
        <v>0.72464211152790059</v>
      </c>
      <c r="AK376" s="9" t="b">
        <f t="shared" si="47"/>
        <v>1</v>
      </c>
      <c r="AL376" s="28" t="s">
        <v>1644</v>
      </c>
      <c r="AM376" s="28" t="s">
        <v>1645</v>
      </c>
      <c r="AN376" s="28" t="s">
        <v>1792</v>
      </c>
    </row>
    <row r="377" spans="1:40" ht="30">
      <c r="A377" s="7">
        <v>376</v>
      </c>
      <c r="B377" s="7" t="s">
        <v>1146</v>
      </c>
      <c r="C377" s="7" t="s">
        <v>52</v>
      </c>
      <c r="D377" s="7" t="s">
        <v>112</v>
      </c>
      <c r="E377" s="7" t="s">
        <v>1642</v>
      </c>
      <c r="F377" s="7" t="s">
        <v>52</v>
      </c>
      <c r="G377" s="14">
        <v>0</v>
      </c>
      <c r="H377" s="14">
        <v>0</v>
      </c>
      <c r="I377" s="15">
        <v>0</v>
      </c>
      <c r="J377" s="14">
        <v>0</v>
      </c>
      <c r="K377" s="15">
        <v>0</v>
      </c>
      <c r="L377" s="14">
        <v>0</v>
      </c>
      <c r="M377" s="14">
        <v>0</v>
      </c>
      <c r="N377" s="13"/>
      <c r="O377" s="14">
        <v>0</v>
      </c>
      <c r="P377" s="14">
        <v>0</v>
      </c>
      <c r="Q377" s="15">
        <v>0</v>
      </c>
      <c r="R377" s="17">
        <f>IFERROR(G377/(G377+Priors!$H$18),0)</f>
        <v>0</v>
      </c>
      <c r="S377" s="13">
        <v>1</v>
      </c>
      <c r="T377" s="40" t="b">
        <v>0</v>
      </c>
      <c r="U377" s="13">
        <v>1</v>
      </c>
      <c r="V377" s="40" t="b">
        <v>1</v>
      </c>
      <c r="W377" s="13">
        <v>0.9</v>
      </c>
      <c r="X377" s="17">
        <f t="shared" si="40"/>
        <v>0</v>
      </c>
      <c r="Y377" s="37">
        <f>VLOOKUP(D377,Priors!$A$18:$B$21,2,FALSE)</f>
        <v>8.4555315342179806</v>
      </c>
      <c r="Z377" s="38">
        <f t="shared" si="41"/>
        <v>8.4555315342179806</v>
      </c>
      <c r="AA377" s="39">
        <v>1</v>
      </c>
      <c r="AB377" s="38">
        <f t="shared" si="42"/>
        <v>8.4555315342179806</v>
      </c>
      <c r="AC377" s="37">
        <f>Priors!$K$18</f>
        <v>2.7435089299114512</v>
      </c>
      <c r="AD377" s="38" t="str">
        <f t="shared" si="43"/>
        <v/>
      </c>
      <c r="AE377" s="37">
        <f>Priors!$K$19</f>
        <v>0.67280088332719912</v>
      </c>
      <c r="AF377" s="38" t="str">
        <f t="shared" si="44"/>
        <v/>
      </c>
      <c r="AG377" s="17">
        <f t="shared" si="45"/>
        <v>1</v>
      </c>
      <c r="AH377" s="7" t="s">
        <v>1643</v>
      </c>
      <c r="AI377" s="7">
        <v>12</v>
      </c>
      <c r="AJ377" s="38">
        <f t="shared" si="46"/>
        <v>0.70462762785149835</v>
      </c>
      <c r="AK377" s="9" t="b">
        <f t="shared" si="47"/>
        <v>1</v>
      </c>
      <c r="AL377" s="28" t="s">
        <v>1644</v>
      </c>
      <c r="AM377" s="28" t="s">
        <v>1645</v>
      </c>
      <c r="AN377" s="28" t="s">
        <v>1792</v>
      </c>
    </row>
    <row r="378" spans="1:40" ht="30">
      <c r="A378" s="7">
        <v>377</v>
      </c>
      <c r="B378" s="7" t="s">
        <v>1149</v>
      </c>
      <c r="C378" s="7" t="s">
        <v>52</v>
      </c>
      <c r="D378" s="7" t="s">
        <v>112</v>
      </c>
      <c r="E378" s="7" t="s">
        <v>1647</v>
      </c>
      <c r="F378" s="7"/>
      <c r="G378" s="14">
        <v>0</v>
      </c>
      <c r="H378" s="14"/>
      <c r="I378" s="15"/>
      <c r="J378" s="14"/>
      <c r="K378" s="15"/>
      <c r="L378" s="14"/>
      <c r="M378" s="14"/>
      <c r="N378" s="13"/>
      <c r="O378" s="14"/>
      <c r="P378" s="14"/>
      <c r="Q378" s="15"/>
      <c r="R378" s="17">
        <f>IFERROR(G378/(G378+Priors!$H$18),0)</f>
        <v>0</v>
      </c>
      <c r="S378" s="13">
        <v>0</v>
      </c>
      <c r="T378" s="40" t="b">
        <v>0</v>
      </c>
      <c r="U378" s="13">
        <v>1</v>
      </c>
      <c r="V378" s="40" t="b">
        <v>1</v>
      </c>
      <c r="W378" s="13">
        <v>0.9</v>
      </c>
      <c r="X378" s="17">
        <f t="shared" si="40"/>
        <v>0</v>
      </c>
      <c r="Y378" s="37">
        <f>VLOOKUP(D378,Priors!$A$18:$B$21,2,FALSE)</f>
        <v>8.4555315342179806</v>
      </c>
      <c r="Z378" s="38">
        <f t="shared" si="41"/>
        <v>8.4555315342179806</v>
      </c>
      <c r="AA378" s="39">
        <v>1</v>
      </c>
      <c r="AB378" s="38">
        <f t="shared" si="42"/>
        <v>8.4555315342179806</v>
      </c>
      <c r="AC378" s="37">
        <f>Priors!$K$18</f>
        <v>2.7435089299114512</v>
      </c>
      <c r="AD378" s="38" t="str">
        <f t="shared" si="43"/>
        <v/>
      </c>
      <c r="AE378" s="37">
        <f>Priors!$K$19</f>
        <v>0.67280088332719912</v>
      </c>
      <c r="AF378" s="38" t="str">
        <f t="shared" si="44"/>
        <v/>
      </c>
      <c r="AG378" s="17">
        <f t="shared" si="45"/>
        <v>1</v>
      </c>
      <c r="AH378" s="7" t="s">
        <v>1793</v>
      </c>
      <c r="AI378" s="7">
        <v>12</v>
      </c>
      <c r="AJ378" s="38">
        <f t="shared" si="46"/>
        <v>0.70462762785149835</v>
      </c>
      <c r="AK378" s="9" t="b">
        <f t="shared" si="47"/>
        <v>1</v>
      </c>
      <c r="AL378" s="28" t="s">
        <v>1794</v>
      </c>
      <c r="AM378" s="28"/>
      <c r="AN378" s="28" t="s">
        <v>1792</v>
      </c>
    </row>
    <row r="379" spans="1:40" ht="30">
      <c r="A379" s="7">
        <v>378</v>
      </c>
      <c r="B379" s="7" t="s">
        <v>1152</v>
      </c>
      <c r="C379" s="7" t="s">
        <v>52</v>
      </c>
      <c r="D379" s="7" t="s">
        <v>112</v>
      </c>
      <c r="E379" s="7" t="s">
        <v>1642</v>
      </c>
      <c r="F379" s="7" t="s">
        <v>52</v>
      </c>
      <c r="G379" s="14">
        <v>0</v>
      </c>
      <c r="H379" s="14">
        <v>0</v>
      </c>
      <c r="I379" s="15">
        <v>0</v>
      </c>
      <c r="J379" s="14">
        <v>0</v>
      </c>
      <c r="K379" s="15">
        <v>0</v>
      </c>
      <c r="L379" s="14">
        <v>0</v>
      </c>
      <c r="M379" s="14">
        <v>0</v>
      </c>
      <c r="N379" s="13"/>
      <c r="O379" s="14">
        <v>0</v>
      </c>
      <c r="P379" s="14">
        <v>0</v>
      </c>
      <c r="Q379" s="15">
        <v>0</v>
      </c>
      <c r="R379" s="17">
        <f>IFERROR(G379/(G379+Priors!$H$18),0)</f>
        <v>0</v>
      </c>
      <c r="S379" s="13">
        <v>1</v>
      </c>
      <c r="T379" s="40" t="b">
        <v>0</v>
      </c>
      <c r="U379" s="13">
        <v>1</v>
      </c>
      <c r="V379" s="40" t="b">
        <v>1</v>
      </c>
      <c r="W379" s="13">
        <v>0.9</v>
      </c>
      <c r="X379" s="17">
        <f t="shared" si="40"/>
        <v>0</v>
      </c>
      <c r="Y379" s="37">
        <f>VLOOKUP(D379,Priors!$A$18:$B$21,2,FALSE)</f>
        <v>8.4555315342179806</v>
      </c>
      <c r="Z379" s="38">
        <f t="shared" si="41"/>
        <v>8.4555315342179806</v>
      </c>
      <c r="AA379" s="39">
        <v>1</v>
      </c>
      <c r="AB379" s="38">
        <f t="shared" si="42"/>
        <v>8.4555315342179806</v>
      </c>
      <c r="AC379" s="37">
        <f>Priors!$K$18</f>
        <v>2.7435089299114512</v>
      </c>
      <c r="AD379" s="38" t="str">
        <f t="shared" si="43"/>
        <v/>
      </c>
      <c r="AE379" s="37">
        <f>Priors!$K$19</f>
        <v>0.67280088332719912</v>
      </c>
      <c r="AF379" s="38" t="str">
        <f t="shared" si="44"/>
        <v/>
      </c>
      <c r="AG379" s="17">
        <f t="shared" si="45"/>
        <v>1</v>
      </c>
      <c r="AH379" s="7" t="s">
        <v>1643</v>
      </c>
      <c r="AI379" s="7">
        <v>12</v>
      </c>
      <c r="AJ379" s="38">
        <f t="shared" si="46"/>
        <v>0.70462762785149835</v>
      </c>
      <c r="AK379" s="9" t="b">
        <f t="shared" si="47"/>
        <v>1</v>
      </c>
      <c r="AL379" s="28" t="s">
        <v>1644</v>
      </c>
      <c r="AM379" s="28" t="s">
        <v>1645</v>
      </c>
      <c r="AN379" s="28" t="s">
        <v>1792</v>
      </c>
    </row>
    <row r="380" spans="1:40" ht="30">
      <c r="A380" s="7">
        <v>379</v>
      </c>
      <c r="B380" s="7" t="s">
        <v>1154</v>
      </c>
      <c r="C380" s="7" t="s">
        <v>52</v>
      </c>
      <c r="D380" s="7" t="s">
        <v>167</v>
      </c>
      <c r="E380" s="7" t="s">
        <v>1642</v>
      </c>
      <c r="F380" s="7" t="s">
        <v>52</v>
      </c>
      <c r="G380" s="14">
        <v>694</v>
      </c>
      <c r="H380" s="14">
        <v>30</v>
      </c>
      <c r="I380" s="15">
        <v>3.89</v>
      </c>
      <c r="J380" s="14">
        <v>0</v>
      </c>
      <c r="K380" s="15">
        <v>0</v>
      </c>
      <c r="L380" s="14">
        <v>9</v>
      </c>
      <c r="M380" s="14">
        <v>1</v>
      </c>
      <c r="N380" s="13"/>
      <c r="O380" s="14">
        <v>4</v>
      </c>
      <c r="P380" s="14">
        <v>140</v>
      </c>
      <c r="Q380" s="15">
        <v>18.155619596541786</v>
      </c>
      <c r="R380" s="17">
        <f>IFERROR(G380/(G380+Priors!$H$18),0)</f>
        <v>0.40968122786304606</v>
      </c>
      <c r="S380" s="13">
        <v>1</v>
      </c>
      <c r="T380" s="40" t="b">
        <v>0</v>
      </c>
      <c r="U380" s="13">
        <v>1</v>
      </c>
      <c r="V380" s="40" t="b">
        <v>1</v>
      </c>
      <c r="W380" s="13">
        <v>0.9</v>
      </c>
      <c r="X380" s="17">
        <f t="shared" si="40"/>
        <v>0.36871310507674149</v>
      </c>
      <c r="Y380" s="37">
        <f>VLOOKUP(D380,Priors!$A$18:$B$21,2,FALSE)</f>
        <v>4.5137422563476139</v>
      </c>
      <c r="Z380" s="38">
        <f t="shared" si="41"/>
        <v>4.2837603122421122</v>
      </c>
      <c r="AA380" s="39">
        <v>1</v>
      </c>
      <c r="AB380" s="38">
        <f t="shared" si="42"/>
        <v>4.2837603122421122</v>
      </c>
      <c r="AC380" s="37">
        <f>Priors!$K$18</f>
        <v>2.7435089299114512</v>
      </c>
      <c r="AD380" s="38" t="str">
        <f t="shared" si="43"/>
        <v/>
      </c>
      <c r="AE380" s="37">
        <f>Priors!$K$19</f>
        <v>0.67280088332719912</v>
      </c>
      <c r="AF380" s="38" t="str">
        <f t="shared" si="44"/>
        <v/>
      </c>
      <c r="AG380" s="17">
        <f t="shared" si="45"/>
        <v>0.63128689492325851</v>
      </c>
      <c r="AH380" s="7" t="s">
        <v>1643</v>
      </c>
      <c r="AI380" s="7">
        <v>12</v>
      </c>
      <c r="AJ380" s="38">
        <f t="shared" si="46"/>
        <v>0.35698002602017603</v>
      </c>
      <c r="AK380" s="9" t="b">
        <f t="shared" si="47"/>
        <v>1</v>
      </c>
      <c r="AL380" s="28" t="s">
        <v>1644</v>
      </c>
      <c r="AM380" s="28" t="s">
        <v>1645</v>
      </c>
      <c r="AN380" s="28" t="s">
        <v>1792</v>
      </c>
    </row>
    <row r="381" spans="1:40" ht="30">
      <c r="A381" s="7">
        <v>380</v>
      </c>
      <c r="B381" s="7" t="s">
        <v>1156</v>
      </c>
      <c r="C381" s="7" t="s">
        <v>52</v>
      </c>
      <c r="D381" s="7" t="s">
        <v>167</v>
      </c>
      <c r="E381" s="7" t="s">
        <v>1642</v>
      </c>
      <c r="F381" s="7" t="s">
        <v>52</v>
      </c>
      <c r="G381" s="14">
        <v>1797</v>
      </c>
      <c r="H381" s="14">
        <v>85</v>
      </c>
      <c r="I381" s="15">
        <v>4.26</v>
      </c>
      <c r="J381" s="14">
        <v>0</v>
      </c>
      <c r="K381" s="15">
        <v>0</v>
      </c>
      <c r="L381" s="14">
        <v>25</v>
      </c>
      <c r="M381" s="14">
        <v>7</v>
      </c>
      <c r="N381" s="13"/>
      <c r="O381" s="14">
        <v>22</v>
      </c>
      <c r="P381" s="14">
        <v>433</v>
      </c>
      <c r="Q381" s="15">
        <v>21.686143572621035</v>
      </c>
      <c r="R381" s="17">
        <f>IFERROR(G381/(G381+Priors!$H$18),0)</f>
        <v>0.6424740793707544</v>
      </c>
      <c r="S381" s="13">
        <v>1</v>
      </c>
      <c r="T381" s="40" t="b">
        <v>0</v>
      </c>
      <c r="U381" s="13">
        <v>1</v>
      </c>
      <c r="V381" s="40" t="b">
        <v>1</v>
      </c>
      <c r="W381" s="13">
        <v>0.9</v>
      </c>
      <c r="X381" s="17">
        <f t="shared" si="40"/>
        <v>0.57822667143367901</v>
      </c>
      <c r="Y381" s="37">
        <f>VLOOKUP(D381,Priors!$A$18:$B$21,2,FALSE)</f>
        <v>4.5137422563476139</v>
      </c>
      <c r="Z381" s="38">
        <f t="shared" si="41"/>
        <v>4.3670217160576623</v>
      </c>
      <c r="AA381" s="39">
        <v>1</v>
      </c>
      <c r="AB381" s="38">
        <f t="shared" si="42"/>
        <v>4.3670217160576623</v>
      </c>
      <c r="AC381" s="37">
        <f>Priors!$K$18</f>
        <v>2.7435089299114512</v>
      </c>
      <c r="AD381" s="38" t="str">
        <f t="shared" si="43"/>
        <v/>
      </c>
      <c r="AE381" s="37">
        <f>Priors!$K$19</f>
        <v>0.67280088332719912</v>
      </c>
      <c r="AF381" s="38" t="str">
        <f t="shared" si="44"/>
        <v/>
      </c>
      <c r="AG381" s="17">
        <f t="shared" si="45"/>
        <v>0.42177332856632099</v>
      </c>
      <c r="AH381" s="7" t="s">
        <v>1643</v>
      </c>
      <c r="AI381" s="7">
        <v>12</v>
      </c>
      <c r="AJ381" s="38">
        <f t="shared" si="46"/>
        <v>0.36391847633813851</v>
      </c>
      <c r="AK381" s="9" t="b">
        <f t="shared" si="47"/>
        <v>1</v>
      </c>
      <c r="AL381" s="28" t="s">
        <v>1644</v>
      </c>
      <c r="AM381" s="28" t="s">
        <v>1645</v>
      </c>
      <c r="AN381" s="28" t="s">
        <v>1792</v>
      </c>
    </row>
    <row r="382" spans="1:40" ht="30">
      <c r="A382" s="7">
        <v>381</v>
      </c>
      <c r="B382" s="7" t="s">
        <v>1160</v>
      </c>
      <c r="C382" s="7" t="s">
        <v>52</v>
      </c>
      <c r="D382" s="7" t="s">
        <v>112</v>
      </c>
      <c r="E382" s="7" t="s">
        <v>1647</v>
      </c>
      <c r="F382" s="7"/>
      <c r="G382" s="14">
        <v>0</v>
      </c>
      <c r="H382" s="14"/>
      <c r="I382" s="15"/>
      <c r="J382" s="14"/>
      <c r="K382" s="15"/>
      <c r="L382" s="14"/>
      <c r="M382" s="14"/>
      <c r="N382" s="13"/>
      <c r="O382" s="14"/>
      <c r="P382" s="14"/>
      <c r="Q382" s="15"/>
      <c r="R382" s="17">
        <f>IFERROR(G382/(G382+Priors!$H$18),0)</f>
        <v>0</v>
      </c>
      <c r="S382" s="13">
        <v>0</v>
      </c>
      <c r="T382" s="40" t="b">
        <v>0</v>
      </c>
      <c r="U382" s="13">
        <v>1</v>
      </c>
      <c r="V382" s="40" t="b">
        <v>1</v>
      </c>
      <c r="W382" s="13">
        <v>0.9</v>
      </c>
      <c r="X382" s="17">
        <f t="shared" si="40"/>
        <v>0</v>
      </c>
      <c r="Y382" s="37">
        <f>VLOOKUP(D382,Priors!$A$18:$B$21,2,FALSE)</f>
        <v>8.4555315342179806</v>
      </c>
      <c r="Z382" s="38">
        <f t="shared" si="41"/>
        <v>8.4555315342179806</v>
      </c>
      <c r="AA382" s="39">
        <v>1</v>
      </c>
      <c r="AB382" s="38">
        <f t="shared" si="42"/>
        <v>8.4555315342179806</v>
      </c>
      <c r="AC382" s="37">
        <f>Priors!$K$18</f>
        <v>2.7435089299114512</v>
      </c>
      <c r="AD382" s="38" t="str">
        <f t="shared" si="43"/>
        <v/>
      </c>
      <c r="AE382" s="37">
        <f>Priors!$K$19</f>
        <v>0.67280088332719912</v>
      </c>
      <c r="AF382" s="38" t="str">
        <f t="shared" si="44"/>
        <v/>
      </c>
      <c r="AG382" s="17">
        <f t="shared" si="45"/>
        <v>1</v>
      </c>
      <c r="AH382" s="7" t="s">
        <v>1793</v>
      </c>
      <c r="AI382" s="7">
        <v>12</v>
      </c>
      <c r="AJ382" s="38">
        <f t="shared" si="46"/>
        <v>0.70462762785149835</v>
      </c>
      <c r="AK382" s="9" t="b">
        <f t="shared" si="47"/>
        <v>1</v>
      </c>
      <c r="AL382" s="28" t="s">
        <v>1794</v>
      </c>
      <c r="AM382" s="28"/>
      <c r="AN382" s="28" t="s">
        <v>1792</v>
      </c>
    </row>
    <row r="383" spans="1:40" ht="30">
      <c r="A383" s="7">
        <v>382</v>
      </c>
      <c r="B383" s="7" t="s">
        <v>1162</v>
      </c>
      <c r="C383" s="7" t="s">
        <v>52</v>
      </c>
      <c r="D383" s="7" t="s">
        <v>167</v>
      </c>
      <c r="E383" s="7" t="s">
        <v>1642</v>
      </c>
      <c r="F383" s="7" t="s">
        <v>52</v>
      </c>
      <c r="G383" s="14">
        <v>0</v>
      </c>
      <c r="H383" s="14">
        <v>0</v>
      </c>
      <c r="I383" s="15">
        <v>0</v>
      </c>
      <c r="J383" s="14">
        <v>0</v>
      </c>
      <c r="K383" s="15">
        <v>0</v>
      </c>
      <c r="L383" s="14">
        <v>0</v>
      </c>
      <c r="M383" s="14">
        <v>0</v>
      </c>
      <c r="N383" s="13"/>
      <c r="O383" s="14">
        <v>0</v>
      </c>
      <c r="P383" s="14">
        <v>0</v>
      </c>
      <c r="Q383" s="15">
        <v>0</v>
      </c>
      <c r="R383" s="17">
        <f>IFERROR(G383/(G383+Priors!$H$18),0)</f>
        <v>0</v>
      </c>
      <c r="S383" s="13">
        <v>1</v>
      </c>
      <c r="T383" s="40" t="b">
        <v>0</v>
      </c>
      <c r="U383" s="13">
        <v>1</v>
      </c>
      <c r="V383" s="40" t="b">
        <v>1</v>
      </c>
      <c r="W383" s="13">
        <v>0.9</v>
      </c>
      <c r="X383" s="17">
        <f t="shared" si="40"/>
        <v>0</v>
      </c>
      <c r="Y383" s="37">
        <f>VLOOKUP(D383,Priors!$A$18:$B$21,2,FALSE)</f>
        <v>4.5137422563476139</v>
      </c>
      <c r="Z383" s="38">
        <f t="shared" si="41"/>
        <v>4.5137422563476139</v>
      </c>
      <c r="AA383" s="39">
        <v>1</v>
      </c>
      <c r="AB383" s="38">
        <f t="shared" si="42"/>
        <v>4.5137422563476139</v>
      </c>
      <c r="AC383" s="37">
        <f>Priors!$K$18</f>
        <v>2.7435089299114512</v>
      </c>
      <c r="AD383" s="38" t="str">
        <f t="shared" si="43"/>
        <v/>
      </c>
      <c r="AE383" s="37">
        <f>Priors!$K$19</f>
        <v>0.67280088332719912</v>
      </c>
      <c r="AF383" s="38" t="str">
        <f t="shared" si="44"/>
        <v/>
      </c>
      <c r="AG383" s="17">
        <f t="shared" si="45"/>
        <v>1</v>
      </c>
      <c r="AH383" s="7" t="s">
        <v>1643</v>
      </c>
      <c r="AI383" s="7">
        <v>12</v>
      </c>
      <c r="AJ383" s="38">
        <f t="shared" si="46"/>
        <v>0.37614518802896785</v>
      </c>
      <c r="AK383" s="9" t="b">
        <f t="shared" si="47"/>
        <v>1</v>
      </c>
      <c r="AL383" s="28" t="s">
        <v>1644</v>
      </c>
      <c r="AM383" s="28" t="s">
        <v>1645</v>
      </c>
      <c r="AN383" s="28" t="s">
        <v>1792</v>
      </c>
    </row>
    <row r="384" spans="1:40" ht="30">
      <c r="A384" s="7">
        <v>383</v>
      </c>
      <c r="B384" s="7" t="s">
        <v>1165</v>
      </c>
      <c r="C384" s="7" t="s">
        <v>52</v>
      </c>
      <c r="D384" s="7" t="s">
        <v>112</v>
      </c>
      <c r="E384" s="7" t="s">
        <v>1642</v>
      </c>
      <c r="F384" s="7" t="s">
        <v>40</v>
      </c>
      <c r="G384" s="14">
        <v>110</v>
      </c>
      <c r="H384" s="14">
        <v>6</v>
      </c>
      <c r="I384" s="15">
        <v>4.91</v>
      </c>
      <c r="J384" s="14">
        <v>0</v>
      </c>
      <c r="K384" s="15">
        <v>0</v>
      </c>
      <c r="L384" s="14">
        <v>2</v>
      </c>
      <c r="M384" s="14">
        <v>0</v>
      </c>
      <c r="N384" s="13"/>
      <c r="O384" s="14">
        <v>0</v>
      </c>
      <c r="P384" s="14">
        <v>17</v>
      </c>
      <c r="Q384" s="15">
        <v>13.909090909090908</v>
      </c>
      <c r="R384" s="17">
        <f>IFERROR(G384/(G384+Priors!$H$18),0)</f>
        <v>9.90990990990991E-2</v>
      </c>
      <c r="S384" s="13">
        <v>1</v>
      </c>
      <c r="T384" s="40" t="b">
        <v>1</v>
      </c>
      <c r="U384" s="13">
        <v>0.85</v>
      </c>
      <c r="V384" s="40" t="b">
        <v>1</v>
      </c>
      <c r="W384" s="13">
        <v>0.9</v>
      </c>
      <c r="X384" s="17">
        <f t="shared" si="40"/>
        <v>7.5810810810810814E-2</v>
      </c>
      <c r="Y384" s="37">
        <f>VLOOKUP(D384,Priors!$A$18:$B$21,2,FALSE)</f>
        <v>8.4555315342179806</v>
      </c>
      <c r="Z384" s="38">
        <f t="shared" si="41"/>
        <v>8.1867419138536164</v>
      </c>
      <c r="AA384" s="39">
        <v>1</v>
      </c>
      <c r="AB384" s="38">
        <f t="shared" si="42"/>
        <v>8.1867419138536164</v>
      </c>
      <c r="AC384" s="37">
        <f>Priors!$K$18</f>
        <v>2.7435089299114512</v>
      </c>
      <c r="AD384" s="38" t="str">
        <f t="shared" si="43"/>
        <v/>
      </c>
      <c r="AE384" s="37">
        <f>Priors!$K$19</f>
        <v>0.67280088332719912</v>
      </c>
      <c r="AF384" s="38" t="str">
        <f t="shared" si="44"/>
        <v/>
      </c>
      <c r="AG384" s="17">
        <f t="shared" si="45"/>
        <v>0.92418918918918913</v>
      </c>
      <c r="AH384" s="7" t="s">
        <v>1643</v>
      </c>
      <c r="AI384" s="7">
        <v>12</v>
      </c>
      <c r="AJ384" s="38">
        <f t="shared" si="46"/>
        <v>0.68222849282113474</v>
      </c>
      <c r="AK384" s="9" t="b">
        <f t="shared" si="47"/>
        <v>1</v>
      </c>
      <c r="AL384" s="28" t="s">
        <v>1644</v>
      </c>
      <c r="AM384" s="28" t="s">
        <v>1645</v>
      </c>
      <c r="AN384" s="28" t="s">
        <v>1792</v>
      </c>
    </row>
    <row r="385" spans="1:40" ht="30">
      <c r="A385" s="7">
        <v>384</v>
      </c>
      <c r="B385" s="7" t="s">
        <v>1174</v>
      </c>
      <c r="C385" s="7" t="s">
        <v>53</v>
      </c>
      <c r="D385" s="7" t="s">
        <v>85</v>
      </c>
      <c r="E385" s="7" t="s">
        <v>1642</v>
      </c>
      <c r="F385" s="7" t="s">
        <v>53</v>
      </c>
      <c r="G385" s="14">
        <v>3060</v>
      </c>
      <c r="H385" s="14">
        <v>55</v>
      </c>
      <c r="I385" s="15">
        <v>0</v>
      </c>
      <c r="J385" s="14">
        <v>78</v>
      </c>
      <c r="K385" s="15">
        <v>2.29</v>
      </c>
      <c r="L385" s="14">
        <v>29</v>
      </c>
      <c r="M385" s="14">
        <v>15</v>
      </c>
      <c r="N385" s="13">
        <v>0.7289719626168224</v>
      </c>
      <c r="O385" s="14">
        <v>5</v>
      </c>
      <c r="P385" s="14">
        <v>567</v>
      </c>
      <c r="Q385" s="15">
        <v>16.676470588235293</v>
      </c>
      <c r="R385" s="17">
        <f>IFERROR(G385/(G385+Priors!$H$18),0)</f>
        <v>0.75369458128078815</v>
      </c>
      <c r="S385" s="13">
        <v>1</v>
      </c>
      <c r="T385" s="40" t="b">
        <v>0</v>
      </c>
      <c r="U385" s="13">
        <v>1</v>
      </c>
      <c r="V385" s="40" t="b">
        <v>1</v>
      </c>
      <c r="W385" s="13">
        <v>0.9</v>
      </c>
      <c r="X385" s="17">
        <f t="shared" si="40"/>
        <v>0.67832512315270932</v>
      </c>
      <c r="Y385" s="37">
        <f>VLOOKUP(D385,Priors!$A$18:$B$21,2,FALSE)</f>
        <v>2.6414527990394716</v>
      </c>
      <c r="Z385" s="38">
        <f t="shared" si="41"/>
        <v>0.84968900382895329</v>
      </c>
      <c r="AA385" s="39">
        <v>1</v>
      </c>
      <c r="AB385" s="38">
        <f t="shared" si="42"/>
        <v>0.84968900382895329</v>
      </c>
      <c r="AC385" s="37">
        <f>Priors!$K$18</f>
        <v>2.7435089299114512</v>
      </c>
      <c r="AD385" s="38">
        <f t="shared" si="43"/>
        <v>2.4358824291784127</v>
      </c>
      <c r="AE385" s="37">
        <f>Priors!$K$19</f>
        <v>0.67280088332719912</v>
      </c>
      <c r="AF385" s="38">
        <f t="shared" si="44"/>
        <v>0.71090313760395341</v>
      </c>
      <c r="AG385" s="17">
        <f t="shared" si="45"/>
        <v>0.32167487684729068</v>
      </c>
      <c r="AH385" s="7" t="s">
        <v>1643</v>
      </c>
      <c r="AI385" s="7"/>
      <c r="AJ385" s="38" t="str">
        <f t="shared" si="46"/>
        <v/>
      </c>
      <c r="AK385" s="9" t="b">
        <f t="shared" si="47"/>
        <v>1</v>
      </c>
      <c r="AL385" s="28" t="s">
        <v>1644</v>
      </c>
      <c r="AM385" s="28" t="s">
        <v>1645</v>
      </c>
      <c r="AN385" s="28" t="s">
        <v>1792</v>
      </c>
    </row>
    <row r="386" spans="1:40" ht="30">
      <c r="A386" s="7">
        <v>385</v>
      </c>
      <c r="B386" s="7" t="s">
        <v>1176</v>
      </c>
      <c r="C386" s="7" t="s">
        <v>53</v>
      </c>
      <c r="D386" s="7" t="s">
        <v>85</v>
      </c>
      <c r="E386" s="7" t="s">
        <v>1642</v>
      </c>
      <c r="F386" s="7" t="s">
        <v>53</v>
      </c>
      <c r="G386" s="14">
        <v>360</v>
      </c>
      <c r="H386" s="14">
        <v>41</v>
      </c>
      <c r="I386" s="15">
        <v>0</v>
      </c>
      <c r="J386" s="14">
        <v>14</v>
      </c>
      <c r="K386" s="15">
        <v>3.5</v>
      </c>
      <c r="L386" s="14">
        <v>6</v>
      </c>
      <c r="M386" s="14">
        <v>1</v>
      </c>
      <c r="N386" s="13">
        <v>0.7</v>
      </c>
      <c r="O386" s="14">
        <v>0</v>
      </c>
      <c r="P386" s="14">
        <v>67</v>
      </c>
      <c r="Q386" s="15">
        <v>16.75</v>
      </c>
      <c r="R386" s="17">
        <f>IFERROR(G386/(G386+Priors!$H$18),0)</f>
        <v>0.26470588235294118</v>
      </c>
      <c r="S386" s="13">
        <v>1</v>
      </c>
      <c r="T386" s="40" t="b">
        <v>0</v>
      </c>
      <c r="U386" s="13">
        <v>1</v>
      </c>
      <c r="V386" s="40" t="b">
        <v>1</v>
      </c>
      <c r="W386" s="13">
        <v>0.9</v>
      </c>
      <c r="X386" s="17">
        <f t="shared" ref="X386:X449" si="48">R386*S386*U386*W386</f>
        <v>0.23823529411764707</v>
      </c>
      <c r="Y386" s="37">
        <f>VLOOKUP(D386,Priors!$A$18:$B$21,2,FALSE)</f>
        <v>2.6414527990394716</v>
      </c>
      <c r="Z386" s="38">
        <f t="shared" ref="Z386:Z449" si="49">IF(OR(H386="",G386=0),Y386,X386*I386+(1-X386)*Y386)</f>
        <v>2.0121655145624211</v>
      </c>
      <c r="AA386" s="39">
        <v>1</v>
      </c>
      <c r="AB386" s="38">
        <f t="shared" ref="AB386:AB449" si="50">Z386*AA386</f>
        <v>2.0121655145624211</v>
      </c>
      <c r="AC386" s="37">
        <f>Priors!$K$18</f>
        <v>2.7435089299114512</v>
      </c>
      <c r="AD386" s="38">
        <f t="shared" ref="AD386:AD449" si="51">IF(D386&lt;&gt;"GK","",IF(OR(K386="",G386=0),AC386,X386*K386+(1-X386)*AC386))</f>
        <v>2.9237318024913703</v>
      </c>
      <c r="AE386" s="37">
        <f>Priors!$K$19</f>
        <v>0.67280088332719912</v>
      </c>
      <c r="AF386" s="38">
        <f t="shared" ref="AF386:AF449" si="52">IF(D386&lt;&gt;"GK","",IF(OR(N386="",G386=0),AE386,X386*N386+(1-X386)*AE386))</f>
        <v>0.67928067288748395</v>
      </c>
      <c r="AG386" s="17">
        <f t="shared" ref="AG386:AG449" si="53">1-X386</f>
        <v>0.7617647058823529</v>
      </c>
      <c r="AH386" s="7" t="s">
        <v>1643</v>
      </c>
      <c r="AI386" s="7"/>
      <c r="AJ386" s="38" t="str">
        <f t="shared" ref="AJ386:AJ449" si="54">IF(OR(AI386="",AI386=0),"",AB386/AI386)</f>
        <v/>
      </c>
      <c r="AK386" s="9" t="b">
        <f t="shared" ref="AK386:AK449" si="55">OR(AG386&gt;=0.5,E386&lt;&gt;"Premier League",T386=TRUE,V386=TRUE)</f>
        <v>1</v>
      </c>
      <c r="AL386" s="28" t="s">
        <v>1644</v>
      </c>
      <c r="AM386" s="28" t="s">
        <v>1645</v>
      </c>
      <c r="AN386" s="28" t="s">
        <v>1792</v>
      </c>
    </row>
    <row r="387" spans="1:40" ht="30">
      <c r="A387" s="7">
        <v>386</v>
      </c>
      <c r="B387" s="7" t="s">
        <v>1178</v>
      </c>
      <c r="C387" s="7" t="s">
        <v>53</v>
      </c>
      <c r="D387" s="7" t="s">
        <v>85</v>
      </c>
      <c r="E387" s="7" t="s">
        <v>1642</v>
      </c>
      <c r="F387" s="7" t="s">
        <v>53</v>
      </c>
      <c r="G387" s="14">
        <v>0</v>
      </c>
      <c r="H387" s="14">
        <v>0</v>
      </c>
      <c r="I387" s="15">
        <v>0</v>
      </c>
      <c r="J387" s="14">
        <v>0</v>
      </c>
      <c r="K387" s="15">
        <v>0</v>
      </c>
      <c r="L387" s="14">
        <v>0</v>
      </c>
      <c r="M387" s="14">
        <v>0</v>
      </c>
      <c r="N387" s="13"/>
      <c r="O387" s="14">
        <v>0</v>
      </c>
      <c r="P387" s="14">
        <v>0</v>
      </c>
      <c r="Q387" s="15">
        <v>0</v>
      </c>
      <c r="R387" s="17">
        <f>IFERROR(G387/(G387+Priors!$H$18),0)</f>
        <v>0</v>
      </c>
      <c r="S387" s="13">
        <v>1</v>
      </c>
      <c r="T387" s="40" t="b">
        <v>0</v>
      </c>
      <c r="U387" s="13">
        <v>1</v>
      </c>
      <c r="V387" s="40" t="b">
        <v>1</v>
      </c>
      <c r="W387" s="13">
        <v>0.9</v>
      </c>
      <c r="X387" s="17">
        <f t="shared" si="48"/>
        <v>0</v>
      </c>
      <c r="Y387" s="37">
        <f>VLOOKUP(D387,Priors!$A$18:$B$21,2,FALSE)</f>
        <v>2.6414527990394716</v>
      </c>
      <c r="Z387" s="38">
        <f t="shared" si="49"/>
        <v>2.6414527990394716</v>
      </c>
      <c r="AA387" s="39">
        <v>1</v>
      </c>
      <c r="AB387" s="38">
        <f t="shared" si="50"/>
        <v>2.6414527990394716</v>
      </c>
      <c r="AC387" s="37">
        <f>Priors!$K$18</f>
        <v>2.7435089299114512</v>
      </c>
      <c r="AD387" s="38">
        <f t="shared" si="51"/>
        <v>2.7435089299114512</v>
      </c>
      <c r="AE387" s="37">
        <f>Priors!$K$19</f>
        <v>0.67280088332719912</v>
      </c>
      <c r="AF387" s="38">
        <f t="shared" si="52"/>
        <v>0.67280088332719912</v>
      </c>
      <c r="AG387" s="17">
        <f t="shared" si="53"/>
        <v>1</v>
      </c>
      <c r="AH387" s="7" t="s">
        <v>1643</v>
      </c>
      <c r="AI387" s="7"/>
      <c r="AJ387" s="38" t="str">
        <f t="shared" si="54"/>
        <v/>
      </c>
      <c r="AK387" s="9" t="b">
        <f t="shared" si="55"/>
        <v>1</v>
      </c>
      <c r="AL387" s="28" t="s">
        <v>1644</v>
      </c>
      <c r="AM387" s="28" t="s">
        <v>1645</v>
      </c>
      <c r="AN387" s="28" t="s">
        <v>1792</v>
      </c>
    </row>
    <row r="388" spans="1:40" ht="30">
      <c r="A388" s="7">
        <v>387</v>
      </c>
      <c r="B388" s="7" t="s">
        <v>1181</v>
      </c>
      <c r="C388" s="7" t="s">
        <v>53</v>
      </c>
      <c r="D388" s="7" t="s">
        <v>99</v>
      </c>
      <c r="E388" s="7" t="s">
        <v>1642</v>
      </c>
      <c r="F388" s="7" t="s">
        <v>53</v>
      </c>
      <c r="G388" s="14">
        <v>2643</v>
      </c>
      <c r="H388" s="14">
        <v>194</v>
      </c>
      <c r="I388" s="15">
        <v>5.86</v>
      </c>
      <c r="J388" s="14">
        <v>0</v>
      </c>
      <c r="K388" s="15">
        <v>0</v>
      </c>
      <c r="L388" s="14">
        <v>25</v>
      </c>
      <c r="M388" s="14">
        <v>14</v>
      </c>
      <c r="N388" s="13"/>
      <c r="O388" s="14">
        <v>10</v>
      </c>
      <c r="P388" s="14">
        <v>567</v>
      </c>
      <c r="Q388" s="15">
        <v>19.307604994324631</v>
      </c>
      <c r="R388" s="17">
        <f>IFERROR(G388/(G388+Priors!$H$18),0)</f>
        <v>0.72550096074663739</v>
      </c>
      <c r="S388" s="13">
        <v>1</v>
      </c>
      <c r="T388" s="40" t="b">
        <v>0</v>
      </c>
      <c r="U388" s="13">
        <v>1</v>
      </c>
      <c r="V388" s="40" t="b">
        <v>1</v>
      </c>
      <c r="W388" s="13">
        <v>0.9</v>
      </c>
      <c r="X388" s="17">
        <f t="shared" si="48"/>
        <v>0.65295086467197372</v>
      </c>
      <c r="Y388" s="37">
        <f>VLOOKUP(D388,Priors!$A$18:$B$21,2,FALSE)</f>
        <v>8.7398272304160223</v>
      </c>
      <c r="Z388" s="38">
        <f t="shared" si="49"/>
        <v>6.8594415502099855</v>
      </c>
      <c r="AA388" s="39">
        <v>1</v>
      </c>
      <c r="AB388" s="38">
        <f t="shared" si="50"/>
        <v>6.8594415502099855</v>
      </c>
      <c r="AC388" s="37">
        <f>Priors!$K$18</f>
        <v>2.7435089299114512</v>
      </c>
      <c r="AD388" s="38" t="str">
        <f t="shared" si="51"/>
        <v/>
      </c>
      <c r="AE388" s="37">
        <f>Priors!$K$19</f>
        <v>0.67280088332719912</v>
      </c>
      <c r="AF388" s="38" t="str">
        <f t="shared" si="52"/>
        <v/>
      </c>
      <c r="AG388" s="17">
        <f t="shared" si="53"/>
        <v>0.34704913532802628</v>
      </c>
      <c r="AH388" s="7" t="s">
        <v>1643</v>
      </c>
      <c r="AI388" s="7">
        <v>10</v>
      </c>
      <c r="AJ388" s="38">
        <f t="shared" si="54"/>
        <v>0.68594415502099859</v>
      </c>
      <c r="AK388" s="9" t="b">
        <f t="shared" si="55"/>
        <v>1</v>
      </c>
      <c r="AL388" s="28" t="s">
        <v>1644</v>
      </c>
      <c r="AM388" s="28" t="s">
        <v>1645</v>
      </c>
      <c r="AN388" s="28" t="s">
        <v>1792</v>
      </c>
    </row>
    <row r="389" spans="1:40" ht="30">
      <c r="A389" s="7">
        <v>388</v>
      </c>
      <c r="B389" s="7" t="s">
        <v>1184</v>
      </c>
      <c r="C389" s="7" t="s">
        <v>53</v>
      </c>
      <c r="D389" s="7" t="s">
        <v>99</v>
      </c>
      <c r="E389" s="7" t="s">
        <v>1642</v>
      </c>
      <c r="F389" s="7" t="s">
        <v>53</v>
      </c>
      <c r="G389" s="14">
        <v>3150</v>
      </c>
      <c r="H389" s="14">
        <v>313</v>
      </c>
      <c r="I389" s="15">
        <v>7.94</v>
      </c>
      <c r="J389" s="14">
        <v>0</v>
      </c>
      <c r="K389" s="15">
        <v>0</v>
      </c>
      <c r="L389" s="14">
        <v>35</v>
      </c>
      <c r="M389" s="14">
        <v>14</v>
      </c>
      <c r="N389" s="13"/>
      <c r="O389" s="14">
        <v>14</v>
      </c>
      <c r="P389" s="14">
        <v>688</v>
      </c>
      <c r="Q389" s="15">
        <v>19.657142857142858</v>
      </c>
      <c r="R389" s="17">
        <f>IFERROR(G389/(G389+Priors!$H$18),0)</f>
        <v>0.75903614457831325</v>
      </c>
      <c r="S389" s="13">
        <v>1</v>
      </c>
      <c r="T389" s="40" t="b">
        <v>0</v>
      </c>
      <c r="U389" s="13">
        <v>1</v>
      </c>
      <c r="V389" s="40" t="b">
        <v>1</v>
      </c>
      <c r="W389" s="13">
        <v>0.9</v>
      </c>
      <c r="X389" s="17">
        <f t="shared" si="48"/>
        <v>0.68313253012048192</v>
      </c>
      <c r="Y389" s="37">
        <f>VLOOKUP(D389,Priors!$A$18:$B$21,2,FALSE)</f>
        <v>8.7398272304160223</v>
      </c>
      <c r="Z389" s="38">
        <f t="shared" si="49"/>
        <v>8.1934392308426673</v>
      </c>
      <c r="AA389" s="39">
        <v>1</v>
      </c>
      <c r="AB389" s="38">
        <f t="shared" si="50"/>
        <v>8.1934392308426673</v>
      </c>
      <c r="AC389" s="37">
        <f>Priors!$K$18</f>
        <v>2.7435089299114512</v>
      </c>
      <c r="AD389" s="38" t="str">
        <f t="shared" si="51"/>
        <v/>
      </c>
      <c r="AE389" s="37">
        <f>Priors!$K$19</f>
        <v>0.67280088332719912</v>
      </c>
      <c r="AF389" s="38" t="str">
        <f t="shared" si="52"/>
        <v/>
      </c>
      <c r="AG389" s="17">
        <f t="shared" si="53"/>
        <v>0.31686746987951808</v>
      </c>
      <c r="AH389" s="7" t="s">
        <v>1643</v>
      </c>
      <c r="AI389" s="7">
        <v>10</v>
      </c>
      <c r="AJ389" s="38">
        <f t="shared" si="54"/>
        <v>0.81934392308426673</v>
      </c>
      <c r="AK389" s="9" t="b">
        <f t="shared" si="55"/>
        <v>1</v>
      </c>
      <c r="AL389" s="28" t="s">
        <v>1644</v>
      </c>
      <c r="AM389" s="28" t="s">
        <v>1645</v>
      </c>
      <c r="AN389" s="28" t="s">
        <v>1792</v>
      </c>
    </row>
    <row r="390" spans="1:40" ht="30">
      <c r="A390" s="7">
        <v>389</v>
      </c>
      <c r="B390" s="7" t="s">
        <v>1187</v>
      </c>
      <c r="C390" s="7" t="s">
        <v>53</v>
      </c>
      <c r="D390" s="7" t="s">
        <v>99</v>
      </c>
      <c r="E390" s="7" t="s">
        <v>1642</v>
      </c>
      <c r="F390" s="7" t="s">
        <v>53</v>
      </c>
      <c r="G390" s="14">
        <v>2861</v>
      </c>
      <c r="H390" s="14">
        <v>233</v>
      </c>
      <c r="I390" s="15">
        <v>6.13</v>
      </c>
      <c r="J390" s="14">
        <v>0</v>
      </c>
      <c r="K390" s="15">
        <v>0</v>
      </c>
      <c r="L390" s="14">
        <v>28</v>
      </c>
      <c r="M390" s="14">
        <v>12</v>
      </c>
      <c r="N390" s="13"/>
      <c r="O390" s="14">
        <v>16</v>
      </c>
      <c r="P390" s="14">
        <v>676</v>
      </c>
      <c r="Q390" s="15">
        <v>21.265291855994409</v>
      </c>
      <c r="R390" s="17">
        <f>IFERROR(G390/(G390+Priors!$H$18),0)</f>
        <v>0.74099974099974097</v>
      </c>
      <c r="S390" s="13">
        <v>1</v>
      </c>
      <c r="T390" s="40" t="b">
        <v>0</v>
      </c>
      <c r="U390" s="13">
        <v>1</v>
      </c>
      <c r="V390" s="40" t="b">
        <v>1</v>
      </c>
      <c r="W390" s="13">
        <v>0.9</v>
      </c>
      <c r="X390" s="17">
        <f t="shared" si="48"/>
        <v>0.66689976689976693</v>
      </c>
      <c r="Y390" s="37">
        <f>VLOOKUP(D390,Priors!$A$18:$B$21,2,FALSE)</f>
        <v>8.7398272304160223</v>
      </c>
      <c r="Z390" s="38">
        <f t="shared" si="49"/>
        <v>6.999334058802912</v>
      </c>
      <c r="AA390" s="39">
        <v>1</v>
      </c>
      <c r="AB390" s="38">
        <f t="shared" si="50"/>
        <v>6.999334058802912</v>
      </c>
      <c r="AC390" s="37">
        <f>Priors!$K$18</f>
        <v>2.7435089299114512</v>
      </c>
      <c r="AD390" s="38" t="str">
        <f t="shared" si="51"/>
        <v/>
      </c>
      <c r="AE390" s="37">
        <f>Priors!$K$19</f>
        <v>0.67280088332719912</v>
      </c>
      <c r="AF390" s="38" t="str">
        <f t="shared" si="52"/>
        <v/>
      </c>
      <c r="AG390" s="17">
        <f t="shared" si="53"/>
        <v>0.33310023310023307</v>
      </c>
      <c r="AH390" s="7" t="s">
        <v>1643</v>
      </c>
      <c r="AI390" s="7">
        <v>10</v>
      </c>
      <c r="AJ390" s="38">
        <f t="shared" si="54"/>
        <v>0.69993340588029118</v>
      </c>
      <c r="AK390" s="9" t="b">
        <f t="shared" si="55"/>
        <v>1</v>
      </c>
      <c r="AL390" s="28" t="s">
        <v>1644</v>
      </c>
      <c r="AM390" s="28" t="s">
        <v>1645</v>
      </c>
      <c r="AN390" s="28" t="s">
        <v>1792</v>
      </c>
    </row>
    <row r="391" spans="1:40" ht="30">
      <c r="A391" s="7">
        <v>390</v>
      </c>
      <c r="B391" s="7" t="s">
        <v>1189</v>
      </c>
      <c r="C391" s="7" t="s">
        <v>53</v>
      </c>
      <c r="D391" s="7" t="s">
        <v>99</v>
      </c>
      <c r="E391" s="7" t="s">
        <v>1642</v>
      </c>
      <c r="F391" s="7" t="s">
        <v>53</v>
      </c>
      <c r="G391" s="14">
        <v>2139</v>
      </c>
      <c r="H391" s="14">
        <v>191</v>
      </c>
      <c r="I391" s="15">
        <v>7.03</v>
      </c>
      <c r="J391" s="14">
        <v>0</v>
      </c>
      <c r="K391" s="15">
        <v>0</v>
      </c>
      <c r="L391" s="14">
        <v>22</v>
      </c>
      <c r="M391" s="14">
        <v>12</v>
      </c>
      <c r="N391" s="13"/>
      <c r="O391" s="14">
        <v>4</v>
      </c>
      <c r="P391" s="14">
        <v>453</v>
      </c>
      <c r="Q391" s="15">
        <v>19.060308555399718</v>
      </c>
      <c r="R391" s="17">
        <f>IFERROR(G391/(G391+Priors!$H$18),0)</f>
        <v>0.68142720611659768</v>
      </c>
      <c r="S391" s="13">
        <v>1</v>
      </c>
      <c r="T391" s="40" t="b">
        <v>0</v>
      </c>
      <c r="U391" s="13">
        <v>1</v>
      </c>
      <c r="V391" s="40" t="b">
        <v>1</v>
      </c>
      <c r="W391" s="13">
        <v>0.9</v>
      </c>
      <c r="X391" s="17">
        <f t="shared" si="48"/>
        <v>0.61328448550493797</v>
      </c>
      <c r="Y391" s="37">
        <f>VLOOKUP(D391,Priors!$A$18:$B$21,2,FALSE)</f>
        <v>8.7398272304160223</v>
      </c>
      <c r="Z391" s="38">
        <f t="shared" si="49"/>
        <v>7.6912167171079986</v>
      </c>
      <c r="AA391" s="39">
        <v>1</v>
      </c>
      <c r="AB391" s="38">
        <f t="shared" si="50"/>
        <v>7.6912167171079986</v>
      </c>
      <c r="AC391" s="37">
        <f>Priors!$K$18</f>
        <v>2.7435089299114512</v>
      </c>
      <c r="AD391" s="38" t="str">
        <f t="shared" si="51"/>
        <v/>
      </c>
      <c r="AE391" s="37">
        <f>Priors!$K$19</f>
        <v>0.67280088332719912</v>
      </c>
      <c r="AF391" s="38" t="str">
        <f t="shared" si="52"/>
        <v/>
      </c>
      <c r="AG391" s="17">
        <f t="shared" si="53"/>
        <v>0.38671551449506203</v>
      </c>
      <c r="AH391" s="7" t="s">
        <v>1643</v>
      </c>
      <c r="AI391" s="7">
        <v>10</v>
      </c>
      <c r="AJ391" s="38">
        <f t="shared" si="54"/>
        <v>0.76912167171079981</v>
      </c>
      <c r="AK391" s="9" t="b">
        <f t="shared" si="55"/>
        <v>1</v>
      </c>
      <c r="AL391" s="28" t="s">
        <v>1644</v>
      </c>
      <c r="AM391" s="28" t="s">
        <v>1645</v>
      </c>
      <c r="AN391" s="28" t="s">
        <v>1792</v>
      </c>
    </row>
    <row r="392" spans="1:40" ht="30">
      <c r="A392" s="7">
        <v>391</v>
      </c>
      <c r="B392" s="7" t="s">
        <v>1192</v>
      </c>
      <c r="C392" s="7" t="s">
        <v>53</v>
      </c>
      <c r="D392" s="7" t="s">
        <v>99</v>
      </c>
      <c r="E392" s="7" t="s">
        <v>1642</v>
      </c>
      <c r="F392" s="7" t="s">
        <v>53</v>
      </c>
      <c r="G392" s="14">
        <v>1370</v>
      </c>
      <c r="H392" s="14">
        <v>119</v>
      </c>
      <c r="I392" s="15">
        <v>6.77</v>
      </c>
      <c r="J392" s="14">
        <v>0</v>
      </c>
      <c r="K392" s="15">
        <v>0</v>
      </c>
      <c r="L392" s="14">
        <v>13</v>
      </c>
      <c r="M392" s="14">
        <v>6</v>
      </c>
      <c r="N392" s="13"/>
      <c r="O392" s="14">
        <v>5</v>
      </c>
      <c r="P392" s="14">
        <v>303</v>
      </c>
      <c r="Q392" s="15">
        <v>19.905109489051096</v>
      </c>
      <c r="R392" s="17">
        <f>IFERROR(G392/(G392+Priors!$H$18),0)</f>
        <v>0.57805907172995785</v>
      </c>
      <c r="S392" s="13">
        <v>1</v>
      </c>
      <c r="T392" s="40" t="b">
        <v>0</v>
      </c>
      <c r="U392" s="13">
        <v>1</v>
      </c>
      <c r="V392" s="40" t="b">
        <v>1</v>
      </c>
      <c r="W392" s="13">
        <v>0.9</v>
      </c>
      <c r="X392" s="17">
        <f t="shared" si="48"/>
        <v>0.52025316455696213</v>
      </c>
      <c r="Y392" s="37">
        <f>VLOOKUP(D392,Priors!$A$18:$B$21,2,FALSE)</f>
        <v>8.7398272304160223</v>
      </c>
      <c r="Z392" s="38">
        <f t="shared" si="49"/>
        <v>7.7150183801616103</v>
      </c>
      <c r="AA392" s="39">
        <v>1</v>
      </c>
      <c r="AB392" s="38">
        <f t="shared" si="50"/>
        <v>7.7150183801616103</v>
      </c>
      <c r="AC392" s="37">
        <f>Priors!$K$18</f>
        <v>2.7435089299114512</v>
      </c>
      <c r="AD392" s="38" t="str">
        <f t="shared" si="51"/>
        <v/>
      </c>
      <c r="AE392" s="37">
        <f>Priors!$K$19</f>
        <v>0.67280088332719912</v>
      </c>
      <c r="AF392" s="38" t="str">
        <f t="shared" si="52"/>
        <v/>
      </c>
      <c r="AG392" s="17">
        <f t="shared" si="53"/>
        <v>0.47974683544303787</v>
      </c>
      <c r="AH392" s="7" t="s">
        <v>1643</v>
      </c>
      <c r="AI392" s="7">
        <v>10</v>
      </c>
      <c r="AJ392" s="38">
        <f t="shared" si="54"/>
        <v>0.77150183801616101</v>
      </c>
      <c r="AK392" s="9" t="b">
        <f t="shared" si="55"/>
        <v>1</v>
      </c>
      <c r="AL392" s="28" t="s">
        <v>1644</v>
      </c>
      <c r="AM392" s="28" t="s">
        <v>1645</v>
      </c>
      <c r="AN392" s="28" t="s">
        <v>1792</v>
      </c>
    </row>
    <row r="393" spans="1:40" ht="30">
      <c r="A393" s="7">
        <v>392</v>
      </c>
      <c r="B393" s="7" t="s">
        <v>1194</v>
      </c>
      <c r="C393" s="7" t="s">
        <v>53</v>
      </c>
      <c r="D393" s="7" t="s">
        <v>99</v>
      </c>
      <c r="E393" s="7" t="s">
        <v>1642</v>
      </c>
      <c r="F393" s="7" t="s">
        <v>53</v>
      </c>
      <c r="G393" s="14">
        <v>971</v>
      </c>
      <c r="H393" s="14">
        <v>75</v>
      </c>
      <c r="I393" s="15">
        <v>6.21</v>
      </c>
      <c r="J393" s="14">
        <v>0</v>
      </c>
      <c r="K393" s="15">
        <v>0</v>
      </c>
      <c r="L393" s="14">
        <v>8</v>
      </c>
      <c r="M393" s="14">
        <v>5</v>
      </c>
      <c r="N393" s="13"/>
      <c r="O393" s="14">
        <v>9</v>
      </c>
      <c r="P393" s="14">
        <v>237</v>
      </c>
      <c r="Q393" s="15">
        <v>21.967044284243048</v>
      </c>
      <c r="R393" s="17">
        <f>IFERROR(G393/(G393+Priors!$H$18),0)</f>
        <v>0.49264332825976659</v>
      </c>
      <c r="S393" s="13">
        <v>1</v>
      </c>
      <c r="T393" s="40" t="b">
        <v>0</v>
      </c>
      <c r="U393" s="13">
        <v>1</v>
      </c>
      <c r="V393" s="40" t="b">
        <v>1</v>
      </c>
      <c r="W393" s="13">
        <v>0.9</v>
      </c>
      <c r="X393" s="17">
        <f t="shared" si="48"/>
        <v>0.44337899543378995</v>
      </c>
      <c r="Y393" s="37">
        <f>VLOOKUP(D393,Priors!$A$18:$B$21,2,FALSE)</f>
        <v>8.7398272304160223</v>
      </c>
      <c r="Z393" s="38">
        <f t="shared" si="49"/>
        <v>7.6181549743731196</v>
      </c>
      <c r="AA393" s="39">
        <v>1</v>
      </c>
      <c r="AB393" s="38">
        <f t="shared" si="50"/>
        <v>7.6181549743731196</v>
      </c>
      <c r="AC393" s="37">
        <f>Priors!$K$18</f>
        <v>2.7435089299114512</v>
      </c>
      <c r="AD393" s="38" t="str">
        <f t="shared" si="51"/>
        <v/>
      </c>
      <c r="AE393" s="37">
        <f>Priors!$K$19</f>
        <v>0.67280088332719912</v>
      </c>
      <c r="AF393" s="38" t="str">
        <f t="shared" si="52"/>
        <v/>
      </c>
      <c r="AG393" s="17">
        <f t="shared" si="53"/>
        <v>0.55662100456621011</v>
      </c>
      <c r="AH393" s="7" t="s">
        <v>1643</v>
      </c>
      <c r="AI393" s="7">
        <v>10</v>
      </c>
      <c r="AJ393" s="38">
        <f t="shared" si="54"/>
        <v>0.76181549743731192</v>
      </c>
      <c r="AK393" s="9" t="b">
        <f t="shared" si="55"/>
        <v>1</v>
      </c>
      <c r="AL393" s="28" t="s">
        <v>1644</v>
      </c>
      <c r="AM393" s="28" t="s">
        <v>1645</v>
      </c>
      <c r="AN393" s="28" t="s">
        <v>1792</v>
      </c>
    </row>
    <row r="394" spans="1:40" ht="30">
      <c r="A394" s="7">
        <v>393</v>
      </c>
      <c r="B394" s="7" t="s">
        <v>1196</v>
      </c>
      <c r="C394" s="7" t="s">
        <v>53</v>
      </c>
      <c r="D394" s="7" t="s">
        <v>99</v>
      </c>
      <c r="E394" s="7" t="s">
        <v>1642</v>
      </c>
      <c r="F394" s="7" t="s">
        <v>53</v>
      </c>
      <c r="G394" s="14">
        <v>1427</v>
      </c>
      <c r="H394" s="14">
        <v>132</v>
      </c>
      <c r="I394" s="15">
        <v>7.76</v>
      </c>
      <c r="J394" s="14">
        <v>0</v>
      </c>
      <c r="K394" s="15">
        <v>0</v>
      </c>
      <c r="L394" s="14">
        <v>13</v>
      </c>
      <c r="M394" s="14">
        <v>6</v>
      </c>
      <c r="N394" s="13"/>
      <c r="O394" s="14">
        <v>3</v>
      </c>
      <c r="P394" s="14">
        <v>293</v>
      </c>
      <c r="Q394" s="15">
        <v>18.479327259985986</v>
      </c>
      <c r="R394" s="17">
        <f>IFERROR(G394/(G394+Priors!$H$18),0)</f>
        <v>0.58796868562010718</v>
      </c>
      <c r="S394" s="13">
        <v>1</v>
      </c>
      <c r="T394" s="40" t="b">
        <v>0</v>
      </c>
      <c r="U394" s="13">
        <v>1</v>
      </c>
      <c r="V394" s="40" t="b">
        <v>1</v>
      </c>
      <c r="W394" s="13">
        <v>0.9</v>
      </c>
      <c r="X394" s="17">
        <f t="shared" si="48"/>
        <v>0.52917181705809646</v>
      </c>
      <c r="Y394" s="37">
        <f>VLOOKUP(D394,Priors!$A$18:$B$21,2,FALSE)</f>
        <v>8.7398272304160223</v>
      </c>
      <c r="Z394" s="38">
        <f t="shared" si="49"/>
        <v>8.2213302744937735</v>
      </c>
      <c r="AA394" s="39">
        <v>1</v>
      </c>
      <c r="AB394" s="38">
        <f t="shared" si="50"/>
        <v>8.2213302744937735</v>
      </c>
      <c r="AC394" s="37">
        <f>Priors!$K$18</f>
        <v>2.7435089299114512</v>
      </c>
      <c r="AD394" s="38" t="str">
        <f t="shared" si="51"/>
        <v/>
      </c>
      <c r="AE394" s="37">
        <f>Priors!$K$19</f>
        <v>0.67280088332719912</v>
      </c>
      <c r="AF394" s="38" t="str">
        <f t="shared" si="52"/>
        <v/>
      </c>
      <c r="AG394" s="17">
        <f t="shared" si="53"/>
        <v>0.47082818294190354</v>
      </c>
      <c r="AH394" s="7" t="s">
        <v>1643</v>
      </c>
      <c r="AI394" s="7">
        <v>10</v>
      </c>
      <c r="AJ394" s="38">
        <f t="shared" si="54"/>
        <v>0.82213302744937733</v>
      </c>
      <c r="AK394" s="9" t="b">
        <f t="shared" si="55"/>
        <v>1</v>
      </c>
      <c r="AL394" s="28" t="s">
        <v>1644</v>
      </c>
      <c r="AM394" s="28" t="s">
        <v>1645</v>
      </c>
      <c r="AN394" s="28" t="s">
        <v>1792</v>
      </c>
    </row>
    <row r="395" spans="1:40" ht="30">
      <c r="A395" s="7">
        <v>394</v>
      </c>
      <c r="B395" s="7" t="s">
        <v>1199</v>
      </c>
      <c r="C395" s="7" t="s">
        <v>53</v>
      </c>
      <c r="D395" s="7" t="s">
        <v>99</v>
      </c>
      <c r="E395" s="7" t="s">
        <v>1642</v>
      </c>
      <c r="F395" s="7" t="s">
        <v>53</v>
      </c>
      <c r="G395" s="14">
        <v>135</v>
      </c>
      <c r="H395" s="14">
        <v>11</v>
      </c>
      <c r="I395" s="15">
        <v>7.33</v>
      </c>
      <c r="J395" s="14">
        <v>0</v>
      </c>
      <c r="K395" s="15">
        <v>0</v>
      </c>
      <c r="L395" s="14">
        <v>1</v>
      </c>
      <c r="M395" s="14">
        <v>0</v>
      </c>
      <c r="N395" s="13"/>
      <c r="O395" s="14">
        <v>0</v>
      </c>
      <c r="P395" s="14">
        <v>27</v>
      </c>
      <c r="Q395" s="15">
        <v>18</v>
      </c>
      <c r="R395" s="17">
        <f>IFERROR(G395/(G395+Priors!$H$18),0)</f>
        <v>0.11894273127753303</v>
      </c>
      <c r="S395" s="13">
        <v>1</v>
      </c>
      <c r="T395" s="40" t="b">
        <v>0</v>
      </c>
      <c r="U395" s="13">
        <v>1</v>
      </c>
      <c r="V395" s="40" t="b">
        <v>1</v>
      </c>
      <c r="W395" s="13">
        <v>0.9</v>
      </c>
      <c r="X395" s="17">
        <f t="shared" si="48"/>
        <v>0.10704845814977973</v>
      </c>
      <c r="Y395" s="37">
        <f>VLOOKUP(D395,Priors!$A$18:$B$21,2,FALSE)</f>
        <v>8.7398272304160223</v>
      </c>
      <c r="Z395" s="38">
        <f t="shared" si="49"/>
        <v>8.5889073991424141</v>
      </c>
      <c r="AA395" s="39">
        <v>1</v>
      </c>
      <c r="AB395" s="38">
        <f t="shared" si="50"/>
        <v>8.5889073991424141</v>
      </c>
      <c r="AC395" s="37">
        <f>Priors!$K$18</f>
        <v>2.7435089299114512</v>
      </c>
      <c r="AD395" s="38" t="str">
        <f t="shared" si="51"/>
        <v/>
      </c>
      <c r="AE395" s="37">
        <f>Priors!$K$19</f>
        <v>0.67280088332719912</v>
      </c>
      <c r="AF395" s="38" t="str">
        <f t="shared" si="52"/>
        <v/>
      </c>
      <c r="AG395" s="17">
        <f t="shared" si="53"/>
        <v>0.8929515418502203</v>
      </c>
      <c r="AH395" s="7" t="s">
        <v>1643</v>
      </c>
      <c r="AI395" s="7">
        <v>10</v>
      </c>
      <c r="AJ395" s="38">
        <f t="shared" si="54"/>
        <v>0.85889073991424136</v>
      </c>
      <c r="AK395" s="9" t="b">
        <f t="shared" si="55"/>
        <v>1</v>
      </c>
      <c r="AL395" s="28" t="s">
        <v>1644</v>
      </c>
      <c r="AM395" s="28" t="s">
        <v>1645</v>
      </c>
      <c r="AN395" s="28" t="s">
        <v>1792</v>
      </c>
    </row>
    <row r="396" spans="1:40" ht="30">
      <c r="A396" s="7">
        <v>395</v>
      </c>
      <c r="B396" s="7" t="s">
        <v>1201</v>
      </c>
      <c r="C396" s="7" t="s">
        <v>53</v>
      </c>
      <c r="D396" s="7" t="s">
        <v>99</v>
      </c>
      <c r="E396" s="7" t="s">
        <v>1642</v>
      </c>
      <c r="F396" s="7" t="s">
        <v>53</v>
      </c>
      <c r="G396" s="14">
        <v>401</v>
      </c>
      <c r="H396" s="14">
        <v>23</v>
      </c>
      <c r="I396" s="15">
        <v>4.26</v>
      </c>
      <c r="J396" s="14">
        <v>0</v>
      </c>
      <c r="K396" s="15">
        <v>0</v>
      </c>
      <c r="L396" s="14">
        <v>7</v>
      </c>
      <c r="M396" s="14">
        <v>1</v>
      </c>
      <c r="N396" s="13"/>
      <c r="O396" s="14">
        <v>2</v>
      </c>
      <c r="P396" s="14">
        <v>72</v>
      </c>
      <c r="Q396" s="15">
        <v>16.159600997506235</v>
      </c>
      <c r="R396" s="17">
        <f>IFERROR(G396/(G396+Priors!$H$18),0)</f>
        <v>0.2862241256245539</v>
      </c>
      <c r="S396" s="13">
        <v>1</v>
      </c>
      <c r="T396" s="40" t="b">
        <v>0</v>
      </c>
      <c r="U396" s="13">
        <v>1</v>
      </c>
      <c r="V396" s="40" t="b">
        <v>1</v>
      </c>
      <c r="W396" s="13">
        <v>0.9</v>
      </c>
      <c r="X396" s="17">
        <f t="shared" si="48"/>
        <v>0.2576017130620985</v>
      </c>
      <c r="Y396" s="37">
        <f>VLOOKUP(D396,Priors!$A$18:$B$21,2,FALSE)</f>
        <v>8.7398272304160223</v>
      </c>
      <c r="Z396" s="38">
        <f t="shared" si="49"/>
        <v>7.585816061638619</v>
      </c>
      <c r="AA396" s="39">
        <v>1</v>
      </c>
      <c r="AB396" s="38">
        <f t="shared" si="50"/>
        <v>7.585816061638619</v>
      </c>
      <c r="AC396" s="37">
        <f>Priors!$K$18</f>
        <v>2.7435089299114512</v>
      </c>
      <c r="AD396" s="38" t="str">
        <f t="shared" si="51"/>
        <v/>
      </c>
      <c r="AE396" s="37">
        <f>Priors!$K$19</f>
        <v>0.67280088332719912</v>
      </c>
      <c r="AF396" s="38" t="str">
        <f t="shared" si="52"/>
        <v/>
      </c>
      <c r="AG396" s="17">
        <f t="shared" si="53"/>
        <v>0.74239828693790155</v>
      </c>
      <c r="AH396" s="7" t="s">
        <v>1643</v>
      </c>
      <c r="AI396" s="7">
        <v>10</v>
      </c>
      <c r="AJ396" s="38">
        <f t="shared" si="54"/>
        <v>0.75858160616386194</v>
      </c>
      <c r="AK396" s="9" t="b">
        <f t="shared" si="55"/>
        <v>1</v>
      </c>
      <c r="AL396" s="28" t="s">
        <v>1644</v>
      </c>
      <c r="AM396" s="28" t="s">
        <v>1645</v>
      </c>
      <c r="AN396" s="28" t="s">
        <v>1792</v>
      </c>
    </row>
    <row r="397" spans="1:40" ht="30">
      <c r="A397" s="7">
        <v>396</v>
      </c>
      <c r="B397" s="7" t="s">
        <v>1204</v>
      </c>
      <c r="C397" s="7" t="s">
        <v>53</v>
      </c>
      <c r="D397" s="7" t="s">
        <v>99</v>
      </c>
      <c r="E397" s="7" t="s">
        <v>1642</v>
      </c>
      <c r="F397" s="7" t="s">
        <v>53</v>
      </c>
      <c r="G397" s="14">
        <v>0</v>
      </c>
      <c r="H397" s="14">
        <v>0</v>
      </c>
      <c r="I397" s="15">
        <v>0</v>
      </c>
      <c r="J397" s="14">
        <v>0</v>
      </c>
      <c r="K397" s="15">
        <v>0</v>
      </c>
      <c r="L397" s="14">
        <v>0</v>
      </c>
      <c r="M397" s="14">
        <v>0</v>
      </c>
      <c r="N397" s="13"/>
      <c r="O397" s="14">
        <v>0</v>
      </c>
      <c r="P397" s="14">
        <v>0</v>
      </c>
      <c r="Q397" s="15">
        <v>0</v>
      </c>
      <c r="R397" s="17">
        <f>IFERROR(G397/(G397+Priors!$H$18),0)</f>
        <v>0</v>
      </c>
      <c r="S397" s="13">
        <v>1</v>
      </c>
      <c r="T397" s="40" t="b">
        <v>0</v>
      </c>
      <c r="U397" s="13">
        <v>1</v>
      </c>
      <c r="V397" s="40" t="b">
        <v>1</v>
      </c>
      <c r="W397" s="13">
        <v>0.9</v>
      </c>
      <c r="X397" s="17">
        <f t="shared" si="48"/>
        <v>0</v>
      </c>
      <c r="Y397" s="37">
        <f>VLOOKUP(D397,Priors!$A$18:$B$21,2,FALSE)</f>
        <v>8.7398272304160223</v>
      </c>
      <c r="Z397" s="38">
        <f t="shared" si="49"/>
        <v>8.7398272304160223</v>
      </c>
      <c r="AA397" s="39">
        <v>1</v>
      </c>
      <c r="AB397" s="38">
        <f t="shared" si="50"/>
        <v>8.7398272304160223</v>
      </c>
      <c r="AC397" s="37">
        <f>Priors!$K$18</f>
        <v>2.7435089299114512</v>
      </c>
      <c r="AD397" s="38" t="str">
        <f t="shared" si="51"/>
        <v/>
      </c>
      <c r="AE397" s="37">
        <f>Priors!$K$19</f>
        <v>0.67280088332719912</v>
      </c>
      <c r="AF397" s="38" t="str">
        <f t="shared" si="52"/>
        <v/>
      </c>
      <c r="AG397" s="17">
        <f t="shared" si="53"/>
        <v>1</v>
      </c>
      <c r="AH397" s="7" t="s">
        <v>1643</v>
      </c>
      <c r="AI397" s="7">
        <v>10</v>
      </c>
      <c r="AJ397" s="38">
        <f t="shared" si="54"/>
        <v>0.87398272304160218</v>
      </c>
      <c r="AK397" s="9" t="b">
        <f t="shared" si="55"/>
        <v>1</v>
      </c>
      <c r="AL397" s="28" t="s">
        <v>1644</v>
      </c>
      <c r="AM397" s="28" t="s">
        <v>1645</v>
      </c>
      <c r="AN397" s="28" t="s">
        <v>1792</v>
      </c>
    </row>
    <row r="398" spans="1:40" ht="30">
      <c r="A398" s="7">
        <v>397</v>
      </c>
      <c r="B398" s="7" t="s">
        <v>1207</v>
      </c>
      <c r="C398" s="7" t="s">
        <v>53</v>
      </c>
      <c r="D398" s="7" t="s">
        <v>112</v>
      </c>
      <c r="E398" s="7" t="s">
        <v>1642</v>
      </c>
      <c r="F398" s="7" t="s">
        <v>53</v>
      </c>
      <c r="G398" s="14">
        <v>3200</v>
      </c>
      <c r="H398" s="14">
        <v>236</v>
      </c>
      <c r="I398" s="15">
        <v>6.64</v>
      </c>
      <c r="J398" s="14">
        <v>0</v>
      </c>
      <c r="K398" s="15">
        <v>0</v>
      </c>
      <c r="L398" s="14">
        <v>52</v>
      </c>
      <c r="M398" s="14">
        <v>12</v>
      </c>
      <c r="N398" s="13"/>
      <c r="O398" s="14">
        <v>18</v>
      </c>
      <c r="P398" s="14">
        <v>678</v>
      </c>
      <c r="Q398" s="15">
        <v>19.068750000000001</v>
      </c>
      <c r="R398" s="17">
        <f>IFERROR(G398/(G398+Priors!$H$18),0)</f>
        <v>0.76190476190476186</v>
      </c>
      <c r="S398" s="13">
        <v>1</v>
      </c>
      <c r="T398" s="40" t="b">
        <v>0</v>
      </c>
      <c r="U398" s="13">
        <v>1</v>
      </c>
      <c r="V398" s="40" t="b">
        <v>1</v>
      </c>
      <c r="W398" s="13">
        <v>0.9</v>
      </c>
      <c r="X398" s="17">
        <f t="shared" si="48"/>
        <v>0.68571428571428572</v>
      </c>
      <c r="Y398" s="37">
        <f>VLOOKUP(D398,Priors!$A$18:$B$21,2,FALSE)</f>
        <v>8.4555315342179806</v>
      </c>
      <c r="Z398" s="38">
        <f t="shared" si="49"/>
        <v>7.2105956250399368</v>
      </c>
      <c r="AA398" s="39">
        <v>1</v>
      </c>
      <c r="AB398" s="38">
        <f t="shared" si="50"/>
        <v>7.2105956250399368</v>
      </c>
      <c r="AC398" s="37">
        <f>Priors!$K$18</f>
        <v>2.7435089299114512</v>
      </c>
      <c r="AD398" s="38" t="str">
        <f t="shared" si="51"/>
        <v/>
      </c>
      <c r="AE398" s="37">
        <f>Priors!$K$19</f>
        <v>0.67280088332719912</v>
      </c>
      <c r="AF398" s="38" t="str">
        <f t="shared" si="52"/>
        <v/>
      </c>
      <c r="AG398" s="17">
        <f t="shared" si="53"/>
        <v>0.31428571428571428</v>
      </c>
      <c r="AH398" s="7" t="s">
        <v>1643</v>
      </c>
      <c r="AI398" s="7">
        <v>12</v>
      </c>
      <c r="AJ398" s="38">
        <f t="shared" si="54"/>
        <v>0.60088296875332803</v>
      </c>
      <c r="AK398" s="9" t="b">
        <f t="shared" si="55"/>
        <v>1</v>
      </c>
      <c r="AL398" s="28" t="s">
        <v>1644</v>
      </c>
      <c r="AM398" s="28" t="s">
        <v>1645</v>
      </c>
      <c r="AN398" s="28" t="s">
        <v>1792</v>
      </c>
    </row>
    <row r="399" spans="1:40" ht="30">
      <c r="A399" s="7">
        <v>398</v>
      </c>
      <c r="B399" s="7" t="s">
        <v>1210</v>
      </c>
      <c r="C399" s="7" t="s">
        <v>53</v>
      </c>
      <c r="D399" s="7" t="s">
        <v>112</v>
      </c>
      <c r="E399" s="7" t="s">
        <v>1642</v>
      </c>
      <c r="F399" s="7" t="s">
        <v>53</v>
      </c>
      <c r="G399" s="14">
        <v>2078</v>
      </c>
      <c r="H399" s="14">
        <v>160</v>
      </c>
      <c r="I399" s="15">
        <v>6.93</v>
      </c>
      <c r="J399" s="14">
        <v>0</v>
      </c>
      <c r="K399" s="15">
        <v>0</v>
      </c>
      <c r="L399" s="14">
        <v>19</v>
      </c>
      <c r="M399" s="14">
        <v>11</v>
      </c>
      <c r="N399" s="13"/>
      <c r="O399" s="14">
        <v>13</v>
      </c>
      <c r="P399" s="14">
        <v>563</v>
      </c>
      <c r="Q399" s="15">
        <v>24.384023099133781</v>
      </c>
      <c r="R399" s="17">
        <f>IFERROR(G399/(G399+Priors!$H$18),0)</f>
        <v>0.67511371020142952</v>
      </c>
      <c r="S399" s="13">
        <v>1</v>
      </c>
      <c r="T399" s="40" t="b">
        <v>0</v>
      </c>
      <c r="U399" s="13">
        <v>1</v>
      </c>
      <c r="V399" s="40" t="b">
        <v>1</v>
      </c>
      <c r="W399" s="13">
        <v>0.9</v>
      </c>
      <c r="X399" s="17">
        <f t="shared" si="48"/>
        <v>0.60760233918128659</v>
      </c>
      <c r="Y399" s="37">
        <f>VLOOKUP(D399,Priors!$A$18:$B$21,2,FALSE)</f>
        <v>8.4555315342179806</v>
      </c>
      <c r="Z399" s="38">
        <f t="shared" si="49"/>
        <v>7.528615005532318</v>
      </c>
      <c r="AA399" s="39">
        <v>1</v>
      </c>
      <c r="AB399" s="38">
        <f t="shared" si="50"/>
        <v>7.528615005532318</v>
      </c>
      <c r="AC399" s="37">
        <f>Priors!$K$18</f>
        <v>2.7435089299114512</v>
      </c>
      <c r="AD399" s="38" t="str">
        <f t="shared" si="51"/>
        <v/>
      </c>
      <c r="AE399" s="37">
        <f>Priors!$K$19</f>
        <v>0.67280088332719912</v>
      </c>
      <c r="AF399" s="38" t="str">
        <f t="shared" si="52"/>
        <v/>
      </c>
      <c r="AG399" s="17">
        <f t="shared" si="53"/>
        <v>0.39239766081871341</v>
      </c>
      <c r="AH399" s="7" t="s">
        <v>1643</v>
      </c>
      <c r="AI399" s="7">
        <v>12</v>
      </c>
      <c r="AJ399" s="38">
        <f t="shared" si="54"/>
        <v>0.6273845837943598</v>
      </c>
      <c r="AK399" s="9" t="b">
        <f t="shared" si="55"/>
        <v>1</v>
      </c>
      <c r="AL399" s="28" t="s">
        <v>1644</v>
      </c>
      <c r="AM399" s="28" t="s">
        <v>1645</v>
      </c>
      <c r="AN399" s="28" t="s">
        <v>1792</v>
      </c>
    </row>
    <row r="400" spans="1:40" ht="30">
      <c r="A400" s="7">
        <v>399</v>
      </c>
      <c r="B400" s="7" t="s">
        <v>1213</v>
      </c>
      <c r="C400" s="7" t="s">
        <v>53</v>
      </c>
      <c r="D400" s="7" t="s">
        <v>112</v>
      </c>
      <c r="E400" s="7" t="s">
        <v>1642</v>
      </c>
      <c r="F400" s="7" t="s">
        <v>53</v>
      </c>
      <c r="G400" s="14">
        <v>1772</v>
      </c>
      <c r="H400" s="14">
        <v>135</v>
      </c>
      <c r="I400" s="15">
        <v>6.86</v>
      </c>
      <c r="J400" s="14">
        <v>0</v>
      </c>
      <c r="K400" s="15">
        <v>0</v>
      </c>
      <c r="L400" s="14">
        <v>18</v>
      </c>
      <c r="M400" s="14">
        <v>8</v>
      </c>
      <c r="N400" s="13"/>
      <c r="O400" s="14">
        <v>16</v>
      </c>
      <c r="P400" s="14">
        <v>580</v>
      </c>
      <c r="Q400" s="15">
        <v>29.458239277652371</v>
      </c>
      <c r="R400" s="17">
        <f>IFERROR(G400/(G400+Priors!$H$18),0)</f>
        <v>0.63924963924963929</v>
      </c>
      <c r="S400" s="13">
        <v>1</v>
      </c>
      <c r="T400" s="40" t="b">
        <v>0</v>
      </c>
      <c r="U400" s="13">
        <v>1</v>
      </c>
      <c r="V400" s="40" t="b">
        <v>1</v>
      </c>
      <c r="W400" s="13">
        <v>0.9</v>
      </c>
      <c r="X400" s="17">
        <f t="shared" si="48"/>
        <v>0.57532467532467535</v>
      </c>
      <c r="Y400" s="37">
        <f>VLOOKUP(D400,Priors!$A$18:$B$21,2,FALSE)</f>
        <v>8.4555315342179806</v>
      </c>
      <c r="Z400" s="38">
        <f t="shared" si="49"/>
        <v>7.5375828723237399</v>
      </c>
      <c r="AA400" s="39">
        <v>1</v>
      </c>
      <c r="AB400" s="38">
        <f t="shared" si="50"/>
        <v>7.5375828723237399</v>
      </c>
      <c r="AC400" s="37">
        <f>Priors!$K$18</f>
        <v>2.7435089299114512</v>
      </c>
      <c r="AD400" s="38" t="str">
        <f t="shared" si="51"/>
        <v/>
      </c>
      <c r="AE400" s="37">
        <f>Priors!$K$19</f>
        <v>0.67280088332719912</v>
      </c>
      <c r="AF400" s="38" t="str">
        <f t="shared" si="52"/>
        <v/>
      </c>
      <c r="AG400" s="17">
        <f t="shared" si="53"/>
        <v>0.42467532467532465</v>
      </c>
      <c r="AH400" s="7" t="s">
        <v>1643</v>
      </c>
      <c r="AI400" s="7">
        <v>12</v>
      </c>
      <c r="AJ400" s="38">
        <f t="shared" si="54"/>
        <v>0.62813190602697833</v>
      </c>
      <c r="AK400" s="9" t="b">
        <f t="shared" si="55"/>
        <v>1</v>
      </c>
      <c r="AL400" s="28" t="s">
        <v>1644</v>
      </c>
      <c r="AM400" s="28" t="s">
        <v>1645</v>
      </c>
      <c r="AN400" s="28" t="s">
        <v>1792</v>
      </c>
    </row>
    <row r="401" spans="1:40" ht="30">
      <c r="A401" s="7">
        <v>400</v>
      </c>
      <c r="B401" s="7" t="s">
        <v>1215</v>
      </c>
      <c r="C401" s="7" t="s">
        <v>53</v>
      </c>
      <c r="D401" s="7" t="s">
        <v>112</v>
      </c>
      <c r="E401" s="7" t="s">
        <v>1642</v>
      </c>
      <c r="F401" s="7" t="s">
        <v>53</v>
      </c>
      <c r="G401" s="14">
        <v>1773</v>
      </c>
      <c r="H401" s="14">
        <v>126</v>
      </c>
      <c r="I401" s="15">
        <v>6.4</v>
      </c>
      <c r="J401" s="14">
        <v>0</v>
      </c>
      <c r="K401" s="15">
        <v>0</v>
      </c>
      <c r="L401" s="14">
        <v>18</v>
      </c>
      <c r="M401" s="14">
        <v>8</v>
      </c>
      <c r="N401" s="13"/>
      <c r="O401" s="14">
        <v>15</v>
      </c>
      <c r="P401" s="14">
        <v>526</v>
      </c>
      <c r="Q401" s="15">
        <v>26.700507614213198</v>
      </c>
      <c r="R401" s="17">
        <f>IFERROR(G401/(G401+Priors!$H$18),0)</f>
        <v>0.63937973314100249</v>
      </c>
      <c r="S401" s="13">
        <v>1</v>
      </c>
      <c r="T401" s="40" t="b">
        <v>0</v>
      </c>
      <c r="U401" s="13">
        <v>1</v>
      </c>
      <c r="V401" s="40" t="b">
        <v>1</v>
      </c>
      <c r="W401" s="13">
        <v>0.9</v>
      </c>
      <c r="X401" s="17">
        <f t="shared" si="48"/>
        <v>0.57544175982690227</v>
      </c>
      <c r="Y401" s="37">
        <f>VLOOKUP(D401,Priors!$A$18:$B$21,2,FALSE)</f>
        <v>8.4555315342179806</v>
      </c>
      <c r="Z401" s="38">
        <f t="shared" si="49"/>
        <v>7.2726928507878936</v>
      </c>
      <c r="AA401" s="39">
        <v>1</v>
      </c>
      <c r="AB401" s="38">
        <f t="shared" si="50"/>
        <v>7.2726928507878936</v>
      </c>
      <c r="AC401" s="37">
        <f>Priors!$K$18</f>
        <v>2.7435089299114512</v>
      </c>
      <c r="AD401" s="38" t="str">
        <f t="shared" si="51"/>
        <v/>
      </c>
      <c r="AE401" s="37">
        <f>Priors!$K$19</f>
        <v>0.67280088332719912</v>
      </c>
      <c r="AF401" s="38" t="str">
        <f t="shared" si="52"/>
        <v/>
      </c>
      <c r="AG401" s="17">
        <f t="shared" si="53"/>
        <v>0.42455824017309773</v>
      </c>
      <c r="AH401" s="7" t="s">
        <v>1643</v>
      </c>
      <c r="AI401" s="7">
        <v>12</v>
      </c>
      <c r="AJ401" s="38">
        <f t="shared" si="54"/>
        <v>0.60605773756565784</v>
      </c>
      <c r="AK401" s="9" t="b">
        <f t="shared" si="55"/>
        <v>1</v>
      </c>
      <c r="AL401" s="28" t="s">
        <v>1644</v>
      </c>
      <c r="AM401" s="28" t="s">
        <v>1645</v>
      </c>
      <c r="AN401" s="28" t="s">
        <v>1792</v>
      </c>
    </row>
    <row r="402" spans="1:40" ht="30">
      <c r="A402" s="7">
        <v>401</v>
      </c>
      <c r="B402" s="7" t="s">
        <v>1217</v>
      </c>
      <c r="C402" s="7" t="s">
        <v>53</v>
      </c>
      <c r="D402" s="7" t="s">
        <v>167</v>
      </c>
      <c r="E402" s="7" t="s">
        <v>1642</v>
      </c>
      <c r="F402" s="7" t="s">
        <v>53</v>
      </c>
      <c r="G402" s="14">
        <v>691</v>
      </c>
      <c r="H402" s="14">
        <v>39</v>
      </c>
      <c r="I402" s="15">
        <v>5.08</v>
      </c>
      <c r="J402" s="14">
        <v>0</v>
      </c>
      <c r="K402" s="15">
        <v>0</v>
      </c>
      <c r="L402" s="14">
        <v>5</v>
      </c>
      <c r="M402" s="14">
        <v>4</v>
      </c>
      <c r="N402" s="13"/>
      <c r="O402" s="14">
        <v>5</v>
      </c>
      <c r="P402" s="14">
        <v>182</v>
      </c>
      <c r="Q402" s="15">
        <v>23.704775687409551</v>
      </c>
      <c r="R402" s="17">
        <f>IFERROR(G402/(G402+Priors!$H$18),0)</f>
        <v>0.40863394441159079</v>
      </c>
      <c r="S402" s="13">
        <v>1</v>
      </c>
      <c r="T402" s="40" t="b">
        <v>0</v>
      </c>
      <c r="U402" s="13">
        <v>1</v>
      </c>
      <c r="V402" s="40" t="b">
        <v>1</v>
      </c>
      <c r="W402" s="13">
        <v>0.9</v>
      </c>
      <c r="X402" s="17">
        <f t="shared" si="48"/>
        <v>0.36777054997043174</v>
      </c>
      <c r="Y402" s="37">
        <f>VLOOKUP(D402,Priors!$A$18:$B$21,2,FALSE)</f>
        <v>4.5137422563476139</v>
      </c>
      <c r="Z402" s="38">
        <f t="shared" si="49"/>
        <v>4.7219951781556677</v>
      </c>
      <c r="AA402" s="39">
        <v>1</v>
      </c>
      <c r="AB402" s="38">
        <f t="shared" si="50"/>
        <v>4.7219951781556677</v>
      </c>
      <c r="AC402" s="37">
        <f>Priors!$K$18</f>
        <v>2.7435089299114512</v>
      </c>
      <c r="AD402" s="38" t="str">
        <f t="shared" si="51"/>
        <v/>
      </c>
      <c r="AE402" s="37">
        <f>Priors!$K$19</f>
        <v>0.67280088332719912</v>
      </c>
      <c r="AF402" s="38" t="str">
        <f t="shared" si="52"/>
        <v/>
      </c>
      <c r="AG402" s="17">
        <f t="shared" si="53"/>
        <v>0.63222945002956821</v>
      </c>
      <c r="AH402" s="7" t="s">
        <v>1643</v>
      </c>
      <c r="AI402" s="7">
        <v>12</v>
      </c>
      <c r="AJ402" s="38">
        <f t="shared" si="54"/>
        <v>0.39349959817963898</v>
      </c>
      <c r="AK402" s="9" t="b">
        <f t="shared" si="55"/>
        <v>1</v>
      </c>
      <c r="AL402" s="28" t="s">
        <v>1644</v>
      </c>
      <c r="AM402" s="28" t="s">
        <v>1645</v>
      </c>
      <c r="AN402" s="28" t="s">
        <v>1792</v>
      </c>
    </row>
    <row r="403" spans="1:40" ht="30">
      <c r="A403" s="7">
        <v>402</v>
      </c>
      <c r="B403" s="7" t="s">
        <v>1219</v>
      </c>
      <c r="C403" s="7" t="s">
        <v>53</v>
      </c>
      <c r="D403" s="7" t="s">
        <v>112</v>
      </c>
      <c r="E403" s="7" t="s">
        <v>1642</v>
      </c>
      <c r="F403" s="7" t="s">
        <v>53</v>
      </c>
      <c r="G403" s="14">
        <v>1510</v>
      </c>
      <c r="H403" s="14">
        <v>206</v>
      </c>
      <c r="I403" s="15">
        <v>12.28</v>
      </c>
      <c r="J403" s="14">
        <v>0</v>
      </c>
      <c r="K403" s="15">
        <v>0</v>
      </c>
      <c r="L403" s="14">
        <v>15</v>
      </c>
      <c r="M403" s="14">
        <v>5</v>
      </c>
      <c r="N403" s="13"/>
      <c r="O403" s="14">
        <v>6</v>
      </c>
      <c r="P403" s="14">
        <v>350</v>
      </c>
      <c r="Q403" s="15">
        <v>20.860927152317881</v>
      </c>
      <c r="R403" s="17">
        <f>IFERROR(G403/(G403+Priors!$H$18),0)</f>
        <v>0.60159362549800799</v>
      </c>
      <c r="S403" s="13">
        <v>1</v>
      </c>
      <c r="T403" s="40" t="b">
        <v>0</v>
      </c>
      <c r="U403" s="13">
        <v>1</v>
      </c>
      <c r="V403" s="40" t="b">
        <v>1</v>
      </c>
      <c r="W403" s="13">
        <v>0.9</v>
      </c>
      <c r="X403" s="17">
        <f t="shared" si="48"/>
        <v>0.54143426294820718</v>
      </c>
      <c r="Y403" s="37">
        <f>VLOOKUP(D403,Priors!$A$18:$B$21,2,FALSE)</f>
        <v>8.4555315342179806</v>
      </c>
      <c r="Z403" s="38">
        <f t="shared" si="49"/>
        <v>10.526229799157328</v>
      </c>
      <c r="AA403" s="39">
        <v>1</v>
      </c>
      <c r="AB403" s="38">
        <f t="shared" si="50"/>
        <v>10.526229799157328</v>
      </c>
      <c r="AC403" s="37">
        <f>Priors!$K$18</f>
        <v>2.7435089299114512</v>
      </c>
      <c r="AD403" s="38" t="str">
        <f t="shared" si="51"/>
        <v/>
      </c>
      <c r="AE403" s="37">
        <f>Priors!$K$19</f>
        <v>0.67280088332719912</v>
      </c>
      <c r="AF403" s="38" t="str">
        <f t="shared" si="52"/>
        <v/>
      </c>
      <c r="AG403" s="17">
        <f t="shared" si="53"/>
        <v>0.45856573705179282</v>
      </c>
      <c r="AH403" s="7" t="s">
        <v>1643</v>
      </c>
      <c r="AI403" s="7">
        <v>12</v>
      </c>
      <c r="AJ403" s="38">
        <f t="shared" si="54"/>
        <v>0.87718581659644401</v>
      </c>
      <c r="AK403" s="9" t="b">
        <f t="shared" si="55"/>
        <v>1</v>
      </c>
      <c r="AL403" s="28" t="s">
        <v>1644</v>
      </c>
      <c r="AM403" s="28" t="s">
        <v>1645</v>
      </c>
      <c r="AN403" s="28" t="s">
        <v>1792</v>
      </c>
    </row>
    <row r="404" spans="1:40" ht="30">
      <c r="A404" s="7">
        <v>403</v>
      </c>
      <c r="B404" s="7" t="s">
        <v>1222</v>
      </c>
      <c r="C404" s="7" t="s">
        <v>53</v>
      </c>
      <c r="D404" s="7" t="s">
        <v>112</v>
      </c>
      <c r="E404" s="7" t="s">
        <v>1642</v>
      </c>
      <c r="F404" s="7" t="s">
        <v>53</v>
      </c>
      <c r="G404" s="14">
        <v>817</v>
      </c>
      <c r="H404" s="14">
        <v>59</v>
      </c>
      <c r="I404" s="15">
        <v>6.5</v>
      </c>
      <c r="J404" s="14">
        <v>0</v>
      </c>
      <c r="K404" s="15">
        <v>0</v>
      </c>
      <c r="L404" s="14">
        <v>7</v>
      </c>
      <c r="M404" s="14">
        <v>3</v>
      </c>
      <c r="N404" s="13"/>
      <c r="O404" s="14">
        <v>1</v>
      </c>
      <c r="P404" s="14">
        <v>140</v>
      </c>
      <c r="Q404" s="15">
        <v>15.422276621787026</v>
      </c>
      <c r="R404" s="17">
        <f>IFERROR(G404/(G404+Priors!$H$18),0)</f>
        <v>0.44964226747385799</v>
      </c>
      <c r="S404" s="13">
        <v>1</v>
      </c>
      <c r="T404" s="40" t="b">
        <v>0</v>
      </c>
      <c r="U404" s="13">
        <v>1</v>
      </c>
      <c r="V404" s="40" t="b">
        <v>1</v>
      </c>
      <c r="W404" s="13">
        <v>0.9</v>
      </c>
      <c r="X404" s="17">
        <f t="shared" si="48"/>
        <v>0.40467804072647218</v>
      </c>
      <c r="Y404" s="37">
        <f>VLOOKUP(D404,Priors!$A$18:$B$21,2,FALSE)</f>
        <v>8.4555315342179806</v>
      </c>
      <c r="Z404" s="38">
        <f t="shared" si="49"/>
        <v>7.6641708643718163</v>
      </c>
      <c r="AA404" s="39">
        <v>1</v>
      </c>
      <c r="AB404" s="38">
        <f t="shared" si="50"/>
        <v>7.6641708643718163</v>
      </c>
      <c r="AC404" s="37">
        <f>Priors!$K$18</f>
        <v>2.7435089299114512</v>
      </c>
      <c r="AD404" s="38" t="str">
        <f t="shared" si="51"/>
        <v/>
      </c>
      <c r="AE404" s="37">
        <f>Priors!$K$19</f>
        <v>0.67280088332719912</v>
      </c>
      <c r="AF404" s="38" t="str">
        <f t="shared" si="52"/>
        <v/>
      </c>
      <c r="AG404" s="17">
        <f t="shared" si="53"/>
        <v>0.59532195927352782</v>
      </c>
      <c r="AH404" s="7" t="s">
        <v>1643</v>
      </c>
      <c r="AI404" s="7">
        <v>12</v>
      </c>
      <c r="AJ404" s="38">
        <f t="shared" si="54"/>
        <v>0.63868090536431799</v>
      </c>
      <c r="AK404" s="9" t="b">
        <f t="shared" si="55"/>
        <v>1</v>
      </c>
      <c r="AL404" s="28" t="s">
        <v>1644</v>
      </c>
      <c r="AM404" s="28" t="s">
        <v>1645</v>
      </c>
      <c r="AN404" s="28" t="s">
        <v>1792</v>
      </c>
    </row>
    <row r="405" spans="1:40" ht="30">
      <c r="A405" s="7">
        <v>404</v>
      </c>
      <c r="B405" s="7" t="s">
        <v>1225</v>
      </c>
      <c r="C405" s="7" t="s">
        <v>53</v>
      </c>
      <c r="D405" s="7" t="s">
        <v>112</v>
      </c>
      <c r="E405" s="7" t="s">
        <v>1642</v>
      </c>
      <c r="F405" s="7" t="s">
        <v>53</v>
      </c>
      <c r="G405" s="14">
        <v>1623</v>
      </c>
      <c r="H405" s="14">
        <v>100</v>
      </c>
      <c r="I405" s="15">
        <v>5.55</v>
      </c>
      <c r="J405" s="14">
        <v>0</v>
      </c>
      <c r="K405" s="15">
        <v>0</v>
      </c>
      <c r="L405" s="14">
        <v>18</v>
      </c>
      <c r="M405" s="14">
        <v>7</v>
      </c>
      <c r="N405" s="13"/>
      <c r="O405" s="14">
        <v>6</v>
      </c>
      <c r="P405" s="14">
        <v>337</v>
      </c>
      <c r="Q405" s="15">
        <v>18.687615526802219</v>
      </c>
      <c r="R405" s="17">
        <f>IFERROR(G405/(G405+Priors!$H$18),0)</f>
        <v>0.61875714830346928</v>
      </c>
      <c r="S405" s="13">
        <v>1</v>
      </c>
      <c r="T405" s="40" t="b">
        <v>0</v>
      </c>
      <c r="U405" s="13">
        <v>1</v>
      </c>
      <c r="V405" s="40" t="b">
        <v>1</v>
      </c>
      <c r="W405" s="13">
        <v>0.9</v>
      </c>
      <c r="X405" s="17">
        <f t="shared" si="48"/>
        <v>0.55688143347312236</v>
      </c>
      <c r="Y405" s="37">
        <f>VLOOKUP(D405,Priors!$A$18:$B$21,2,FALSE)</f>
        <v>8.4555315342179806</v>
      </c>
      <c r="Z405" s="38">
        <f t="shared" si="49"/>
        <v>6.8374949684413107</v>
      </c>
      <c r="AA405" s="39">
        <v>1</v>
      </c>
      <c r="AB405" s="38">
        <f t="shared" si="50"/>
        <v>6.8374949684413107</v>
      </c>
      <c r="AC405" s="37">
        <f>Priors!$K$18</f>
        <v>2.7435089299114512</v>
      </c>
      <c r="AD405" s="38" t="str">
        <f t="shared" si="51"/>
        <v/>
      </c>
      <c r="AE405" s="37">
        <f>Priors!$K$19</f>
        <v>0.67280088332719912</v>
      </c>
      <c r="AF405" s="38" t="str">
        <f t="shared" si="52"/>
        <v/>
      </c>
      <c r="AG405" s="17">
        <f t="shared" si="53"/>
        <v>0.44311856652687764</v>
      </c>
      <c r="AH405" s="7" t="s">
        <v>1643</v>
      </c>
      <c r="AI405" s="7">
        <v>12</v>
      </c>
      <c r="AJ405" s="38">
        <f t="shared" si="54"/>
        <v>0.56979124737010922</v>
      </c>
      <c r="AK405" s="9" t="b">
        <f t="shared" si="55"/>
        <v>1</v>
      </c>
      <c r="AL405" s="28" t="s">
        <v>1644</v>
      </c>
      <c r="AM405" s="28" t="s">
        <v>1645</v>
      </c>
      <c r="AN405" s="28" t="s">
        <v>1792</v>
      </c>
    </row>
    <row r="406" spans="1:40" ht="30">
      <c r="A406" s="7">
        <v>405</v>
      </c>
      <c r="B406" s="7" t="s">
        <v>1227</v>
      </c>
      <c r="C406" s="7" t="s">
        <v>53</v>
      </c>
      <c r="D406" s="7" t="s">
        <v>112</v>
      </c>
      <c r="E406" s="7" t="s">
        <v>1642</v>
      </c>
      <c r="F406" s="7" t="s">
        <v>53</v>
      </c>
      <c r="G406" s="14">
        <v>1561</v>
      </c>
      <c r="H406" s="14">
        <v>206</v>
      </c>
      <c r="I406" s="15">
        <v>11.88</v>
      </c>
      <c r="J406" s="14">
        <v>0</v>
      </c>
      <c r="K406" s="15">
        <v>0</v>
      </c>
      <c r="L406" s="14">
        <v>18</v>
      </c>
      <c r="M406" s="14">
        <v>7</v>
      </c>
      <c r="N406" s="13"/>
      <c r="O406" s="14">
        <v>1</v>
      </c>
      <c r="P406" s="14">
        <v>337</v>
      </c>
      <c r="Q406" s="15">
        <v>19.42985265855221</v>
      </c>
      <c r="R406" s="17">
        <f>IFERROR(G406/(G406+Priors!$H$18),0)</f>
        <v>0.60952752830925416</v>
      </c>
      <c r="S406" s="13">
        <v>1</v>
      </c>
      <c r="T406" s="40" t="b">
        <v>0</v>
      </c>
      <c r="U406" s="13">
        <v>1</v>
      </c>
      <c r="V406" s="40" t="b">
        <v>1</v>
      </c>
      <c r="W406" s="13">
        <v>0.9</v>
      </c>
      <c r="X406" s="17">
        <f t="shared" si="48"/>
        <v>0.54857477547832878</v>
      </c>
      <c r="Y406" s="37">
        <f>VLOOKUP(D406,Priors!$A$18:$B$21,2,FALSE)</f>
        <v>8.4555315342179806</v>
      </c>
      <c r="Z406" s="38">
        <f t="shared" si="49"/>
        <v>10.334108553966971</v>
      </c>
      <c r="AA406" s="39">
        <v>1</v>
      </c>
      <c r="AB406" s="38">
        <f t="shared" si="50"/>
        <v>10.334108553966971</v>
      </c>
      <c r="AC406" s="37">
        <f>Priors!$K$18</f>
        <v>2.7435089299114512</v>
      </c>
      <c r="AD406" s="38" t="str">
        <f t="shared" si="51"/>
        <v/>
      </c>
      <c r="AE406" s="37">
        <f>Priors!$K$19</f>
        <v>0.67280088332719912</v>
      </c>
      <c r="AF406" s="38" t="str">
        <f t="shared" si="52"/>
        <v/>
      </c>
      <c r="AG406" s="17">
        <f t="shared" si="53"/>
        <v>0.45142522452167122</v>
      </c>
      <c r="AH406" s="7" t="s">
        <v>1643</v>
      </c>
      <c r="AI406" s="7">
        <v>12</v>
      </c>
      <c r="AJ406" s="38">
        <f t="shared" si="54"/>
        <v>0.86117571283058092</v>
      </c>
      <c r="AK406" s="9" t="b">
        <f t="shared" si="55"/>
        <v>1</v>
      </c>
      <c r="AL406" s="28" t="s">
        <v>1644</v>
      </c>
      <c r="AM406" s="28" t="s">
        <v>1645</v>
      </c>
      <c r="AN406" s="28" t="s">
        <v>1792</v>
      </c>
    </row>
    <row r="407" spans="1:40" ht="30">
      <c r="A407" s="7">
        <v>406</v>
      </c>
      <c r="B407" s="7" t="s">
        <v>1229</v>
      </c>
      <c r="C407" s="7" t="s">
        <v>53</v>
      </c>
      <c r="D407" s="7" t="s">
        <v>112</v>
      </c>
      <c r="E407" s="7" t="s">
        <v>1642</v>
      </c>
      <c r="F407" s="7" t="s">
        <v>53</v>
      </c>
      <c r="G407" s="14">
        <v>125</v>
      </c>
      <c r="H407" s="14">
        <v>18</v>
      </c>
      <c r="I407" s="15">
        <v>12.96</v>
      </c>
      <c r="J407" s="14">
        <v>0</v>
      </c>
      <c r="K407" s="15">
        <v>0</v>
      </c>
      <c r="L407" s="14">
        <v>3</v>
      </c>
      <c r="M407" s="14">
        <v>0</v>
      </c>
      <c r="N407" s="13"/>
      <c r="O407" s="14">
        <v>0</v>
      </c>
      <c r="P407" s="14">
        <v>41</v>
      </c>
      <c r="Q407" s="15">
        <v>29.52</v>
      </c>
      <c r="R407" s="17">
        <f>IFERROR(G407/(G407+Priors!$H$18),0)</f>
        <v>0.1111111111111111</v>
      </c>
      <c r="S407" s="13">
        <v>1</v>
      </c>
      <c r="T407" s="40" t="b">
        <v>0</v>
      </c>
      <c r="U407" s="13">
        <v>1</v>
      </c>
      <c r="V407" s="40" t="b">
        <v>1</v>
      </c>
      <c r="W407" s="13">
        <v>0.9</v>
      </c>
      <c r="X407" s="17">
        <f t="shared" si="48"/>
        <v>9.9999999999999992E-2</v>
      </c>
      <c r="Y407" s="37">
        <f>VLOOKUP(D407,Priors!$A$18:$B$21,2,FALSE)</f>
        <v>8.4555315342179806</v>
      </c>
      <c r="Z407" s="38">
        <f t="shared" si="49"/>
        <v>8.9059783807961832</v>
      </c>
      <c r="AA407" s="39">
        <v>1</v>
      </c>
      <c r="AB407" s="38">
        <f t="shared" si="50"/>
        <v>8.9059783807961832</v>
      </c>
      <c r="AC407" s="37">
        <f>Priors!$K$18</f>
        <v>2.7435089299114512</v>
      </c>
      <c r="AD407" s="38" t="str">
        <f t="shared" si="51"/>
        <v/>
      </c>
      <c r="AE407" s="37">
        <f>Priors!$K$19</f>
        <v>0.67280088332719912</v>
      </c>
      <c r="AF407" s="38" t="str">
        <f t="shared" si="52"/>
        <v/>
      </c>
      <c r="AG407" s="17">
        <f t="shared" si="53"/>
        <v>0.9</v>
      </c>
      <c r="AH407" s="7" t="s">
        <v>1643</v>
      </c>
      <c r="AI407" s="7">
        <v>12</v>
      </c>
      <c r="AJ407" s="38">
        <f t="shared" si="54"/>
        <v>0.7421648650663486</v>
      </c>
      <c r="AK407" s="9" t="b">
        <f t="shared" si="55"/>
        <v>1</v>
      </c>
      <c r="AL407" s="28" t="s">
        <v>1644</v>
      </c>
      <c r="AM407" s="28" t="s">
        <v>1645</v>
      </c>
      <c r="AN407" s="28" t="s">
        <v>1792</v>
      </c>
    </row>
    <row r="408" spans="1:40" ht="30">
      <c r="A408" s="7">
        <v>407</v>
      </c>
      <c r="B408" s="7" t="s">
        <v>1232</v>
      </c>
      <c r="C408" s="7" t="s">
        <v>53</v>
      </c>
      <c r="D408" s="7" t="s">
        <v>112</v>
      </c>
      <c r="E408" s="7" t="s">
        <v>1642</v>
      </c>
      <c r="F408" s="7" t="s">
        <v>53</v>
      </c>
      <c r="G408" s="14">
        <v>0</v>
      </c>
      <c r="H408" s="14">
        <v>0</v>
      </c>
      <c r="I408" s="15">
        <v>0</v>
      </c>
      <c r="J408" s="14">
        <v>0</v>
      </c>
      <c r="K408" s="15">
        <v>0</v>
      </c>
      <c r="L408" s="14">
        <v>0</v>
      </c>
      <c r="M408" s="14">
        <v>0</v>
      </c>
      <c r="N408" s="13"/>
      <c r="O408" s="14">
        <v>0</v>
      </c>
      <c r="P408" s="14">
        <v>0</v>
      </c>
      <c r="Q408" s="15">
        <v>0</v>
      </c>
      <c r="R408" s="17">
        <f>IFERROR(G408/(G408+Priors!$H$18),0)</f>
        <v>0</v>
      </c>
      <c r="S408" s="13">
        <v>1</v>
      </c>
      <c r="T408" s="40" t="b">
        <v>0</v>
      </c>
      <c r="U408" s="13">
        <v>1</v>
      </c>
      <c r="V408" s="40" t="b">
        <v>1</v>
      </c>
      <c r="W408" s="13">
        <v>0.9</v>
      </c>
      <c r="X408" s="17">
        <f t="shared" si="48"/>
        <v>0</v>
      </c>
      <c r="Y408" s="37">
        <f>VLOOKUP(D408,Priors!$A$18:$B$21,2,FALSE)</f>
        <v>8.4555315342179806</v>
      </c>
      <c r="Z408" s="38">
        <f t="shared" si="49"/>
        <v>8.4555315342179806</v>
      </c>
      <c r="AA408" s="39">
        <v>1</v>
      </c>
      <c r="AB408" s="38">
        <f t="shared" si="50"/>
        <v>8.4555315342179806</v>
      </c>
      <c r="AC408" s="37">
        <f>Priors!$K$18</f>
        <v>2.7435089299114512</v>
      </c>
      <c r="AD408" s="38" t="str">
        <f t="shared" si="51"/>
        <v/>
      </c>
      <c r="AE408" s="37">
        <f>Priors!$K$19</f>
        <v>0.67280088332719912</v>
      </c>
      <c r="AF408" s="38" t="str">
        <f t="shared" si="52"/>
        <v/>
      </c>
      <c r="AG408" s="17">
        <f t="shared" si="53"/>
        <v>1</v>
      </c>
      <c r="AH408" s="7" t="s">
        <v>1643</v>
      </c>
      <c r="AI408" s="7">
        <v>12</v>
      </c>
      <c r="AJ408" s="38">
        <f t="shared" si="54"/>
        <v>0.70462762785149835</v>
      </c>
      <c r="AK408" s="9" t="b">
        <f t="shared" si="55"/>
        <v>1</v>
      </c>
      <c r="AL408" s="28" t="s">
        <v>1644</v>
      </c>
      <c r="AM408" s="28" t="s">
        <v>1645</v>
      </c>
      <c r="AN408" s="28" t="s">
        <v>1792</v>
      </c>
    </row>
    <row r="409" spans="1:40" ht="30">
      <c r="A409" s="7">
        <v>408</v>
      </c>
      <c r="B409" s="7" t="s">
        <v>869</v>
      </c>
      <c r="C409" s="7" t="s">
        <v>53</v>
      </c>
      <c r="D409" s="7" t="s">
        <v>112</v>
      </c>
      <c r="E409" s="7" t="s">
        <v>1642</v>
      </c>
      <c r="F409" s="7" t="s">
        <v>53</v>
      </c>
      <c r="G409" s="14">
        <v>0</v>
      </c>
      <c r="H409" s="14">
        <v>0</v>
      </c>
      <c r="I409" s="15">
        <v>0</v>
      </c>
      <c r="J409" s="14">
        <v>0</v>
      </c>
      <c r="K409" s="15">
        <v>0</v>
      </c>
      <c r="L409" s="14">
        <v>0</v>
      </c>
      <c r="M409" s="14">
        <v>0</v>
      </c>
      <c r="N409" s="13"/>
      <c r="O409" s="14">
        <v>0</v>
      </c>
      <c r="P409" s="14">
        <v>0</v>
      </c>
      <c r="Q409" s="15">
        <v>0</v>
      </c>
      <c r="R409" s="17">
        <f>IFERROR(G409/(G409+Priors!$H$18),0)</f>
        <v>0</v>
      </c>
      <c r="S409" s="13">
        <v>1</v>
      </c>
      <c r="T409" s="40" t="b">
        <v>0</v>
      </c>
      <c r="U409" s="13">
        <v>1</v>
      </c>
      <c r="V409" s="40" t="b">
        <v>1</v>
      </c>
      <c r="W409" s="13">
        <v>0.9</v>
      </c>
      <c r="X409" s="17">
        <f t="shared" si="48"/>
        <v>0</v>
      </c>
      <c r="Y409" s="37">
        <f>VLOOKUP(D409,Priors!$A$18:$B$21,2,FALSE)</f>
        <v>8.4555315342179806</v>
      </c>
      <c r="Z409" s="38">
        <f t="shared" si="49"/>
        <v>8.4555315342179806</v>
      </c>
      <c r="AA409" s="39">
        <v>1</v>
      </c>
      <c r="AB409" s="38">
        <f t="shared" si="50"/>
        <v>8.4555315342179806</v>
      </c>
      <c r="AC409" s="37">
        <f>Priors!$K$18</f>
        <v>2.7435089299114512</v>
      </c>
      <c r="AD409" s="38" t="str">
        <f t="shared" si="51"/>
        <v/>
      </c>
      <c r="AE409" s="37">
        <f>Priors!$K$19</f>
        <v>0.67280088332719912</v>
      </c>
      <c r="AF409" s="38" t="str">
        <f t="shared" si="52"/>
        <v/>
      </c>
      <c r="AG409" s="17">
        <f t="shared" si="53"/>
        <v>1</v>
      </c>
      <c r="AH409" s="7" t="s">
        <v>1643</v>
      </c>
      <c r="AI409" s="7">
        <v>12</v>
      </c>
      <c r="AJ409" s="38">
        <f t="shared" si="54"/>
        <v>0.70462762785149835</v>
      </c>
      <c r="AK409" s="9" t="b">
        <f t="shared" si="55"/>
        <v>1</v>
      </c>
      <c r="AL409" s="28" t="s">
        <v>1644</v>
      </c>
      <c r="AM409" s="28" t="s">
        <v>1645</v>
      </c>
      <c r="AN409" s="28" t="s">
        <v>1792</v>
      </c>
    </row>
    <row r="410" spans="1:40" ht="30">
      <c r="A410" s="7">
        <v>409</v>
      </c>
      <c r="B410" s="7" t="s">
        <v>1236</v>
      </c>
      <c r="C410" s="7" t="s">
        <v>53</v>
      </c>
      <c r="D410" s="7" t="s">
        <v>112</v>
      </c>
      <c r="E410" s="7" t="s">
        <v>1642</v>
      </c>
      <c r="F410" s="7" t="s">
        <v>53</v>
      </c>
      <c r="G410" s="14">
        <v>25</v>
      </c>
      <c r="H410" s="14">
        <v>1</v>
      </c>
      <c r="I410" s="15">
        <v>3.6</v>
      </c>
      <c r="J410" s="14">
        <v>0</v>
      </c>
      <c r="K410" s="15">
        <v>0</v>
      </c>
      <c r="L410" s="14">
        <v>0</v>
      </c>
      <c r="M410" s="14">
        <v>0</v>
      </c>
      <c r="N410" s="13"/>
      <c r="O410" s="14">
        <v>0</v>
      </c>
      <c r="P410" s="14">
        <v>5</v>
      </c>
      <c r="Q410" s="15">
        <v>18</v>
      </c>
      <c r="R410" s="17">
        <f>IFERROR(G410/(G410+Priors!$H$18),0)</f>
        <v>2.4390243902439025E-2</v>
      </c>
      <c r="S410" s="13">
        <v>1</v>
      </c>
      <c r="T410" s="40" t="b">
        <v>0</v>
      </c>
      <c r="U410" s="13">
        <v>1</v>
      </c>
      <c r="V410" s="40" t="b">
        <v>1</v>
      </c>
      <c r="W410" s="13">
        <v>0.9</v>
      </c>
      <c r="X410" s="17">
        <f t="shared" si="48"/>
        <v>2.1951219512195124E-2</v>
      </c>
      <c r="Y410" s="37">
        <f>VLOOKUP(D410,Priors!$A$18:$B$21,2,FALSE)</f>
        <v>8.4555315342179806</v>
      </c>
      <c r="Z410" s="38">
        <f t="shared" si="49"/>
        <v>8.3489466956619758</v>
      </c>
      <c r="AA410" s="39">
        <v>1</v>
      </c>
      <c r="AB410" s="38">
        <f t="shared" si="50"/>
        <v>8.3489466956619758</v>
      </c>
      <c r="AC410" s="37">
        <f>Priors!$K$18</f>
        <v>2.7435089299114512</v>
      </c>
      <c r="AD410" s="38" t="str">
        <f t="shared" si="51"/>
        <v/>
      </c>
      <c r="AE410" s="37">
        <f>Priors!$K$19</f>
        <v>0.67280088332719912</v>
      </c>
      <c r="AF410" s="38" t="str">
        <f t="shared" si="52"/>
        <v/>
      </c>
      <c r="AG410" s="17">
        <f t="shared" si="53"/>
        <v>0.97804878048780486</v>
      </c>
      <c r="AH410" s="7" t="s">
        <v>1643</v>
      </c>
      <c r="AI410" s="7">
        <v>12</v>
      </c>
      <c r="AJ410" s="38">
        <f t="shared" si="54"/>
        <v>0.69574555797183135</v>
      </c>
      <c r="AK410" s="9" t="b">
        <f t="shared" si="55"/>
        <v>1</v>
      </c>
      <c r="AL410" s="28" t="s">
        <v>1644</v>
      </c>
      <c r="AM410" s="28" t="s">
        <v>1645</v>
      </c>
      <c r="AN410" s="28" t="s">
        <v>1792</v>
      </c>
    </row>
    <row r="411" spans="1:40" ht="30">
      <c r="A411" s="7">
        <v>410</v>
      </c>
      <c r="B411" s="7" t="s">
        <v>1238</v>
      </c>
      <c r="C411" s="7" t="s">
        <v>53</v>
      </c>
      <c r="D411" s="7" t="s">
        <v>112</v>
      </c>
      <c r="E411" s="7" t="s">
        <v>1647</v>
      </c>
      <c r="F411" s="7"/>
      <c r="G411" s="14">
        <v>0</v>
      </c>
      <c r="H411" s="14"/>
      <c r="I411" s="15"/>
      <c r="J411" s="14"/>
      <c r="K411" s="15"/>
      <c r="L411" s="14"/>
      <c r="M411" s="14"/>
      <c r="N411" s="13"/>
      <c r="O411" s="14"/>
      <c r="P411" s="14"/>
      <c r="Q411" s="15"/>
      <c r="R411" s="17">
        <f>IFERROR(G411/(G411+Priors!$H$18),0)</f>
        <v>0</v>
      </c>
      <c r="S411" s="13">
        <v>0</v>
      </c>
      <c r="T411" s="40" t="b">
        <v>0</v>
      </c>
      <c r="U411" s="13">
        <v>1</v>
      </c>
      <c r="V411" s="40" t="b">
        <v>1</v>
      </c>
      <c r="W411" s="13">
        <v>0.9</v>
      </c>
      <c r="X411" s="17">
        <f t="shared" si="48"/>
        <v>0</v>
      </c>
      <c r="Y411" s="37">
        <f>VLOOKUP(D411,Priors!$A$18:$B$21,2,FALSE)</f>
        <v>8.4555315342179806</v>
      </c>
      <c r="Z411" s="38">
        <f t="shared" si="49"/>
        <v>8.4555315342179806</v>
      </c>
      <c r="AA411" s="39">
        <v>1</v>
      </c>
      <c r="AB411" s="38">
        <f t="shared" si="50"/>
        <v>8.4555315342179806</v>
      </c>
      <c r="AC411" s="37">
        <f>Priors!$K$18</f>
        <v>2.7435089299114512</v>
      </c>
      <c r="AD411" s="38" t="str">
        <f t="shared" si="51"/>
        <v/>
      </c>
      <c r="AE411" s="37">
        <f>Priors!$K$19</f>
        <v>0.67280088332719912</v>
      </c>
      <c r="AF411" s="38" t="str">
        <f t="shared" si="52"/>
        <v/>
      </c>
      <c r="AG411" s="17">
        <f t="shared" si="53"/>
        <v>1</v>
      </c>
      <c r="AH411" s="7" t="s">
        <v>1793</v>
      </c>
      <c r="AI411" s="7">
        <v>12</v>
      </c>
      <c r="AJ411" s="38">
        <f t="shared" si="54"/>
        <v>0.70462762785149835</v>
      </c>
      <c r="AK411" s="9" t="b">
        <f t="shared" si="55"/>
        <v>1</v>
      </c>
      <c r="AL411" s="28" t="s">
        <v>1794</v>
      </c>
      <c r="AM411" s="28"/>
      <c r="AN411" s="28" t="s">
        <v>1792</v>
      </c>
    </row>
    <row r="412" spans="1:40" ht="30">
      <c r="A412" s="7">
        <v>411</v>
      </c>
      <c r="B412" s="7" t="s">
        <v>1240</v>
      </c>
      <c r="C412" s="7" t="s">
        <v>53</v>
      </c>
      <c r="D412" s="7" t="s">
        <v>167</v>
      </c>
      <c r="E412" s="7" t="s">
        <v>1642</v>
      </c>
      <c r="F412" s="7" t="s">
        <v>53</v>
      </c>
      <c r="G412" s="14">
        <v>2953</v>
      </c>
      <c r="H412" s="14">
        <v>104</v>
      </c>
      <c r="I412" s="15">
        <v>3.17</v>
      </c>
      <c r="J412" s="14">
        <v>0</v>
      </c>
      <c r="K412" s="15">
        <v>0</v>
      </c>
      <c r="L412" s="14">
        <v>32</v>
      </c>
      <c r="M412" s="14">
        <v>13</v>
      </c>
      <c r="N412" s="13"/>
      <c r="O412" s="14">
        <v>43</v>
      </c>
      <c r="P412" s="14">
        <v>952</v>
      </c>
      <c r="Q412" s="15">
        <v>29.014561462919065</v>
      </c>
      <c r="R412" s="17">
        <f>IFERROR(G412/(G412+Priors!$H$18),0)</f>
        <v>0.74702757399443465</v>
      </c>
      <c r="S412" s="13">
        <v>1</v>
      </c>
      <c r="T412" s="40" t="b">
        <v>0</v>
      </c>
      <c r="U412" s="13">
        <v>1</v>
      </c>
      <c r="V412" s="40" t="b">
        <v>1</v>
      </c>
      <c r="W412" s="13">
        <v>0.9</v>
      </c>
      <c r="X412" s="17">
        <f t="shared" si="48"/>
        <v>0.67232481659499121</v>
      </c>
      <c r="Y412" s="37">
        <f>VLOOKUP(D412,Priors!$A$18:$B$21,2,FALSE)</f>
        <v>4.5137422563476139</v>
      </c>
      <c r="Z412" s="38">
        <f t="shared" si="49"/>
        <v>3.6103109902977648</v>
      </c>
      <c r="AA412" s="39">
        <v>1</v>
      </c>
      <c r="AB412" s="38">
        <f t="shared" si="50"/>
        <v>3.6103109902977648</v>
      </c>
      <c r="AC412" s="37">
        <f>Priors!$K$18</f>
        <v>2.7435089299114512</v>
      </c>
      <c r="AD412" s="38" t="str">
        <f t="shared" si="51"/>
        <v/>
      </c>
      <c r="AE412" s="37">
        <f>Priors!$K$19</f>
        <v>0.67280088332719912</v>
      </c>
      <c r="AF412" s="38" t="str">
        <f t="shared" si="52"/>
        <v/>
      </c>
      <c r="AG412" s="17">
        <f t="shared" si="53"/>
        <v>0.32767518340500879</v>
      </c>
      <c r="AH412" s="7" t="s">
        <v>1643</v>
      </c>
      <c r="AI412" s="7">
        <v>12</v>
      </c>
      <c r="AJ412" s="38">
        <f t="shared" si="54"/>
        <v>0.30085924919148038</v>
      </c>
      <c r="AK412" s="9" t="b">
        <f t="shared" si="55"/>
        <v>1</v>
      </c>
      <c r="AL412" s="28" t="s">
        <v>1644</v>
      </c>
      <c r="AM412" s="28" t="s">
        <v>1645</v>
      </c>
      <c r="AN412" s="28" t="s">
        <v>1792</v>
      </c>
    </row>
    <row r="413" spans="1:40" ht="30">
      <c r="A413" s="7">
        <v>412</v>
      </c>
      <c r="B413" s="7" t="s">
        <v>1254</v>
      </c>
      <c r="C413" s="7" t="s">
        <v>54</v>
      </c>
      <c r="D413" s="7" t="s">
        <v>85</v>
      </c>
      <c r="E413" s="7" t="s">
        <v>1642</v>
      </c>
      <c r="F413" s="7" t="s">
        <v>54</v>
      </c>
      <c r="G413" s="14">
        <v>2880</v>
      </c>
      <c r="H413" s="14">
        <v>43</v>
      </c>
      <c r="I413" s="15">
        <v>0</v>
      </c>
      <c r="J413" s="14">
        <v>79</v>
      </c>
      <c r="K413" s="15">
        <v>2.4700000000000002</v>
      </c>
      <c r="L413" s="14">
        <v>39</v>
      </c>
      <c r="M413" s="14">
        <v>8</v>
      </c>
      <c r="N413" s="13">
        <v>0.66949152542372881</v>
      </c>
      <c r="O413" s="14">
        <v>11</v>
      </c>
      <c r="P413" s="14">
        <v>413</v>
      </c>
      <c r="Q413" s="15">
        <v>12.90625</v>
      </c>
      <c r="R413" s="17">
        <f>IFERROR(G413/(G413+Priors!$H$18),0)</f>
        <v>0.74226804123711343</v>
      </c>
      <c r="S413" s="13">
        <v>1</v>
      </c>
      <c r="T413" s="40" t="b">
        <v>0</v>
      </c>
      <c r="U413" s="13">
        <v>1</v>
      </c>
      <c r="V413" s="40" t="b">
        <v>0</v>
      </c>
      <c r="W413" s="13">
        <v>1</v>
      </c>
      <c r="X413" s="17">
        <f t="shared" si="48"/>
        <v>0.74226804123711343</v>
      </c>
      <c r="Y413" s="37">
        <f>VLOOKUP(D413,Priors!$A$18:$B$21,2,FALSE)</f>
        <v>2.6414527990394716</v>
      </c>
      <c r="Z413" s="38">
        <f t="shared" si="49"/>
        <v>0.68078680387615242</v>
      </c>
      <c r="AA413" s="39">
        <v>1</v>
      </c>
      <c r="AB413" s="38">
        <f t="shared" si="50"/>
        <v>0.68078680387615242</v>
      </c>
      <c r="AC413" s="37">
        <f>Priors!$K$18</f>
        <v>2.7435089299114512</v>
      </c>
      <c r="AD413" s="38">
        <f t="shared" si="51"/>
        <v>2.5404919922452196</v>
      </c>
      <c r="AE413" s="37">
        <f>Priors!$K$19</f>
        <v>0.67280088332719912</v>
      </c>
      <c r="AF413" s="38">
        <f t="shared" si="52"/>
        <v>0.67034445271843768</v>
      </c>
      <c r="AG413" s="17">
        <f t="shared" si="53"/>
        <v>0.25773195876288657</v>
      </c>
      <c r="AH413" s="7" t="s">
        <v>1643</v>
      </c>
      <c r="AI413" s="7"/>
      <c r="AJ413" s="38" t="str">
        <f t="shared" si="54"/>
        <v/>
      </c>
      <c r="AK413" s="9" t="b">
        <f t="shared" si="55"/>
        <v>0</v>
      </c>
      <c r="AL413" s="28" t="s">
        <v>1644</v>
      </c>
      <c r="AM413" s="28" t="s">
        <v>1645</v>
      </c>
      <c r="AN413" s="28" t="s">
        <v>1792</v>
      </c>
    </row>
    <row r="414" spans="1:40" ht="30">
      <c r="A414" s="7">
        <v>413</v>
      </c>
      <c r="B414" s="7" t="s">
        <v>1256</v>
      </c>
      <c r="C414" s="7" t="s">
        <v>54</v>
      </c>
      <c r="D414" s="7" t="s">
        <v>85</v>
      </c>
      <c r="E414" s="7" t="s">
        <v>1642</v>
      </c>
      <c r="F414" s="7" t="s">
        <v>54</v>
      </c>
      <c r="G414" s="14">
        <v>540</v>
      </c>
      <c r="H414" s="14">
        <v>46</v>
      </c>
      <c r="I414" s="15">
        <v>0</v>
      </c>
      <c r="J414" s="14">
        <v>13</v>
      </c>
      <c r="K414" s="15">
        <v>2.17</v>
      </c>
      <c r="L414" s="14">
        <v>11</v>
      </c>
      <c r="M414" s="14">
        <v>0</v>
      </c>
      <c r="N414" s="13">
        <v>0.54166666666666663</v>
      </c>
      <c r="O414" s="14">
        <v>0</v>
      </c>
      <c r="P414" s="14">
        <v>49</v>
      </c>
      <c r="Q414" s="15">
        <v>8.1666666666666661</v>
      </c>
      <c r="R414" s="17">
        <f>IFERROR(G414/(G414+Priors!$H$18),0)</f>
        <v>0.35064935064935066</v>
      </c>
      <c r="S414" s="13">
        <v>1</v>
      </c>
      <c r="T414" s="40" t="b">
        <v>0</v>
      </c>
      <c r="U414" s="13">
        <v>1</v>
      </c>
      <c r="V414" s="40" t="b">
        <v>0</v>
      </c>
      <c r="W414" s="13">
        <v>1</v>
      </c>
      <c r="X414" s="17">
        <f t="shared" si="48"/>
        <v>0.35064935064935066</v>
      </c>
      <c r="Y414" s="37">
        <f>VLOOKUP(D414,Priors!$A$18:$B$21,2,FALSE)</f>
        <v>2.6414527990394716</v>
      </c>
      <c r="Z414" s="38">
        <f t="shared" si="49"/>
        <v>1.7152290902853711</v>
      </c>
      <c r="AA414" s="39">
        <v>1</v>
      </c>
      <c r="AB414" s="38">
        <f t="shared" si="50"/>
        <v>1.7152290902853711</v>
      </c>
      <c r="AC414" s="37">
        <f>Priors!$K$18</f>
        <v>2.7435089299114512</v>
      </c>
      <c r="AD414" s="38">
        <f t="shared" si="51"/>
        <v>2.542408396046397</v>
      </c>
      <c r="AE414" s="37">
        <f>Priors!$K$19</f>
        <v>0.67280088332719912</v>
      </c>
      <c r="AF414" s="38">
        <f t="shared" si="52"/>
        <v>0.62681875540727217</v>
      </c>
      <c r="AG414" s="17">
        <f t="shared" si="53"/>
        <v>0.64935064935064934</v>
      </c>
      <c r="AH414" s="7" t="s">
        <v>1643</v>
      </c>
      <c r="AI414" s="7"/>
      <c r="AJ414" s="38" t="str">
        <f t="shared" si="54"/>
        <v/>
      </c>
      <c r="AK414" s="9" t="b">
        <f t="shared" si="55"/>
        <v>1</v>
      </c>
      <c r="AL414" s="28" t="s">
        <v>1644</v>
      </c>
      <c r="AM414" s="28" t="s">
        <v>1645</v>
      </c>
      <c r="AN414" s="28" t="s">
        <v>1792</v>
      </c>
    </row>
    <row r="415" spans="1:40" ht="30">
      <c r="A415" s="7">
        <v>414</v>
      </c>
      <c r="B415" s="7" t="s">
        <v>1258</v>
      </c>
      <c r="C415" s="7" t="s">
        <v>54</v>
      </c>
      <c r="D415" s="7" t="s">
        <v>85</v>
      </c>
      <c r="E415" s="7" t="s">
        <v>1642</v>
      </c>
      <c r="F415" s="7" t="s">
        <v>54</v>
      </c>
      <c r="G415" s="14">
        <v>0</v>
      </c>
      <c r="H415" s="14">
        <v>0</v>
      </c>
      <c r="I415" s="15">
        <v>0</v>
      </c>
      <c r="J415" s="14">
        <v>0</v>
      </c>
      <c r="K415" s="15">
        <v>0</v>
      </c>
      <c r="L415" s="14">
        <v>0</v>
      </c>
      <c r="M415" s="14">
        <v>0</v>
      </c>
      <c r="N415" s="13"/>
      <c r="O415" s="14">
        <v>0</v>
      </c>
      <c r="P415" s="14">
        <v>0</v>
      </c>
      <c r="Q415" s="15">
        <v>0</v>
      </c>
      <c r="R415" s="17">
        <f>IFERROR(G415/(G415+Priors!$H$18),0)</f>
        <v>0</v>
      </c>
      <c r="S415" s="13">
        <v>1</v>
      </c>
      <c r="T415" s="40" t="b">
        <v>0</v>
      </c>
      <c r="U415" s="13">
        <v>1</v>
      </c>
      <c r="V415" s="40" t="b">
        <v>0</v>
      </c>
      <c r="W415" s="13">
        <v>1</v>
      </c>
      <c r="X415" s="17">
        <f t="shared" si="48"/>
        <v>0</v>
      </c>
      <c r="Y415" s="37">
        <f>VLOOKUP(D415,Priors!$A$18:$B$21,2,FALSE)</f>
        <v>2.6414527990394716</v>
      </c>
      <c r="Z415" s="38">
        <f t="shared" si="49"/>
        <v>2.6414527990394716</v>
      </c>
      <c r="AA415" s="39">
        <v>1</v>
      </c>
      <c r="AB415" s="38">
        <f t="shared" si="50"/>
        <v>2.6414527990394716</v>
      </c>
      <c r="AC415" s="37">
        <f>Priors!$K$18</f>
        <v>2.7435089299114512</v>
      </c>
      <c r="AD415" s="38">
        <f t="shared" si="51"/>
        <v>2.7435089299114512</v>
      </c>
      <c r="AE415" s="37">
        <f>Priors!$K$19</f>
        <v>0.67280088332719912</v>
      </c>
      <c r="AF415" s="38">
        <f t="shared" si="52"/>
        <v>0.67280088332719912</v>
      </c>
      <c r="AG415" s="17">
        <f t="shared" si="53"/>
        <v>1</v>
      </c>
      <c r="AH415" s="7" t="s">
        <v>1643</v>
      </c>
      <c r="AI415" s="7"/>
      <c r="AJ415" s="38" t="str">
        <f t="shared" si="54"/>
        <v/>
      </c>
      <c r="AK415" s="9" t="b">
        <f t="shared" si="55"/>
        <v>1</v>
      </c>
      <c r="AL415" s="28" t="s">
        <v>1644</v>
      </c>
      <c r="AM415" s="28" t="s">
        <v>1645</v>
      </c>
      <c r="AN415" s="28" t="s">
        <v>1792</v>
      </c>
    </row>
    <row r="416" spans="1:40" ht="30">
      <c r="A416" s="7">
        <v>415</v>
      </c>
      <c r="B416" s="7" t="s">
        <v>1260</v>
      </c>
      <c r="C416" s="7" t="s">
        <v>54</v>
      </c>
      <c r="D416" s="7" t="s">
        <v>112</v>
      </c>
      <c r="E416" s="7" t="s">
        <v>1642</v>
      </c>
      <c r="F416" s="7" t="s">
        <v>54</v>
      </c>
      <c r="G416" s="14">
        <v>1440</v>
      </c>
      <c r="H416" s="14">
        <v>120</v>
      </c>
      <c r="I416" s="15">
        <v>6.12</v>
      </c>
      <c r="J416" s="14">
        <v>0</v>
      </c>
      <c r="K416" s="15">
        <v>0</v>
      </c>
      <c r="L416" s="14">
        <v>20</v>
      </c>
      <c r="M416" s="14">
        <v>4</v>
      </c>
      <c r="N416" s="13"/>
      <c r="O416" s="14">
        <v>11</v>
      </c>
      <c r="P416" s="14">
        <v>321</v>
      </c>
      <c r="Q416" s="15">
        <v>20.0625</v>
      </c>
      <c r="R416" s="17">
        <f>IFERROR(G416/(G416+Priors!$H$18),0)</f>
        <v>0.5901639344262295</v>
      </c>
      <c r="S416" s="13">
        <v>1</v>
      </c>
      <c r="T416" s="40" t="b">
        <v>0</v>
      </c>
      <c r="U416" s="13">
        <v>1</v>
      </c>
      <c r="V416" s="40" t="b">
        <v>0</v>
      </c>
      <c r="W416" s="13">
        <v>1</v>
      </c>
      <c r="X416" s="17">
        <f t="shared" si="48"/>
        <v>0.5901639344262295</v>
      </c>
      <c r="Y416" s="37">
        <f>VLOOKUP(D416,Priors!$A$18:$B$21,2,FALSE)</f>
        <v>8.4555315342179806</v>
      </c>
      <c r="Z416" s="38">
        <f t="shared" si="49"/>
        <v>7.0771850550073694</v>
      </c>
      <c r="AA416" s="39">
        <v>1</v>
      </c>
      <c r="AB416" s="38">
        <f t="shared" si="50"/>
        <v>7.0771850550073694</v>
      </c>
      <c r="AC416" s="37">
        <f>Priors!$K$18</f>
        <v>2.7435089299114512</v>
      </c>
      <c r="AD416" s="38" t="str">
        <f t="shared" si="51"/>
        <v/>
      </c>
      <c r="AE416" s="37">
        <f>Priors!$K$19</f>
        <v>0.67280088332719912</v>
      </c>
      <c r="AF416" s="38" t="str">
        <f t="shared" si="52"/>
        <v/>
      </c>
      <c r="AG416" s="17">
        <f t="shared" si="53"/>
        <v>0.4098360655737705</v>
      </c>
      <c r="AH416" s="7" t="s">
        <v>1643</v>
      </c>
      <c r="AI416" s="7">
        <v>12</v>
      </c>
      <c r="AJ416" s="38">
        <f t="shared" si="54"/>
        <v>0.58976542125061415</v>
      </c>
      <c r="AK416" s="9" t="b">
        <f t="shared" si="55"/>
        <v>0</v>
      </c>
      <c r="AL416" s="28" t="s">
        <v>1644</v>
      </c>
      <c r="AM416" s="28" t="s">
        <v>1645</v>
      </c>
      <c r="AN416" s="28" t="s">
        <v>1792</v>
      </c>
    </row>
    <row r="417" spans="1:40" ht="30">
      <c r="A417" s="7">
        <v>416</v>
      </c>
      <c r="B417" s="7" t="s">
        <v>1262</v>
      </c>
      <c r="C417" s="7" t="s">
        <v>54</v>
      </c>
      <c r="D417" s="7" t="s">
        <v>99</v>
      </c>
      <c r="E417" s="7" t="s">
        <v>1642</v>
      </c>
      <c r="F417" s="7" t="s">
        <v>54</v>
      </c>
      <c r="G417" s="14">
        <v>1170</v>
      </c>
      <c r="H417" s="14">
        <v>139</v>
      </c>
      <c r="I417" s="15">
        <v>8.23</v>
      </c>
      <c r="J417" s="14">
        <v>0</v>
      </c>
      <c r="K417" s="15">
        <v>0</v>
      </c>
      <c r="L417" s="14">
        <v>20</v>
      </c>
      <c r="M417" s="14">
        <v>1</v>
      </c>
      <c r="N417" s="13"/>
      <c r="O417" s="14">
        <v>5</v>
      </c>
      <c r="P417" s="14">
        <v>169</v>
      </c>
      <c r="Q417" s="15">
        <v>13</v>
      </c>
      <c r="R417" s="17">
        <f>IFERROR(G417/(G417+Priors!$H$18),0)</f>
        <v>0.53917050691244239</v>
      </c>
      <c r="S417" s="13">
        <v>1</v>
      </c>
      <c r="T417" s="40" t="b">
        <v>0</v>
      </c>
      <c r="U417" s="13">
        <v>1</v>
      </c>
      <c r="V417" s="40" t="b">
        <v>0</v>
      </c>
      <c r="W417" s="13">
        <v>1</v>
      </c>
      <c r="X417" s="17">
        <f t="shared" si="48"/>
        <v>0.53917050691244239</v>
      </c>
      <c r="Y417" s="37">
        <f>VLOOKUP(D417,Priors!$A$18:$B$21,2,FALSE)</f>
        <v>8.7398272304160223</v>
      </c>
      <c r="Z417" s="38">
        <f t="shared" si="49"/>
        <v>8.4649434241548498</v>
      </c>
      <c r="AA417" s="39">
        <v>1</v>
      </c>
      <c r="AB417" s="38">
        <f t="shared" si="50"/>
        <v>8.4649434241548498</v>
      </c>
      <c r="AC417" s="37">
        <f>Priors!$K$18</f>
        <v>2.7435089299114512</v>
      </c>
      <c r="AD417" s="38" t="str">
        <f t="shared" si="51"/>
        <v/>
      </c>
      <c r="AE417" s="37">
        <f>Priors!$K$19</f>
        <v>0.67280088332719912</v>
      </c>
      <c r="AF417" s="38" t="str">
        <f t="shared" si="52"/>
        <v/>
      </c>
      <c r="AG417" s="17">
        <f t="shared" si="53"/>
        <v>0.46082949308755761</v>
      </c>
      <c r="AH417" s="7" t="s">
        <v>1643</v>
      </c>
      <c r="AI417" s="7">
        <v>10</v>
      </c>
      <c r="AJ417" s="38">
        <f t="shared" si="54"/>
        <v>0.84649434241548493</v>
      </c>
      <c r="AK417" s="9" t="b">
        <f t="shared" si="55"/>
        <v>0</v>
      </c>
      <c r="AL417" s="28" t="s">
        <v>1644</v>
      </c>
      <c r="AM417" s="28" t="s">
        <v>1645</v>
      </c>
      <c r="AN417" s="28" t="s">
        <v>1792</v>
      </c>
    </row>
    <row r="418" spans="1:40" ht="30">
      <c r="A418" s="7">
        <v>417</v>
      </c>
      <c r="B418" s="7" t="s">
        <v>1264</v>
      </c>
      <c r="C418" s="7" t="s">
        <v>54</v>
      </c>
      <c r="D418" s="7" t="s">
        <v>99</v>
      </c>
      <c r="E418" s="7" t="s">
        <v>1642</v>
      </c>
      <c r="F418" s="7" t="s">
        <v>54</v>
      </c>
      <c r="G418" s="14">
        <v>2609</v>
      </c>
      <c r="H418" s="14">
        <v>201</v>
      </c>
      <c r="I418" s="15">
        <v>6.21</v>
      </c>
      <c r="J418" s="14">
        <v>0</v>
      </c>
      <c r="K418" s="15">
        <v>0</v>
      </c>
      <c r="L418" s="14">
        <v>40</v>
      </c>
      <c r="M418" s="14">
        <v>7</v>
      </c>
      <c r="N418" s="13"/>
      <c r="O418" s="14">
        <v>9</v>
      </c>
      <c r="P418" s="14">
        <v>414</v>
      </c>
      <c r="Q418" s="15">
        <v>14.281333844384822</v>
      </c>
      <c r="R418" s="17">
        <f>IFERROR(G418/(G418+Priors!$H$18),0)</f>
        <v>0.72291493488500969</v>
      </c>
      <c r="S418" s="13">
        <v>1</v>
      </c>
      <c r="T418" s="40" t="b">
        <v>0</v>
      </c>
      <c r="U418" s="13">
        <v>1</v>
      </c>
      <c r="V418" s="40" t="b">
        <v>0</v>
      </c>
      <c r="W418" s="13">
        <v>1</v>
      </c>
      <c r="X418" s="17">
        <f t="shared" si="48"/>
        <v>0.72291493488500969</v>
      </c>
      <c r="Y418" s="37">
        <f>VLOOKUP(D418,Priors!$A$18:$B$21,2,FALSE)</f>
        <v>8.7398272304160223</v>
      </c>
      <c r="Z418" s="38">
        <f t="shared" si="49"/>
        <v>6.9109773428694989</v>
      </c>
      <c r="AA418" s="39">
        <v>1</v>
      </c>
      <c r="AB418" s="38">
        <f t="shared" si="50"/>
        <v>6.9109773428694989</v>
      </c>
      <c r="AC418" s="37">
        <f>Priors!$K$18</f>
        <v>2.7435089299114512</v>
      </c>
      <c r="AD418" s="38" t="str">
        <f t="shared" si="51"/>
        <v/>
      </c>
      <c r="AE418" s="37">
        <f>Priors!$K$19</f>
        <v>0.67280088332719912</v>
      </c>
      <c r="AF418" s="38" t="str">
        <f t="shared" si="52"/>
        <v/>
      </c>
      <c r="AG418" s="17">
        <f t="shared" si="53"/>
        <v>0.27708506511499031</v>
      </c>
      <c r="AH418" s="7" t="s">
        <v>1643</v>
      </c>
      <c r="AI418" s="7">
        <v>10</v>
      </c>
      <c r="AJ418" s="38">
        <f t="shared" si="54"/>
        <v>0.69109773428694987</v>
      </c>
      <c r="AK418" s="9" t="b">
        <f t="shared" si="55"/>
        <v>0</v>
      </c>
      <c r="AL418" s="28" t="s">
        <v>1644</v>
      </c>
      <c r="AM418" s="28" t="s">
        <v>1645</v>
      </c>
      <c r="AN418" s="28" t="s">
        <v>1792</v>
      </c>
    </row>
    <row r="419" spans="1:40" ht="30">
      <c r="A419" s="7">
        <v>418</v>
      </c>
      <c r="B419" s="7" t="s">
        <v>1267</v>
      </c>
      <c r="C419" s="7" t="s">
        <v>54</v>
      </c>
      <c r="D419" s="7" t="s">
        <v>99</v>
      </c>
      <c r="E419" s="7" t="s">
        <v>1642</v>
      </c>
      <c r="F419" s="7" t="s">
        <v>54</v>
      </c>
      <c r="G419" s="14">
        <v>1649</v>
      </c>
      <c r="H419" s="14">
        <v>162</v>
      </c>
      <c r="I419" s="15">
        <v>8.24</v>
      </c>
      <c r="J419" s="14">
        <v>0</v>
      </c>
      <c r="K419" s="15">
        <v>0</v>
      </c>
      <c r="L419" s="14">
        <v>20</v>
      </c>
      <c r="M419" s="14">
        <v>7</v>
      </c>
      <c r="N419" s="13"/>
      <c r="O419" s="14">
        <v>5</v>
      </c>
      <c r="P419" s="14">
        <v>315</v>
      </c>
      <c r="Q419" s="15">
        <v>17.192237719830199</v>
      </c>
      <c r="R419" s="17">
        <f>IFERROR(G419/(G419+Priors!$H$18),0)</f>
        <v>0.62249905624764057</v>
      </c>
      <c r="S419" s="13">
        <v>1</v>
      </c>
      <c r="T419" s="40" t="b">
        <v>0</v>
      </c>
      <c r="U419" s="13">
        <v>1</v>
      </c>
      <c r="V419" s="40" t="b">
        <v>0</v>
      </c>
      <c r="W419" s="13">
        <v>1</v>
      </c>
      <c r="X419" s="17">
        <f t="shared" si="48"/>
        <v>0.62249905624764057</v>
      </c>
      <c r="Y419" s="37">
        <f>VLOOKUP(D419,Priors!$A$18:$B$21,2,FALSE)</f>
        <v>8.7398272304160223</v>
      </c>
      <c r="Z419" s="38">
        <f t="shared" si="49"/>
        <v>8.4286852511951764</v>
      </c>
      <c r="AA419" s="39">
        <v>1</v>
      </c>
      <c r="AB419" s="38">
        <f t="shared" si="50"/>
        <v>8.4286852511951764</v>
      </c>
      <c r="AC419" s="37">
        <f>Priors!$K$18</f>
        <v>2.7435089299114512</v>
      </c>
      <c r="AD419" s="38" t="str">
        <f t="shared" si="51"/>
        <v/>
      </c>
      <c r="AE419" s="37">
        <f>Priors!$K$19</f>
        <v>0.67280088332719912</v>
      </c>
      <c r="AF419" s="38" t="str">
        <f t="shared" si="52"/>
        <v/>
      </c>
      <c r="AG419" s="17">
        <f t="shared" si="53"/>
        <v>0.37750094375235943</v>
      </c>
      <c r="AH419" s="7" t="s">
        <v>1643</v>
      </c>
      <c r="AI419" s="7">
        <v>10</v>
      </c>
      <c r="AJ419" s="38">
        <f t="shared" si="54"/>
        <v>0.8428685251195176</v>
      </c>
      <c r="AK419" s="9" t="b">
        <f t="shared" si="55"/>
        <v>0</v>
      </c>
      <c r="AL419" s="28" t="s">
        <v>1644</v>
      </c>
      <c r="AM419" s="28" t="s">
        <v>1645</v>
      </c>
      <c r="AN419" s="28" t="s">
        <v>1792</v>
      </c>
    </row>
    <row r="420" spans="1:40" ht="30">
      <c r="A420" s="7">
        <v>419</v>
      </c>
      <c r="B420" s="7" t="s">
        <v>178</v>
      </c>
      <c r="C420" s="7" t="s">
        <v>54</v>
      </c>
      <c r="D420" s="7" t="s">
        <v>99</v>
      </c>
      <c r="E420" s="7" t="s">
        <v>1642</v>
      </c>
      <c r="F420" s="7" t="s">
        <v>54</v>
      </c>
      <c r="G420" s="14">
        <v>1229</v>
      </c>
      <c r="H420" s="14">
        <v>105</v>
      </c>
      <c r="I420" s="15">
        <v>7.69</v>
      </c>
      <c r="J420" s="14">
        <v>0</v>
      </c>
      <c r="K420" s="15">
        <v>0</v>
      </c>
      <c r="L420" s="14">
        <v>15</v>
      </c>
      <c r="M420" s="14">
        <v>5</v>
      </c>
      <c r="N420" s="13"/>
      <c r="O420" s="14">
        <v>3</v>
      </c>
      <c r="P420" s="14">
        <v>241</v>
      </c>
      <c r="Q420" s="15">
        <v>17.648494711147276</v>
      </c>
      <c r="R420" s="17">
        <f>IFERROR(G420/(G420+Priors!$H$18),0)</f>
        <v>0.55136832660385826</v>
      </c>
      <c r="S420" s="13">
        <v>1</v>
      </c>
      <c r="T420" s="40" t="b">
        <v>0</v>
      </c>
      <c r="U420" s="13">
        <v>1</v>
      </c>
      <c r="V420" s="40" t="b">
        <v>0</v>
      </c>
      <c r="W420" s="13">
        <v>1</v>
      </c>
      <c r="X420" s="17">
        <f t="shared" si="48"/>
        <v>0.55136832660385826</v>
      </c>
      <c r="Y420" s="37">
        <f>VLOOKUP(D420,Priors!$A$18:$B$21,2,FALSE)</f>
        <v>8.7398272304160223</v>
      </c>
      <c r="Z420" s="38">
        <f t="shared" si="49"/>
        <v>8.1609857471583762</v>
      </c>
      <c r="AA420" s="39">
        <v>1</v>
      </c>
      <c r="AB420" s="38">
        <f t="shared" si="50"/>
        <v>8.1609857471583762</v>
      </c>
      <c r="AC420" s="37">
        <f>Priors!$K$18</f>
        <v>2.7435089299114512</v>
      </c>
      <c r="AD420" s="38" t="str">
        <f t="shared" si="51"/>
        <v/>
      </c>
      <c r="AE420" s="37">
        <f>Priors!$K$19</f>
        <v>0.67280088332719912</v>
      </c>
      <c r="AF420" s="38" t="str">
        <f t="shared" si="52"/>
        <v/>
      </c>
      <c r="AG420" s="17">
        <f t="shared" si="53"/>
        <v>0.44863167339614174</v>
      </c>
      <c r="AH420" s="7" t="s">
        <v>1643</v>
      </c>
      <c r="AI420" s="7">
        <v>10</v>
      </c>
      <c r="AJ420" s="38">
        <f t="shared" si="54"/>
        <v>0.81609857471583758</v>
      </c>
      <c r="AK420" s="9" t="b">
        <f t="shared" si="55"/>
        <v>0</v>
      </c>
      <c r="AL420" s="28" t="s">
        <v>1644</v>
      </c>
      <c r="AM420" s="28" t="s">
        <v>1645</v>
      </c>
      <c r="AN420" s="28" t="s">
        <v>1792</v>
      </c>
    </row>
    <row r="421" spans="1:40" ht="30">
      <c r="A421" s="7">
        <v>420</v>
      </c>
      <c r="B421" s="7" t="s">
        <v>1273</v>
      </c>
      <c r="C421" s="7" t="s">
        <v>54</v>
      </c>
      <c r="D421" s="7" t="s">
        <v>99</v>
      </c>
      <c r="E421" s="7" t="s">
        <v>1642</v>
      </c>
      <c r="F421" s="7" t="s">
        <v>54</v>
      </c>
      <c r="G421" s="14">
        <v>1730</v>
      </c>
      <c r="H421" s="14">
        <v>178</v>
      </c>
      <c r="I421" s="15">
        <v>8.1199999999999992</v>
      </c>
      <c r="J421" s="14">
        <v>0</v>
      </c>
      <c r="K421" s="15">
        <v>0</v>
      </c>
      <c r="L421" s="14">
        <v>33</v>
      </c>
      <c r="M421" s="14">
        <v>2</v>
      </c>
      <c r="N421" s="13"/>
      <c r="O421" s="14">
        <v>1</v>
      </c>
      <c r="P421" s="14">
        <v>191</v>
      </c>
      <c r="Q421" s="15">
        <v>9.9364161849710975</v>
      </c>
      <c r="R421" s="17">
        <f>IFERROR(G421/(G421+Priors!$H$18),0)</f>
        <v>0.63369963369963367</v>
      </c>
      <c r="S421" s="13">
        <v>1</v>
      </c>
      <c r="T421" s="40" t="b">
        <v>0</v>
      </c>
      <c r="U421" s="13">
        <v>1</v>
      </c>
      <c r="V421" s="40" t="b">
        <v>0</v>
      </c>
      <c r="W421" s="13">
        <v>1</v>
      </c>
      <c r="X421" s="17">
        <f t="shared" si="48"/>
        <v>0.63369963369963367</v>
      </c>
      <c r="Y421" s="37">
        <f>VLOOKUP(D421,Priors!$A$18:$B$21,2,FALSE)</f>
        <v>8.7398272304160223</v>
      </c>
      <c r="Z421" s="38">
        <f t="shared" si="49"/>
        <v>8.3470429415443306</v>
      </c>
      <c r="AA421" s="39">
        <v>1</v>
      </c>
      <c r="AB421" s="38">
        <f t="shared" si="50"/>
        <v>8.3470429415443306</v>
      </c>
      <c r="AC421" s="37">
        <f>Priors!$K$18</f>
        <v>2.7435089299114512</v>
      </c>
      <c r="AD421" s="38" t="str">
        <f t="shared" si="51"/>
        <v/>
      </c>
      <c r="AE421" s="37">
        <f>Priors!$K$19</f>
        <v>0.67280088332719912</v>
      </c>
      <c r="AF421" s="38" t="str">
        <f t="shared" si="52"/>
        <v/>
      </c>
      <c r="AG421" s="17">
        <f t="shared" si="53"/>
        <v>0.36630036630036633</v>
      </c>
      <c r="AH421" s="7" t="s">
        <v>1643</v>
      </c>
      <c r="AI421" s="7">
        <v>10</v>
      </c>
      <c r="AJ421" s="38">
        <f t="shared" si="54"/>
        <v>0.83470429415443304</v>
      </c>
      <c r="AK421" s="9" t="b">
        <f t="shared" si="55"/>
        <v>0</v>
      </c>
      <c r="AL421" s="28" t="s">
        <v>1644</v>
      </c>
      <c r="AM421" s="28" t="s">
        <v>1645</v>
      </c>
      <c r="AN421" s="28" t="s">
        <v>1792</v>
      </c>
    </row>
    <row r="422" spans="1:40" ht="30">
      <c r="A422" s="7">
        <v>421</v>
      </c>
      <c r="B422" s="7" t="s">
        <v>1275</v>
      </c>
      <c r="C422" s="7" t="s">
        <v>54</v>
      </c>
      <c r="D422" s="7" t="s">
        <v>99</v>
      </c>
      <c r="E422" s="7" t="s">
        <v>1642</v>
      </c>
      <c r="F422" s="7" t="s">
        <v>54</v>
      </c>
      <c r="G422" s="14">
        <v>920</v>
      </c>
      <c r="H422" s="14">
        <v>94</v>
      </c>
      <c r="I422" s="15">
        <v>9.1</v>
      </c>
      <c r="J422" s="14">
        <v>0</v>
      </c>
      <c r="K422" s="15">
        <v>0</v>
      </c>
      <c r="L422" s="14">
        <v>15</v>
      </c>
      <c r="M422" s="14">
        <v>2</v>
      </c>
      <c r="N422" s="13"/>
      <c r="O422" s="14">
        <v>3</v>
      </c>
      <c r="P422" s="14">
        <v>164</v>
      </c>
      <c r="Q422" s="15">
        <v>16.043478260869566</v>
      </c>
      <c r="R422" s="17">
        <f>IFERROR(G422/(G422+Priors!$H$18),0)</f>
        <v>0.47916666666666669</v>
      </c>
      <c r="S422" s="13">
        <v>1</v>
      </c>
      <c r="T422" s="40" t="b">
        <v>0</v>
      </c>
      <c r="U422" s="13">
        <v>1</v>
      </c>
      <c r="V422" s="40" t="b">
        <v>0</v>
      </c>
      <c r="W422" s="13">
        <v>1</v>
      </c>
      <c r="X422" s="17">
        <f t="shared" si="48"/>
        <v>0.47916666666666669</v>
      </c>
      <c r="Y422" s="37">
        <f>VLOOKUP(D422,Priors!$A$18:$B$21,2,FALSE)</f>
        <v>8.7398272304160223</v>
      </c>
      <c r="Z422" s="38">
        <f t="shared" si="49"/>
        <v>8.9124100158416777</v>
      </c>
      <c r="AA422" s="39">
        <v>1</v>
      </c>
      <c r="AB422" s="38">
        <f t="shared" si="50"/>
        <v>8.9124100158416777</v>
      </c>
      <c r="AC422" s="37">
        <f>Priors!$K$18</f>
        <v>2.7435089299114512</v>
      </c>
      <c r="AD422" s="38" t="str">
        <f t="shared" si="51"/>
        <v/>
      </c>
      <c r="AE422" s="37">
        <f>Priors!$K$19</f>
        <v>0.67280088332719912</v>
      </c>
      <c r="AF422" s="38" t="str">
        <f t="shared" si="52"/>
        <v/>
      </c>
      <c r="AG422" s="17">
        <f t="shared" si="53"/>
        <v>0.52083333333333326</v>
      </c>
      <c r="AH422" s="7" t="s">
        <v>1643</v>
      </c>
      <c r="AI422" s="7">
        <v>10</v>
      </c>
      <c r="AJ422" s="38">
        <f t="shared" si="54"/>
        <v>0.89124100158416775</v>
      </c>
      <c r="AK422" s="9" t="b">
        <f t="shared" si="55"/>
        <v>1</v>
      </c>
      <c r="AL422" s="28" t="s">
        <v>1644</v>
      </c>
      <c r="AM422" s="28" t="s">
        <v>1645</v>
      </c>
      <c r="AN422" s="28" t="s">
        <v>1792</v>
      </c>
    </row>
    <row r="423" spans="1:40" ht="30">
      <c r="A423" s="7">
        <v>422</v>
      </c>
      <c r="B423" s="7" t="s">
        <v>1278</v>
      </c>
      <c r="C423" s="7" t="s">
        <v>54</v>
      </c>
      <c r="D423" s="7" t="s">
        <v>99</v>
      </c>
      <c r="E423" s="7" t="s">
        <v>1642</v>
      </c>
      <c r="F423" s="7" t="s">
        <v>54</v>
      </c>
      <c r="G423" s="14">
        <v>977</v>
      </c>
      <c r="H423" s="14">
        <v>106</v>
      </c>
      <c r="I423" s="15">
        <v>8.66</v>
      </c>
      <c r="J423" s="14">
        <v>0</v>
      </c>
      <c r="K423" s="15">
        <v>0</v>
      </c>
      <c r="L423" s="14">
        <v>10</v>
      </c>
      <c r="M423" s="14">
        <v>5</v>
      </c>
      <c r="N423" s="13"/>
      <c r="O423" s="14">
        <v>6</v>
      </c>
      <c r="P423" s="14">
        <v>233</v>
      </c>
      <c r="Q423" s="15">
        <v>21.463664278403275</v>
      </c>
      <c r="R423" s="17">
        <f>IFERROR(G423/(G423+Priors!$H$18),0)</f>
        <v>0.49418310571573093</v>
      </c>
      <c r="S423" s="13">
        <v>1</v>
      </c>
      <c r="T423" s="40" t="b">
        <v>0</v>
      </c>
      <c r="U423" s="13">
        <v>1</v>
      </c>
      <c r="V423" s="40" t="b">
        <v>0</v>
      </c>
      <c r="W423" s="13">
        <v>1</v>
      </c>
      <c r="X423" s="17">
        <f t="shared" si="48"/>
        <v>0.49418310571573093</v>
      </c>
      <c r="Y423" s="37">
        <f>VLOOKUP(D423,Priors!$A$18:$B$21,2,FALSE)</f>
        <v>8.7398272304160223</v>
      </c>
      <c r="Z423" s="38">
        <f t="shared" si="49"/>
        <v>8.7003779617683481</v>
      </c>
      <c r="AA423" s="39">
        <v>1</v>
      </c>
      <c r="AB423" s="38">
        <f t="shared" si="50"/>
        <v>8.7003779617683481</v>
      </c>
      <c r="AC423" s="37">
        <f>Priors!$K$18</f>
        <v>2.7435089299114512</v>
      </c>
      <c r="AD423" s="38" t="str">
        <f t="shared" si="51"/>
        <v/>
      </c>
      <c r="AE423" s="37">
        <f>Priors!$K$19</f>
        <v>0.67280088332719912</v>
      </c>
      <c r="AF423" s="38" t="str">
        <f t="shared" si="52"/>
        <v/>
      </c>
      <c r="AG423" s="17">
        <f t="shared" si="53"/>
        <v>0.50581689428426913</v>
      </c>
      <c r="AH423" s="7" t="s">
        <v>1643</v>
      </c>
      <c r="AI423" s="7">
        <v>10</v>
      </c>
      <c r="AJ423" s="38">
        <f t="shared" si="54"/>
        <v>0.87003779617683485</v>
      </c>
      <c r="AK423" s="9" t="b">
        <f t="shared" si="55"/>
        <v>1</v>
      </c>
      <c r="AL423" s="28" t="s">
        <v>1644</v>
      </c>
      <c r="AM423" s="28" t="s">
        <v>1645</v>
      </c>
      <c r="AN423" s="28" t="s">
        <v>1792</v>
      </c>
    </row>
    <row r="424" spans="1:40" ht="30">
      <c r="A424" s="7">
        <v>423</v>
      </c>
      <c r="B424" s="7" t="s">
        <v>1280</v>
      </c>
      <c r="C424" s="7" t="s">
        <v>54</v>
      </c>
      <c r="D424" s="7" t="s">
        <v>99</v>
      </c>
      <c r="E424" s="7" t="s">
        <v>1642</v>
      </c>
      <c r="F424" s="7" t="s">
        <v>54</v>
      </c>
      <c r="G424" s="14">
        <v>3220</v>
      </c>
      <c r="H424" s="14">
        <v>255</v>
      </c>
      <c r="I424" s="15">
        <v>6.26</v>
      </c>
      <c r="J424" s="14">
        <v>0</v>
      </c>
      <c r="K424" s="15">
        <v>0</v>
      </c>
      <c r="L424" s="14">
        <v>45</v>
      </c>
      <c r="M424" s="14">
        <v>10</v>
      </c>
      <c r="N424" s="13"/>
      <c r="O424" s="14">
        <v>3</v>
      </c>
      <c r="P424" s="14">
        <v>449</v>
      </c>
      <c r="Q424" s="15">
        <v>12.549689440993788</v>
      </c>
      <c r="R424" s="17">
        <f>IFERROR(G424/(G424+Priors!$H$18),0)</f>
        <v>0.76303317535545023</v>
      </c>
      <c r="S424" s="13">
        <v>1</v>
      </c>
      <c r="T424" s="40" t="b">
        <v>0</v>
      </c>
      <c r="U424" s="13">
        <v>1</v>
      </c>
      <c r="V424" s="40" t="b">
        <v>0</v>
      </c>
      <c r="W424" s="13">
        <v>1</v>
      </c>
      <c r="X424" s="17">
        <f t="shared" si="48"/>
        <v>0.76303317535545023</v>
      </c>
      <c r="Y424" s="37">
        <f>VLOOKUP(D424,Priors!$A$18:$B$21,2,FALSE)</f>
        <v>8.7398272304160223</v>
      </c>
      <c r="Z424" s="38">
        <f t="shared" si="49"/>
        <v>6.8476367844587731</v>
      </c>
      <c r="AA424" s="39">
        <v>1</v>
      </c>
      <c r="AB424" s="38">
        <f t="shared" si="50"/>
        <v>6.8476367844587731</v>
      </c>
      <c r="AC424" s="37">
        <f>Priors!$K$18</f>
        <v>2.7435089299114512</v>
      </c>
      <c r="AD424" s="38" t="str">
        <f t="shared" si="51"/>
        <v/>
      </c>
      <c r="AE424" s="37">
        <f>Priors!$K$19</f>
        <v>0.67280088332719912</v>
      </c>
      <c r="AF424" s="38" t="str">
        <f t="shared" si="52"/>
        <v/>
      </c>
      <c r="AG424" s="17">
        <f t="shared" si="53"/>
        <v>0.23696682464454977</v>
      </c>
      <c r="AH424" s="7" t="s">
        <v>1643</v>
      </c>
      <c r="AI424" s="7">
        <v>10</v>
      </c>
      <c r="AJ424" s="38">
        <f t="shared" si="54"/>
        <v>0.68476367844587727</v>
      </c>
      <c r="AK424" s="9" t="b">
        <f t="shared" si="55"/>
        <v>0</v>
      </c>
      <c r="AL424" s="28" t="s">
        <v>1644</v>
      </c>
      <c r="AM424" s="28" t="s">
        <v>1645</v>
      </c>
      <c r="AN424" s="28" t="s">
        <v>1792</v>
      </c>
    </row>
    <row r="425" spans="1:40" ht="30">
      <c r="A425" s="7">
        <v>424</v>
      </c>
      <c r="B425" s="7" t="s">
        <v>1283</v>
      </c>
      <c r="C425" s="7" t="s">
        <v>54</v>
      </c>
      <c r="D425" s="7" t="s">
        <v>99</v>
      </c>
      <c r="E425" s="7" t="s">
        <v>1642</v>
      </c>
      <c r="F425" s="7" t="s">
        <v>54</v>
      </c>
      <c r="G425" s="14">
        <v>0</v>
      </c>
      <c r="H425" s="14">
        <v>0</v>
      </c>
      <c r="I425" s="15">
        <v>0</v>
      </c>
      <c r="J425" s="14">
        <v>0</v>
      </c>
      <c r="K425" s="15">
        <v>0</v>
      </c>
      <c r="L425" s="14">
        <v>0</v>
      </c>
      <c r="M425" s="14">
        <v>0</v>
      </c>
      <c r="N425" s="13"/>
      <c r="O425" s="14">
        <v>0</v>
      </c>
      <c r="P425" s="14">
        <v>0</v>
      </c>
      <c r="Q425" s="15">
        <v>0</v>
      </c>
      <c r="R425" s="17">
        <f>IFERROR(G425/(G425+Priors!$H$18),0)</f>
        <v>0</v>
      </c>
      <c r="S425" s="13">
        <v>1</v>
      </c>
      <c r="T425" s="40" t="b">
        <v>0</v>
      </c>
      <c r="U425" s="13">
        <v>1</v>
      </c>
      <c r="V425" s="40" t="b">
        <v>0</v>
      </c>
      <c r="W425" s="13">
        <v>1</v>
      </c>
      <c r="X425" s="17">
        <f t="shared" si="48"/>
        <v>0</v>
      </c>
      <c r="Y425" s="37">
        <f>VLOOKUP(D425,Priors!$A$18:$B$21,2,FALSE)</f>
        <v>8.7398272304160223</v>
      </c>
      <c r="Z425" s="38">
        <f t="shared" si="49"/>
        <v>8.7398272304160223</v>
      </c>
      <c r="AA425" s="39">
        <v>1</v>
      </c>
      <c r="AB425" s="38">
        <f t="shared" si="50"/>
        <v>8.7398272304160223</v>
      </c>
      <c r="AC425" s="37">
        <f>Priors!$K$18</f>
        <v>2.7435089299114512</v>
      </c>
      <c r="AD425" s="38" t="str">
        <f t="shared" si="51"/>
        <v/>
      </c>
      <c r="AE425" s="37">
        <f>Priors!$K$19</f>
        <v>0.67280088332719912</v>
      </c>
      <c r="AF425" s="38" t="str">
        <f t="shared" si="52"/>
        <v/>
      </c>
      <c r="AG425" s="17">
        <f t="shared" si="53"/>
        <v>1</v>
      </c>
      <c r="AH425" s="7" t="s">
        <v>1643</v>
      </c>
      <c r="AI425" s="7">
        <v>10</v>
      </c>
      <c r="AJ425" s="38">
        <f t="shared" si="54"/>
        <v>0.87398272304160218</v>
      </c>
      <c r="AK425" s="9" t="b">
        <f t="shared" si="55"/>
        <v>1</v>
      </c>
      <c r="AL425" s="28" t="s">
        <v>1644</v>
      </c>
      <c r="AM425" s="28" t="s">
        <v>1645</v>
      </c>
      <c r="AN425" s="28" t="s">
        <v>1792</v>
      </c>
    </row>
    <row r="426" spans="1:40" ht="30">
      <c r="A426" s="7">
        <v>425</v>
      </c>
      <c r="B426" s="7" t="s">
        <v>1286</v>
      </c>
      <c r="C426" s="7" t="s">
        <v>54</v>
      </c>
      <c r="D426" s="7" t="s">
        <v>99</v>
      </c>
      <c r="E426" s="7" t="s">
        <v>1642</v>
      </c>
      <c r="F426" s="7" t="s">
        <v>54</v>
      </c>
      <c r="G426" s="14">
        <v>2</v>
      </c>
      <c r="H426" s="14">
        <v>2</v>
      </c>
      <c r="I426" s="15">
        <v>90</v>
      </c>
      <c r="J426" s="14">
        <v>0</v>
      </c>
      <c r="K426" s="15">
        <v>0</v>
      </c>
      <c r="L426" s="14">
        <v>0</v>
      </c>
      <c r="M426" s="14">
        <v>0</v>
      </c>
      <c r="N426" s="13"/>
      <c r="O426" s="14">
        <v>0</v>
      </c>
      <c r="P426" s="14">
        <v>4</v>
      </c>
      <c r="Q426" s="15">
        <v>180</v>
      </c>
      <c r="R426" s="17">
        <f>IFERROR(G426/(G426+Priors!$H$18),0)</f>
        <v>1.996007984031936E-3</v>
      </c>
      <c r="S426" s="13">
        <v>1</v>
      </c>
      <c r="T426" s="40" t="b">
        <v>0</v>
      </c>
      <c r="U426" s="13">
        <v>1</v>
      </c>
      <c r="V426" s="40" t="b">
        <v>0</v>
      </c>
      <c r="W426" s="13">
        <v>1</v>
      </c>
      <c r="X426" s="17">
        <f t="shared" si="48"/>
        <v>1.996007984031936E-3</v>
      </c>
      <c r="Y426" s="37">
        <f>VLOOKUP(D426,Priors!$A$18:$B$21,2,FALSE)</f>
        <v>8.7398272304160223</v>
      </c>
      <c r="Z426" s="38">
        <f t="shared" si="49"/>
        <v>8.9020231840479251</v>
      </c>
      <c r="AA426" s="39">
        <v>1</v>
      </c>
      <c r="AB426" s="38">
        <f t="shared" si="50"/>
        <v>8.9020231840479251</v>
      </c>
      <c r="AC426" s="37">
        <f>Priors!$K$18</f>
        <v>2.7435089299114512</v>
      </c>
      <c r="AD426" s="38" t="str">
        <f t="shared" si="51"/>
        <v/>
      </c>
      <c r="AE426" s="37">
        <f>Priors!$K$19</f>
        <v>0.67280088332719912</v>
      </c>
      <c r="AF426" s="38" t="str">
        <f t="shared" si="52"/>
        <v/>
      </c>
      <c r="AG426" s="17">
        <f t="shared" si="53"/>
        <v>0.99800399201596801</v>
      </c>
      <c r="AH426" s="7" t="s">
        <v>1643</v>
      </c>
      <c r="AI426" s="7">
        <v>10</v>
      </c>
      <c r="AJ426" s="38">
        <f t="shared" si="54"/>
        <v>0.89020231840479247</v>
      </c>
      <c r="AK426" s="9" t="b">
        <f t="shared" si="55"/>
        <v>1</v>
      </c>
      <c r="AL426" s="28" t="s">
        <v>1644</v>
      </c>
      <c r="AM426" s="28" t="s">
        <v>1645</v>
      </c>
      <c r="AN426" s="28" t="s">
        <v>1792</v>
      </c>
    </row>
    <row r="427" spans="1:40" ht="30">
      <c r="A427" s="7">
        <v>426</v>
      </c>
      <c r="B427" s="7" t="s">
        <v>1289</v>
      </c>
      <c r="C427" s="7" t="s">
        <v>54</v>
      </c>
      <c r="D427" s="7" t="s">
        <v>112</v>
      </c>
      <c r="E427" s="7" t="s">
        <v>1642</v>
      </c>
      <c r="F427" s="7" t="s">
        <v>54</v>
      </c>
      <c r="G427" s="14">
        <v>3065</v>
      </c>
      <c r="H427" s="14">
        <v>287</v>
      </c>
      <c r="I427" s="15">
        <v>8.43</v>
      </c>
      <c r="J427" s="14">
        <v>0</v>
      </c>
      <c r="K427" s="15">
        <v>0</v>
      </c>
      <c r="L427" s="14">
        <v>46</v>
      </c>
      <c r="M427" s="14">
        <v>7</v>
      </c>
      <c r="N427" s="13"/>
      <c r="O427" s="14">
        <v>41</v>
      </c>
      <c r="P427" s="14">
        <v>1008</v>
      </c>
      <c r="Q427" s="15">
        <v>29.598694942903752</v>
      </c>
      <c r="R427" s="17">
        <f>IFERROR(G427/(G427+Priors!$H$18),0)</f>
        <v>0.75399753997539976</v>
      </c>
      <c r="S427" s="13">
        <v>1</v>
      </c>
      <c r="T427" s="40" t="b">
        <v>0</v>
      </c>
      <c r="U427" s="13">
        <v>1</v>
      </c>
      <c r="V427" s="40" t="b">
        <v>0</v>
      </c>
      <c r="W427" s="13">
        <v>1</v>
      </c>
      <c r="X427" s="17">
        <f t="shared" si="48"/>
        <v>0.75399753997539976</v>
      </c>
      <c r="Y427" s="37">
        <f>VLOOKUP(D427,Priors!$A$18:$B$21,2,FALSE)</f>
        <v>8.4555315342179806</v>
      </c>
      <c r="Z427" s="38">
        <f t="shared" si="49"/>
        <v>8.436280820225825</v>
      </c>
      <c r="AA427" s="39">
        <v>1</v>
      </c>
      <c r="AB427" s="38">
        <f t="shared" si="50"/>
        <v>8.436280820225825</v>
      </c>
      <c r="AC427" s="37">
        <f>Priors!$K$18</f>
        <v>2.7435089299114512</v>
      </c>
      <c r="AD427" s="38" t="str">
        <f t="shared" si="51"/>
        <v/>
      </c>
      <c r="AE427" s="37">
        <f>Priors!$K$19</f>
        <v>0.67280088332719912</v>
      </c>
      <c r="AF427" s="38" t="str">
        <f t="shared" si="52"/>
        <v/>
      </c>
      <c r="AG427" s="17">
        <f t="shared" si="53"/>
        <v>0.24600246002460024</v>
      </c>
      <c r="AH427" s="7" t="s">
        <v>1643</v>
      </c>
      <c r="AI427" s="7">
        <v>12</v>
      </c>
      <c r="AJ427" s="38">
        <f t="shared" si="54"/>
        <v>0.70302340168548538</v>
      </c>
      <c r="AK427" s="9" t="b">
        <f t="shared" si="55"/>
        <v>0</v>
      </c>
      <c r="AL427" s="28" t="s">
        <v>1644</v>
      </c>
      <c r="AM427" s="28" t="s">
        <v>1645</v>
      </c>
      <c r="AN427" s="28" t="s">
        <v>1792</v>
      </c>
    </row>
    <row r="428" spans="1:40" ht="30">
      <c r="A428" s="7">
        <v>427</v>
      </c>
      <c r="B428" s="7" t="s">
        <v>1292</v>
      </c>
      <c r="C428" s="7" t="s">
        <v>54</v>
      </c>
      <c r="D428" s="7" t="s">
        <v>112</v>
      </c>
      <c r="E428" s="7" t="s">
        <v>1642</v>
      </c>
      <c r="F428" s="7" t="s">
        <v>54</v>
      </c>
      <c r="G428" s="14">
        <v>2611</v>
      </c>
      <c r="H428" s="14">
        <v>139</v>
      </c>
      <c r="I428" s="15">
        <v>4.79</v>
      </c>
      <c r="J428" s="14">
        <v>0</v>
      </c>
      <c r="K428" s="15">
        <v>0</v>
      </c>
      <c r="L428" s="14">
        <v>37</v>
      </c>
      <c r="M428" s="14">
        <v>8</v>
      </c>
      <c r="N428" s="13"/>
      <c r="O428" s="14">
        <v>16</v>
      </c>
      <c r="P428" s="14">
        <v>528</v>
      </c>
      <c r="Q428" s="15">
        <v>18.199923400995786</v>
      </c>
      <c r="R428" s="17">
        <f>IFERROR(G428/(G428+Priors!$H$18),0)</f>
        <v>0.72306840210468015</v>
      </c>
      <c r="S428" s="13">
        <v>1</v>
      </c>
      <c r="T428" s="40" t="b">
        <v>0</v>
      </c>
      <c r="U428" s="13">
        <v>1</v>
      </c>
      <c r="V428" s="40" t="b">
        <v>0</v>
      </c>
      <c r="W428" s="13">
        <v>1</v>
      </c>
      <c r="X428" s="17">
        <f t="shared" si="48"/>
        <v>0.72306840210468015</v>
      </c>
      <c r="Y428" s="37">
        <f>VLOOKUP(D428,Priors!$A$18:$B$21,2,FALSE)</f>
        <v>8.4555315342179806</v>
      </c>
      <c r="Z428" s="38">
        <f t="shared" si="49"/>
        <v>5.8051015049066681</v>
      </c>
      <c r="AA428" s="39">
        <v>1</v>
      </c>
      <c r="AB428" s="38">
        <f t="shared" si="50"/>
        <v>5.8051015049066681</v>
      </c>
      <c r="AC428" s="37">
        <f>Priors!$K$18</f>
        <v>2.7435089299114512</v>
      </c>
      <c r="AD428" s="38" t="str">
        <f t="shared" si="51"/>
        <v/>
      </c>
      <c r="AE428" s="37">
        <f>Priors!$K$19</f>
        <v>0.67280088332719912</v>
      </c>
      <c r="AF428" s="38" t="str">
        <f t="shared" si="52"/>
        <v/>
      </c>
      <c r="AG428" s="17">
        <f t="shared" si="53"/>
        <v>0.27693159789531985</v>
      </c>
      <c r="AH428" s="7" t="s">
        <v>1643</v>
      </c>
      <c r="AI428" s="7">
        <v>12</v>
      </c>
      <c r="AJ428" s="38">
        <f t="shared" si="54"/>
        <v>0.48375845874222234</v>
      </c>
      <c r="AK428" s="9" t="b">
        <f t="shared" si="55"/>
        <v>0</v>
      </c>
      <c r="AL428" s="28" t="s">
        <v>1644</v>
      </c>
      <c r="AM428" s="28" t="s">
        <v>1645</v>
      </c>
      <c r="AN428" s="28" t="s">
        <v>1792</v>
      </c>
    </row>
    <row r="429" spans="1:40" ht="30">
      <c r="A429" s="7">
        <v>428</v>
      </c>
      <c r="B429" s="7" t="s">
        <v>1295</v>
      </c>
      <c r="C429" s="7" t="s">
        <v>54</v>
      </c>
      <c r="D429" s="7" t="s">
        <v>112</v>
      </c>
      <c r="E429" s="7" t="s">
        <v>1642</v>
      </c>
      <c r="F429" s="7" t="s">
        <v>54</v>
      </c>
      <c r="G429" s="14">
        <v>2493</v>
      </c>
      <c r="H429" s="14">
        <v>211</v>
      </c>
      <c r="I429" s="15">
        <v>7.62</v>
      </c>
      <c r="J429" s="14">
        <v>0</v>
      </c>
      <c r="K429" s="15">
        <v>0</v>
      </c>
      <c r="L429" s="14">
        <v>35</v>
      </c>
      <c r="M429" s="14">
        <v>8</v>
      </c>
      <c r="N429" s="13"/>
      <c r="O429" s="14">
        <v>14</v>
      </c>
      <c r="P429" s="14">
        <v>591</v>
      </c>
      <c r="Q429" s="15">
        <v>21.335740072202167</v>
      </c>
      <c r="R429" s="17">
        <f>IFERROR(G429/(G429+Priors!$H$18),0)</f>
        <v>0.71371314056684798</v>
      </c>
      <c r="S429" s="13">
        <v>1</v>
      </c>
      <c r="T429" s="40" t="b">
        <v>0</v>
      </c>
      <c r="U429" s="13">
        <v>1</v>
      </c>
      <c r="V429" s="40" t="b">
        <v>0</v>
      </c>
      <c r="W429" s="13">
        <v>1</v>
      </c>
      <c r="X429" s="17">
        <f t="shared" si="48"/>
        <v>0.71371314056684798</v>
      </c>
      <c r="Y429" s="37">
        <f>VLOOKUP(D429,Priors!$A$18:$B$21,2,FALSE)</f>
        <v>8.4555315342179806</v>
      </c>
      <c r="Z429" s="38">
        <f t="shared" si="49"/>
        <v>7.8592016988886293</v>
      </c>
      <c r="AA429" s="39">
        <v>1</v>
      </c>
      <c r="AB429" s="38">
        <f t="shared" si="50"/>
        <v>7.8592016988886293</v>
      </c>
      <c r="AC429" s="37">
        <f>Priors!$K$18</f>
        <v>2.7435089299114512</v>
      </c>
      <c r="AD429" s="38" t="str">
        <f t="shared" si="51"/>
        <v/>
      </c>
      <c r="AE429" s="37">
        <f>Priors!$K$19</f>
        <v>0.67280088332719912</v>
      </c>
      <c r="AF429" s="38" t="str">
        <f t="shared" si="52"/>
        <v/>
      </c>
      <c r="AG429" s="17">
        <f t="shared" si="53"/>
        <v>0.28628685943315202</v>
      </c>
      <c r="AH429" s="7" t="s">
        <v>1643</v>
      </c>
      <c r="AI429" s="7">
        <v>12</v>
      </c>
      <c r="AJ429" s="38">
        <f t="shared" si="54"/>
        <v>0.65493347490738574</v>
      </c>
      <c r="AK429" s="9" t="b">
        <f t="shared" si="55"/>
        <v>0</v>
      </c>
      <c r="AL429" s="28" t="s">
        <v>1644</v>
      </c>
      <c r="AM429" s="28" t="s">
        <v>1645</v>
      </c>
      <c r="AN429" s="28" t="s">
        <v>1792</v>
      </c>
    </row>
    <row r="430" spans="1:40" ht="30">
      <c r="A430" s="7">
        <v>429</v>
      </c>
      <c r="B430" s="7" t="s">
        <v>1297</v>
      </c>
      <c r="C430" s="7" t="s">
        <v>54</v>
      </c>
      <c r="D430" s="7" t="s">
        <v>112</v>
      </c>
      <c r="E430" s="7" t="s">
        <v>1642</v>
      </c>
      <c r="F430" s="7" t="s">
        <v>54</v>
      </c>
      <c r="G430" s="14">
        <v>0</v>
      </c>
      <c r="H430" s="14">
        <v>0</v>
      </c>
      <c r="I430" s="15">
        <v>0</v>
      </c>
      <c r="J430" s="14">
        <v>0</v>
      </c>
      <c r="K430" s="15">
        <v>0</v>
      </c>
      <c r="L430" s="14">
        <v>0</v>
      </c>
      <c r="M430" s="14">
        <v>0</v>
      </c>
      <c r="N430" s="13"/>
      <c r="O430" s="14">
        <v>0</v>
      </c>
      <c r="P430" s="14">
        <v>0</v>
      </c>
      <c r="Q430" s="15">
        <v>0</v>
      </c>
      <c r="R430" s="17">
        <f>IFERROR(G430/(G430+Priors!$H$18),0)</f>
        <v>0</v>
      </c>
      <c r="S430" s="13">
        <v>1</v>
      </c>
      <c r="T430" s="40" t="b">
        <v>0</v>
      </c>
      <c r="U430" s="13">
        <v>1</v>
      </c>
      <c r="V430" s="40" t="b">
        <v>0</v>
      </c>
      <c r="W430" s="13">
        <v>1</v>
      </c>
      <c r="X430" s="17">
        <f t="shared" si="48"/>
        <v>0</v>
      </c>
      <c r="Y430" s="37">
        <f>VLOOKUP(D430,Priors!$A$18:$B$21,2,FALSE)</f>
        <v>8.4555315342179806</v>
      </c>
      <c r="Z430" s="38">
        <f t="shared" si="49"/>
        <v>8.4555315342179806</v>
      </c>
      <c r="AA430" s="39">
        <v>1</v>
      </c>
      <c r="AB430" s="38">
        <f t="shared" si="50"/>
        <v>8.4555315342179806</v>
      </c>
      <c r="AC430" s="37">
        <f>Priors!$K$18</f>
        <v>2.7435089299114512</v>
      </c>
      <c r="AD430" s="38" t="str">
        <f t="shared" si="51"/>
        <v/>
      </c>
      <c r="AE430" s="37">
        <f>Priors!$K$19</f>
        <v>0.67280088332719912</v>
      </c>
      <c r="AF430" s="38" t="str">
        <f t="shared" si="52"/>
        <v/>
      </c>
      <c r="AG430" s="17">
        <f t="shared" si="53"/>
        <v>1</v>
      </c>
      <c r="AH430" s="7" t="s">
        <v>1643</v>
      </c>
      <c r="AI430" s="7">
        <v>12</v>
      </c>
      <c r="AJ430" s="38">
        <f t="shared" si="54"/>
        <v>0.70462762785149835</v>
      </c>
      <c r="AK430" s="9" t="b">
        <f t="shared" si="55"/>
        <v>1</v>
      </c>
      <c r="AL430" s="28" t="s">
        <v>1644</v>
      </c>
      <c r="AM430" s="28" t="s">
        <v>1645</v>
      </c>
      <c r="AN430" s="28" t="s">
        <v>1792</v>
      </c>
    </row>
    <row r="431" spans="1:40" ht="30">
      <c r="A431" s="7">
        <v>430</v>
      </c>
      <c r="B431" s="7" t="s">
        <v>1300</v>
      </c>
      <c r="C431" s="7" t="s">
        <v>54</v>
      </c>
      <c r="D431" s="7" t="s">
        <v>112</v>
      </c>
      <c r="E431" s="7" t="s">
        <v>1642</v>
      </c>
      <c r="F431" s="7" t="s">
        <v>54</v>
      </c>
      <c r="G431" s="14">
        <v>1010</v>
      </c>
      <c r="H431" s="14">
        <v>102</v>
      </c>
      <c r="I431" s="15">
        <v>9.09</v>
      </c>
      <c r="J431" s="14">
        <v>0</v>
      </c>
      <c r="K431" s="15">
        <v>0</v>
      </c>
      <c r="L431" s="14">
        <v>15</v>
      </c>
      <c r="M431" s="14">
        <v>5</v>
      </c>
      <c r="N431" s="13"/>
      <c r="O431" s="14">
        <v>3</v>
      </c>
      <c r="P431" s="14">
        <v>201</v>
      </c>
      <c r="Q431" s="15">
        <v>17.910891089108912</v>
      </c>
      <c r="R431" s="17">
        <f>IFERROR(G431/(G431+Priors!$H$18),0)</f>
        <v>0.50248756218905477</v>
      </c>
      <c r="S431" s="13">
        <v>1</v>
      </c>
      <c r="T431" s="40" t="b">
        <v>0</v>
      </c>
      <c r="U431" s="13">
        <v>1</v>
      </c>
      <c r="V431" s="40" t="b">
        <v>0</v>
      </c>
      <c r="W431" s="13">
        <v>1</v>
      </c>
      <c r="X431" s="17">
        <f t="shared" si="48"/>
        <v>0.50248756218905477</v>
      </c>
      <c r="Y431" s="37">
        <f>VLOOKUP(D431,Priors!$A$18:$B$21,2,FALSE)</f>
        <v>8.4555315342179806</v>
      </c>
      <c r="Z431" s="38">
        <f t="shared" si="49"/>
        <v>8.7743440468746172</v>
      </c>
      <c r="AA431" s="39">
        <v>1</v>
      </c>
      <c r="AB431" s="38">
        <f t="shared" si="50"/>
        <v>8.7743440468746172</v>
      </c>
      <c r="AC431" s="37">
        <f>Priors!$K$18</f>
        <v>2.7435089299114512</v>
      </c>
      <c r="AD431" s="38" t="str">
        <f t="shared" si="51"/>
        <v/>
      </c>
      <c r="AE431" s="37">
        <f>Priors!$K$19</f>
        <v>0.67280088332719912</v>
      </c>
      <c r="AF431" s="38" t="str">
        <f t="shared" si="52"/>
        <v/>
      </c>
      <c r="AG431" s="17">
        <f t="shared" si="53"/>
        <v>0.49751243781094523</v>
      </c>
      <c r="AH431" s="7" t="s">
        <v>1643</v>
      </c>
      <c r="AI431" s="7">
        <v>12</v>
      </c>
      <c r="AJ431" s="38">
        <f t="shared" si="54"/>
        <v>0.73119533723955144</v>
      </c>
      <c r="AK431" s="9" t="b">
        <f t="shared" si="55"/>
        <v>0</v>
      </c>
      <c r="AL431" s="28" t="s">
        <v>1644</v>
      </c>
      <c r="AM431" s="28" t="s">
        <v>1645</v>
      </c>
      <c r="AN431" s="28" t="s">
        <v>1792</v>
      </c>
    </row>
    <row r="432" spans="1:40" ht="30">
      <c r="A432" s="7">
        <v>431</v>
      </c>
      <c r="B432" s="7" t="s">
        <v>1303</v>
      </c>
      <c r="C432" s="7" t="s">
        <v>54</v>
      </c>
      <c r="D432" s="7" t="s">
        <v>112</v>
      </c>
      <c r="E432" s="7" t="s">
        <v>1642</v>
      </c>
      <c r="F432" s="7" t="s">
        <v>54</v>
      </c>
      <c r="G432" s="14">
        <v>2339</v>
      </c>
      <c r="H432" s="14">
        <v>198</v>
      </c>
      <c r="I432" s="15">
        <v>7.62</v>
      </c>
      <c r="J432" s="14">
        <v>0</v>
      </c>
      <c r="K432" s="15">
        <v>0</v>
      </c>
      <c r="L432" s="14">
        <v>33</v>
      </c>
      <c r="M432" s="14">
        <v>6</v>
      </c>
      <c r="N432" s="13"/>
      <c r="O432" s="14">
        <v>7</v>
      </c>
      <c r="P432" s="14">
        <v>463</v>
      </c>
      <c r="Q432" s="15">
        <v>17.81530568619068</v>
      </c>
      <c r="R432" s="17">
        <f>IFERROR(G432/(G432+Priors!$H$18),0)</f>
        <v>0.70050913447139862</v>
      </c>
      <c r="S432" s="13">
        <v>1</v>
      </c>
      <c r="T432" s="40" t="b">
        <v>0</v>
      </c>
      <c r="U432" s="13">
        <v>1</v>
      </c>
      <c r="V432" s="40" t="b">
        <v>0</v>
      </c>
      <c r="W432" s="13">
        <v>1</v>
      </c>
      <c r="X432" s="17">
        <f t="shared" si="48"/>
        <v>0.70050913447139862</v>
      </c>
      <c r="Y432" s="37">
        <f>VLOOKUP(D432,Priors!$A$18:$B$21,2,FALSE)</f>
        <v>8.4555315342179806</v>
      </c>
      <c r="Z432" s="38">
        <f t="shared" si="49"/>
        <v>7.8702340623593834</v>
      </c>
      <c r="AA432" s="39">
        <v>1</v>
      </c>
      <c r="AB432" s="38">
        <f t="shared" si="50"/>
        <v>7.8702340623593834</v>
      </c>
      <c r="AC432" s="37">
        <f>Priors!$K$18</f>
        <v>2.7435089299114512</v>
      </c>
      <c r="AD432" s="38" t="str">
        <f t="shared" si="51"/>
        <v/>
      </c>
      <c r="AE432" s="37">
        <f>Priors!$K$19</f>
        <v>0.67280088332719912</v>
      </c>
      <c r="AF432" s="38" t="str">
        <f t="shared" si="52"/>
        <v/>
      </c>
      <c r="AG432" s="17">
        <f t="shared" si="53"/>
        <v>0.29949086552860138</v>
      </c>
      <c r="AH432" s="7" t="s">
        <v>1643</v>
      </c>
      <c r="AI432" s="7">
        <v>12</v>
      </c>
      <c r="AJ432" s="38">
        <f t="shared" si="54"/>
        <v>0.65585283852994858</v>
      </c>
      <c r="AK432" s="9" t="b">
        <f t="shared" si="55"/>
        <v>0</v>
      </c>
      <c r="AL432" s="28" t="s">
        <v>1644</v>
      </c>
      <c r="AM432" s="28" t="s">
        <v>1645</v>
      </c>
      <c r="AN432" s="28" t="s">
        <v>1792</v>
      </c>
    </row>
    <row r="433" spans="1:40" ht="30">
      <c r="A433" s="7">
        <v>432</v>
      </c>
      <c r="B433" s="7" t="s">
        <v>1305</v>
      </c>
      <c r="C433" s="7" t="s">
        <v>54</v>
      </c>
      <c r="D433" s="7" t="s">
        <v>112</v>
      </c>
      <c r="E433" s="7" t="s">
        <v>1642</v>
      </c>
      <c r="F433" s="7" t="s">
        <v>54</v>
      </c>
      <c r="G433" s="14">
        <v>1653</v>
      </c>
      <c r="H433" s="14">
        <v>187</v>
      </c>
      <c r="I433" s="15">
        <v>10.18</v>
      </c>
      <c r="J433" s="14">
        <v>0</v>
      </c>
      <c r="K433" s="15">
        <v>0</v>
      </c>
      <c r="L433" s="14">
        <v>22</v>
      </c>
      <c r="M433" s="14">
        <v>6</v>
      </c>
      <c r="N433" s="13"/>
      <c r="O433" s="14">
        <v>2</v>
      </c>
      <c r="P433" s="14">
        <v>340</v>
      </c>
      <c r="Q433" s="15">
        <v>18.511796733212343</v>
      </c>
      <c r="R433" s="17">
        <f>IFERROR(G433/(G433+Priors!$H$18),0)</f>
        <v>0.62306822465133815</v>
      </c>
      <c r="S433" s="13">
        <v>1</v>
      </c>
      <c r="T433" s="40" t="b">
        <v>0</v>
      </c>
      <c r="U433" s="13">
        <v>1</v>
      </c>
      <c r="V433" s="40" t="b">
        <v>0</v>
      </c>
      <c r="W433" s="13">
        <v>1</v>
      </c>
      <c r="X433" s="17">
        <f t="shared" si="48"/>
        <v>0.62306822465133815</v>
      </c>
      <c r="Y433" s="37">
        <f>VLOOKUP(D433,Priors!$A$18:$B$21,2,FALSE)</f>
        <v>8.4555315342179806</v>
      </c>
      <c r="Z433" s="38">
        <f t="shared" si="49"/>
        <v>9.5299930396600008</v>
      </c>
      <c r="AA433" s="39">
        <v>1</v>
      </c>
      <c r="AB433" s="38">
        <f t="shared" si="50"/>
        <v>9.5299930396600008</v>
      </c>
      <c r="AC433" s="37">
        <f>Priors!$K$18</f>
        <v>2.7435089299114512</v>
      </c>
      <c r="AD433" s="38" t="str">
        <f t="shared" si="51"/>
        <v/>
      </c>
      <c r="AE433" s="37">
        <f>Priors!$K$19</f>
        <v>0.67280088332719912</v>
      </c>
      <c r="AF433" s="38" t="str">
        <f t="shared" si="52"/>
        <v/>
      </c>
      <c r="AG433" s="17">
        <f t="shared" si="53"/>
        <v>0.37693177534866185</v>
      </c>
      <c r="AH433" s="7" t="s">
        <v>1643</v>
      </c>
      <c r="AI433" s="7">
        <v>12</v>
      </c>
      <c r="AJ433" s="38">
        <f t="shared" si="54"/>
        <v>0.79416608663833343</v>
      </c>
      <c r="AK433" s="9" t="b">
        <f t="shared" si="55"/>
        <v>0</v>
      </c>
      <c r="AL433" s="28" t="s">
        <v>1644</v>
      </c>
      <c r="AM433" s="28" t="s">
        <v>1645</v>
      </c>
      <c r="AN433" s="28" t="s">
        <v>1792</v>
      </c>
    </row>
    <row r="434" spans="1:40" ht="30">
      <c r="A434" s="7">
        <v>433</v>
      </c>
      <c r="B434" s="7" t="s">
        <v>1308</v>
      </c>
      <c r="C434" s="7" t="s">
        <v>54</v>
      </c>
      <c r="D434" s="7" t="s">
        <v>112</v>
      </c>
      <c r="E434" s="7" t="s">
        <v>1642</v>
      </c>
      <c r="F434" s="7" t="s">
        <v>54</v>
      </c>
      <c r="G434" s="14">
        <v>876</v>
      </c>
      <c r="H434" s="14">
        <v>142</v>
      </c>
      <c r="I434" s="15">
        <v>14.59</v>
      </c>
      <c r="J434" s="14">
        <v>0</v>
      </c>
      <c r="K434" s="15">
        <v>0</v>
      </c>
      <c r="L434" s="14">
        <v>23</v>
      </c>
      <c r="M434" s="14">
        <v>1</v>
      </c>
      <c r="N434" s="13"/>
      <c r="O434" s="14">
        <v>0</v>
      </c>
      <c r="P434" s="14">
        <v>183</v>
      </c>
      <c r="Q434" s="15">
        <v>18.801369863013697</v>
      </c>
      <c r="R434" s="17">
        <f>IFERROR(G434/(G434+Priors!$H$18),0)</f>
        <v>0.46695095948827292</v>
      </c>
      <c r="S434" s="13">
        <v>1</v>
      </c>
      <c r="T434" s="40" t="b">
        <v>0</v>
      </c>
      <c r="U434" s="13">
        <v>1</v>
      </c>
      <c r="V434" s="40" t="b">
        <v>0</v>
      </c>
      <c r="W434" s="13">
        <v>1</v>
      </c>
      <c r="X434" s="17">
        <f t="shared" si="48"/>
        <v>0.46695095948827292</v>
      </c>
      <c r="Y434" s="37">
        <f>VLOOKUP(D434,Priors!$A$18:$B$21,2,FALSE)</f>
        <v>8.4555315342179806</v>
      </c>
      <c r="Z434" s="38">
        <f t="shared" si="49"/>
        <v>11.320027470265448</v>
      </c>
      <c r="AA434" s="39">
        <v>1</v>
      </c>
      <c r="AB434" s="38">
        <f t="shared" si="50"/>
        <v>11.320027470265448</v>
      </c>
      <c r="AC434" s="37">
        <f>Priors!$K$18</f>
        <v>2.7435089299114512</v>
      </c>
      <c r="AD434" s="38" t="str">
        <f t="shared" si="51"/>
        <v/>
      </c>
      <c r="AE434" s="37">
        <f>Priors!$K$19</f>
        <v>0.67280088332719912</v>
      </c>
      <c r="AF434" s="38" t="str">
        <f t="shared" si="52"/>
        <v/>
      </c>
      <c r="AG434" s="17">
        <f t="shared" si="53"/>
        <v>0.53304904051172708</v>
      </c>
      <c r="AH434" s="7" t="s">
        <v>1643</v>
      </c>
      <c r="AI434" s="7">
        <v>12</v>
      </c>
      <c r="AJ434" s="38">
        <f t="shared" si="54"/>
        <v>0.94333562252212066</v>
      </c>
      <c r="AK434" s="9" t="b">
        <f t="shared" si="55"/>
        <v>1</v>
      </c>
      <c r="AL434" s="28" t="s">
        <v>1644</v>
      </c>
      <c r="AM434" s="28" t="s">
        <v>1645</v>
      </c>
      <c r="AN434" s="28" t="s">
        <v>1792</v>
      </c>
    </row>
    <row r="435" spans="1:40" ht="30">
      <c r="A435" s="7">
        <v>434</v>
      </c>
      <c r="B435" s="7" t="s">
        <v>1310</v>
      </c>
      <c r="C435" s="7" t="s">
        <v>54</v>
      </c>
      <c r="D435" s="7" t="s">
        <v>112</v>
      </c>
      <c r="E435" s="7" t="s">
        <v>1642</v>
      </c>
      <c r="F435" s="7" t="s">
        <v>54</v>
      </c>
      <c r="G435" s="14">
        <v>107</v>
      </c>
      <c r="H435" s="14">
        <v>11</v>
      </c>
      <c r="I435" s="15">
        <v>9.25</v>
      </c>
      <c r="J435" s="14">
        <v>0</v>
      </c>
      <c r="K435" s="15">
        <v>0</v>
      </c>
      <c r="L435" s="14">
        <v>0</v>
      </c>
      <c r="M435" s="14">
        <v>0</v>
      </c>
      <c r="N435" s="13"/>
      <c r="O435" s="14">
        <v>0</v>
      </c>
      <c r="P435" s="14">
        <v>10</v>
      </c>
      <c r="Q435" s="15">
        <v>8.4112149532710276</v>
      </c>
      <c r="R435" s="17">
        <f>IFERROR(G435/(G435+Priors!$H$18),0)</f>
        <v>9.66576332429991E-2</v>
      </c>
      <c r="S435" s="13">
        <v>1</v>
      </c>
      <c r="T435" s="40" t="b">
        <v>0</v>
      </c>
      <c r="U435" s="13">
        <v>1</v>
      </c>
      <c r="V435" s="40" t="b">
        <v>0</v>
      </c>
      <c r="W435" s="13">
        <v>1</v>
      </c>
      <c r="X435" s="17">
        <f t="shared" si="48"/>
        <v>9.66576332429991E-2</v>
      </c>
      <c r="Y435" s="37">
        <f>VLOOKUP(D435,Priors!$A$18:$B$21,2,FALSE)</f>
        <v>8.4555315342179806</v>
      </c>
      <c r="Z435" s="38">
        <f t="shared" si="49"/>
        <v>8.5323229758066681</v>
      </c>
      <c r="AA435" s="39">
        <v>1</v>
      </c>
      <c r="AB435" s="38">
        <f t="shared" si="50"/>
        <v>8.5323229758066681</v>
      </c>
      <c r="AC435" s="37">
        <f>Priors!$K$18</f>
        <v>2.7435089299114512</v>
      </c>
      <c r="AD435" s="38" t="str">
        <f t="shared" si="51"/>
        <v/>
      </c>
      <c r="AE435" s="37">
        <f>Priors!$K$19</f>
        <v>0.67280088332719912</v>
      </c>
      <c r="AF435" s="38" t="str">
        <f t="shared" si="52"/>
        <v/>
      </c>
      <c r="AG435" s="17">
        <f t="shared" si="53"/>
        <v>0.90334236675700086</v>
      </c>
      <c r="AH435" s="7" t="s">
        <v>1643</v>
      </c>
      <c r="AI435" s="7">
        <v>12</v>
      </c>
      <c r="AJ435" s="38">
        <f t="shared" si="54"/>
        <v>0.71102691465055567</v>
      </c>
      <c r="AK435" s="9" t="b">
        <f t="shared" si="55"/>
        <v>1</v>
      </c>
      <c r="AL435" s="28" t="s">
        <v>1644</v>
      </c>
      <c r="AM435" s="28" t="s">
        <v>1645</v>
      </c>
      <c r="AN435" s="28" t="s">
        <v>1792</v>
      </c>
    </row>
    <row r="436" spans="1:40" ht="30">
      <c r="A436" s="7">
        <v>435</v>
      </c>
      <c r="B436" s="7" t="s">
        <v>1312</v>
      </c>
      <c r="C436" s="7" t="s">
        <v>54</v>
      </c>
      <c r="D436" s="7" t="s">
        <v>112</v>
      </c>
      <c r="E436" s="7" t="s">
        <v>1642</v>
      </c>
      <c r="F436" s="7" t="s">
        <v>54</v>
      </c>
      <c r="G436" s="14">
        <v>40</v>
      </c>
      <c r="H436" s="14">
        <v>3</v>
      </c>
      <c r="I436" s="15">
        <v>6.75</v>
      </c>
      <c r="J436" s="14">
        <v>0</v>
      </c>
      <c r="K436" s="15">
        <v>0</v>
      </c>
      <c r="L436" s="14">
        <v>0</v>
      </c>
      <c r="M436" s="14">
        <v>0</v>
      </c>
      <c r="N436" s="13"/>
      <c r="O436" s="14">
        <v>0</v>
      </c>
      <c r="P436" s="14">
        <v>9</v>
      </c>
      <c r="Q436" s="15">
        <v>20.25</v>
      </c>
      <c r="R436" s="17">
        <f>IFERROR(G436/(G436+Priors!$H$18),0)</f>
        <v>3.8461538461538464E-2</v>
      </c>
      <c r="S436" s="13">
        <v>1</v>
      </c>
      <c r="T436" s="40" t="b">
        <v>0</v>
      </c>
      <c r="U436" s="13">
        <v>1</v>
      </c>
      <c r="V436" s="40" t="b">
        <v>0</v>
      </c>
      <c r="W436" s="13">
        <v>1</v>
      </c>
      <c r="X436" s="17">
        <f t="shared" si="48"/>
        <v>3.8461538461538464E-2</v>
      </c>
      <c r="Y436" s="37">
        <f>VLOOKUP(D436,Priors!$A$18:$B$21,2,FALSE)</f>
        <v>8.4555315342179806</v>
      </c>
      <c r="Z436" s="38">
        <f t="shared" si="49"/>
        <v>8.3899341675172892</v>
      </c>
      <c r="AA436" s="39">
        <v>1</v>
      </c>
      <c r="AB436" s="38">
        <f t="shared" si="50"/>
        <v>8.3899341675172892</v>
      </c>
      <c r="AC436" s="37">
        <f>Priors!$K$18</f>
        <v>2.7435089299114512</v>
      </c>
      <c r="AD436" s="38" t="str">
        <f t="shared" si="51"/>
        <v/>
      </c>
      <c r="AE436" s="37">
        <f>Priors!$K$19</f>
        <v>0.67280088332719912</v>
      </c>
      <c r="AF436" s="38" t="str">
        <f t="shared" si="52"/>
        <v/>
      </c>
      <c r="AG436" s="17">
        <f t="shared" si="53"/>
        <v>0.96153846153846156</v>
      </c>
      <c r="AH436" s="7" t="s">
        <v>1643</v>
      </c>
      <c r="AI436" s="7">
        <v>12</v>
      </c>
      <c r="AJ436" s="38">
        <f t="shared" si="54"/>
        <v>0.69916118062644073</v>
      </c>
      <c r="AK436" s="9" t="b">
        <f t="shared" si="55"/>
        <v>1</v>
      </c>
      <c r="AL436" s="28" t="s">
        <v>1644</v>
      </c>
      <c r="AM436" s="28" t="s">
        <v>1645</v>
      </c>
      <c r="AN436" s="28" t="s">
        <v>1792</v>
      </c>
    </row>
    <row r="437" spans="1:40" ht="30">
      <c r="A437" s="7">
        <v>436</v>
      </c>
      <c r="B437" s="7" t="s">
        <v>1315</v>
      </c>
      <c r="C437" s="7" t="s">
        <v>54</v>
      </c>
      <c r="D437" s="7" t="s">
        <v>112</v>
      </c>
      <c r="E437" s="7" t="s">
        <v>1642</v>
      </c>
      <c r="F437" s="7" t="s">
        <v>54</v>
      </c>
      <c r="G437" s="14">
        <v>0</v>
      </c>
      <c r="H437" s="14">
        <v>0</v>
      </c>
      <c r="I437" s="15">
        <v>0</v>
      </c>
      <c r="J437" s="14">
        <v>0</v>
      </c>
      <c r="K437" s="15">
        <v>0</v>
      </c>
      <c r="L437" s="14">
        <v>0</v>
      </c>
      <c r="M437" s="14">
        <v>0</v>
      </c>
      <c r="N437" s="13"/>
      <c r="O437" s="14">
        <v>0</v>
      </c>
      <c r="P437" s="14">
        <v>0</v>
      </c>
      <c r="Q437" s="15">
        <v>0</v>
      </c>
      <c r="R437" s="17">
        <f>IFERROR(G437/(G437+Priors!$H$18),0)</f>
        <v>0</v>
      </c>
      <c r="S437" s="13">
        <v>1</v>
      </c>
      <c r="T437" s="40" t="b">
        <v>0</v>
      </c>
      <c r="U437" s="13">
        <v>1</v>
      </c>
      <c r="V437" s="40" t="b">
        <v>0</v>
      </c>
      <c r="W437" s="13">
        <v>1</v>
      </c>
      <c r="X437" s="17">
        <f t="shared" si="48"/>
        <v>0</v>
      </c>
      <c r="Y437" s="37">
        <f>VLOOKUP(D437,Priors!$A$18:$B$21,2,FALSE)</f>
        <v>8.4555315342179806</v>
      </c>
      <c r="Z437" s="38">
        <f t="shared" si="49"/>
        <v>8.4555315342179806</v>
      </c>
      <c r="AA437" s="39">
        <v>1</v>
      </c>
      <c r="AB437" s="38">
        <f t="shared" si="50"/>
        <v>8.4555315342179806</v>
      </c>
      <c r="AC437" s="37">
        <f>Priors!$K$18</f>
        <v>2.7435089299114512</v>
      </c>
      <c r="AD437" s="38" t="str">
        <f t="shared" si="51"/>
        <v/>
      </c>
      <c r="AE437" s="37">
        <f>Priors!$K$19</f>
        <v>0.67280088332719912</v>
      </c>
      <c r="AF437" s="38" t="str">
        <f t="shared" si="52"/>
        <v/>
      </c>
      <c r="AG437" s="17">
        <f t="shared" si="53"/>
        <v>1</v>
      </c>
      <c r="AH437" s="7" t="s">
        <v>1643</v>
      </c>
      <c r="AI437" s="7">
        <v>12</v>
      </c>
      <c r="AJ437" s="38">
        <f t="shared" si="54"/>
        <v>0.70462762785149835</v>
      </c>
      <c r="AK437" s="9" t="b">
        <f t="shared" si="55"/>
        <v>1</v>
      </c>
      <c r="AL437" s="28" t="s">
        <v>1644</v>
      </c>
      <c r="AM437" s="28" t="s">
        <v>1645</v>
      </c>
      <c r="AN437" s="28" t="s">
        <v>1792</v>
      </c>
    </row>
    <row r="438" spans="1:40" ht="30">
      <c r="A438" s="7">
        <v>437</v>
      </c>
      <c r="B438" s="7" t="s">
        <v>1317</v>
      </c>
      <c r="C438" s="7" t="s">
        <v>54</v>
      </c>
      <c r="D438" s="7" t="s">
        <v>112</v>
      </c>
      <c r="E438" s="7" t="s">
        <v>1642</v>
      </c>
      <c r="F438" s="7" t="s">
        <v>54</v>
      </c>
      <c r="G438" s="14">
        <v>15</v>
      </c>
      <c r="H438" s="14">
        <v>0</v>
      </c>
      <c r="I438" s="15">
        <v>0</v>
      </c>
      <c r="J438" s="14">
        <v>0</v>
      </c>
      <c r="K438" s="15">
        <v>0</v>
      </c>
      <c r="L438" s="14">
        <v>0</v>
      </c>
      <c r="M438" s="14">
        <v>0</v>
      </c>
      <c r="N438" s="13"/>
      <c r="O438" s="14">
        <v>0</v>
      </c>
      <c r="P438" s="14">
        <v>3</v>
      </c>
      <c r="Q438" s="15">
        <v>18</v>
      </c>
      <c r="R438" s="17">
        <f>IFERROR(G438/(G438+Priors!$H$18),0)</f>
        <v>1.4778325123152709E-2</v>
      </c>
      <c r="S438" s="13">
        <v>1</v>
      </c>
      <c r="T438" s="40" t="b">
        <v>0</v>
      </c>
      <c r="U438" s="13">
        <v>1</v>
      </c>
      <c r="V438" s="40" t="b">
        <v>0</v>
      </c>
      <c r="W438" s="13">
        <v>1</v>
      </c>
      <c r="X438" s="17">
        <f t="shared" si="48"/>
        <v>1.4778325123152709E-2</v>
      </c>
      <c r="Y438" s="37">
        <f>VLOOKUP(D438,Priors!$A$18:$B$21,2,FALSE)</f>
        <v>8.4555315342179806</v>
      </c>
      <c r="Z438" s="38">
        <f t="shared" si="49"/>
        <v>8.3305729401162374</v>
      </c>
      <c r="AA438" s="39">
        <v>1</v>
      </c>
      <c r="AB438" s="38">
        <f t="shared" si="50"/>
        <v>8.3305729401162374</v>
      </c>
      <c r="AC438" s="37">
        <f>Priors!$K$18</f>
        <v>2.7435089299114512</v>
      </c>
      <c r="AD438" s="38" t="str">
        <f t="shared" si="51"/>
        <v/>
      </c>
      <c r="AE438" s="37">
        <f>Priors!$K$19</f>
        <v>0.67280088332719912</v>
      </c>
      <c r="AF438" s="38" t="str">
        <f t="shared" si="52"/>
        <v/>
      </c>
      <c r="AG438" s="17">
        <f t="shared" si="53"/>
        <v>0.98522167487684731</v>
      </c>
      <c r="AH438" s="7" t="s">
        <v>1643</v>
      </c>
      <c r="AI438" s="7">
        <v>12</v>
      </c>
      <c r="AJ438" s="38">
        <f t="shared" si="54"/>
        <v>0.69421441167635312</v>
      </c>
      <c r="AK438" s="9" t="b">
        <f t="shared" si="55"/>
        <v>1</v>
      </c>
      <c r="AL438" s="28" t="s">
        <v>1644</v>
      </c>
      <c r="AM438" s="28" t="s">
        <v>1645</v>
      </c>
      <c r="AN438" s="28" t="s">
        <v>1792</v>
      </c>
    </row>
    <row r="439" spans="1:40" ht="30">
      <c r="A439" s="7">
        <v>438</v>
      </c>
      <c r="B439" s="7" t="s">
        <v>1318</v>
      </c>
      <c r="C439" s="7" t="s">
        <v>54</v>
      </c>
      <c r="D439" s="7" t="s">
        <v>112</v>
      </c>
      <c r="E439" s="7" t="s">
        <v>1642</v>
      </c>
      <c r="F439" s="7" t="s">
        <v>54</v>
      </c>
      <c r="G439" s="14">
        <v>17</v>
      </c>
      <c r="H439" s="14">
        <v>2</v>
      </c>
      <c r="I439" s="15">
        <v>10.59</v>
      </c>
      <c r="J439" s="14">
        <v>0</v>
      </c>
      <c r="K439" s="15">
        <v>0</v>
      </c>
      <c r="L439" s="14">
        <v>0</v>
      </c>
      <c r="M439" s="14">
        <v>0</v>
      </c>
      <c r="N439" s="13"/>
      <c r="O439" s="14">
        <v>0</v>
      </c>
      <c r="P439" s="14">
        <v>6</v>
      </c>
      <c r="Q439" s="15">
        <v>31.764705882352942</v>
      </c>
      <c r="R439" s="17">
        <f>IFERROR(G439/(G439+Priors!$H$18),0)</f>
        <v>1.6715830875122909E-2</v>
      </c>
      <c r="S439" s="13">
        <v>1</v>
      </c>
      <c r="T439" s="40" t="b">
        <v>0</v>
      </c>
      <c r="U439" s="13">
        <v>1</v>
      </c>
      <c r="V439" s="40" t="b">
        <v>0</v>
      </c>
      <c r="W439" s="13">
        <v>1</v>
      </c>
      <c r="X439" s="17">
        <f t="shared" si="48"/>
        <v>1.6715830875122909E-2</v>
      </c>
      <c r="Y439" s="37">
        <f>VLOOKUP(D439,Priors!$A$18:$B$21,2,FALSE)</f>
        <v>8.4555315342179806</v>
      </c>
      <c r="Z439" s="38">
        <f t="shared" si="49"/>
        <v>8.4912109481002762</v>
      </c>
      <c r="AA439" s="39">
        <v>1</v>
      </c>
      <c r="AB439" s="38">
        <f t="shared" si="50"/>
        <v>8.4912109481002762</v>
      </c>
      <c r="AC439" s="37">
        <f>Priors!$K$18</f>
        <v>2.7435089299114512</v>
      </c>
      <c r="AD439" s="38" t="str">
        <f t="shared" si="51"/>
        <v/>
      </c>
      <c r="AE439" s="37">
        <f>Priors!$K$19</f>
        <v>0.67280088332719912</v>
      </c>
      <c r="AF439" s="38" t="str">
        <f t="shared" si="52"/>
        <v/>
      </c>
      <c r="AG439" s="17">
        <f t="shared" si="53"/>
        <v>0.98328416912487704</v>
      </c>
      <c r="AH439" s="7" t="s">
        <v>1643</v>
      </c>
      <c r="AI439" s="7">
        <v>12</v>
      </c>
      <c r="AJ439" s="38">
        <f t="shared" si="54"/>
        <v>0.70760091234168965</v>
      </c>
      <c r="AK439" s="9" t="b">
        <f t="shared" si="55"/>
        <v>1</v>
      </c>
      <c r="AL439" s="28" t="s">
        <v>1644</v>
      </c>
      <c r="AM439" s="28" t="s">
        <v>1645</v>
      </c>
      <c r="AN439" s="28" t="s">
        <v>1792</v>
      </c>
    </row>
    <row r="440" spans="1:40" ht="30">
      <c r="A440" s="7">
        <v>439</v>
      </c>
      <c r="B440" s="7" t="s">
        <v>1320</v>
      </c>
      <c r="C440" s="7" t="s">
        <v>54</v>
      </c>
      <c r="D440" s="7" t="s">
        <v>167</v>
      </c>
      <c r="E440" s="7" t="s">
        <v>1642</v>
      </c>
      <c r="F440" s="7" t="s">
        <v>54</v>
      </c>
      <c r="G440" s="14">
        <v>1630</v>
      </c>
      <c r="H440" s="14">
        <v>64</v>
      </c>
      <c r="I440" s="15">
        <v>3.53</v>
      </c>
      <c r="J440" s="14">
        <v>0</v>
      </c>
      <c r="K440" s="15">
        <v>0</v>
      </c>
      <c r="L440" s="14">
        <v>30</v>
      </c>
      <c r="M440" s="14">
        <v>2</v>
      </c>
      <c r="N440" s="13"/>
      <c r="O440" s="14">
        <v>19</v>
      </c>
      <c r="P440" s="14">
        <v>405</v>
      </c>
      <c r="Q440" s="15">
        <v>22.361963190184049</v>
      </c>
      <c r="R440" s="17">
        <f>IFERROR(G440/(G440+Priors!$H$18),0)</f>
        <v>0.61977186311787069</v>
      </c>
      <c r="S440" s="13">
        <v>1</v>
      </c>
      <c r="T440" s="40" t="b">
        <v>0</v>
      </c>
      <c r="U440" s="13">
        <v>1</v>
      </c>
      <c r="V440" s="40" t="b">
        <v>0</v>
      </c>
      <c r="W440" s="13">
        <v>1</v>
      </c>
      <c r="X440" s="17">
        <f t="shared" si="48"/>
        <v>0.61977186311787069</v>
      </c>
      <c r="Y440" s="37">
        <f>VLOOKUP(D440,Priors!$A$18:$B$21,2,FALSE)</f>
        <v>4.5137422563476139</v>
      </c>
      <c r="Z440" s="38">
        <f t="shared" si="49"/>
        <v>3.904046485303275</v>
      </c>
      <c r="AA440" s="39">
        <v>1</v>
      </c>
      <c r="AB440" s="38">
        <f t="shared" si="50"/>
        <v>3.904046485303275</v>
      </c>
      <c r="AC440" s="37">
        <f>Priors!$K$18</f>
        <v>2.7435089299114512</v>
      </c>
      <c r="AD440" s="38" t="str">
        <f t="shared" si="51"/>
        <v/>
      </c>
      <c r="AE440" s="37">
        <f>Priors!$K$19</f>
        <v>0.67280088332719912</v>
      </c>
      <c r="AF440" s="38" t="str">
        <f t="shared" si="52"/>
        <v/>
      </c>
      <c r="AG440" s="17">
        <f t="shared" si="53"/>
        <v>0.38022813688212931</v>
      </c>
      <c r="AH440" s="7" t="s">
        <v>1643</v>
      </c>
      <c r="AI440" s="7">
        <v>12</v>
      </c>
      <c r="AJ440" s="38">
        <f t="shared" si="54"/>
        <v>0.32533720710860625</v>
      </c>
      <c r="AK440" s="9" t="b">
        <f t="shared" si="55"/>
        <v>0</v>
      </c>
      <c r="AL440" s="28" t="s">
        <v>1644</v>
      </c>
      <c r="AM440" s="28" t="s">
        <v>1645</v>
      </c>
      <c r="AN440" s="28" t="s">
        <v>1792</v>
      </c>
    </row>
    <row r="441" spans="1:40" ht="30">
      <c r="A441" s="7">
        <v>440</v>
      </c>
      <c r="B441" s="7" t="s">
        <v>1324</v>
      </c>
      <c r="C441" s="7" t="s">
        <v>54</v>
      </c>
      <c r="D441" s="7" t="s">
        <v>167</v>
      </c>
      <c r="E441" s="7" t="s">
        <v>1642</v>
      </c>
      <c r="F441" s="7" t="s">
        <v>54</v>
      </c>
      <c r="G441" s="14">
        <v>607</v>
      </c>
      <c r="H441" s="14">
        <v>44</v>
      </c>
      <c r="I441" s="15">
        <v>6.52</v>
      </c>
      <c r="J441" s="14">
        <v>0</v>
      </c>
      <c r="K441" s="15">
        <v>0</v>
      </c>
      <c r="L441" s="14">
        <v>8</v>
      </c>
      <c r="M441" s="14">
        <v>2</v>
      </c>
      <c r="N441" s="13"/>
      <c r="O441" s="14">
        <v>6</v>
      </c>
      <c r="P441" s="14">
        <v>146</v>
      </c>
      <c r="Q441" s="15">
        <v>21.647446457990114</v>
      </c>
      <c r="R441" s="17">
        <f>IFERROR(G441/(G441+Priors!$H$18),0)</f>
        <v>0.37772246421904171</v>
      </c>
      <c r="S441" s="13">
        <v>1</v>
      </c>
      <c r="T441" s="40" t="b">
        <v>0</v>
      </c>
      <c r="U441" s="13">
        <v>1</v>
      </c>
      <c r="V441" s="40" t="b">
        <v>0</v>
      </c>
      <c r="W441" s="13">
        <v>1</v>
      </c>
      <c r="X441" s="17">
        <f t="shared" si="48"/>
        <v>0.37772246421904171</v>
      </c>
      <c r="Y441" s="37">
        <f>VLOOKUP(D441,Priors!$A$18:$B$21,2,FALSE)</f>
        <v>4.5137422563476139</v>
      </c>
      <c r="Z441" s="38">
        <f t="shared" si="49"/>
        <v>5.2715508751385274</v>
      </c>
      <c r="AA441" s="39">
        <v>1</v>
      </c>
      <c r="AB441" s="38">
        <f t="shared" si="50"/>
        <v>5.2715508751385274</v>
      </c>
      <c r="AC441" s="37">
        <f>Priors!$K$18</f>
        <v>2.7435089299114512</v>
      </c>
      <c r="AD441" s="38" t="str">
        <f t="shared" si="51"/>
        <v/>
      </c>
      <c r="AE441" s="37">
        <f>Priors!$K$19</f>
        <v>0.67280088332719912</v>
      </c>
      <c r="AF441" s="38" t="str">
        <f t="shared" si="52"/>
        <v/>
      </c>
      <c r="AG441" s="17">
        <f t="shared" si="53"/>
        <v>0.62227753578095824</v>
      </c>
      <c r="AH441" s="7" t="s">
        <v>1643</v>
      </c>
      <c r="AI441" s="7">
        <v>12</v>
      </c>
      <c r="AJ441" s="38">
        <f t="shared" si="54"/>
        <v>0.43929590626154397</v>
      </c>
      <c r="AK441" s="9" t="b">
        <f t="shared" si="55"/>
        <v>1</v>
      </c>
      <c r="AL441" s="28" t="s">
        <v>1644</v>
      </c>
      <c r="AM441" s="28" t="s">
        <v>1645</v>
      </c>
      <c r="AN441" s="28" t="s">
        <v>1792</v>
      </c>
    </row>
    <row r="442" spans="1:40" ht="30">
      <c r="A442" s="7">
        <v>441</v>
      </c>
      <c r="B442" s="7" t="s">
        <v>1327</v>
      </c>
      <c r="C442" s="7" t="s">
        <v>54</v>
      </c>
      <c r="D442" s="7" t="s">
        <v>167</v>
      </c>
      <c r="E442" s="7" t="s">
        <v>1642</v>
      </c>
      <c r="F442" s="7" t="s">
        <v>54</v>
      </c>
      <c r="G442" s="14">
        <v>0</v>
      </c>
      <c r="H442" s="14">
        <v>0</v>
      </c>
      <c r="I442" s="15">
        <v>0</v>
      </c>
      <c r="J442" s="14">
        <v>0</v>
      </c>
      <c r="K442" s="15">
        <v>0</v>
      </c>
      <c r="L442" s="14">
        <v>0</v>
      </c>
      <c r="M442" s="14">
        <v>0</v>
      </c>
      <c r="N442" s="13"/>
      <c r="O442" s="14">
        <v>0</v>
      </c>
      <c r="P442" s="14">
        <v>0</v>
      </c>
      <c r="Q442" s="15">
        <v>0</v>
      </c>
      <c r="R442" s="17">
        <f>IFERROR(G442/(G442+Priors!$H$18),0)</f>
        <v>0</v>
      </c>
      <c r="S442" s="13">
        <v>1</v>
      </c>
      <c r="T442" s="40" t="b">
        <v>0</v>
      </c>
      <c r="U442" s="13">
        <v>1</v>
      </c>
      <c r="V442" s="40" t="b">
        <v>0</v>
      </c>
      <c r="W442" s="13">
        <v>1</v>
      </c>
      <c r="X442" s="17">
        <f t="shared" si="48"/>
        <v>0</v>
      </c>
      <c r="Y442" s="37">
        <f>VLOOKUP(D442,Priors!$A$18:$B$21,2,FALSE)</f>
        <v>4.5137422563476139</v>
      </c>
      <c r="Z442" s="38">
        <f t="shared" si="49"/>
        <v>4.5137422563476139</v>
      </c>
      <c r="AA442" s="39">
        <v>1</v>
      </c>
      <c r="AB442" s="38">
        <f t="shared" si="50"/>
        <v>4.5137422563476139</v>
      </c>
      <c r="AC442" s="37">
        <f>Priors!$K$18</f>
        <v>2.7435089299114512</v>
      </c>
      <c r="AD442" s="38" t="str">
        <f t="shared" si="51"/>
        <v/>
      </c>
      <c r="AE442" s="37">
        <f>Priors!$K$19</f>
        <v>0.67280088332719912</v>
      </c>
      <c r="AF442" s="38" t="str">
        <f t="shared" si="52"/>
        <v/>
      </c>
      <c r="AG442" s="17">
        <f t="shared" si="53"/>
        <v>1</v>
      </c>
      <c r="AH442" s="7" t="s">
        <v>1643</v>
      </c>
      <c r="AI442" s="7">
        <v>12</v>
      </c>
      <c r="AJ442" s="38">
        <f t="shared" si="54"/>
        <v>0.37614518802896785</v>
      </c>
      <c r="AK442" s="9" t="b">
        <f t="shared" si="55"/>
        <v>1</v>
      </c>
      <c r="AL442" s="28" t="s">
        <v>1644</v>
      </c>
      <c r="AM442" s="28" t="s">
        <v>1645</v>
      </c>
      <c r="AN442" s="28" t="s">
        <v>1792</v>
      </c>
    </row>
    <row r="443" spans="1:40" ht="30">
      <c r="A443" s="7">
        <v>442</v>
      </c>
      <c r="B443" s="7" t="s">
        <v>1330</v>
      </c>
      <c r="C443" s="7" t="s">
        <v>55</v>
      </c>
      <c r="D443" s="7" t="s">
        <v>85</v>
      </c>
      <c r="E443" s="7" t="s">
        <v>1642</v>
      </c>
      <c r="F443" s="7" t="s">
        <v>55</v>
      </c>
      <c r="G443" s="14">
        <v>2416</v>
      </c>
      <c r="H443" s="14">
        <v>121</v>
      </c>
      <c r="I443" s="15">
        <v>0</v>
      </c>
      <c r="J443" s="14">
        <v>89</v>
      </c>
      <c r="K443" s="15">
        <v>3.32</v>
      </c>
      <c r="L443" s="14">
        <v>38</v>
      </c>
      <c r="M443" s="14">
        <v>7</v>
      </c>
      <c r="N443" s="13">
        <v>0.70078740157480313</v>
      </c>
      <c r="O443" s="14">
        <v>3</v>
      </c>
      <c r="P443" s="14">
        <v>414</v>
      </c>
      <c r="Q443" s="15">
        <v>15.422185430463577</v>
      </c>
      <c r="R443" s="17">
        <f>IFERROR(G443/(G443+Priors!$H$18),0)</f>
        <v>0.70725995316159251</v>
      </c>
      <c r="S443" s="13">
        <v>1</v>
      </c>
      <c r="T443" s="40" t="b">
        <v>0</v>
      </c>
      <c r="U443" s="13">
        <v>1</v>
      </c>
      <c r="V443" s="40" t="b">
        <v>1</v>
      </c>
      <c r="W443" s="13">
        <v>0.9</v>
      </c>
      <c r="X443" s="17">
        <f t="shared" si="48"/>
        <v>0.63653395784543332</v>
      </c>
      <c r="Y443" s="37">
        <f>VLOOKUP(D443,Priors!$A$18:$B$21,2,FALSE)</f>
        <v>2.6414527990394716</v>
      </c>
      <c r="Z443" s="38">
        <f t="shared" si="49"/>
        <v>0.96007839440497877</v>
      </c>
      <c r="AA443" s="39">
        <v>1</v>
      </c>
      <c r="AB443" s="38">
        <f t="shared" si="50"/>
        <v>0.96007839440497877</v>
      </c>
      <c r="AC443" s="37">
        <f>Priors!$K$18</f>
        <v>2.7435089299114512</v>
      </c>
      <c r="AD443" s="38">
        <f t="shared" si="51"/>
        <v>3.1104650724174641</v>
      </c>
      <c r="AE443" s="37">
        <f>Priors!$K$19</f>
        <v>0.67280088332719912</v>
      </c>
      <c r="AF443" s="38">
        <f t="shared" si="52"/>
        <v>0.69061525255365996</v>
      </c>
      <c r="AG443" s="17">
        <f t="shared" si="53"/>
        <v>0.36346604215456668</v>
      </c>
      <c r="AH443" s="7" t="s">
        <v>1643</v>
      </c>
      <c r="AI443" s="7"/>
      <c r="AJ443" s="38" t="str">
        <f t="shared" si="54"/>
        <v/>
      </c>
      <c r="AK443" s="9" t="b">
        <f t="shared" si="55"/>
        <v>1</v>
      </c>
      <c r="AL443" s="28" t="s">
        <v>1644</v>
      </c>
      <c r="AM443" s="28" t="s">
        <v>1645</v>
      </c>
      <c r="AN443" s="28" t="s">
        <v>1792</v>
      </c>
    </row>
    <row r="444" spans="1:40" ht="30">
      <c r="A444" s="7">
        <v>443</v>
      </c>
      <c r="B444" s="7" t="s">
        <v>1335</v>
      </c>
      <c r="C444" s="7" t="s">
        <v>55</v>
      </c>
      <c r="D444" s="7" t="s">
        <v>85</v>
      </c>
      <c r="E444" s="7" t="s">
        <v>1642</v>
      </c>
      <c r="F444" s="7" t="s">
        <v>55</v>
      </c>
      <c r="G444" s="14">
        <v>0</v>
      </c>
      <c r="H444" s="14">
        <v>0</v>
      </c>
      <c r="I444" s="15">
        <v>0</v>
      </c>
      <c r="J444" s="14">
        <v>0</v>
      </c>
      <c r="K444" s="15">
        <v>0</v>
      </c>
      <c r="L444" s="14">
        <v>0</v>
      </c>
      <c r="M444" s="14">
        <v>0</v>
      </c>
      <c r="N444" s="13"/>
      <c r="O444" s="14">
        <v>0</v>
      </c>
      <c r="P444" s="14">
        <v>0</v>
      </c>
      <c r="Q444" s="15">
        <v>0</v>
      </c>
      <c r="R444" s="17">
        <f>IFERROR(G444/(G444+Priors!$H$18),0)</f>
        <v>0</v>
      </c>
      <c r="S444" s="13">
        <v>1</v>
      </c>
      <c r="T444" s="40" t="b">
        <v>0</v>
      </c>
      <c r="U444" s="13">
        <v>1</v>
      </c>
      <c r="V444" s="40" t="b">
        <v>1</v>
      </c>
      <c r="W444" s="13">
        <v>0.9</v>
      </c>
      <c r="X444" s="17">
        <f t="shared" si="48"/>
        <v>0</v>
      </c>
      <c r="Y444" s="37">
        <f>VLOOKUP(D444,Priors!$A$18:$B$21,2,FALSE)</f>
        <v>2.6414527990394716</v>
      </c>
      <c r="Z444" s="38">
        <f t="shared" si="49"/>
        <v>2.6414527990394716</v>
      </c>
      <c r="AA444" s="39">
        <v>1</v>
      </c>
      <c r="AB444" s="38">
        <f t="shared" si="50"/>
        <v>2.6414527990394716</v>
      </c>
      <c r="AC444" s="37">
        <f>Priors!$K$18</f>
        <v>2.7435089299114512</v>
      </c>
      <c r="AD444" s="38">
        <f t="shared" si="51"/>
        <v>2.7435089299114512</v>
      </c>
      <c r="AE444" s="37">
        <f>Priors!$K$19</f>
        <v>0.67280088332719912</v>
      </c>
      <c r="AF444" s="38">
        <f t="shared" si="52"/>
        <v>0.67280088332719912</v>
      </c>
      <c r="AG444" s="17">
        <f t="shared" si="53"/>
        <v>1</v>
      </c>
      <c r="AH444" s="7" t="s">
        <v>1643</v>
      </c>
      <c r="AI444" s="7"/>
      <c r="AJ444" s="38" t="str">
        <f t="shared" si="54"/>
        <v/>
      </c>
      <c r="AK444" s="9" t="b">
        <f t="shared" si="55"/>
        <v>1</v>
      </c>
      <c r="AL444" s="28" t="s">
        <v>1644</v>
      </c>
      <c r="AM444" s="28" t="s">
        <v>1645</v>
      </c>
      <c r="AN444" s="28" t="s">
        <v>1792</v>
      </c>
    </row>
    <row r="445" spans="1:40" ht="30">
      <c r="A445" s="7">
        <v>444</v>
      </c>
      <c r="B445" s="7" t="s">
        <v>1338</v>
      </c>
      <c r="C445" s="7" t="s">
        <v>55</v>
      </c>
      <c r="D445" s="7" t="s">
        <v>85</v>
      </c>
      <c r="E445" s="7" t="s">
        <v>1647</v>
      </c>
      <c r="F445" s="7"/>
      <c r="G445" s="14">
        <v>0</v>
      </c>
      <c r="H445" s="14"/>
      <c r="I445" s="15"/>
      <c r="J445" s="14"/>
      <c r="K445" s="15"/>
      <c r="L445" s="14"/>
      <c r="M445" s="14"/>
      <c r="N445" s="13"/>
      <c r="O445" s="14"/>
      <c r="P445" s="14"/>
      <c r="Q445" s="15"/>
      <c r="R445" s="17">
        <f>IFERROR(G445/(G445+Priors!$H$18),0)</f>
        <v>0</v>
      </c>
      <c r="S445" s="13">
        <v>0</v>
      </c>
      <c r="T445" s="40" t="b">
        <v>0</v>
      </c>
      <c r="U445" s="13">
        <v>1</v>
      </c>
      <c r="V445" s="40" t="b">
        <v>1</v>
      </c>
      <c r="W445" s="13">
        <v>0.9</v>
      </c>
      <c r="X445" s="17">
        <f t="shared" si="48"/>
        <v>0</v>
      </c>
      <c r="Y445" s="37">
        <f>VLOOKUP(D445,Priors!$A$18:$B$21,2,FALSE)</f>
        <v>2.6414527990394716</v>
      </c>
      <c r="Z445" s="38">
        <f t="shared" si="49"/>
        <v>2.6414527990394716</v>
      </c>
      <c r="AA445" s="39">
        <v>1</v>
      </c>
      <c r="AB445" s="38">
        <f t="shared" si="50"/>
        <v>2.6414527990394716</v>
      </c>
      <c r="AC445" s="37">
        <f>Priors!$K$18</f>
        <v>2.7435089299114512</v>
      </c>
      <c r="AD445" s="38">
        <f t="shared" si="51"/>
        <v>2.7435089299114512</v>
      </c>
      <c r="AE445" s="37">
        <f>Priors!$K$19</f>
        <v>0.67280088332719912</v>
      </c>
      <c r="AF445" s="38">
        <f t="shared" si="52"/>
        <v>0.67280088332719912</v>
      </c>
      <c r="AG445" s="17">
        <f t="shared" si="53"/>
        <v>1</v>
      </c>
      <c r="AH445" s="7" t="s">
        <v>1793</v>
      </c>
      <c r="AI445" s="7"/>
      <c r="AJ445" s="38" t="str">
        <f t="shared" si="54"/>
        <v/>
      </c>
      <c r="AK445" s="9" t="b">
        <f t="shared" si="55"/>
        <v>1</v>
      </c>
      <c r="AL445" s="28" t="s">
        <v>1794</v>
      </c>
      <c r="AM445" s="28"/>
      <c r="AN445" s="28" t="s">
        <v>1792</v>
      </c>
    </row>
    <row r="446" spans="1:40" ht="30">
      <c r="A446" s="7">
        <v>445</v>
      </c>
      <c r="B446" s="7" t="s">
        <v>1340</v>
      </c>
      <c r="C446" s="7" t="s">
        <v>55</v>
      </c>
      <c r="D446" s="7" t="s">
        <v>99</v>
      </c>
      <c r="E446" s="7" t="s">
        <v>1642</v>
      </c>
      <c r="F446" s="7" t="s">
        <v>55</v>
      </c>
      <c r="G446" s="14">
        <v>2963</v>
      </c>
      <c r="H446" s="14">
        <v>320</v>
      </c>
      <c r="I446" s="15">
        <v>8.8699999999999992</v>
      </c>
      <c r="J446" s="14">
        <v>0</v>
      </c>
      <c r="K446" s="15">
        <v>0</v>
      </c>
      <c r="L446" s="14">
        <v>52</v>
      </c>
      <c r="M446" s="14">
        <v>5</v>
      </c>
      <c r="N446" s="13"/>
      <c r="O446" s="14">
        <v>12</v>
      </c>
      <c r="P446" s="14">
        <v>436</v>
      </c>
      <c r="Q446" s="15">
        <v>13.243334458319271</v>
      </c>
      <c r="R446" s="17">
        <f>IFERROR(G446/(G446+Priors!$H$18),0)</f>
        <v>0.74766590966439561</v>
      </c>
      <c r="S446" s="13">
        <v>1</v>
      </c>
      <c r="T446" s="40" t="b">
        <v>0</v>
      </c>
      <c r="U446" s="13">
        <v>1</v>
      </c>
      <c r="V446" s="40" t="b">
        <v>1</v>
      </c>
      <c r="W446" s="13">
        <v>0.9</v>
      </c>
      <c r="X446" s="17">
        <f t="shared" si="48"/>
        <v>0.67289931869795605</v>
      </c>
      <c r="Y446" s="37">
        <f>VLOOKUP(D446,Priors!$A$18:$B$21,2,FALSE)</f>
        <v>8.7398272304160223</v>
      </c>
      <c r="Z446" s="38">
        <f t="shared" si="49"/>
        <v>8.827420398382106</v>
      </c>
      <c r="AA446" s="39">
        <v>1</v>
      </c>
      <c r="AB446" s="38">
        <f t="shared" si="50"/>
        <v>8.827420398382106</v>
      </c>
      <c r="AC446" s="37">
        <f>Priors!$K$18</f>
        <v>2.7435089299114512</v>
      </c>
      <c r="AD446" s="38" t="str">
        <f t="shared" si="51"/>
        <v/>
      </c>
      <c r="AE446" s="37">
        <f>Priors!$K$19</f>
        <v>0.67280088332719912</v>
      </c>
      <c r="AF446" s="38" t="str">
        <f t="shared" si="52"/>
        <v/>
      </c>
      <c r="AG446" s="17">
        <f t="shared" si="53"/>
        <v>0.32710068130204395</v>
      </c>
      <c r="AH446" s="7" t="s">
        <v>1643</v>
      </c>
      <c r="AI446" s="7">
        <v>10</v>
      </c>
      <c r="AJ446" s="38">
        <f t="shared" si="54"/>
        <v>0.88274203983821065</v>
      </c>
      <c r="AK446" s="9" t="b">
        <f t="shared" si="55"/>
        <v>1</v>
      </c>
      <c r="AL446" s="28" t="s">
        <v>1644</v>
      </c>
      <c r="AM446" s="28" t="s">
        <v>1645</v>
      </c>
      <c r="AN446" s="28" t="s">
        <v>1792</v>
      </c>
    </row>
    <row r="447" spans="1:40" ht="30">
      <c r="A447" s="7">
        <v>446</v>
      </c>
      <c r="B447" s="7" t="s">
        <v>1343</v>
      </c>
      <c r="C447" s="7" t="s">
        <v>55</v>
      </c>
      <c r="D447" s="7" t="s">
        <v>99</v>
      </c>
      <c r="E447" s="7" t="s">
        <v>1642</v>
      </c>
      <c r="F447" s="7" t="s">
        <v>55</v>
      </c>
      <c r="G447" s="14">
        <v>1089</v>
      </c>
      <c r="H447" s="14">
        <v>133</v>
      </c>
      <c r="I447" s="15">
        <v>9.5</v>
      </c>
      <c r="J447" s="14">
        <v>0</v>
      </c>
      <c r="K447" s="15">
        <v>0</v>
      </c>
      <c r="L447" s="14">
        <v>13</v>
      </c>
      <c r="M447" s="14">
        <v>4</v>
      </c>
      <c r="N447" s="13"/>
      <c r="O447" s="14">
        <v>0</v>
      </c>
      <c r="P447" s="14">
        <v>186</v>
      </c>
      <c r="Q447" s="15">
        <v>15.37190082644628</v>
      </c>
      <c r="R447" s="17">
        <f>IFERROR(G447/(G447+Priors!$H$18),0)</f>
        <v>0.52130205840114885</v>
      </c>
      <c r="S447" s="13">
        <v>1</v>
      </c>
      <c r="T447" s="40" t="b">
        <v>0</v>
      </c>
      <c r="U447" s="13">
        <v>1</v>
      </c>
      <c r="V447" s="40" t="b">
        <v>1</v>
      </c>
      <c r="W447" s="13">
        <v>0.9</v>
      </c>
      <c r="X447" s="17">
        <f t="shared" si="48"/>
        <v>0.469171852561034</v>
      </c>
      <c r="Y447" s="37">
        <f>VLOOKUP(D447,Priors!$A$18:$B$21,2,FALSE)</f>
        <v>8.7398272304160223</v>
      </c>
      <c r="Z447" s="38">
        <f t="shared" si="49"/>
        <v>9.096478896988188</v>
      </c>
      <c r="AA447" s="39">
        <v>1</v>
      </c>
      <c r="AB447" s="38">
        <f t="shared" si="50"/>
        <v>9.096478896988188</v>
      </c>
      <c r="AC447" s="37">
        <f>Priors!$K$18</f>
        <v>2.7435089299114512</v>
      </c>
      <c r="AD447" s="38" t="str">
        <f t="shared" si="51"/>
        <v/>
      </c>
      <c r="AE447" s="37">
        <f>Priors!$K$19</f>
        <v>0.67280088332719912</v>
      </c>
      <c r="AF447" s="38" t="str">
        <f t="shared" si="52"/>
        <v/>
      </c>
      <c r="AG447" s="17">
        <f t="shared" si="53"/>
        <v>0.530828147438966</v>
      </c>
      <c r="AH447" s="7" t="s">
        <v>1643</v>
      </c>
      <c r="AI447" s="7">
        <v>10</v>
      </c>
      <c r="AJ447" s="38">
        <f t="shared" si="54"/>
        <v>0.90964788969881882</v>
      </c>
      <c r="AK447" s="9" t="b">
        <f t="shared" si="55"/>
        <v>1</v>
      </c>
      <c r="AL447" s="28" t="s">
        <v>1644</v>
      </c>
      <c r="AM447" s="28" t="s">
        <v>1645</v>
      </c>
      <c r="AN447" s="28" t="s">
        <v>1792</v>
      </c>
    </row>
    <row r="448" spans="1:40" ht="30">
      <c r="A448" s="7">
        <v>447</v>
      </c>
      <c r="B448" s="7" t="s">
        <v>1346</v>
      </c>
      <c r="C448" s="7" t="s">
        <v>55</v>
      </c>
      <c r="D448" s="7" t="s">
        <v>99</v>
      </c>
      <c r="E448" s="7" t="s">
        <v>1642</v>
      </c>
      <c r="F448" s="7" t="s">
        <v>55</v>
      </c>
      <c r="G448" s="14">
        <v>1834</v>
      </c>
      <c r="H448" s="14">
        <v>245</v>
      </c>
      <c r="I448" s="15">
        <v>10.6</v>
      </c>
      <c r="J448" s="14">
        <v>0</v>
      </c>
      <c r="K448" s="15">
        <v>0</v>
      </c>
      <c r="L448" s="14">
        <v>27</v>
      </c>
      <c r="M448" s="14">
        <v>5</v>
      </c>
      <c r="N448" s="13"/>
      <c r="O448" s="14">
        <v>6</v>
      </c>
      <c r="P448" s="14">
        <v>332</v>
      </c>
      <c r="Q448" s="15">
        <v>16.292257360959653</v>
      </c>
      <c r="R448" s="17">
        <f>IFERROR(G448/(G448+Priors!$H$18),0)</f>
        <v>0.64714184897671134</v>
      </c>
      <c r="S448" s="13">
        <v>1</v>
      </c>
      <c r="T448" s="40" t="b">
        <v>0</v>
      </c>
      <c r="U448" s="13">
        <v>1</v>
      </c>
      <c r="V448" s="40" t="b">
        <v>1</v>
      </c>
      <c r="W448" s="13">
        <v>0.9</v>
      </c>
      <c r="X448" s="17">
        <f t="shared" si="48"/>
        <v>0.58242766407904023</v>
      </c>
      <c r="Y448" s="37">
        <f>VLOOKUP(D448,Priors!$A$18:$B$21,2,FALSE)</f>
        <v>8.7398272304160223</v>
      </c>
      <c r="Z448" s="38">
        <f t="shared" si="49"/>
        <v>9.8232433113882571</v>
      </c>
      <c r="AA448" s="39">
        <v>1</v>
      </c>
      <c r="AB448" s="38">
        <f t="shared" si="50"/>
        <v>9.8232433113882571</v>
      </c>
      <c r="AC448" s="37">
        <f>Priors!$K$18</f>
        <v>2.7435089299114512</v>
      </c>
      <c r="AD448" s="38" t="str">
        <f t="shared" si="51"/>
        <v/>
      </c>
      <c r="AE448" s="37">
        <f>Priors!$K$19</f>
        <v>0.67280088332719912</v>
      </c>
      <c r="AF448" s="38" t="str">
        <f t="shared" si="52"/>
        <v/>
      </c>
      <c r="AG448" s="17">
        <f t="shared" si="53"/>
        <v>0.41757233592095977</v>
      </c>
      <c r="AH448" s="7" t="s">
        <v>1643</v>
      </c>
      <c r="AI448" s="7">
        <v>10</v>
      </c>
      <c r="AJ448" s="38">
        <f t="shared" si="54"/>
        <v>0.98232433113882567</v>
      </c>
      <c r="AK448" s="9" t="b">
        <f t="shared" si="55"/>
        <v>1</v>
      </c>
      <c r="AL448" s="28" t="s">
        <v>1644</v>
      </c>
      <c r="AM448" s="28" t="s">
        <v>1645</v>
      </c>
      <c r="AN448" s="28" t="s">
        <v>1792</v>
      </c>
    </row>
    <row r="449" spans="1:40" ht="30">
      <c r="A449" s="7">
        <v>448</v>
      </c>
      <c r="B449" s="7" t="s">
        <v>1349</v>
      </c>
      <c r="C449" s="7" t="s">
        <v>55</v>
      </c>
      <c r="D449" s="7" t="s">
        <v>99</v>
      </c>
      <c r="E449" s="7" t="s">
        <v>1642</v>
      </c>
      <c r="F449" s="7" t="s">
        <v>55</v>
      </c>
      <c r="G449" s="14">
        <v>2195</v>
      </c>
      <c r="H449" s="14">
        <v>261</v>
      </c>
      <c r="I449" s="15">
        <v>9.23</v>
      </c>
      <c r="J449" s="14">
        <v>0</v>
      </c>
      <c r="K449" s="15">
        <v>0</v>
      </c>
      <c r="L449" s="14">
        <v>36</v>
      </c>
      <c r="M449" s="14">
        <v>6</v>
      </c>
      <c r="N449" s="13"/>
      <c r="O449" s="14">
        <v>5</v>
      </c>
      <c r="P449" s="14">
        <v>286</v>
      </c>
      <c r="Q449" s="15">
        <v>11.726651480637813</v>
      </c>
      <c r="R449" s="17">
        <f>IFERROR(G449/(G449+Priors!$H$18),0)</f>
        <v>0.68701095461658845</v>
      </c>
      <c r="S449" s="13">
        <v>1</v>
      </c>
      <c r="T449" s="40" t="b">
        <v>0</v>
      </c>
      <c r="U449" s="13">
        <v>1</v>
      </c>
      <c r="V449" s="40" t="b">
        <v>1</v>
      </c>
      <c r="W449" s="13">
        <v>0.9</v>
      </c>
      <c r="X449" s="17">
        <f t="shared" si="48"/>
        <v>0.61830985915492964</v>
      </c>
      <c r="Y449" s="37">
        <f>VLOOKUP(D449,Priors!$A$18:$B$21,2,FALSE)</f>
        <v>8.7398272304160223</v>
      </c>
      <c r="Z449" s="38">
        <f t="shared" si="49"/>
        <v>9.0429058865390743</v>
      </c>
      <c r="AA449" s="39">
        <v>1</v>
      </c>
      <c r="AB449" s="38">
        <f t="shared" si="50"/>
        <v>9.0429058865390743</v>
      </c>
      <c r="AC449" s="37">
        <f>Priors!$K$18</f>
        <v>2.7435089299114512</v>
      </c>
      <c r="AD449" s="38" t="str">
        <f t="shared" si="51"/>
        <v/>
      </c>
      <c r="AE449" s="37">
        <f>Priors!$K$19</f>
        <v>0.67280088332719912</v>
      </c>
      <c r="AF449" s="38" t="str">
        <f t="shared" si="52"/>
        <v/>
      </c>
      <c r="AG449" s="17">
        <f t="shared" si="53"/>
        <v>0.38169014084507036</v>
      </c>
      <c r="AH449" s="7" t="s">
        <v>1643</v>
      </c>
      <c r="AI449" s="7">
        <v>10</v>
      </c>
      <c r="AJ449" s="38">
        <f t="shared" si="54"/>
        <v>0.90429058865390743</v>
      </c>
      <c r="AK449" s="9" t="b">
        <f t="shared" si="55"/>
        <v>1</v>
      </c>
      <c r="AL449" s="28" t="s">
        <v>1644</v>
      </c>
      <c r="AM449" s="28" t="s">
        <v>1645</v>
      </c>
      <c r="AN449" s="28" t="s">
        <v>1792</v>
      </c>
    </row>
    <row r="450" spans="1:40" ht="30">
      <c r="A450" s="7">
        <v>449</v>
      </c>
      <c r="B450" s="7" t="s">
        <v>1351</v>
      </c>
      <c r="C450" s="7" t="s">
        <v>55</v>
      </c>
      <c r="D450" s="7" t="s">
        <v>99</v>
      </c>
      <c r="E450" s="7" t="s">
        <v>1642</v>
      </c>
      <c r="F450" s="7" t="s">
        <v>55</v>
      </c>
      <c r="G450" s="14">
        <v>2176</v>
      </c>
      <c r="H450" s="14">
        <v>181</v>
      </c>
      <c r="I450" s="15">
        <v>7.16</v>
      </c>
      <c r="J450" s="14">
        <v>0</v>
      </c>
      <c r="K450" s="15">
        <v>0</v>
      </c>
      <c r="L450" s="14">
        <v>39</v>
      </c>
      <c r="M450" s="14">
        <v>4</v>
      </c>
      <c r="N450" s="13"/>
      <c r="O450" s="14">
        <v>4</v>
      </c>
      <c r="P450" s="14">
        <v>347</v>
      </c>
      <c r="Q450" s="15">
        <v>14.352022058823529</v>
      </c>
      <c r="R450" s="17">
        <f>IFERROR(G450/(G450+Priors!$H$18),0)</f>
        <v>0.68513853904282118</v>
      </c>
      <c r="S450" s="13">
        <v>1</v>
      </c>
      <c r="T450" s="40" t="b">
        <v>0</v>
      </c>
      <c r="U450" s="13">
        <v>1</v>
      </c>
      <c r="V450" s="40" t="b">
        <v>1</v>
      </c>
      <c r="W450" s="13">
        <v>0.9</v>
      </c>
      <c r="X450" s="17">
        <f t="shared" ref="X450:X513" si="56">R450*S450*U450*W450</f>
        <v>0.61662468513853907</v>
      </c>
      <c r="Y450" s="37">
        <f>VLOOKUP(D450,Priors!$A$18:$B$21,2,FALSE)</f>
        <v>8.7398272304160223</v>
      </c>
      <c r="Z450" s="38">
        <f t="shared" ref="Z450:Z513" si="57">IF(OR(H450="",G450=0),Y450,X450*I450+(1-X450)*Y450)</f>
        <v>7.7656667618874522</v>
      </c>
      <c r="AA450" s="39">
        <v>1</v>
      </c>
      <c r="AB450" s="38">
        <f t="shared" ref="AB450:AB513" si="58">Z450*AA450</f>
        <v>7.7656667618874522</v>
      </c>
      <c r="AC450" s="37">
        <f>Priors!$K$18</f>
        <v>2.7435089299114512</v>
      </c>
      <c r="AD450" s="38" t="str">
        <f t="shared" ref="AD450:AD513" si="59">IF(D450&lt;&gt;"GK","",IF(OR(K450="",G450=0),AC450,X450*K450+(1-X450)*AC450))</f>
        <v/>
      </c>
      <c r="AE450" s="37">
        <f>Priors!$K$19</f>
        <v>0.67280088332719912</v>
      </c>
      <c r="AF450" s="38" t="str">
        <f t="shared" ref="AF450:AF513" si="60">IF(D450&lt;&gt;"GK","",IF(OR(N450="",G450=0),AE450,X450*N450+(1-X450)*AE450))</f>
        <v/>
      </c>
      <c r="AG450" s="17">
        <f t="shared" ref="AG450:AG513" si="61">1-X450</f>
        <v>0.38337531486146093</v>
      </c>
      <c r="AH450" s="7" t="s">
        <v>1643</v>
      </c>
      <c r="AI450" s="7">
        <v>10</v>
      </c>
      <c r="AJ450" s="38">
        <f t="shared" ref="AJ450:AJ513" si="62">IF(OR(AI450="",AI450=0),"",AB450/AI450)</f>
        <v>0.7765666761887452</v>
      </c>
      <c r="AK450" s="9" t="b">
        <f t="shared" ref="AK450:AK513" si="63">OR(AG450&gt;=0.5,E450&lt;&gt;"Premier League",T450=TRUE,V450=TRUE)</f>
        <v>1</v>
      </c>
      <c r="AL450" s="28" t="s">
        <v>1644</v>
      </c>
      <c r="AM450" s="28" t="s">
        <v>1645</v>
      </c>
      <c r="AN450" s="28" t="s">
        <v>1792</v>
      </c>
    </row>
    <row r="451" spans="1:40" ht="30">
      <c r="A451" s="7">
        <v>450</v>
      </c>
      <c r="B451" s="7" t="s">
        <v>1353</v>
      </c>
      <c r="C451" s="7" t="s">
        <v>55</v>
      </c>
      <c r="D451" s="7" t="s">
        <v>99</v>
      </c>
      <c r="E451" s="7" t="s">
        <v>1642</v>
      </c>
      <c r="F451" s="7" t="s">
        <v>55</v>
      </c>
      <c r="G451" s="14">
        <v>1326</v>
      </c>
      <c r="H451" s="14">
        <v>96</v>
      </c>
      <c r="I451" s="15">
        <v>4.62</v>
      </c>
      <c r="J451" s="14">
        <v>0</v>
      </c>
      <c r="K451" s="15">
        <v>0</v>
      </c>
      <c r="L451" s="14">
        <v>14</v>
      </c>
      <c r="M451" s="14">
        <v>6</v>
      </c>
      <c r="N451" s="13"/>
      <c r="O451" s="14">
        <v>3</v>
      </c>
      <c r="P451" s="14">
        <v>252</v>
      </c>
      <c r="Q451" s="15">
        <v>17.104072398190045</v>
      </c>
      <c r="R451" s="17">
        <f>IFERROR(G451/(G451+Priors!$H$18),0)</f>
        <v>0.57007738607050729</v>
      </c>
      <c r="S451" s="13">
        <v>1</v>
      </c>
      <c r="T451" s="40" t="b">
        <v>0</v>
      </c>
      <c r="U451" s="13">
        <v>1</v>
      </c>
      <c r="V451" s="40" t="b">
        <v>1</v>
      </c>
      <c r="W451" s="13">
        <v>0.9</v>
      </c>
      <c r="X451" s="17">
        <f t="shared" si="56"/>
        <v>0.51306964746345662</v>
      </c>
      <c r="Y451" s="37">
        <f>VLOOKUP(D451,Priors!$A$18:$B$21,2,FALSE)</f>
        <v>8.7398272304160223</v>
      </c>
      <c r="Z451" s="38">
        <f t="shared" si="57"/>
        <v>6.6260689256961252</v>
      </c>
      <c r="AA451" s="39">
        <v>1</v>
      </c>
      <c r="AB451" s="38">
        <f t="shared" si="58"/>
        <v>6.6260689256961252</v>
      </c>
      <c r="AC451" s="37">
        <f>Priors!$K$18</f>
        <v>2.7435089299114512</v>
      </c>
      <c r="AD451" s="38" t="str">
        <f t="shared" si="59"/>
        <v/>
      </c>
      <c r="AE451" s="37">
        <f>Priors!$K$19</f>
        <v>0.67280088332719912</v>
      </c>
      <c r="AF451" s="38" t="str">
        <f t="shared" si="60"/>
        <v/>
      </c>
      <c r="AG451" s="17">
        <f t="shared" si="61"/>
        <v>0.48693035253654338</v>
      </c>
      <c r="AH451" s="7" t="s">
        <v>1643</v>
      </c>
      <c r="AI451" s="7">
        <v>10</v>
      </c>
      <c r="AJ451" s="38">
        <f t="shared" si="62"/>
        <v>0.66260689256961247</v>
      </c>
      <c r="AK451" s="9" t="b">
        <f t="shared" si="63"/>
        <v>1</v>
      </c>
      <c r="AL451" s="28" t="s">
        <v>1644</v>
      </c>
      <c r="AM451" s="28" t="s">
        <v>1645</v>
      </c>
      <c r="AN451" s="28" t="s">
        <v>1792</v>
      </c>
    </row>
    <row r="452" spans="1:40" ht="30">
      <c r="A452" s="7">
        <v>451</v>
      </c>
      <c r="B452" s="7" t="s">
        <v>1357</v>
      </c>
      <c r="C452" s="7" t="s">
        <v>55</v>
      </c>
      <c r="D452" s="7" t="s">
        <v>99</v>
      </c>
      <c r="E452" s="7" t="s">
        <v>1642</v>
      </c>
      <c r="F452" s="7" t="s">
        <v>55</v>
      </c>
      <c r="G452" s="14">
        <v>7</v>
      </c>
      <c r="H452" s="14">
        <v>4</v>
      </c>
      <c r="I452" s="15">
        <v>51.43</v>
      </c>
      <c r="J452" s="14">
        <v>0</v>
      </c>
      <c r="K452" s="15">
        <v>0</v>
      </c>
      <c r="L452" s="14">
        <v>1</v>
      </c>
      <c r="M452" s="14">
        <v>0</v>
      </c>
      <c r="N452" s="13"/>
      <c r="O452" s="14">
        <v>0</v>
      </c>
      <c r="P452" s="14">
        <v>3</v>
      </c>
      <c r="Q452" s="15">
        <v>38.571428571428569</v>
      </c>
      <c r="R452" s="17">
        <f>IFERROR(G452/(G452+Priors!$H$18),0)</f>
        <v>6.9513406156901684E-3</v>
      </c>
      <c r="S452" s="13">
        <v>1</v>
      </c>
      <c r="T452" s="40" t="b">
        <v>0</v>
      </c>
      <c r="U452" s="13">
        <v>1</v>
      </c>
      <c r="V452" s="40" t="b">
        <v>1</v>
      </c>
      <c r="W452" s="13">
        <v>0.9</v>
      </c>
      <c r="X452" s="17">
        <f t="shared" si="56"/>
        <v>6.256206554121152E-3</v>
      </c>
      <c r="Y452" s="37">
        <f>VLOOKUP(D452,Priors!$A$18:$B$21,2,FALSE)</f>
        <v>8.7398272304160223</v>
      </c>
      <c r="Z452" s="38">
        <f t="shared" si="57"/>
        <v>9.0069057690936578</v>
      </c>
      <c r="AA452" s="39">
        <v>1</v>
      </c>
      <c r="AB452" s="38">
        <f t="shared" si="58"/>
        <v>9.0069057690936578</v>
      </c>
      <c r="AC452" s="37">
        <f>Priors!$K$18</f>
        <v>2.7435089299114512</v>
      </c>
      <c r="AD452" s="38" t="str">
        <f t="shared" si="59"/>
        <v/>
      </c>
      <c r="AE452" s="37">
        <f>Priors!$K$19</f>
        <v>0.67280088332719912</v>
      </c>
      <c r="AF452" s="38" t="str">
        <f t="shared" si="60"/>
        <v/>
      </c>
      <c r="AG452" s="17">
        <f t="shared" si="61"/>
        <v>0.99374379344587882</v>
      </c>
      <c r="AH452" s="7" t="s">
        <v>1643</v>
      </c>
      <c r="AI452" s="7">
        <v>10</v>
      </c>
      <c r="AJ452" s="38">
        <f t="shared" si="62"/>
        <v>0.90069057690936583</v>
      </c>
      <c r="AK452" s="9" t="b">
        <f t="shared" si="63"/>
        <v>1</v>
      </c>
      <c r="AL452" s="28" t="s">
        <v>1644</v>
      </c>
      <c r="AM452" s="28" t="s">
        <v>1645</v>
      </c>
      <c r="AN452" s="28" t="s">
        <v>1792</v>
      </c>
    </row>
    <row r="453" spans="1:40" ht="30">
      <c r="A453" s="7">
        <v>452</v>
      </c>
      <c r="B453" s="7" t="s">
        <v>1359</v>
      </c>
      <c r="C453" s="7" t="s">
        <v>55</v>
      </c>
      <c r="D453" s="7" t="s">
        <v>112</v>
      </c>
      <c r="E453" s="7" t="s">
        <v>1642</v>
      </c>
      <c r="F453" s="7" t="s">
        <v>55</v>
      </c>
      <c r="G453" s="14">
        <v>2456</v>
      </c>
      <c r="H453" s="14">
        <v>251</v>
      </c>
      <c r="I453" s="15">
        <v>9.1999999999999993</v>
      </c>
      <c r="J453" s="14">
        <v>0</v>
      </c>
      <c r="K453" s="15">
        <v>0</v>
      </c>
      <c r="L453" s="14">
        <v>37</v>
      </c>
      <c r="M453" s="14">
        <v>6</v>
      </c>
      <c r="N453" s="13"/>
      <c r="O453" s="14">
        <v>22</v>
      </c>
      <c r="P453" s="14">
        <v>681</v>
      </c>
      <c r="Q453" s="15">
        <v>24.955211726384366</v>
      </c>
      <c r="R453" s="17">
        <f>IFERROR(G453/(G453+Priors!$H$18),0)</f>
        <v>0.71064814814814814</v>
      </c>
      <c r="S453" s="13">
        <v>1</v>
      </c>
      <c r="T453" s="40" t="b">
        <v>0</v>
      </c>
      <c r="U453" s="13">
        <v>1</v>
      </c>
      <c r="V453" s="40" t="b">
        <v>1</v>
      </c>
      <c r="W453" s="13">
        <v>0.9</v>
      </c>
      <c r="X453" s="17">
        <f t="shared" si="56"/>
        <v>0.63958333333333339</v>
      </c>
      <c r="Y453" s="37">
        <f>VLOOKUP(D453,Priors!$A$18:$B$21,2,FALSE)</f>
        <v>8.4555315342179806</v>
      </c>
      <c r="Z453" s="38">
        <f t="shared" si="57"/>
        <v>8.9316811571243964</v>
      </c>
      <c r="AA453" s="39">
        <v>1</v>
      </c>
      <c r="AB453" s="38">
        <f t="shared" si="58"/>
        <v>8.9316811571243964</v>
      </c>
      <c r="AC453" s="37">
        <f>Priors!$K$18</f>
        <v>2.7435089299114512</v>
      </c>
      <c r="AD453" s="38" t="str">
        <f t="shared" si="59"/>
        <v/>
      </c>
      <c r="AE453" s="37">
        <f>Priors!$K$19</f>
        <v>0.67280088332719912</v>
      </c>
      <c r="AF453" s="38" t="str">
        <f t="shared" si="60"/>
        <v/>
      </c>
      <c r="AG453" s="17">
        <f t="shared" si="61"/>
        <v>0.36041666666666661</v>
      </c>
      <c r="AH453" s="7" t="s">
        <v>1643</v>
      </c>
      <c r="AI453" s="7">
        <v>12</v>
      </c>
      <c r="AJ453" s="38">
        <f t="shared" si="62"/>
        <v>0.7443067630936997</v>
      </c>
      <c r="AK453" s="9" t="b">
        <f t="shared" si="63"/>
        <v>1</v>
      </c>
      <c r="AL453" s="28" t="s">
        <v>1644</v>
      </c>
      <c r="AM453" s="28" t="s">
        <v>1645</v>
      </c>
      <c r="AN453" s="28" t="s">
        <v>1792</v>
      </c>
    </row>
    <row r="454" spans="1:40" ht="30">
      <c r="A454" s="7">
        <v>453</v>
      </c>
      <c r="B454" s="7" t="s">
        <v>1362</v>
      </c>
      <c r="C454" s="7" t="s">
        <v>55</v>
      </c>
      <c r="D454" s="7" t="s">
        <v>112</v>
      </c>
      <c r="E454" s="7" t="s">
        <v>1642</v>
      </c>
      <c r="F454" s="7" t="s">
        <v>55</v>
      </c>
      <c r="G454" s="14">
        <v>1951</v>
      </c>
      <c r="H454" s="14">
        <v>100</v>
      </c>
      <c r="I454" s="15">
        <v>4.6100000000000003</v>
      </c>
      <c r="J454" s="14">
        <v>0</v>
      </c>
      <c r="K454" s="15">
        <v>0</v>
      </c>
      <c r="L454" s="14">
        <v>31</v>
      </c>
      <c r="M454" s="14">
        <v>5</v>
      </c>
      <c r="N454" s="13"/>
      <c r="O454" s="14">
        <v>9</v>
      </c>
      <c r="P454" s="14">
        <v>349</v>
      </c>
      <c r="Q454" s="15">
        <v>16.099436186570991</v>
      </c>
      <c r="R454" s="17">
        <f>IFERROR(G454/(G454+Priors!$H$18),0)</f>
        <v>0.66113181972212809</v>
      </c>
      <c r="S454" s="13">
        <v>1</v>
      </c>
      <c r="T454" s="40" t="b">
        <v>0</v>
      </c>
      <c r="U454" s="13">
        <v>1</v>
      </c>
      <c r="V454" s="40" t="b">
        <v>1</v>
      </c>
      <c r="W454" s="13">
        <v>0.9</v>
      </c>
      <c r="X454" s="17">
        <f t="shared" si="56"/>
        <v>0.59501863774991526</v>
      </c>
      <c r="Y454" s="37">
        <f>VLOOKUP(D454,Priors!$A$18:$B$21,2,FALSE)</f>
        <v>8.4555315342179806</v>
      </c>
      <c r="Z454" s="38">
        <f t="shared" si="57"/>
        <v>6.1673685993032565</v>
      </c>
      <c r="AA454" s="39">
        <v>1</v>
      </c>
      <c r="AB454" s="38">
        <f t="shared" si="58"/>
        <v>6.1673685993032565</v>
      </c>
      <c r="AC454" s="37">
        <f>Priors!$K$18</f>
        <v>2.7435089299114512</v>
      </c>
      <c r="AD454" s="38" t="str">
        <f t="shared" si="59"/>
        <v/>
      </c>
      <c r="AE454" s="37">
        <f>Priors!$K$19</f>
        <v>0.67280088332719912</v>
      </c>
      <c r="AF454" s="38" t="str">
        <f t="shared" si="60"/>
        <v/>
      </c>
      <c r="AG454" s="17">
        <f t="shared" si="61"/>
        <v>0.40498136225008474</v>
      </c>
      <c r="AH454" s="7" t="s">
        <v>1643</v>
      </c>
      <c r="AI454" s="7">
        <v>12</v>
      </c>
      <c r="AJ454" s="38">
        <f t="shared" si="62"/>
        <v>0.51394738327527134</v>
      </c>
      <c r="AK454" s="9" t="b">
        <f t="shared" si="63"/>
        <v>1</v>
      </c>
      <c r="AL454" s="28" t="s">
        <v>1644</v>
      </c>
      <c r="AM454" s="28" t="s">
        <v>1645</v>
      </c>
      <c r="AN454" s="28" t="s">
        <v>1792</v>
      </c>
    </row>
    <row r="455" spans="1:40" ht="30">
      <c r="A455" s="7">
        <v>454</v>
      </c>
      <c r="B455" s="7" t="s">
        <v>1365</v>
      </c>
      <c r="C455" s="7" t="s">
        <v>55</v>
      </c>
      <c r="D455" s="7" t="s">
        <v>112</v>
      </c>
      <c r="E455" s="7" t="s">
        <v>1642</v>
      </c>
      <c r="F455" s="7" t="s">
        <v>55</v>
      </c>
      <c r="G455" s="14">
        <v>1302</v>
      </c>
      <c r="H455" s="14">
        <v>55</v>
      </c>
      <c r="I455" s="15">
        <v>3.8</v>
      </c>
      <c r="J455" s="14">
        <v>0</v>
      </c>
      <c r="K455" s="15">
        <v>0</v>
      </c>
      <c r="L455" s="14">
        <v>28</v>
      </c>
      <c r="M455" s="14">
        <v>2</v>
      </c>
      <c r="N455" s="13"/>
      <c r="O455" s="14">
        <v>0</v>
      </c>
      <c r="P455" s="14">
        <v>179</v>
      </c>
      <c r="Q455" s="15">
        <v>12.373271889400922</v>
      </c>
      <c r="R455" s="17">
        <f>IFERROR(G455/(G455+Priors!$H$18),0)</f>
        <v>0.56559513466550826</v>
      </c>
      <c r="S455" s="13">
        <v>1</v>
      </c>
      <c r="T455" s="40" t="b">
        <v>0</v>
      </c>
      <c r="U455" s="13">
        <v>1</v>
      </c>
      <c r="V455" s="40" t="b">
        <v>1</v>
      </c>
      <c r="W455" s="13">
        <v>0.9</v>
      </c>
      <c r="X455" s="17">
        <f t="shared" si="56"/>
        <v>0.5090356211989574</v>
      </c>
      <c r="Y455" s="37">
        <f>VLOOKUP(D455,Priors!$A$18:$B$21,2,FALSE)</f>
        <v>8.4555315342179806</v>
      </c>
      <c r="Z455" s="38">
        <f t="shared" si="57"/>
        <v>6.085700147685996</v>
      </c>
      <c r="AA455" s="39">
        <v>1</v>
      </c>
      <c r="AB455" s="38">
        <f t="shared" si="58"/>
        <v>6.085700147685996</v>
      </c>
      <c r="AC455" s="37">
        <f>Priors!$K$18</f>
        <v>2.7435089299114512</v>
      </c>
      <c r="AD455" s="38" t="str">
        <f t="shared" si="59"/>
        <v/>
      </c>
      <c r="AE455" s="37">
        <f>Priors!$K$19</f>
        <v>0.67280088332719912</v>
      </c>
      <c r="AF455" s="38" t="str">
        <f t="shared" si="60"/>
        <v/>
      </c>
      <c r="AG455" s="17">
        <f t="shared" si="61"/>
        <v>0.4909643788010426</v>
      </c>
      <c r="AH455" s="7" t="s">
        <v>1643</v>
      </c>
      <c r="AI455" s="7">
        <v>12</v>
      </c>
      <c r="AJ455" s="38">
        <f t="shared" si="62"/>
        <v>0.507141678973833</v>
      </c>
      <c r="AK455" s="9" t="b">
        <f t="shared" si="63"/>
        <v>1</v>
      </c>
      <c r="AL455" s="28" t="s">
        <v>1644</v>
      </c>
      <c r="AM455" s="28" t="s">
        <v>1645</v>
      </c>
      <c r="AN455" s="28" t="s">
        <v>1792</v>
      </c>
    </row>
    <row r="456" spans="1:40" ht="30">
      <c r="A456" s="7">
        <v>455</v>
      </c>
      <c r="B456" s="7" t="s">
        <v>1469</v>
      </c>
      <c r="C456" s="7" t="s">
        <v>57</v>
      </c>
      <c r="D456" s="7" t="s">
        <v>112</v>
      </c>
      <c r="E456" s="7" t="s">
        <v>1642</v>
      </c>
      <c r="F456" s="7" t="s">
        <v>55</v>
      </c>
      <c r="G456" s="14">
        <v>2534</v>
      </c>
      <c r="H456" s="14">
        <v>257</v>
      </c>
      <c r="I456" s="15">
        <v>9.1300000000000008</v>
      </c>
      <c r="J456" s="14">
        <v>0</v>
      </c>
      <c r="K456" s="15">
        <v>0</v>
      </c>
      <c r="L456" s="14">
        <v>38</v>
      </c>
      <c r="M456" s="14">
        <v>7</v>
      </c>
      <c r="N456" s="13"/>
      <c r="O456" s="14">
        <v>2</v>
      </c>
      <c r="P456" s="14">
        <v>477</v>
      </c>
      <c r="Q456" s="15">
        <v>16.941594317284924</v>
      </c>
      <c r="R456" s="17">
        <f>IFERROR(G456/(G456+Priors!$H$18),0)</f>
        <v>0.71703452178834182</v>
      </c>
      <c r="S456" s="13">
        <v>1</v>
      </c>
      <c r="T456" s="40" t="b">
        <v>1</v>
      </c>
      <c r="U456" s="13">
        <v>0.85</v>
      </c>
      <c r="V456" s="40" t="b">
        <v>0</v>
      </c>
      <c r="W456" s="13">
        <v>1</v>
      </c>
      <c r="X456" s="17">
        <f t="shared" si="56"/>
        <v>0.60947934352009048</v>
      </c>
      <c r="Y456" s="37">
        <f>VLOOKUP(D456,Priors!$A$18:$B$21,2,FALSE)</f>
        <v>8.4555315342179806</v>
      </c>
      <c r="Z456" s="38">
        <f t="shared" si="57"/>
        <v>8.86660613196781</v>
      </c>
      <c r="AA456" s="39">
        <v>1</v>
      </c>
      <c r="AB456" s="38">
        <f t="shared" si="58"/>
        <v>8.86660613196781</v>
      </c>
      <c r="AC456" s="37">
        <f>Priors!$K$18</f>
        <v>2.7435089299114512</v>
      </c>
      <c r="AD456" s="38" t="str">
        <f t="shared" si="59"/>
        <v/>
      </c>
      <c r="AE456" s="37">
        <f>Priors!$K$19</f>
        <v>0.67280088332719912</v>
      </c>
      <c r="AF456" s="38" t="str">
        <f t="shared" si="60"/>
        <v/>
      </c>
      <c r="AG456" s="17">
        <f t="shared" si="61"/>
        <v>0.39052065647990952</v>
      </c>
      <c r="AH456" s="7" t="s">
        <v>1643</v>
      </c>
      <c r="AI456" s="7">
        <v>12</v>
      </c>
      <c r="AJ456" s="38">
        <f t="shared" si="62"/>
        <v>0.7388838443306508</v>
      </c>
      <c r="AK456" s="9" t="b">
        <f t="shared" si="63"/>
        <v>1</v>
      </c>
      <c r="AL456" s="28" t="s">
        <v>1644</v>
      </c>
      <c r="AM456" s="28" t="s">
        <v>1645</v>
      </c>
      <c r="AN456" s="28" t="s">
        <v>1792</v>
      </c>
    </row>
    <row r="457" spans="1:40" ht="30">
      <c r="A457" s="7">
        <v>456</v>
      </c>
      <c r="B457" s="7" t="s">
        <v>1367</v>
      </c>
      <c r="C457" s="7" t="s">
        <v>55</v>
      </c>
      <c r="D457" s="7" t="s">
        <v>112</v>
      </c>
      <c r="E457" s="7" t="s">
        <v>1642</v>
      </c>
      <c r="F457" s="7" t="s">
        <v>55</v>
      </c>
      <c r="G457" s="14">
        <v>1441</v>
      </c>
      <c r="H457" s="14">
        <v>149</v>
      </c>
      <c r="I457" s="15">
        <v>9.31</v>
      </c>
      <c r="J457" s="14">
        <v>0</v>
      </c>
      <c r="K457" s="15">
        <v>0</v>
      </c>
      <c r="L457" s="14">
        <v>31</v>
      </c>
      <c r="M457" s="14">
        <v>1</v>
      </c>
      <c r="N457" s="13"/>
      <c r="O457" s="14">
        <v>3</v>
      </c>
      <c r="P457" s="14">
        <v>303</v>
      </c>
      <c r="Q457" s="15">
        <v>18.924358084663428</v>
      </c>
      <c r="R457" s="17">
        <f>IFERROR(G457/(G457+Priors!$H$18),0)</f>
        <v>0.59033183121671451</v>
      </c>
      <c r="S457" s="13">
        <v>1</v>
      </c>
      <c r="T457" s="40" t="b">
        <v>0</v>
      </c>
      <c r="U457" s="13">
        <v>1</v>
      </c>
      <c r="V457" s="40" t="b">
        <v>1</v>
      </c>
      <c r="W457" s="13">
        <v>0.9</v>
      </c>
      <c r="X457" s="17">
        <f t="shared" si="56"/>
        <v>0.53129864809504312</v>
      </c>
      <c r="Y457" s="37">
        <f>VLOOKUP(D457,Priors!$A$18:$B$21,2,FALSE)</f>
        <v>8.4555315342179806</v>
      </c>
      <c r="Z457" s="38">
        <f t="shared" si="57"/>
        <v>8.9095094749278125</v>
      </c>
      <c r="AA457" s="39">
        <v>1</v>
      </c>
      <c r="AB457" s="38">
        <f t="shared" si="58"/>
        <v>8.9095094749278125</v>
      </c>
      <c r="AC457" s="37">
        <f>Priors!$K$18</f>
        <v>2.7435089299114512</v>
      </c>
      <c r="AD457" s="38" t="str">
        <f t="shared" si="59"/>
        <v/>
      </c>
      <c r="AE457" s="37">
        <f>Priors!$K$19</f>
        <v>0.67280088332719912</v>
      </c>
      <c r="AF457" s="38" t="str">
        <f t="shared" si="60"/>
        <v/>
      </c>
      <c r="AG457" s="17">
        <f t="shared" si="61"/>
        <v>0.46870135190495688</v>
      </c>
      <c r="AH457" s="7" t="s">
        <v>1643</v>
      </c>
      <c r="AI457" s="7">
        <v>12</v>
      </c>
      <c r="AJ457" s="38">
        <f t="shared" si="62"/>
        <v>0.74245912291065108</v>
      </c>
      <c r="AK457" s="9" t="b">
        <f t="shared" si="63"/>
        <v>1</v>
      </c>
      <c r="AL457" s="28" t="s">
        <v>1644</v>
      </c>
      <c r="AM457" s="28" t="s">
        <v>1645</v>
      </c>
      <c r="AN457" s="28" t="s">
        <v>1792</v>
      </c>
    </row>
    <row r="458" spans="1:40" ht="30">
      <c r="A458" s="7">
        <v>457</v>
      </c>
      <c r="B458" s="7" t="s">
        <v>1370</v>
      </c>
      <c r="C458" s="7" t="s">
        <v>55</v>
      </c>
      <c r="D458" s="7" t="s">
        <v>112</v>
      </c>
      <c r="E458" s="7" t="s">
        <v>1642</v>
      </c>
      <c r="F458" s="7" t="s">
        <v>55</v>
      </c>
      <c r="G458" s="14">
        <v>1606</v>
      </c>
      <c r="H458" s="14">
        <v>90</v>
      </c>
      <c r="I458" s="15">
        <v>5.04</v>
      </c>
      <c r="J458" s="14">
        <v>0</v>
      </c>
      <c r="K458" s="15">
        <v>0</v>
      </c>
      <c r="L458" s="14">
        <v>20</v>
      </c>
      <c r="M458" s="14">
        <v>8</v>
      </c>
      <c r="N458" s="13"/>
      <c r="O458" s="14">
        <v>5</v>
      </c>
      <c r="P458" s="14">
        <v>314</v>
      </c>
      <c r="Q458" s="15">
        <v>17.596513075965131</v>
      </c>
      <c r="R458" s="17">
        <f>IFERROR(G458/(G458+Priors!$H$18),0)</f>
        <v>0.61627014581734463</v>
      </c>
      <c r="S458" s="13">
        <v>1</v>
      </c>
      <c r="T458" s="40" t="b">
        <v>0</v>
      </c>
      <c r="U458" s="13">
        <v>1</v>
      </c>
      <c r="V458" s="40" t="b">
        <v>1</v>
      </c>
      <c r="W458" s="13">
        <v>0.9</v>
      </c>
      <c r="X458" s="17">
        <f t="shared" si="56"/>
        <v>0.55464313123561015</v>
      </c>
      <c r="Y458" s="37">
        <f>VLOOKUP(D458,Priors!$A$18:$B$21,2,FALSE)</f>
        <v>8.4555315342179806</v>
      </c>
      <c r="Z458" s="38">
        <f t="shared" si="57"/>
        <v>6.5611304292453525</v>
      </c>
      <c r="AA458" s="39">
        <v>1</v>
      </c>
      <c r="AB458" s="38">
        <f t="shared" si="58"/>
        <v>6.5611304292453525</v>
      </c>
      <c r="AC458" s="37">
        <f>Priors!$K$18</f>
        <v>2.7435089299114512</v>
      </c>
      <c r="AD458" s="38" t="str">
        <f t="shared" si="59"/>
        <v/>
      </c>
      <c r="AE458" s="37">
        <f>Priors!$K$19</f>
        <v>0.67280088332719912</v>
      </c>
      <c r="AF458" s="38" t="str">
        <f t="shared" si="60"/>
        <v/>
      </c>
      <c r="AG458" s="17">
        <f t="shared" si="61"/>
        <v>0.44535686876438985</v>
      </c>
      <c r="AH458" s="7" t="s">
        <v>1643</v>
      </c>
      <c r="AI458" s="7">
        <v>12</v>
      </c>
      <c r="AJ458" s="38">
        <f t="shared" si="62"/>
        <v>0.54676086910377941</v>
      </c>
      <c r="AK458" s="9" t="b">
        <f t="shared" si="63"/>
        <v>1</v>
      </c>
      <c r="AL458" s="28" t="s">
        <v>1644</v>
      </c>
      <c r="AM458" s="28" t="s">
        <v>1645</v>
      </c>
      <c r="AN458" s="28" t="s">
        <v>1792</v>
      </c>
    </row>
    <row r="459" spans="1:40" ht="30">
      <c r="A459" s="7">
        <v>458</v>
      </c>
      <c r="B459" s="7" t="s">
        <v>1373</v>
      </c>
      <c r="C459" s="7" t="s">
        <v>55</v>
      </c>
      <c r="D459" s="7" t="s">
        <v>112</v>
      </c>
      <c r="E459" s="7" t="s">
        <v>1642</v>
      </c>
      <c r="F459" s="7" t="s">
        <v>55</v>
      </c>
      <c r="G459" s="14">
        <v>1950</v>
      </c>
      <c r="H459" s="14">
        <v>238</v>
      </c>
      <c r="I459" s="15">
        <v>10.98</v>
      </c>
      <c r="J459" s="14">
        <v>0</v>
      </c>
      <c r="K459" s="15">
        <v>0</v>
      </c>
      <c r="L459" s="14">
        <v>27</v>
      </c>
      <c r="M459" s="14">
        <v>5</v>
      </c>
      <c r="N459" s="13"/>
      <c r="O459" s="14">
        <v>2</v>
      </c>
      <c r="P459" s="14">
        <v>304</v>
      </c>
      <c r="Q459" s="15">
        <v>14.030769230769231</v>
      </c>
      <c r="R459" s="17">
        <f>IFERROR(G459/(G459+Priors!$H$18),0)</f>
        <v>0.66101694915254239</v>
      </c>
      <c r="S459" s="13">
        <v>1</v>
      </c>
      <c r="T459" s="40" t="b">
        <v>0</v>
      </c>
      <c r="U459" s="13">
        <v>1</v>
      </c>
      <c r="V459" s="40" t="b">
        <v>1</v>
      </c>
      <c r="W459" s="13">
        <v>0.9</v>
      </c>
      <c r="X459" s="17">
        <f t="shared" si="56"/>
        <v>0.59491525423728819</v>
      </c>
      <c r="Y459" s="37">
        <f>VLOOKUP(D459,Priors!$A$18:$B$21,2,FALSE)</f>
        <v>8.4555315342179806</v>
      </c>
      <c r="Z459" s="38">
        <f t="shared" si="57"/>
        <v>9.9573763333527072</v>
      </c>
      <c r="AA459" s="39">
        <v>1</v>
      </c>
      <c r="AB459" s="38">
        <f t="shared" si="58"/>
        <v>9.9573763333527072</v>
      </c>
      <c r="AC459" s="37">
        <f>Priors!$K$18</f>
        <v>2.7435089299114512</v>
      </c>
      <c r="AD459" s="38" t="str">
        <f t="shared" si="59"/>
        <v/>
      </c>
      <c r="AE459" s="37">
        <f>Priors!$K$19</f>
        <v>0.67280088332719912</v>
      </c>
      <c r="AF459" s="38" t="str">
        <f t="shared" si="60"/>
        <v/>
      </c>
      <c r="AG459" s="17">
        <f t="shared" si="61"/>
        <v>0.40508474576271181</v>
      </c>
      <c r="AH459" s="7" t="s">
        <v>1643</v>
      </c>
      <c r="AI459" s="7">
        <v>12</v>
      </c>
      <c r="AJ459" s="38">
        <f t="shared" si="62"/>
        <v>0.8297813611127256</v>
      </c>
      <c r="AK459" s="9" t="b">
        <f t="shared" si="63"/>
        <v>1</v>
      </c>
      <c r="AL459" s="28" t="s">
        <v>1644</v>
      </c>
      <c r="AM459" s="28" t="s">
        <v>1645</v>
      </c>
      <c r="AN459" s="28" t="s">
        <v>1792</v>
      </c>
    </row>
    <row r="460" spans="1:40" ht="30">
      <c r="A460" s="7">
        <v>459</v>
      </c>
      <c r="B460" s="7" t="s">
        <v>1376</v>
      </c>
      <c r="C460" s="7" t="s">
        <v>55</v>
      </c>
      <c r="D460" s="7" t="s">
        <v>112</v>
      </c>
      <c r="E460" s="7" t="s">
        <v>1642</v>
      </c>
      <c r="F460" s="7" t="s">
        <v>55</v>
      </c>
      <c r="G460" s="14">
        <v>1493</v>
      </c>
      <c r="H460" s="14">
        <v>155</v>
      </c>
      <c r="I460" s="15">
        <v>9.34</v>
      </c>
      <c r="J460" s="14">
        <v>0</v>
      </c>
      <c r="K460" s="15">
        <v>0</v>
      </c>
      <c r="L460" s="14">
        <v>22</v>
      </c>
      <c r="M460" s="14">
        <v>2</v>
      </c>
      <c r="N460" s="13"/>
      <c r="O460" s="14">
        <v>5</v>
      </c>
      <c r="P460" s="14">
        <v>334</v>
      </c>
      <c r="Q460" s="15">
        <v>20.13395847287341</v>
      </c>
      <c r="R460" s="17">
        <f>IFERROR(G460/(G460+Priors!$H$18),0)</f>
        <v>0.5988768551945447</v>
      </c>
      <c r="S460" s="13">
        <v>1</v>
      </c>
      <c r="T460" s="40" t="b">
        <v>0</v>
      </c>
      <c r="U460" s="13">
        <v>1</v>
      </c>
      <c r="V460" s="40" t="b">
        <v>1</v>
      </c>
      <c r="W460" s="13">
        <v>0.9</v>
      </c>
      <c r="X460" s="17">
        <f t="shared" si="56"/>
        <v>0.53898916967509025</v>
      </c>
      <c r="Y460" s="37">
        <f>VLOOKUP(D460,Priors!$A$18:$B$21,2,FALSE)</f>
        <v>8.4555315342179806</v>
      </c>
      <c r="Z460" s="38">
        <f t="shared" si="57"/>
        <v>8.9322504581936322</v>
      </c>
      <c r="AA460" s="39">
        <v>1</v>
      </c>
      <c r="AB460" s="38">
        <f t="shared" si="58"/>
        <v>8.9322504581936322</v>
      </c>
      <c r="AC460" s="37">
        <f>Priors!$K$18</f>
        <v>2.7435089299114512</v>
      </c>
      <c r="AD460" s="38" t="str">
        <f t="shared" si="59"/>
        <v/>
      </c>
      <c r="AE460" s="37">
        <f>Priors!$K$19</f>
        <v>0.67280088332719912</v>
      </c>
      <c r="AF460" s="38" t="str">
        <f t="shared" si="60"/>
        <v/>
      </c>
      <c r="AG460" s="17">
        <f t="shared" si="61"/>
        <v>0.46101083032490975</v>
      </c>
      <c r="AH460" s="7" t="s">
        <v>1643</v>
      </c>
      <c r="AI460" s="7">
        <v>12</v>
      </c>
      <c r="AJ460" s="38">
        <f t="shared" si="62"/>
        <v>0.74435420484946935</v>
      </c>
      <c r="AK460" s="9" t="b">
        <f t="shared" si="63"/>
        <v>1</v>
      </c>
      <c r="AL460" s="28" t="s">
        <v>1644</v>
      </c>
      <c r="AM460" s="28" t="s">
        <v>1645</v>
      </c>
      <c r="AN460" s="28" t="s">
        <v>1792</v>
      </c>
    </row>
    <row r="461" spans="1:40" ht="30">
      <c r="A461" s="7">
        <v>460</v>
      </c>
      <c r="B461" s="7" t="s">
        <v>1380</v>
      </c>
      <c r="C461" s="7" t="s">
        <v>55</v>
      </c>
      <c r="D461" s="7" t="s">
        <v>112</v>
      </c>
      <c r="E461" s="7" t="s">
        <v>1642</v>
      </c>
      <c r="F461" s="7" t="s">
        <v>55</v>
      </c>
      <c r="G461" s="14">
        <v>972</v>
      </c>
      <c r="H461" s="14">
        <v>89</v>
      </c>
      <c r="I461" s="15">
        <v>8.24</v>
      </c>
      <c r="J461" s="14">
        <v>0</v>
      </c>
      <c r="K461" s="15">
        <v>0</v>
      </c>
      <c r="L461" s="14">
        <v>18</v>
      </c>
      <c r="M461" s="14">
        <v>3</v>
      </c>
      <c r="N461" s="13"/>
      <c r="O461" s="14">
        <v>0</v>
      </c>
      <c r="P461" s="14">
        <v>166</v>
      </c>
      <c r="Q461" s="15">
        <v>15.37037037037037</v>
      </c>
      <c r="R461" s="17">
        <f>IFERROR(G461/(G461+Priors!$H$18),0)</f>
        <v>0.49290060851926976</v>
      </c>
      <c r="S461" s="13">
        <v>1</v>
      </c>
      <c r="T461" s="40" t="b">
        <v>0</v>
      </c>
      <c r="U461" s="13">
        <v>1</v>
      </c>
      <c r="V461" s="40" t="b">
        <v>1</v>
      </c>
      <c r="W461" s="13">
        <v>0.9</v>
      </c>
      <c r="X461" s="17">
        <f t="shared" si="56"/>
        <v>0.44361054766734281</v>
      </c>
      <c r="Y461" s="37">
        <f>VLOOKUP(D461,Priors!$A$18:$B$21,2,FALSE)</f>
        <v>8.4555315342179806</v>
      </c>
      <c r="Z461" s="38">
        <f t="shared" si="57"/>
        <v>8.3599194722839592</v>
      </c>
      <c r="AA461" s="39">
        <v>1</v>
      </c>
      <c r="AB461" s="38">
        <f t="shared" si="58"/>
        <v>8.3599194722839592</v>
      </c>
      <c r="AC461" s="37">
        <f>Priors!$K$18</f>
        <v>2.7435089299114512</v>
      </c>
      <c r="AD461" s="38" t="str">
        <f t="shared" si="59"/>
        <v/>
      </c>
      <c r="AE461" s="37">
        <f>Priors!$K$19</f>
        <v>0.67280088332719912</v>
      </c>
      <c r="AF461" s="38" t="str">
        <f t="shared" si="60"/>
        <v/>
      </c>
      <c r="AG461" s="17">
        <f t="shared" si="61"/>
        <v>0.55638945233265713</v>
      </c>
      <c r="AH461" s="7" t="s">
        <v>1643</v>
      </c>
      <c r="AI461" s="7">
        <v>12</v>
      </c>
      <c r="AJ461" s="38">
        <f t="shared" si="62"/>
        <v>0.69665995602366326</v>
      </c>
      <c r="AK461" s="9" t="b">
        <f t="shared" si="63"/>
        <v>1</v>
      </c>
      <c r="AL461" s="28" t="s">
        <v>1644</v>
      </c>
      <c r="AM461" s="28" t="s">
        <v>1645</v>
      </c>
      <c r="AN461" s="28" t="s">
        <v>1792</v>
      </c>
    </row>
    <row r="462" spans="1:40" ht="30">
      <c r="A462" s="7">
        <v>461</v>
      </c>
      <c r="B462" s="7" t="s">
        <v>1383</v>
      </c>
      <c r="C462" s="7" t="s">
        <v>55</v>
      </c>
      <c r="D462" s="7" t="s">
        <v>112</v>
      </c>
      <c r="E462" s="7" t="s">
        <v>1647</v>
      </c>
      <c r="F462" s="7"/>
      <c r="G462" s="14">
        <v>0</v>
      </c>
      <c r="H462" s="14"/>
      <c r="I462" s="15"/>
      <c r="J462" s="14"/>
      <c r="K462" s="15"/>
      <c r="L462" s="14"/>
      <c r="M462" s="14"/>
      <c r="N462" s="13"/>
      <c r="O462" s="14"/>
      <c r="P462" s="14"/>
      <c r="Q462" s="15"/>
      <c r="R462" s="17">
        <f>IFERROR(G462/(G462+Priors!$H$18),0)</f>
        <v>0</v>
      </c>
      <c r="S462" s="13">
        <v>0</v>
      </c>
      <c r="T462" s="40" t="b">
        <v>0</v>
      </c>
      <c r="U462" s="13">
        <v>1</v>
      </c>
      <c r="V462" s="40" t="b">
        <v>1</v>
      </c>
      <c r="W462" s="13">
        <v>0.9</v>
      </c>
      <c r="X462" s="17">
        <f t="shared" si="56"/>
        <v>0</v>
      </c>
      <c r="Y462" s="37">
        <f>VLOOKUP(D462,Priors!$A$18:$B$21,2,FALSE)</f>
        <v>8.4555315342179806</v>
      </c>
      <c r="Z462" s="38">
        <f t="shared" si="57"/>
        <v>8.4555315342179806</v>
      </c>
      <c r="AA462" s="39">
        <v>1</v>
      </c>
      <c r="AB462" s="38">
        <f t="shared" si="58"/>
        <v>8.4555315342179806</v>
      </c>
      <c r="AC462" s="37">
        <f>Priors!$K$18</f>
        <v>2.7435089299114512</v>
      </c>
      <c r="AD462" s="38" t="str">
        <f t="shared" si="59"/>
        <v/>
      </c>
      <c r="AE462" s="37">
        <f>Priors!$K$19</f>
        <v>0.67280088332719912</v>
      </c>
      <c r="AF462" s="38" t="str">
        <f t="shared" si="60"/>
        <v/>
      </c>
      <c r="AG462" s="17">
        <f t="shared" si="61"/>
        <v>1</v>
      </c>
      <c r="AH462" s="7" t="s">
        <v>1793</v>
      </c>
      <c r="AI462" s="7">
        <v>12</v>
      </c>
      <c r="AJ462" s="38">
        <f t="shared" si="62"/>
        <v>0.70462762785149835</v>
      </c>
      <c r="AK462" s="9" t="b">
        <f t="shared" si="63"/>
        <v>1</v>
      </c>
      <c r="AL462" s="28" t="s">
        <v>1794</v>
      </c>
      <c r="AM462" s="28"/>
      <c r="AN462" s="28" t="s">
        <v>1792</v>
      </c>
    </row>
    <row r="463" spans="1:40" ht="30">
      <c r="A463" s="7">
        <v>462</v>
      </c>
      <c r="B463" s="7" t="s">
        <v>1386</v>
      </c>
      <c r="C463" s="7" t="s">
        <v>55</v>
      </c>
      <c r="D463" s="7" t="s">
        <v>112</v>
      </c>
      <c r="E463" s="7" t="s">
        <v>1647</v>
      </c>
      <c r="F463" s="7"/>
      <c r="G463" s="14">
        <v>0</v>
      </c>
      <c r="H463" s="14"/>
      <c r="I463" s="15"/>
      <c r="J463" s="14"/>
      <c r="K463" s="15"/>
      <c r="L463" s="14"/>
      <c r="M463" s="14"/>
      <c r="N463" s="13"/>
      <c r="O463" s="14"/>
      <c r="P463" s="14"/>
      <c r="Q463" s="15"/>
      <c r="R463" s="17">
        <f>IFERROR(G463/(G463+Priors!$H$18),0)</f>
        <v>0</v>
      </c>
      <c r="S463" s="13">
        <v>0</v>
      </c>
      <c r="T463" s="40" t="b">
        <v>0</v>
      </c>
      <c r="U463" s="13">
        <v>1</v>
      </c>
      <c r="V463" s="40" t="b">
        <v>1</v>
      </c>
      <c r="W463" s="13">
        <v>0.9</v>
      </c>
      <c r="X463" s="17">
        <f t="shared" si="56"/>
        <v>0</v>
      </c>
      <c r="Y463" s="37">
        <f>VLOOKUP(D463,Priors!$A$18:$B$21,2,FALSE)</f>
        <v>8.4555315342179806</v>
      </c>
      <c r="Z463" s="38">
        <f t="shared" si="57"/>
        <v>8.4555315342179806</v>
      </c>
      <c r="AA463" s="39">
        <v>1</v>
      </c>
      <c r="AB463" s="38">
        <f t="shared" si="58"/>
        <v>8.4555315342179806</v>
      </c>
      <c r="AC463" s="37">
        <f>Priors!$K$18</f>
        <v>2.7435089299114512</v>
      </c>
      <c r="AD463" s="38" t="str">
        <f t="shared" si="59"/>
        <v/>
      </c>
      <c r="AE463" s="37">
        <f>Priors!$K$19</f>
        <v>0.67280088332719912</v>
      </c>
      <c r="AF463" s="38" t="str">
        <f t="shared" si="60"/>
        <v/>
      </c>
      <c r="AG463" s="17">
        <f t="shared" si="61"/>
        <v>1</v>
      </c>
      <c r="AH463" s="7" t="s">
        <v>1793</v>
      </c>
      <c r="AI463" s="7">
        <v>12</v>
      </c>
      <c r="AJ463" s="38">
        <f t="shared" si="62"/>
        <v>0.70462762785149835</v>
      </c>
      <c r="AK463" s="9" t="b">
        <f t="shared" si="63"/>
        <v>1</v>
      </c>
      <c r="AL463" s="28" t="s">
        <v>1794</v>
      </c>
      <c r="AM463" s="28"/>
      <c r="AN463" s="28" t="s">
        <v>1792</v>
      </c>
    </row>
    <row r="464" spans="1:40" ht="30">
      <c r="A464" s="7">
        <v>463</v>
      </c>
      <c r="B464" s="7" t="s">
        <v>1388</v>
      </c>
      <c r="C464" s="7" t="s">
        <v>55</v>
      </c>
      <c r="D464" s="7" t="s">
        <v>167</v>
      </c>
      <c r="E464" s="7" t="s">
        <v>1642</v>
      </c>
      <c r="F464" s="7" t="s">
        <v>55</v>
      </c>
      <c r="G464" s="14">
        <v>1896</v>
      </c>
      <c r="H464" s="14">
        <v>105</v>
      </c>
      <c r="I464" s="15">
        <v>4.9800000000000004</v>
      </c>
      <c r="J464" s="14">
        <v>0</v>
      </c>
      <c r="K464" s="15">
        <v>0</v>
      </c>
      <c r="L464" s="14">
        <v>29</v>
      </c>
      <c r="M464" s="14">
        <v>8</v>
      </c>
      <c r="N464" s="13"/>
      <c r="O464" s="14">
        <v>12</v>
      </c>
      <c r="P464" s="14">
        <v>399</v>
      </c>
      <c r="Q464" s="15">
        <v>18.939873417721518</v>
      </c>
      <c r="R464" s="17">
        <f>IFERROR(G464/(G464+Priors!$H$18),0)</f>
        <v>0.65469613259668513</v>
      </c>
      <c r="S464" s="13">
        <v>1</v>
      </c>
      <c r="T464" s="40" t="b">
        <v>0</v>
      </c>
      <c r="U464" s="13">
        <v>1</v>
      </c>
      <c r="V464" s="40" t="b">
        <v>1</v>
      </c>
      <c r="W464" s="13">
        <v>0.9</v>
      </c>
      <c r="X464" s="17">
        <f t="shared" si="56"/>
        <v>0.58922651933701664</v>
      </c>
      <c r="Y464" s="37">
        <f>VLOOKUP(D464,Priors!$A$18:$B$21,2,FALSE)</f>
        <v>4.5137422563476139</v>
      </c>
      <c r="Z464" s="38">
        <f t="shared" si="57"/>
        <v>4.7884736837538409</v>
      </c>
      <c r="AA464" s="39">
        <v>1</v>
      </c>
      <c r="AB464" s="38">
        <f t="shared" si="58"/>
        <v>4.7884736837538409</v>
      </c>
      <c r="AC464" s="37">
        <f>Priors!$K$18</f>
        <v>2.7435089299114512</v>
      </c>
      <c r="AD464" s="38" t="str">
        <f t="shared" si="59"/>
        <v/>
      </c>
      <c r="AE464" s="37">
        <f>Priors!$K$19</f>
        <v>0.67280088332719912</v>
      </c>
      <c r="AF464" s="38" t="str">
        <f t="shared" si="60"/>
        <v/>
      </c>
      <c r="AG464" s="17">
        <f t="shared" si="61"/>
        <v>0.41077348066298336</v>
      </c>
      <c r="AH464" s="7" t="s">
        <v>1643</v>
      </c>
      <c r="AI464" s="7">
        <v>12</v>
      </c>
      <c r="AJ464" s="38">
        <f t="shared" si="62"/>
        <v>0.39903947364615339</v>
      </c>
      <c r="AK464" s="9" t="b">
        <f t="shared" si="63"/>
        <v>1</v>
      </c>
      <c r="AL464" s="28" t="s">
        <v>1644</v>
      </c>
      <c r="AM464" s="28" t="s">
        <v>1645</v>
      </c>
      <c r="AN464" s="28" t="s">
        <v>1792</v>
      </c>
    </row>
    <row r="465" spans="1:40" ht="30">
      <c r="A465" s="7">
        <v>464</v>
      </c>
      <c r="B465" s="7" t="s">
        <v>1391</v>
      </c>
      <c r="C465" s="7" t="s">
        <v>55</v>
      </c>
      <c r="D465" s="7" t="s">
        <v>167</v>
      </c>
      <c r="E465" s="7" t="s">
        <v>1642</v>
      </c>
      <c r="F465" s="7" t="s">
        <v>55</v>
      </c>
      <c r="G465" s="14">
        <v>517</v>
      </c>
      <c r="H465" s="14">
        <v>22</v>
      </c>
      <c r="I465" s="15">
        <v>3.83</v>
      </c>
      <c r="J465" s="14">
        <v>0</v>
      </c>
      <c r="K465" s="15">
        <v>0</v>
      </c>
      <c r="L465" s="14">
        <v>11</v>
      </c>
      <c r="M465" s="14">
        <v>1</v>
      </c>
      <c r="N465" s="13"/>
      <c r="O465" s="14">
        <v>0</v>
      </c>
      <c r="P465" s="14">
        <v>70</v>
      </c>
      <c r="Q465" s="15">
        <v>12.185686653771761</v>
      </c>
      <c r="R465" s="17">
        <f>IFERROR(G465/(G465+Priors!$H$18),0)</f>
        <v>0.34080421885299933</v>
      </c>
      <c r="S465" s="13">
        <v>1</v>
      </c>
      <c r="T465" s="40" t="b">
        <v>0</v>
      </c>
      <c r="U465" s="13">
        <v>1</v>
      </c>
      <c r="V465" s="40" t="b">
        <v>1</v>
      </c>
      <c r="W465" s="13">
        <v>0.9</v>
      </c>
      <c r="X465" s="17">
        <f t="shared" si="56"/>
        <v>0.30672379696769941</v>
      </c>
      <c r="Y465" s="37">
        <f>VLOOKUP(D465,Priors!$A$18:$B$21,2,FALSE)</f>
        <v>4.5137422563476139</v>
      </c>
      <c r="Z465" s="38">
        <f t="shared" si="57"/>
        <v>4.3040222353334112</v>
      </c>
      <c r="AA465" s="39">
        <v>1</v>
      </c>
      <c r="AB465" s="38">
        <f t="shared" si="58"/>
        <v>4.3040222353334112</v>
      </c>
      <c r="AC465" s="37">
        <f>Priors!$K$18</f>
        <v>2.7435089299114512</v>
      </c>
      <c r="AD465" s="38" t="str">
        <f t="shared" si="59"/>
        <v/>
      </c>
      <c r="AE465" s="37">
        <f>Priors!$K$19</f>
        <v>0.67280088332719912</v>
      </c>
      <c r="AF465" s="38" t="str">
        <f t="shared" si="60"/>
        <v/>
      </c>
      <c r="AG465" s="17">
        <f t="shared" si="61"/>
        <v>0.69327620303230053</v>
      </c>
      <c r="AH465" s="7" t="s">
        <v>1643</v>
      </c>
      <c r="AI465" s="7">
        <v>12</v>
      </c>
      <c r="AJ465" s="38">
        <f t="shared" si="62"/>
        <v>0.35866851961111762</v>
      </c>
      <c r="AK465" s="9" t="b">
        <f t="shared" si="63"/>
        <v>1</v>
      </c>
      <c r="AL465" s="28" t="s">
        <v>1644</v>
      </c>
      <c r="AM465" s="28" t="s">
        <v>1645</v>
      </c>
      <c r="AN465" s="28" t="s">
        <v>1792</v>
      </c>
    </row>
    <row r="466" spans="1:40" ht="30">
      <c r="A466" s="7">
        <v>465</v>
      </c>
      <c r="B466" s="7" t="s">
        <v>1393</v>
      </c>
      <c r="C466" s="7" t="s">
        <v>55</v>
      </c>
      <c r="D466" s="7" t="s">
        <v>167</v>
      </c>
      <c r="E466" s="7" t="s">
        <v>1642</v>
      </c>
      <c r="F466" s="7" t="s">
        <v>55</v>
      </c>
      <c r="G466" s="14">
        <v>805</v>
      </c>
      <c r="H466" s="14">
        <v>31</v>
      </c>
      <c r="I466" s="15">
        <v>3.47</v>
      </c>
      <c r="J466" s="14">
        <v>0</v>
      </c>
      <c r="K466" s="15">
        <v>0</v>
      </c>
      <c r="L466" s="14">
        <v>14</v>
      </c>
      <c r="M466" s="14">
        <v>2</v>
      </c>
      <c r="N466" s="13"/>
      <c r="O466" s="14">
        <v>13</v>
      </c>
      <c r="P466" s="14">
        <v>284</v>
      </c>
      <c r="Q466" s="15">
        <v>31.751552795031056</v>
      </c>
      <c r="R466" s="17">
        <f>IFERROR(G466/(G466+Priors!$H$18),0)</f>
        <v>0.44598337950138506</v>
      </c>
      <c r="S466" s="13">
        <v>1</v>
      </c>
      <c r="T466" s="40" t="b">
        <v>0</v>
      </c>
      <c r="U466" s="13">
        <v>1</v>
      </c>
      <c r="V466" s="40" t="b">
        <v>1</v>
      </c>
      <c r="W466" s="13">
        <v>0.9</v>
      </c>
      <c r="X466" s="17">
        <f t="shared" si="56"/>
        <v>0.40138504155124655</v>
      </c>
      <c r="Y466" s="37">
        <f>VLOOKUP(D466,Priors!$A$18:$B$21,2,FALSE)</f>
        <v>4.5137422563476139</v>
      </c>
      <c r="Z466" s="38">
        <f t="shared" si="57"/>
        <v>4.0947997274147347</v>
      </c>
      <c r="AA466" s="39">
        <v>1</v>
      </c>
      <c r="AB466" s="38">
        <f t="shared" si="58"/>
        <v>4.0947997274147347</v>
      </c>
      <c r="AC466" s="37">
        <f>Priors!$K$18</f>
        <v>2.7435089299114512</v>
      </c>
      <c r="AD466" s="38" t="str">
        <f t="shared" si="59"/>
        <v/>
      </c>
      <c r="AE466" s="37">
        <f>Priors!$K$19</f>
        <v>0.67280088332719912</v>
      </c>
      <c r="AF466" s="38" t="str">
        <f t="shared" si="60"/>
        <v/>
      </c>
      <c r="AG466" s="17">
        <f t="shared" si="61"/>
        <v>0.59861495844875345</v>
      </c>
      <c r="AH466" s="7" t="s">
        <v>1643</v>
      </c>
      <c r="AI466" s="7">
        <v>12</v>
      </c>
      <c r="AJ466" s="38">
        <f t="shared" si="62"/>
        <v>0.34123331061789458</v>
      </c>
      <c r="AK466" s="9" t="b">
        <f t="shared" si="63"/>
        <v>1</v>
      </c>
      <c r="AL466" s="28" t="s">
        <v>1644</v>
      </c>
      <c r="AM466" s="28" t="s">
        <v>1645</v>
      </c>
      <c r="AN466" s="28" t="s">
        <v>1792</v>
      </c>
    </row>
    <row r="467" spans="1:40" ht="30">
      <c r="A467" s="7">
        <v>466</v>
      </c>
      <c r="B467" s="7" t="s">
        <v>1395</v>
      </c>
      <c r="C467" s="7" t="s">
        <v>55</v>
      </c>
      <c r="D467" s="7" t="s">
        <v>167</v>
      </c>
      <c r="E467" s="7" t="s">
        <v>1642</v>
      </c>
      <c r="F467" s="7" t="s">
        <v>55</v>
      </c>
      <c r="G467" s="14">
        <v>13</v>
      </c>
      <c r="H467" s="14">
        <v>0</v>
      </c>
      <c r="I467" s="15">
        <v>0</v>
      </c>
      <c r="J467" s="14">
        <v>0</v>
      </c>
      <c r="K467" s="15">
        <v>0</v>
      </c>
      <c r="L467" s="14">
        <v>1</v>
      </c>
      <c r="M467" s="14">
        <v>0</v>
      </c>
      <c r="N467" s="13"/>
      <c r="O467" s="14">
        <v>0</v>
      </c>
      <c r="P467" s="14">
        <v>2</v>
      </c>
      <c r="Q467" s="15">
        <v>13.846153846153847</v>
      </c>
      <c r="R467" s="17">
        <f>IFERROR(G467/(G467+Priors!$H$18),0)</f>
        <v>1.2833168805528134E-2</v>
      </c>
      <c r="S467" s="13">
        <v>1</v>
      </c>
      <c r="T467" s="40" t="b">
        <v>0</v>
      </c>
      <c r="U467" s="13">
        <v>1</v>
      </c>
      <c r="V467" s="40" t="b">
        <v>1</v>
      </c>
      <c r="W467" s="13">
        <v>0.9</v>
      </c>
      <c r="X467" s="17">
        <f t="shared" si="56"/>
        <v>1.1549851924975322E-2</v>
      </c>
      <c r="Y467" s="37">
        <f>VLOOKUP(D467,Priors!$A$18:$B$21,2,FALSE)</f>
        <v>4.5137422563476139</v>
      </c>
      <c r="Z467" s="38">
        <f t="shared" si="57"/>
        <v>4.4616092016592948</v>
      </c>
      <c r="AA467" s="39">
        <v>1</v>
      </c>
      <c r="AB467" s="38">
        <f t="shared" si="58"/>
        <v>4.4616092016592948</v>
      </c>
      <c r="AC467" s="37">
        <f>Priors!$K$18</f>
        <v>2.7435089299114512</v>
      </c>
      <c r="AD467" s="38" t="str">
        <f t="shared" si="59"/>
        <v/>
      </c>
      <c r="AE467" s="37">
        <f>Priors!$K$19</f>
        <v>0.67280088332719912</v>
      </c>
      <c r="AF467" s="38" t="str">
        <f t="shared" si="60"/>
        <v/>
      </c>
      <c r="AG467" s="17">
        <f t="shared" si="61"/>
        <v>0.98845014807502463</v>
      </c>
      <c r="AH467" s="7" t="s">
        <v>1643</v>
      </c>
      <c r="AI467" s="7">
        <v>12</v>
      </c>
      <c r="AJ467" s="38">
        <f t="shared" si="62"/>
        <v>0.37180076680494123</v>
      </c>
      <c r="AK467" s="9" t="b">
        <f t="shared" si="63"/>
        <v>1</v>
      </c>
      <c r="AL467" s="28" t="s">
        <v>1644</v>
      </c>
      <c r="AM467" s="28" t="s">
        <v>1645</v>
      </c>
      <c r="AN467" s="28" t="s">
        <v>1792</v>
      </c>
    </row>
    <row r="468" spans="1:40" ht="30">
      <c r="A468" s="7">
        <v>467</v>
      </c>
      <c r="B468" s="7" t="s">
        <v>1403</v>
      </c>
      <c r="C468" s="7" t="s">
        <v>56</v>
      </c>
      <c r="D468" s="7" t="s">
        <v>85</v>
      </c>
      <c r="E468" s="7" t="s">
        <v>1642</v>
      </c>
      <c r="F468" s="7" t="s">
        <v>56</v>
      </c>
      <c r="G468" s="14">
        <v>2667</v>
      </c>
      <c r="H468" s="14">
        <v>75</v>
      </c>
      <c r="I468" s="15">
        <v>0</v>
      </c>
      <c r="J468" s="14">
        <v>95</v>
      </c>
      <c r="K468" s="15">
        <v>3.21</v>
      </c>
      <c r="L468" s="14">
        <v>39</v>
      </c>
      <c r="M468" s="14">
        <v>7</v>
      </c>
      <c r="N468" s="13">
        <v>0.70895522388059706</v>
      </c>
      <c r="O468" s="14">
        <v>3</v>
      </c>
      <c r="P468" s="14">
        <v>431</v>
      </c>
      <c r="Q468" s="15">
        <v>14.54443194600675</v>
      </c>
      <c r="R468" s="17">
        <f>IFERROR(G468/(G468+Priors!$H$18),0)</f>
        <v>0.72729751840741752</v>
      </c>
      <c r="S468" s="13">
        <v>1</v>
      </c>
      <c r="T468" s="40" t="b">
        <v>0</v>
      </c>
      <c r="U468" s="13">
        <v>1</v>
      </c>
      <c r="V468" s="40" t="b">
        <v>1</v>
      </c>
      <c r="W468" s="13">
        <v>0.9</v>
      </c>
      <c r="X468" s="17">
        <f t="shared" si="56"/>
        <v>0.65456776656667581</v>
      </c>
      <c r="Y468" s="37">
        <f>VLOOKUP(D468,Priors!$A$18:$B$21,2,FALSE)</f>
        <v>2.6414527990394716</v>
      </c>
      <c r="Z468" s="38">
        <f t="shared" si="57"/>
        <v>0.9124429398809103</v>
      </c>
      <c r="AA468" s="39">
        <v>1</v>
      </c>
      <c r="AB468" s="38">
        <f t="shared" si="58"/>
        <v>0.9124429398809103</v>
      </c>
      <c r="AC468" s="37">
        <f>Priors!$K$18</f>
        <v>2.7435089299114512</v>
      </c>
      <c r="AD468" s="38">
        <f t="shared" si="59"/>
        <v>3.0488589477826111</v>
      </c>
      <c r="AE468" s="37">
        <f>Priors!$K$19</f>
        <v>0.67280088332719912</v>
      </c>
      <c r="AF468" s="38">
        <f t="shared" si="60"/>
        <v>0.69646634927492779</v>
      </c>
      <c r="AG468" s="17">
        <f t="shared" si="61"/>
        <v>0.34543223343332419</v>
      </c>
      <c r="AH468" s="7" t="s">
        <v>1643</v>
      </c>
      <c r="AI468" s="7"/>
      <c r="AJ468" s="38" t="str">
        <f t="shared" si="62"/>
        <v/>
      </c>
      <c r="AK468" s="9" t="b">
        <f t="shared" si="63"/>
        <v>1</v>
      </c>
      <c r="AL468" s="28" t="s">
        <v>1644</v>
      </c>
      <c r="AM468" s="28" t="s">
        <v>1645</v>
      </c>
      <c r="AN468" s="28" t="s">
        <v>1792</v>
      </c>
    </row>
    <row r="469" spans="1:40" ht="30">
      <c r="A469" s="7">
        <v>468</v>
      </c>
      <c r="B469" s="7" t="s">
        <v>1406</v>
      </c>
      <c r="C469" s="7" t="s">
        <v>56</v>
      </c>
      <c r="D469" s="7" t="s">
        <v>85</v>
      </c>
      <c r="E469" s="7" t="s">
        <v>1642</v>
      </c>
      <c r="F469" s="7" t="s">
        <v>56</v>
      </c>
      <c r="G469" s="14">
        <v>437</v>
      </c>
      <c r="H469" s="14">
        <v>0</v>
      </c>
      <c r="I469" s="15">
        <v>0</v>
      </c>
      <c r="J469" s="14">
        <v>6</v>
      </c>
      <c r="K469" s="15">
        <v>1.24</v>
      </c>
      <c r="L469" s="14">
        <v>8</v>
      </c>
      <c r="M469" s="14">
        <v>1</v>
      </c>
      <c r="N469" s="13">
        <v>0.42857142857142855</v>
      </c>
      <c r="O469" s="14">
        <v>0</v>
      </c>
      <c r="P469" s="14">
        <v>32</v>
      </c>
      <c r="Q469" s="15">
        <v>6.5903890160183067</v>
      </c>
      <c r="R469" s="17">
        <f>IFERROR(G469/(G469+Priors!$H$18),0)</f>
        <v>0.30410577592205984</v>
      </c>
      <c r="S469" s="13">
        <v>1</v>
      </c>
      <c r="T469" s="40" t="b">
        <v>0</v>
      </c>
      <c r="U469" s="13">
        <v>1</v>
      </c>
      <c r="V469" s="40" t="b">
        <v>1</v>
      </c>
      <c r="W469" s="13">
        <v>0.9</v>
      </c>
      <c r="X469" s="17">
        <f t="shared" si="56"/>
        <v>0.27369519832985384</v>
      </c>
      <c r="Y469" s="37">
        <f>VLOOKUP(D469,Priors!$A$18:$B$21,2,FALSE)</f>
        <v>2.6414527990394716</v>
      </c>
      <c r="Z469" s="38">
        <f t="shared" si="57"/>
        <v>1.9184998513274156</v>
      </c>
      <c r="AA469" s="39">
        <v>1</v>
      </c>
      <c r="AB469" s="38">
        <f t="shared" si="58"/>
        <v>1.9184998513274156</v>
      </c>
      <c r="AC469" s="37">
        <f>Priors!$K$18</f>
        <v>2.7435089299114512</v>
      </c>
      <c r="AD469" s="38">
        <f t="shared" si="59"/>
        <v>2.33200575514863</v>
      </c>
      <c r="AE469" s="37">
        <f>Priors!$K$19</f>
        <v>0.67280088332719912</v>
      </c>
      <c r="AF469" s="38">
        <f t="shared" si="60"/>
        <v>0.60595645426982636</v>
      </c>
      <c r="AG469" s="17">
        <f t="shared" si="61"/>
        <v>0.72630480167014611</v>
      </c>
      <c r="AH469" s="7" t="s">
        <v>1643</v>
      </c>
      <c r="AI469" s="7"/>
      <c r="AJ469" s="38" t="str">
        <f t="shared" si="62"/>
        <v/>
      </c>
      <c r="AK469" s="9" t="b">
        <f t="shared" si="63"/>
        <v>1</v>
      </c>
      <c r="AL469" s="28" t="s">
        <v>1644</v>
      </c>
      <c r="AM469" s="28" t="s">
        <v>1645</v>
      </c>
      <c r="AN469" s="28" t="s">
        <v>1792</v>
      </c>
    </row>
    <row r="470" spans="1:40" ht="30">
      <c r="A470" s="7">
        <v>469</v>
      </c>
      <c r="B470" s="7" t="s">
        <v>1409</v>
      </c>
      <c r="C470" s="7" t="s">
        <v>56</v>
      </c>
      <c r="D470" s="7" t="s">
        <v>99</v>
      </c>
      <c r="E470" s="7" t="s">
        <v>1642</v>
      </c>
      <c r="F470" s="7" t="s">
        <v>56</v>
      </c>
      <c r="G470" s="14">
        <v>3203</v>
      </c>
      <c r="H470" s="14">
        <v>287</v>
      </c>
      <c r="I470" s="15">
        <v>6.94</v>
      </c>
      <c r="J470" s="14">
        <v>0</v>
      </c>
      <c r="K470" s="15">
        <v>0</v>
      </c>
      <c r="L470" s="14">
        <v>48</v>
      </c>
      <c r="M470" s="14">
        <v>9</v>
      </c>
      <c r="N470" s="13"/>
      <c r="O470" s="14">
        <v>15</v>
      </c>
      <c r="P470" s="14">
        <v>531</v>
      </c>
      <c r="Q470" s="15">
        <v>14.920387137059008</v>
      </c>
      <c r="R470" s="17">
        <f>IFERROR(G470/(G470+Priors!$H$18),0)</f>
        <v>0.76207470854151793</v>
      </c>
      <c r="S470" s="13">
        <v>1</v>
      </c>
      <c r="T470" s="40" t="b">
        <v>0</v>
      </c>
      <c r="U470" s="13">
        <v>1</v>
      </c>
      <c r="V470" s="40" t="b">
        <v>1</v>
      </c>
      <c r="W470" s="13">
        <v>0.9</v>
      </c>
      <c r="X470" s="17">
        <f t="shared" si="56"/>
        <v>0.68586723768736613</v>
      </c>
      <c r="Y470" s="37">
        <f>VLOOKUP(D470,Priors!$A$18:$B$21,2,FALSE)</f>
        <v>8.7398272304160223</v>
      </c>
      <c r="Z470" s="38">
        <f t="shared" si="57"/>
        <v>7.5053846995760827</v>
      </c>
      <c r="AA470" s="39">
        <v>1</v>
      </c>
      <c r="AB470" s="38">
        <f t="shared" si="58"/>
        <v>7.5053846995760827</v>
      </c>
      <c r="AC470" s="37">
        <f>Priors!$K$18</f>
        <v>2.7435089299114512</v>
      </c>
      <c r="AD470" s="38" t="str">
        <f t="shared" si="59"/>
        <v/>
      </c>
      <c r="AE470" s="37">
        <f>Priors!$K$19</f>
        <v>0.67280088332719912</v>
      </c>
      <c r="AF470" s="38" t="str">
        <f t="shared" si="60"/>
        <v/>
      </c>
      <c r="AG470" s="17">
        <f t="shared" si="61"/>
        <v>0.31413276231263387</v>
      </c>
      <c r="AH470" s="7" t="s">
        <v>1643</v>
      </c>
      <c r="AI470" s="7">
        <v>10</v>
      </c>
      <c r="AJ470" s="38">
        <f t="shared" si="62"/>
        <v>0.75053846995760831</v>
      </c>
      <c r="AK470" s="9" t="b">
        <f t="shared" si="63"/>
        <v>1</v>
      </c>
      <c r="AL470" s="28" t="s">
        <v>1644</v>
      </c>
      <c r="AM470" s="28" t="s">
        <v>1645</v>
      </c>
      <c r="AN470" s="28" t="s">
        <v>1792</v>
      </c>
    </row>
    <row r="471" spans="1:40" ht="30">
      <c r="A471" s="7">
        <v>470</v>
      </c>
      <c r="B471" s="7" t="s">
        <v>1411</v>
      </c>
      <c r="C471" s="7" t="s">
        <v>56</v>
      </c>
      <c r="D471" s="7" t="s">
        <v>99</v>
      </c>
      <c r="E471" s="7" t="s">
        <v>1642</v>
      </c>
      <c r="F471" s="7" t="s">
        <v>56</v>
      </c>
      <c r="G471" s="14">
        <v>1340</v>
      </c>
      <c r="H471" s="14">
        <v>166</v>
      </c>
      <c r="I471" s="15">
        <v>9.67</v>
      </c>
      <c r="J471" s="14">
        <v>0</v>
      </c>
      <c r="K471" s="15">
        <v>0</v>
      </c>
      <c r="L471" s="14">
        <v>23</v>
      </c>
      <c r="M471" s="14">
        <v>2</v>
      </c>
      <c r="N471" s="13"/>
      <c r="O471" s="14">
        <v>1</v>
      </c>
      <c r="P471" s="14">
        <v>190</v>
      </c>
      <c r="Q471" s="15">
        <v>12.761194029850746</v>
      </c>
      <c r="R471" s="17">
        <f>IFERROR(G471/(G471+Priors!$H$18),0)</f>
        <v>0.57264957264957261</v>
      </c>
      <c r="S471" s="13">
        <v>1</v>
      </c>
      <c r="T471" s="40" t="b">
        <v>0</v>
      </c>
      <c r="U471" s="13">
        <v>1</v>
      </c>
      <c r="V471" s="40" t="b">
        <v>1</v>
      </c>
      <c r="W471" s="13">
        <v>0.9</v>
      </c>
      <c r="X471" s="17">
        <f t="shared" si="56"/>
        <v>0.51538461538461533</v>
      </c>
      <c r="Y471" s="37">
        <f>VLOOKUP(D471,Priors!$A$18:$B$21,2,FALSE)</f>
        <v>8.7398272304160223</v>
      </c>
      <c r="Z471" s="38">
        <f t="shared" si="57"/>
        <v>9.219223965509304</v>
      </c>
      <c r="AA471" s="39">
        <v>1</v>
      </c>
      <c r="AB471" s="38">
        <f t="shared" si="58"/>
        <v>9.219223965509304</v>
      </c>
      <c r="AC471" s="37">
        <f>Priors!$K$18</f>
        <v>2.7435089299114512</v>
      </c>
      <c r="AD471" s="38" t="str">
        <f t="shared" si="59"/>
        <v/>
      </c>
      <c r="AE471" s="37">
        <f>Priors!$K$19</f>
        <v>0.67280088332719912</v>
      </c>
      <c r="AF471" s="38" t="str">
        <f t="shared" si="60"/>
        <v/>
      </c>
      <c r="AG471" s="17">
        <f t="shared" si="61"/>
        <v>0.48461538461538467</v>
      </c>
      <c r="AH471" s="7" t="s">
        <v>1643</v>
      </c>
      <c r="AI471" s="7">
        <v>10</v>
      </c>
      <c r="AJ471" s="38">
        <f t="shared" si="62"/>
        <v>0.92192239655093045</v>
      </c>
      <c r="AK471" s="9" t="b">
        <f t="shared" si="63"/>
        <v>1</v>
      </c>
      <c r="AL471" s="28" t="s">
        <v>1644</v>
      </c>
      <c r="AM471" s="28" t="s">
        <v>1645</v>
      </c>
      <c r="AN471" s="28" t="s">
        <v>1792</v>
      </c>
    </row>
    <row r="472" spans="1:40" ht="30">
      <c r="A472" s="7">
        <v>471</v>
      </c>
      <c r="B472" s="7" t="s">
        <v>1413</v>
      </c>
      <c r="C472" s="7" t="s">
        <v>56</v>
      </c>
      <c r="D472" s="7" t="s">
        <v>99</v>
      </c>
      <c r="E472" s="7" t="s">
        <v>1642</v>
      </c>
      <c r="F472" s="7" t="s">
        <v>56</v>
      </c>
      <c r="G472" s="14">
        <v>3375</v>
      </c>
      <c r="H472" s="14">
        <v>340</v>
      </c>
      <c r="I472" s="15">
        <v>8.2899999999999991</v>
      </c>
      <c r="J472" s="14">
        <v>0</v>
      </c>
      <c r="K472" s="15">
        <v>0</v>
      </c>
      <c r="L472" s="14">
        <v>51</v>
      </c>
      <c r="M472" s="14">
        <v>9</v>
      </c>
      <c r="N472" s="13"/>
      <c r="O472" s="14">
        <v>2</v>
      </c>
      <c r="P472" s="14">
        <v>401</v>
      </c>
      <c r="Q472" s="15">
        <v>10.693333333333333</v>
      </c>
      <c r="R472" s="17">
        <f>IFERROR(G472/(G472+Priors!$H$18),0)</f>
        <v>0.77142857142857146</v>
      </c>
      <c r="S472" s="13">
        <v>1</v>
      </c>
      <c r="T472" s="40" t="b">
        <v>0</v>
      </c>
      <c r="U472" s="13">
        <v>1</v>
      </c>
      <c r="V472" s="40" t="b">
        <v>1</v>
      </c>
      <c r="W472" s="13">
        <v>0.9</v>
      </c>
      <c r="X472" s="17">
        <f t="shared" si="56"/>
        <v>0.69428571428571428</v>
      </c>
      <c r="Y472" s="37">
        <f>VLOOKUP(D472,Priors!$A$18:$B$21,2,FALSE)</f>
        <v>8.7398272304160223</v>
      </c>
      <c r="Z472" s="38">
        <f t="shared" si="57"/>
        <v>8.427518610441469</v>
      </c>
      <c r="AA472" s="39">
        <v>1</v>
      </c>
      <c r="AB472" s="38">
        <f t="shared" si="58"/>
        <v>8.427518610441469</v>
      </c>
      <c r="AC472" s="37">
        <f>Priors!$K$18</f>
        <v>2.7435089299114512</v>
      </c>
      <c r="AD472" s="38" t="str">
        <f t="shared" si="59"/>
        <v/>
      </c>
      <c r="AE472" s="37">
        <f>Priors!$K$19</f>
        <v>0.67280088332719912</v>
      </c>
      <c r="AF472" s="38" t="str">
        <f t="shared" si="60"/>
        <v/>
      </c>
      <c r="AG472" s="17">
        <f t="shared" si="61"/>
        <v>0.30571428571428572</v>
      </c>
      <c r="AH472" s="7" t="s">
        <v>1643</v>
      </c>
      <c r="AI472" s="7">
        <v>10</v>
      </c>
      <c r="AJ472" s="38">
        <f t="shared" si="62"/>
        <v>0.8427518610441469</v>
      </c>
      <c r="AK472" s="9" t="b">
        <f t="shared" si="63"/>
        <v>1</v>
      </c>
      <c r="AL472" s="28" t="s">
        <v>1644</v>
      </c>
      <c r="AM472" s="28" t="s">
        <v>1645</v>
      </c>
      <c r="AN472" s="28" t="s">
        <v>1792</v>
      </c>
    </row>
    <row r="473" spans="1:40" ht="30">
      <c r="A473" s="7">
        <v>472</v>
      </c>
      <c r="B473" s="7" t="s">
        <v>1415</v>
      </c>
      <c r="C473" s="7" t="s">
        <v>56</v>
      </c>
      <c r="D473" s="7" t="s">
        <v>99</v>
      </c>
      <c r="E473" s="7" t="s">
        <v>1642</v>
      </c>
      <c r="F473" s="7" t="s">
        <v>56</v>
      </c>
      <c r="G473" s="14">
        <v>2130</v>
      </c>
      <c r="H473" s="14">
        <v>255</v>
      </c>
      <c r="I473" s="15">
        <v>9.42</v>
      </c>
      <c r="J473" s="14">
        <v>0</v>
      </c>
      <c r="K473" s="15">
        <v>0</v>
      </c>
      <c r="L473" s="14">
        <v>29</v>
      </c>
      <c r="M473" s="14">
        <v>6</v>
      </c>
      <c r="N473" s="13"/>
      <c r="O473" s="14">
        <v>3</v>
      </c>
      <c r="P473" s="14">
        <v>333</v>
      </c>
      <c r="Q473" s="15">
        <v>14.070422535211268</v>
      </c>
      <c r="R473" s="17">
        <f>IFERROR(G473/(G473+Priors!$H$18),0)</f>
        <v>0.68051118210862616</v>
      </c>
      <c r="S473" s="13">
        <v>1</v>
      </c>
      <c r="T473" s="40" t="b">
        <v>0</v>
      </c>
      <c r="U473" s="13">
        <v>1</v>
      </c>
      <c r="V473" s="40" t="b">
        <v>1</v>
      </c>
      <c r="W473" s="13">
        <v>0.9</v>
      </c>
      <c r="X473" s="17">
        <f t="shared" si="56"/>
        <v>0.61246006389776353</v>
      </c>
      <c r="Y473" s="37">
        <f>VLOOKUP(D473,Priors!$A$18:$B$21,2,FALSE)</f>
        <v>8.7398272304160223</v>
      </c>
      <c r="Z473" s="38">
        <f t="shared" si="57"/>
        <v>9.1564058883369448</v>
      </c>
      <c r="AA473" s="39">
        <v>1</v>
      </c>
      <c r="AB473" s="38">
        <f t="shared" si="58"/>
        <v>9.1564058883369448</v>
      </c>
      <c r="AC473" s="37">
        <f>Priors!$K$18</f>
        <v>2.7435089299114512</v>
      </c>
      <c r="AD473" s="38" t="str">
        <f t="shared" si="59"/>
        <v/>
      </c>
      <c r="AE473" s="37">
        <f>Priors!$K$19</f>
        <v>0.67280088332719912</v>
      </c>
      <c r="AF473" s="38" t="str">
        <f t="shared" si="60"/>
        <v/>
      </c>
      <c r="AG473" s="17">
        <f t="shared" si="61"/>
        <v>0.38753993610223647</v>
      </c>
      <c r="AH473" s="7" t="s">
        <v>1643</v>
      </c>
      <c r="AI473" s="7">
        <v>10</v>
      </c>
      <c r="AJ473" s="38">
        <f t="shared" si="62"/>
        <v>0.91564058883369448</v>
      </c>
      <c r="AK473" s="9" t="b">
        <f t="shared" si="63"/>
        <v>1</v>
      </c>
      <c r="AL473" s="28" t="s">
        <v>1644</v>
      </c>
      <c r="AM473" s="28" t="s">
        <v>1645</v>
      </c>
      <c r="AN473" s="28" t="s">
        <v>1792</v>
      </c>
    </row>
    <row r="474" spans="1:40" ht="30">
      <c r="A474" s="7">
        <v>473</v>
      </c>
      <c r="B474" s="7" t="s">
        <v>1418</v>
      </c>
      <c r="C474" s="7" t="s">
        <v>56</v>
      </c>
      <c r="D474" s="7" t="s">
        <v>99</v>
      </c>
      <c r="E474" s="7" t="s">
        <v>1642</v>
      </c>
      <c r="F474" s="7" t="s">
        <v>56</v>
      </c>
      <c r="G474" s="14">
        <v>1587</v>
      </c>
      <c r="H474" s="14">
        <v>150</v>
      </c>
      <c r="I474" s="15">
        <v>7.37</v>
      </c>
      <c r="J474" s="14">
        <v>0</v>
      </c>
      <c r="K474" s="15">
        <v>0</v>
      </c>
      <c r="L474" s="14">
        <v>19</v>
      </c>
      <c r="M474" s="14">
        <v>6</v>
      </c>
      <c r="N474" s="13"/>
      <c r="O474" s="14">
        <v>5</v>
      </c>
      <c r="P474" s="14">
        <v>264</v>
      </c>
      <c r="Q474" s="15">
        <v>14.971644612476371</v>
      </c>
      <c r="R474" s="17">
        <f>IFERROR(G474/(G474+Priors!$H$18),0)</f>
        <v>0.61345187475840746</v>
      </c>
      <c r="S474" s="13">
        <v>1</v>
      </c>
      <c r="T474" s="40" t="b">
        <v>0</v>
      </c>
      <c r="U474" s="13">
        <v>1</v>
      </c>
      <c r="V474" s="40" t="b">
        <v>1</v>
      </c>
      <c r="W474" s="13">
        <v>0.9</v>
      </c>
      <c r="X474" s="17">
        <f t="shared" si="56"/>
        <v>0.55210668728256673</v>
      </c>
      <c r="Y474" s="37">
        <f>VLOOKUP(D474,Priors!$A$18:$B$21,2,FALSE)</f>
        <v>8.7398272304160223</v>
      </c>
      <c r="Z474" s="38">
        <f t="shared" si="57"/>
        <v>7.9835364560815787</v>
      </c>
      <c r="AA474" s="39">
        <v>1</v>
      </c>
      <c r="AB474" s="38">
        <f t="shared" si="58"/>
        <v>7.9835364560815787</v>
      </c>
      <c r="AC474" s="37">
        <f>Priors!$K$18</f>
        <v>2.7435089299114512</v>
      </c>
      <c r="AD474" s="38" t="str">
        <f t="shared" si="59"/>
        <v/>
      </c>
      <c r="AE474" s="37">
        <f>Priors!$K$19</f>
        <v>0.67280088332719912</v>
      </c>
      <c r="AF474" s="38" t="str">
        <f t="shared" si="60"/>
        <v/>
      </c>
      <c r="AG474" s="17">
        <f t="shared" si="61"/>
        <v>0.44789331271743327</v>
      </c>
      <c r="AH474" s="7" t="s">
        <v>1643</v>
      </c>
      <c r="AI474" s="7">
        <v>10</v>
      </c>
      <c r="AJ474" s="38">
        <f t="shared" si="62"/>
        <v>0.79835364560815791</v>
      </c>
      <c r="AK474" s="9" t="b">
        <f t="shared" si="63"/>
        <v>1</v>
      </c>
      <c r="AL474" s="28" t="s">
        <v>1644</v>
      </c>
      <c r="AM474" s="28" t="s">
        <v>1645</v>
      </c>
      <c r="AN474" s="28" t="s">
        <v>1792</v>
      </c>
    </row>
    <row r="475" spans="1:40" ht="30">
      <c r="A475" s="7">
        <v>474</v>
      </c>
      <c r="B475" s="7" t="s">
        <v>1420</v>
      </c>
      <c r="C475" s="7" t="s">
        <v>56</v>
      </c>
      <c r="D475" s="7" t="s">
        <v>99</v>
      </c>
      <c r="E475" s="7" t="s">
        <v>1642</v>
      </c>
      <c r="F475" s="7" t="s">
        <v>56</v>
      </c>
      <c r="G475" s="14">
        <v>514</v>
      </c>
      <c r="H475" s="14">
        <v>48</v>
      </c>
      <c r="I475" s="15">
        <v>8.23</v>
      </c>
      <c r="J475" s="14">
        <v>0</v>
      </c>
      <c r="K475" s="15">
        <v>0</v>
      </c>
      <c r="L475" s="14">
        <v>7</v>
      </c>
      <c r="M475" s="14">
        <v>0</v>
      </c>
      <c r="N475" s="13"/>
      <c r="O475" s="14">
        <v>0</v>
      </c>
      <c r="P475" s="14">
        <v>48</v>
      </c>
      <c r="Q475" s="15">
        <v>8.4046692607003894</v>
      </c>
      <c r="R475" s="17">
        <f>IFERROR(G475/(G475+Priors!$H$18),0)</f>
        <v>0.33949801849405548</v>
      </c>
      <c r="S475" s="13">
        <v>1</v>
      </c>
      <c r="T475" s="40" t="b">
        <v>0</v>
      </c>
      <c r="U475" s="13">
        <v>1</v>
      </c>
      <c r="V475" s="40" t="b">
        <v>1</v>
      </c>
      <c r="W475" s="13">
        <v>0.9</v>
      </c>
      <c r="X475" s="17">
        <f t="shared" si="56"/>
        <v>0.30554821664464993</v>
      </c>
      <c r="Y475" s="37">
        <f>VLOOKUP(D475,Priors!$A$18:$B$21,2,FALSE)</f>
        <v>8.7398272304160223</v>
      </c>
      <c r="Z475" s="38">
        <f t="shared" si="57"/>
        <v>8.5840504293655258</v>
      </c>
      <c r="AA475" s="39">
        <v>1</v>
      </c>
      <c r="AB475" s="38">
        <f t="shared" si="58"/>
        <v>8.5840504293655258</v>
      </c>
      <c r="AC475" s="37">
        <f>Priors!$K$18</f>
        <v>2.7435089299114512</v>
      </c>
      <c r="AD475" s="38" t="str">
        <f t="shared" si="59"/>
        <v/>
      </c>
      <c r="AE475" s="37">
        <f>Priors!$K$19</f>
        <v>0.67280088332719912</v>
      </c>
      <c r="AF475" s="38" t="str">
        <f t="shared" si="60"/>
        <v/>
      </c>
      <c r="AG475" s="17">
        <f t="shared" si="61"/>
        <v>0.69445178335535007</v>
      </c>
      <c r="AH475" s="7" t="s">
        <v>1643</v>
      </c>
      <c r="AI475" s="7">
        <v>10</v>
      </c>
      <c r="AJ475" s="38">
        <f t="shared" si="62"/>
        <v>0.85840504293655262</v>
      </c>
      <c r="AK475" s="9" t="b">
        <f t="shared" si="63"/>
        <v>1</v>
      </c>
      <c r="AL475" s="28" t="s">
        <v>1644</v>
      </c>
      <c r="AM475" s="28" t="s">
        <v>1645</v>
      </c>
      <c r="AN475" s="28" t="s">
        <v>1792</v>
      </c>
    </row>
    <row r="476" spans="1:40" ht="30">
      <c r="A476" s="7">
        <v>475</v>
      </c>
      <c r="B476" s="7" t="s">
        <v>1422</v>
      </c>
      <c r="C476" s="7" t="s">
        <v>56</v>
      </c>
      <c r="D476" s="7" t="s">
        <v>99</v>
      </c>
      <c r="E476" s="7" t="s">
        <v>1642</v>
      </c>
      <c r="F476" s="7" t="s">
        <v>56</v>
      </c>
      <c r="G476" s="14">
        <v>1025</v>
      </c>
      <c r="H476" s="14">
        <v>69</v>
      </c>
      <c r="I476" s="15">
        <v>5</v>
      </c>
      <c r="J476" s="14">
        <v>0</v>
      </c>
      <c r="K476" s="15">
        <v>0</v>
      </c>
      <c r="L476" s="14">
        <v>18</v>
      </c>
      <c r="M476" s="14">
        <v>3</v>
      </c>
      <c r="N476" s="13"/>
      <c r="O476" s="14">
        <v>0</v>
      </c>
      <c r="P476" s="14">
        <v>131</v>
      </c>
      <c r="Q476" s="15">
        <v>11.502439024390243</v>
      </c>
      <c r="R476" s="17">
        <f>IFERROR(G476/(G476+Priors!$H$18),0)</f>
        <v>0.50617283950617287</v>
      </c>
      <c r="S476" s="13">
        <v>1</v>
      </c>
      <c r="T476" s="40" t="b">
        <v>0</v>
      </c>
      <c r="U476" s="13">
        <v>1</v>
      </c>
      <c r="V476" s="40" t="b">
        <v>1</v>
      </c>
      <c r="W476" s="13">
        <v>0.9</v>
      </c>
      <c r="X476" s="17">
        <f t="shared" si="56"/>
        <v>0.4555555555555556</v>
      </c>
      <c r="Y476" s="37">
        <f>VLOOKUP(D476,Priors!$A$18:$B$21,2,FALSE)</f>
        <v>8.7398272304160223</v>
      </c>
      <c r="Z476" s="38">
        <f t="shared" si="57"/>
        <v>7.0361281587820557</v>
      </c>
      <c r="AA476" s="39">
        <v>1</v>
      </c>
      <c r="AB476" s="38">
        <f t="shared" si="58"/>
        <v>7.0361281587820557</v>
      </c>
      <c r="AC476" s="37">
        <f>Priors!$K$18</f>
        <v>2.7435089299114512</v>
      </c>
      <c r="AD476" s="38" t="str">
        <f t="shared" si="59"/>
        <v/>
      </c>
      <c r="AE476" s="37">
        <f>Priors!$K$19</f>
        <v>0.67280088332719912</v>
      </c>
      <c r="AF476" s="38" t="str">
        <f t="shared" si="60"/>
        <v/>
      </c>
      <c r="AG476" s="17">
        <f t="shared" si="61"/>
        <v>0.5444444444444444</v>
      </c>
      <c r="AH476" s="7" t="s">
        <v>1643</v>
      </c>
      <c r="AI476" s="7">
        <v>10</v>
      </c>
      <c r="AJ476" s="38">
        <f t="shared" si="62"/>
        <v>0.70361281587820557</v>
      </c>
      <c r="AK476" s="9" t="b">
        <f t="shared" si="63"/>
        <v>1</v>
      </c>
      <c r="AL476" s="28" t="s">
        <v>1644</v>
      </c>
      <c r="AM476" s="28" t="s">
        <v>1645</v>
      </c>
      <c r="AN476" s="28" t="s">
        <v>1792</v>
      </c>
    </row>
    <row r="477" spans="1:40" ht="30">
      <c r="A477" s="7">
        <v>476</v>
      </c>
      <c r="B477" s="7" t="s">
        <v>1424</v>
      </c>
      <c r="C477" s="7" t="s">
        <v>56</v>
      </c>
      <c r="D477" s="7" t="s">
        <v>99</v>
      </c>
      <c r="E477" s="7" t="s">
        <v>1642</v>
      </c>
      <c r="F477" s="7" t="s">
        <v>56</v>
      </c>
      <c r="G477" s="14">
        <v>0</v>
      </c>
      <c r="H477" s="14">
        <v>0</v>
      </c>
      <c r="I477" s="15">
        <v>0</v>
      </c>
      <c r="J477" s="14">
        <v>0</v>
      </c>
      <c r="K477" s="15">
        <v>0</v>
      </c>
      <c r="L477" s="14">
        <v>0</v>
      </c>
      <c r="M477" s="14">
        <v>0</v>
      </c>
      <c r="N477" s="13"/>
      <c r="O477" s="14">
        <v>0</v>
      </c>
      <c r="P477" s="14">
        <v>0</v>
      </c>
      <c r="Q477" s="15">
        <v>0</v>
      </c>
      <c r="R477" s="17">
        <f>IFERROR(G477/(G477+Priors!$H$18),0)</f>
        <v>0</v>
      </c>
      <c r="S477" s="13">
        <v>1</v>
      </c>
      <c r="T477" s="40" t="b">
        <v>0</v>
      </c>
      <c r="U477" s="13">
        <v>1</v>
      </c>
      <c r="V477" s="40" t="b">
        <v>1</v>
      </c>
      <c r="W477" s="13">
        <v>0.9</v>
      </c>
      <c r="X477" s="17">
        <f t="shared" si="56"/>
        <v>0</v>
      </c>
      <c r="Y477" s="37">
        <f>VLOOKUP(D477,Priors!$A$18:$B$21,2,FALSE)</f>
        <v>8.7398272304160223</v>
      </c>
      <c r="Z477" s="38">
        <f t="shared" si="57"/>
        <v>8.7398272304160223</v>
      </c>
      <c r="AA477" s="39">
        <v>1</v>
      </c>
      <c r="AB477" s="38">
        <f t="shared" si="58"/>
        <v>8.7398272304160223</v>
      </c>
      <c r="AC477" s="37">
        <f>Priors!$K$18</f>
        <v>2.7435089299114512</v>
      </c>
      <c r="AD477" s="38" t="str">
        <f t="shared" si="59"/>
        <v/>
      </c>
      <c r="AE477" s="37">
        <f>Priors!$K$19</f>
        <v>0.67280088332719912</v>
      </c>
      <c r="AF477" s="38" t="str">
        <f t="shared" si="60"/>
        <v/>
      </c>
      <c r="AG477" s="17">
        <f t="shared" si="61"/>
        <v>1</v>
      </c>
      <c r="AH477" s="7" t="s">
        <v>1643</v>
      </c>
      <c r="AI477" s="7">
        <v>10</v>
      </c>
      <c r="AJ477" s="38">
        <f t="shared" si="62"/>
        <v>0.87398272304160218</v>
      </c>
      <c r="AK477" s="9" t="b">
        <f t="shared" si="63"/>
        <v>1</v>
      </c>
      <c r="AL477" s="28" t="s">
        <v>1644</v>
      </c>
      <c r="AM477" s="28" t="s">
        <v>1645</v>
      </c>
      <c r="AN477" s="28" t="s">
        <v>1792</v>
      </c>
    </row>
    <row r="478" spans="1:40" ht="30">
      <c r="A478" s="7">
        <v>477</v>
      </c>
      <c r="B478" s="7" t="s">
        <v>1427</v>
      </c>
      <c r="C478" s="7" t="s">
        <v>56</v>
      </c>
      <c r="D478" s="7" t="s">
        <v>99</v>
      </c>
      <c r="E478" s="7" t="s">
        <v>1642</v>
      </c>
      <c r="F478" s="7" t="s">
        <v>56</v>
      </c>
      <c r="G478" s="14">
        <v>165</v>
      </c>
      <c r="H478" s="14">
        <v>13</v>
      </c>
      <c r="I478" s="15">
        <v>7.09</v>
      </c>
      <c r="J478" s="14">
        <v>0</v>
      </c>
      <c r="K478" s="15">
        <v>0</v>
      </c>
      <c r="L478" s="14">
        <v>4</v>
      </c>
      <c r="M478" s="14">
        <v>0</v>
      </c>
      <c r="N478" s="13"/>
      <c r="O478" s="14">
        <v>0</v>
      </c>
      <c r="P478" s="14">
        <v>3</v>
      </c>
      <c r="Q478" s="15">
        <v>1.6363636363636365</v>
      </c>
      <c r="R478" s="17">
        <f>IFERROR(G478/(G478+Priors!$H$18),0)</f>
        <v>0.14163090128755365</v>
      </c>
      <c r="S478" s="13">
        <v>1</v>
      </c>
      <c r="T478" s="40" t="b">
        <v>0</v>
      </c>
      <c r="U478" s="13">
        <v>1</v>
      </c>
      <c r="V478" s="40" t="b">
        <v>1</v>
      </c>
      <c r="W478" s="13">
        <v>0.9</v>
      </c>
      <c r="X478" s="17">
        <f t="shared" si="56"/>
        <v>0.12746781115879829</v>
      </c>
      <c r="Y478" s="37">
        <f>VLOOKUP(D478,Priors!$A$18:$B$21,2,FALSE)</f>
        <v>8.7398272304160223</v>
      </c>
      <c r="Z478" s="38">
        <f t="shared" si="57"/>
        <v>8.5295273645647089</v>
      </c>
      <c r="AA478" s="39">
        <v>1</v>
      </c>
      <c r="AB478" s="38">
        <f t="shared" si="58"/>
        <v>8.5295273645647089</v>
      </c>
      <c r="AC478" s="37">
        <f>Priors!$K$18</f>
        <v>2.7435089299114512</v>
      </c>
      <c r="AD478" s="38" t="str">
        <f t="shared" si="59"/>
        <v/>
      </c>
      <c r="AE478" s="37">
        <f>Priors!$K$19</f>
        <v>0.67280088332719912</v>
      </c>
      <c r="AF478" s="38" t="str">
        <f t="shared" si="60"/>
        <v/>
      </c>
      <c r="AG478" s="17">
        <f t="shared" si="61"/>
        <v>0.87253218884120165</v>
      </c>
      <c r="AH478" s="7" t="s">
        <v>1643</v>
      </c>
      <c r="AI478" s="7">
        <v>10</v>
      </c>
      <c r="AJ478" s="38">
        <f t="shared" si="62"/>
        <v>0.85295273645647085</v>
      </c>
      <c r="AK478" s="9" t="b">
        <f t="shared" si="63"/>
        <v>1</v>
      </c>
      <c r="AL478" s="28" t="s">
        <v>1644</v>
      </c>
      <c r="AM478" s="28" t="s">
        <v>1645</v>
      </c>
      <c r="AN478" s="28" t="s">
        <v>1792</v>
      </c>
    </row>
    <row r="479" spans="1:40" ht="30">
      <c r="A479" s="7">
        <v>478</v>
      </c>
      <c r="B479" s="7" t="s">
        <v>1430</v>
      </c>
      <c r="C479" s="7" t="s">
        <v>56</v>
      </c>
      <c r="D479" s="7" t="s">
        <v>99</v>
      </c>
      <c r="E479" s="7" t="s">
        <v>1642</v>
      </c>
      <c r="F479" s="7" t="s">
        <v>56</v>
      </c>
      <c r="G479" s="14">
        <v>353</v>
      </c>
      <c r="H479" s="14">
        <v>27</v>
      </c>
      <c r="I479" s="15">
        <v>6.88</v>
      </c>
      <c r="J479" s="14">
        <v>0</v>
      </c>
      <c r="K479" s="15">
        <v>0</v>
      </c>
      <c r="L479" s="14">
        <v>5</v>
      </c>
      <c r="M479" s="14">
        <v>0</v>
      </c>
      <c r="N479" s="13"/>
      <c r="O479" s="14">
        <v>0</v>
      </c>
      <c r="P479" s="14">
        <v>33</v>
      </c>
      <c r="Q479" s="15">
        <v>8.4135977337110486</v>
      </c>
      <c r="R479" s="17">
        <f>IFERROR(G479/(G479+Priors!$H$18),0)</f>
        <v>0.26090169992609019</v>
      </c>
      <c r="S479" s="13">
        <v>1</v>
      </c>
      <c r="T479" s="40" t="b">
        <v>0</v>
      </c>
      <c r="U479" s="13">
        <v>1</v>
      </c>
      <c r="V479" s="40" t="b">
        <v>1</v>
      </c>
      <c r="W479" s="13">
        <v>0.9</v>
      </c>
      <c r="X479" s="17">
        <f t="shared" si="56"/>
        <v>0.23481152993348117</v>
      </c>
      <c r="Y479" s="37">
        <f>VLOOKUP(D479,Priors!$A$18:$B$21,2,FALSE)</f>
        <v>8.7398272304160223</v>
      </c>
      <c r="Z479" s="38">
        <f t="shared" si="57"/>
        <v>8.3031183530300865</v>
      </c>
      <c r="AA479" s="39">
        <v>1</v>
      </c>
      <c r="AB479" s="38">
        <f t="shared" si="58"/>
        <v>8.3031183530300865</v>
      </c>
      <c r="AC479" s="37">
        <f>Priors!$K$18</f>
        <v>2.7435089299114512</v>
      </c>
      <c r="AD479" s="38" t="str">
        <f t="shared" si="59"/>
        <v/>
      </c>
      <c r="AE479" s="37">
        <f>Priors!$K$19</f>
        <v>0.67280088332719912</v>
      </c>
      <c r="AF479" s="38" t="str">
        <f t="shared" si="60"/>
        <v/>
      </c>
      <c r="AG479" s="17">
        <f t="shared" si="61"/>
        <v>0.7651884700665188</v>
      </c>
      <c r="AH479" s="7" t="s">
        <v>1643</v>
      </c>
      <c r="AI479" s="7">
        <v>10</v>
      </c>
      <c r="AJ479" s="38">
        <f t="shared" si="62"/>
        <v>0.83031183530300867</v>
      </c>
      <c r="AK479" s="9" t="b">
        <f t="shared" si="63"/>
        <v>1</v>
      </c>
      <c r="AL479" s="28" t="s">
        <v>1644</v>
      </c>
      <c r="AM479" s="28" t="s">
        <v>1645</v>
      </c>
      <c r="AN479" s="28" t="s">
        <v>1792</v>
      </c>
    </row>
    <row r="480" spans="1:40" ht="30">
      <c r="A480" s="7">
        <v>479</v>
      </c>
      <c r="B480" s="7" t="s">
        <v>1432</v>
      </c>
      <c r="C480" s="7" t="s">
        <v>56</v>
      </c>
      <c r="D480" s="7" t="s">
        <v>99</v>
      </c>
      <c r="E480" s="7" t="s">
        <v>1647</v>
      </c>
      <c r="F480" s="7"/>
      <c r="G480" s="14">
        <v>0</v>
      </c>
      <c r="H480" s="14"/>
      <c r="I480" s="15"/>
      <c r="J480" s="14"/>
      <c r="K480" s="15"/>
      <c r="L480" s="14"/>
      <c r="M480" s="14"/>
      <c r="N480" s="13"/>
      <c r="O480" s="14"/>
      <c r="P480" s="14"/>
      <c r="Q480" s="15"/>
      <c r="R480" s="17">
        <f>IFERROR(G480/(G480+Priors!$H$18),0)</f>
        <v>0</v>
      </c>
      <c r="S480" s="13">
        <v>0</v>
      </c>
      <c r="T480" s="40" t="b">
        <v>0</v>
      </c>
      <c r="U480" s="13">
        <v>1</v>
      </c>
      <c r="V480" s="40" t="b">
        <v>1</v>
      </c>
      <c r="W480" s="13">
        <v>0.9</v>
      </c>
      <c r="X480" s="17">
        <f t="shared" si="56"/>
        <v>0</v>
      </c>
      <c r="Y480" s="37">
        <f>VLOOKUP(D480,Priors!$A$18:$B$21,2,FALSE)</f>
        <v>8.7398272304160223</v>
      </c>
      <c r="Z480" s="38">
        <f t="shared" si="57"/>
        <v>8.7398272304160223</v>
      </c>
      <c r="AA480" s="39">
        <v>1</v>
      </c>
      <c r="AB480" s="38">
        <f t="shared" si="58"/>
        <v>8.7398272304160223</v>
      </c>
      <c r="AC480" s="37">
        <f>Priors!$K$18</f>
        <v>2.7435089299114512</v>
      </c>
      <c r="AD480" s="38" t="str">
        <f t="shared" si="59"/>
        <v/>
      </c>
      <c r="AE480" s="37">
        <f>Priors!$K$19</f>
        <v>0.67280088332719912</v>
      </c>
      <c r="AF480" s="38" t="str">
        <f t="shared" si="60"/>
        <v/>
      </c>
      <c r="AG480" s="17">
        <f t="shared" si="61"/>
        <v>1</v>
      </c>
      <c r="AH480" s="7" t="s">
        <v>1793</v>
      </c>
      <c r="AI480" s="7">
        <v>10</v>
      </c>
      <c r="AJ480" s="38">
        <f t="shared" si="62"/>
        <v>0.87398272304160218</v>
      </c>
      <c r="AK480" s="9" t="b">
        <f t="shared" si="63"/>
        <v>1</v>
      </c>
      <c r="AL480" s="28" t="s">
        <v>1794</v>
      </c>
      <c r="AM480" s="28"/>
      <c r="AN480" s="28" t="s">
        <v>1792</v>
      </c>
    </row>
    <row r="481" spans="1:40" ht="30">
      <c r="A481" s="7">
        <v>480</v>
      </c>
      <c r="B481" s="7" t="s">
        <v>1434</v>
      </c>
      <c r="C481" s="7" t="s">
        <v>56</v>
      </c>
      <c r="D481" s="7" t="s">
        <v>112</v>
      </c>
      <c r="E481" s="7" t="s">
        <v>1642</v>
      </c>
      <c r="F481" s="7" t="s">
        <v>56</v>
      </c>
      <c r="G481" s="14">
        <v>3101</v>
      </c>
      <c r="H481" s="14">
        <v>178</v>
      </c>
      <c r="I481" s="15">
        <v>5.17</v>
      </c>
      <c r="J481" s="14">
        <v>0</v>
      </c>
      <c r="K481" s="15">
        <v>0</v>
      </c>
      <c r="L481" s="14">
        <v>45</v>
      </c>
      <c r="M481" s="14">
        <v>10</v>
      </c>
      <c r="N481" s="13"/>
      <c r="O481" s="14">
        <v>18</v>
      </c>
      <c r="P481" s="14">
        <v>712</v>
      </c>
      <c r="Q481" s="15">
        <v>20.664301838116735</v>
      </c>
      <c r="R481" s="17">
        <f>IFERROR(G481/(G481+Priors!$H$18),0)</f>
        <v>0.756157034869544</v>
      </c>
      <c r="S481" s="13">
        <v>1</v>
      </c>
      <c r="T481" s="40" t="b">
        <v>0</v>
      </c>
      <c r="U481" s="13">
        <v>1</v>
      </c>
      <c r="V481" s="40" t="b">
        <v>1</v>
      </c>
      <c r="W481" s="13">
        <v>0.9</v>
      </c>
      <c r="X481" s="17">
        <f t="shared" si="56"/>
        <v>0.68054133138258965</v>
      </c>
      <c r="Y481" s="37">
        <f>VLOOKUP(D481,Priors!$A$18:$B$21,2,FALSE)</f>
        <v>8.4555315342179806</v>
      </c>
      <c r="Z481" s="38">
        <f t="shared" si="57"/>
        <v>6.219591529621793</v>
      </c>
      <c r="AA481" s="39">
        <v>1</v>
      </c>
      <c r="AB481" s="38">
        <f t="shared" si="58"/>
        <v>6.219591529621793</v>
      </c>
      <c r="AC481" s="37">
        <f>Priors!$K$18</f>
        <v>2.7435089299114512</v>
      </c>
      <c r="AD481" s="38" t="str">
        <f t="shared" si="59"/>
        <v/>
      </c>
      <c r="AE481" s="37">
        <f>Priors!$K$19</f>
        <v>0.67280088332719912</v>
      </c>
      <c r="AF481" s="38" t="str">
        <f t="shared" si="60"/>
        <v/>
      </c>
      <c r="AG481" s="17">
        <f t="shared" si="61"/>
        <v>0.31945866861741035</v>
      </c>
      <c r="AH481" s="7" t="s">
        <v>1643</v>
      </c>
      <c r="AI481" s="7">
        <v>12</v>
      </c>
      <c r="AJ481" s="38">
        <f t="shared" si="62"/>
        <v>0.51829929413514941</v>
      </c>
      <c r="AK481" s="9" t="b">
        <f t="shared" si="63"/>
        <v>1</v>
      </c>
      <c r="AL481" s="28" t="s">
        <v>1644</v>
      </c>
      <c r="AM481" s="28" t="s">
        <v>1645</v>
      </c>
      <c r="AN481" s="28" t="s">
        <v>1792</v>
      </c>
    </row>
    <row r="482" spans="1:40" ht="30">
      <c r="A482" s="7">
        <v>481</v>
      </c>
      <c r="B482" s="7" t="s">
        <v>1242</v>
      </c>
      <c r="C482" s="7" t="s">
        <v>53</v>
      </c>
      <c r="D482" s="7" t="s">
        <v>112</v>
      </c>
      <c r="E482" s="7" t="s">
        <v>1642</v>
      </c>
      <c r="F482" s="7" t="s">
        <v>56</v>
      </c>
      <c r="G482" s="14">
        <v>3332</v>
      </c>
      <c r="H482" s="14">
        <v>515</v>
      </c>
      <c r="I482" s="15">
        <v>13.91</v>
      </c>
      <c r="J482" s="14">
        <v>0</v>
      </c>
      <c r="K482" s="15">
        <v>0</v>
      </c>
      <c r="L482" s="14">
        <v>50</v>
      </c>
      <c r="M482" s="14">
        <v>10</v>
      </c>
      <c r="N482" s="13"/>
      <c r="O482" s="14">
        <v>16</v>
      </c>
      <c r="P482" s="14">
        <v>795</v>
      </c>
      <c r="Q482" s="15">
        <v>21.473589435774311</v>
      </c>
      <c r="R482" s="17">
        <f>IFERROR(G482/(G482+Priors!$H$18),0)</f>
        <v>0.76915974145891042</v>
      </c>
      <c r="S482" s="13">
        <v>1</v>
      </c>
      <c r="T482" s="40" t="b">
        <v>1</v>
      </c>
      <c r="U482" s="13">
        <v>0.85</v>
      </c>
      <c r="V482" s="40" t="b">
        <v>1</v>
      </c>
      <c r="W482" s="13">
        <v>0.9</v>
      </c>
      <c r="X482" s="17">
        <f t="shared" si="56"/>
        <v>0.58840720221606646</v>
      </c>
      <c r="Y482" s="37">
        <f>VLOOKUP(D482,Priors!$A$18:$B$21,2,FALSE)</f>
        <v>8.4555315342179806</v>
      </c>
      <c r="Z482" s="38">
        <f t="shared" si="57"/>
        <v>11.66498006374454</v>
      </c>
      <c r="AA482" s="39">
        <v>1</v>
      </c>
      <c r="AB482" s="38">
        <f t="shared" si="58"/>
        <v>11.66498006374454</v>
      </c>
      <c r="AC482" s="37">
        <f>Priors!$K$18</f>
        <v>2.7435089299114512</v>
      </c>
      <c r="AD482" s="38" t="str">
        <f t="shared" si="59"/>
        <v/>
      </c>
      <c r="AE482" s="37">
        <f>Priors!$K$19</f>
        <v>0.67280088332719912</v>
      </c>
      <c r="AF482" s="38" t="str">
        <f t="shared" si="60"/>
        <v/>
      </c>
      <c r="AG482" s="17">
        <f t="shared" si="61"/>
        <v>0.41159279778393354</v>
      </c>
      <c r="AH482" s="7" t="s">
        <v>1643</v>
      </c>
      <c r="AI482" s="7">
        <v>12</v>
      </c>
      <c r="AJ482" s="38">
        <f t="shared" si="62"/>
        <v>0.97208167197871165</v>
      </c>
      <c r="AK482" s="9" t="b">
        <f t="shared" si="63"/>
        <v>1</v>
      </c>
      <c r="AL482" s="28" t="s">
        <v>1644</v>
      </c>
      <c r="AM482" s="28" t="s">
        <v>1645</v>
      </c>
      <c r="AN482" s="28" t="s">
        <v>1792</v>
      </c>
    </row>
    <row r="483" spans="1:40" ht="30">
      <c r="A483" s="7">
        <v>482</v>
      </c>
      <c r="B483" s="7" t="s">
        <v>1437</v>
      </c>
      <c r="C483" s="7" t="s">
        <v>56</v>
      </c>
      <c r="D483" s="7" t="s">
        <v>112</v>
      </c>
      <c r="E483" s="7" t="s">
        <v>1642</v>
      </c>
      <c r="F483" s="7" t="s">
        <v>56</v>
      </c>
      <c r="G483" s="14">
        <v>1838</v>
      </c>
      <c r="H483" s="14">
        <v>106</v>
      </c>
      <c r="I483" s="15">
        <v>5.19</v>
      </c>
      <c r="J483" s="14">
        <v>0</v>
      </c>
      <c r="K483" s="15">
        <v>0</v>
      </c>
      <c r="L483" s="14">
        <v>26</v>
      </c>
      <c r="M483" s="14">
        <v>6</v>
      </c>
      <c r="N483" s="13"/>
      <c r="O483" s="14">
        <v>8</v>
      </c>
      <c r="P483" s="14">
        <v>358</v>
      </c>
      <c r="Q483" s="15">
        <v>17.529923830250272</v>
      </c>
      <c r="R483" s="17">
        <f>IFERROR(G483/(G483+Priors!$H$18),0)</f>
        <v>0.64763918252290342</v>
      </c>
      <c r="S483" s="13">
        <v>1</v>
      </c>
      <c r="T483" s="40" t="b">
        <v>0</v>
      </c>
      <c r="U483" s="13">
        <v>1</v>
      </c>
      <c r="V483" s="40" t="b">
        <v>1</v>
      </c>
      <c r="W483" s="13">
        <v>0.9</v>
      </c>
      <c r="X483" s="17">
        <f t="shared" si="56"/>
        <v>0.58287526427061309</v>
      </c>
      <c r="Y483" s="37">
        <f>VLOOKUP(D483,Priors!$A$18:$B$21,2,FALSE)</f>
        <v>8.4555315342179806</v>
      </c>
      <c r="Z483" s="38">
        <f t="shared" si="57"/>
        <v>6.5521339782266548</v>
      </c>
      <c r="AA483" s="39">
        <v>1</v>
      </c>
      <c r="AB483" s="38">
        <f t="shared" si="58"/>
        <v>6.5521339782266548</v>
      </c>
      <c r="AC483" s="37">
        <f>Priors!$K$18</f>
        <v>2.7435089299114512</v>
      </c>
      <c r="AD483" s="38" t="str">
        <f t="shared" si="59"/>
        <v/>
      </c>
      <c r="AE483" s="37">
        <f>Priors!$K$19</f>
        <v>0.67280088332719912</v>
      </c>
      <c r="AF483" s="38" t="str">
        <f t="shared" si="60"/>
        <v/>
      </c>
      <c r="AG483" s="17">
        <f t="shared" si="61"/>
        <v>0.41712473572938691</v>
      </c>
      <c r="AH483" s="7" t="s">
        <v>1643</v>
      </c>
      <c r="AI483" s="7">
        <v>12</v>
      </c>
      <c r="AJ483" s="38">
        <f t="shared" si="62"/>
        <v>0.54601116485222123</v>
      </c>
      <c r="AK483" s="9" t="b">
        <f t="shared" si="63"/>
        <v>1</v>
      </c>
      <c r="AL483" s="28" t="s">
        <v>1644</v>
      </c>
      <c r="AM483" s="28" t="s">
        <v>1645</v>
      </c>
      <c r="AN483" s="28" t="s">
        <v>1792</v>
      </c>
    </row>
    <row r="484" spans="1:40" ht="30">
      <c r="A484" s="7">
        <v>483</v>
      </c>
      <c r="B484" s="7" t="s">
        <v>1439</v>
      </c>
      <c r="C484" s="7" t="s">
        <v>56</v>
      </c>
      <c r="D484" s="7" t="s">
        <v>112</v>
      </c>
      <c r="E484" s="7" t="s">
        <v>1642</v>
      </c>
      <c r="F484" s="7" t="s">
        <v>56</v>
      </c>
      <c r="G484" s="14">
        <v>1167</v>
      </c>
      <c r="H484" s="14">
        <v>96</v>
      </c>
      <c r="I484" s="15">
        <v>7.4</v>
      </c>
      <c r="J484" s="14">
        <v>0</v>
      </c>
      <c r="K484" s="15">
        <v>0</v>
      </c>
      <c r="L484" s="14">
        <v>17</v>
      </c>
      <c r="M484" s="14">
        <v>2</v>
      </c>
      <c r="N484" s="13"/>
      <c r="O484" s="14">
        <v>4</v>
      </c>
      <c r="P484" s="14">
        <v>178</v>
      </c>
      <c r="Q484" s="15">
        <v>13.727506426735218</v>
      </c>
      <c r="R484" s="17">
        <f>IFERROR(G484/(G484+Priors!$H$18),0)</f>
        <v>0.53853253345639129</v>
      </c>
      <c r="S484" s="13">
        <v>1</v>
      </c>
      <c r="T484" s="40" t="b">
        <v>0</v>
      </c>
      <c r="U484" s="13">
        <v>1</v>
      </c>
      <c r="V484" s="40" t="b">
        <v>1</v>
      </c>
      <c r="W484" s="13">
        <v>0.9</v>
      </c>
      <c r="X484" s="17">
        <f t="shared" si="56"/>
        <v>0.48467928011075218</v>
      </c>
      <c r="Y484" s="37">
        <f>VLOOKUP(D484,Priors!$A$18:$B$21,2,FALSE)</f>
        <v>8.4555315342179806</v>
      </c>
      <c r="Z484" s="38">
        <f t="shared" si="57"/>
        <v>7.9439372700790116</v>
      </c>
      <c r="AA484" s="39">
        <v>1</v>
      </c>
      <c r="AB484" s="38">
        <f t="shared" si="58"/>
        <v>7.9439372700790116</v>
      </c>
      <c r="AC484" s="37">
        <f>Priors!$K$18</f>
        <v>2.7435089299114512</v>
      </c>
      <c r="AD484" s="38" t="str">
        <f t="shared" si="59"/>
        <v/>
      </c>
      <c r="AE484" s="37">
        <f>Priors!$K$19</f>
        <v>0.67280088332719912</v>
      </c>
      <c r="AF484" s="38" t="str">
        <f t="shared" si="60"/>
        <v/>
      </c>
      <c r="AG484" s="17">
        <f t="shared" si="61"/>
        <v>0.51532071988924777</v>
      </c>
      <c r="AH484" s="7" t="s">
        <v>1643</v>
      </c>
      <c r="AI484" s="7">
        <v>12</v>
      </c>
      <c r="AJ484" s="38">
        <f t="shared" si="62"/>
        <v>0.66199477250658434</v>
      </c>
      <c r="AK484" s="9" t="b">
        <f t="shared" si="63"/>
        <v>1</v>
      </c>
      <c r="AL484" s="28" t="s">
        <v>1644</v>
      </c>
      <c r="AM484" s="28" t="s">
        <v>1645</v>
      </c>
      <c r="AN484" s="28" t="s">
        <v>1792</v>
      </c>
    </row>
    <row r="485" spans="1:40" ht="30">
      <c r="A485" s="7">
        <v>484</v>
      </c>
      <c r="B485" s="7" t="s">
        <v>1442</v>
      </c>
      <c r="C485" s="7" t="s">
        <v>56</v>
      </c>
      <c r="D485" s="7" t="s">
        <v>112</v>
      </c>
      <c r="E485" s="7" t="s">
        <v>1642</v>
      </c>
      <c r="F485" s="7" t="s">
        <v>56</v>
      </c>
      <c r="G485" s="14">
        <v>1676</v>
      </c>
      <c r="H485" s="14">
        <v>129</v>
      </c>
      <c r="I485" s="15">
        <v>6.93</v>
      </c>
      <c r="J485" s="14">
        <v>0</v>
      </c>
      <c r="K485" s="15">
        <v>0</v>
      </c>
      <c r="L485" s="14">
        <v>24</v>
      </c>
      <c r="M485" s="14">
        <v>6</v>
      </c>
      <c r="N485" s="13"/>
      <c r="O485" s="14">
        <v>3</v>
      </c>
      <c r="P485" s="14">
        <v>329</v>
      </c>
      <c r="Q485" s="15">
        <v>17.667064439140812</v>
      </c>
      <c r="R485" s="17">
        <f>IFERROR(G485/(G485+Priors!$H$18),0)</f>
        <v>0.62630792227204779</v>
      </c>
      <c r="S485" s="13">
        <v>1</v>
      </c>
      <c r="T485" s="40" t="b">
        <v>0</v>
      </c>
      <c r="U485" s="13">
        <v>1</v>
      </c>
      <c r="V485" s="40" t="b">
        <v>1</v>
      </c>
      <c r="W485" s="13">
        <v>0.9</v>
      </c>
      <c r="X485" s="17">
        <f t="shared" si="56"/>
        <v>0.56367713004484299</v>
      </c>
      <c r="Y485" s="37">
        <f>VLOOKUP(D485,Priors!$A$18:$B$21,2,FALSE)</f>
        <v>8.4555315342179806</v>
      </c>
      <c r="Z485" s="38">
        <f t="shared" si="57"/>
        <v>7.5956242972170829</v>
      </c>
      <c r="AA485" s="39">
        <v>1</v>
      </c>
      <c r="AB485" s="38">
        <f t="shared" si="58"/>
        <v>7.5956242972170829</v>
      </c>
      <c r="AC485" s="37">
        <f>Priors!$K$18</f>
        <v>2.7435089299114512</v>
      </c>
      <c r="AD485" s="38" t="str">
        <f t="shared" si="59"/>
        <v/>
      </c>
      <c r="AE485" s="37">
        <f>Priors!$K$19</f>
        <v>0.67280088332719912</v>
      </c>
      <c r="AF485" s="38" t="str">
        <f t="shared" si="60"/>
        <v/>
      </c>
      <c r="AG485" s="17">
        <f t="shared" si="61"/>
        <v>0.43632286995515701</v>
      </c>
      <c r="AH485" s="7" t="s">
        <v>1643</v>
      </c>
      <c r="AI485" s="7">
        <v>12</v>
      </c>
      <c r="AJ485" s="38">
        <f t="shared" si="62"/>
        <v>0.63296869143475687</v>
      </c>
      <c r="AK485" s="9" t="b">
        <f t="shared" si="63"/>
        <v>1</v>
      </c>
      <c r="AL485" s="28" t="s">
        <v>1644</v>
      </c>
      <c r="AM485" s="28" t="s">
        <v>1645</v>
      </c>
      <c r="AN485" s="28" t="s">
        <v>1792</v>
      </c>
    </row>
    <row r="486" spans="1:40" ht="30">
      <c r="A486" s="7">
        <v>485</v>
      </c>
      <c r="B486" s="7" t="s">
        <v>1444</v>
      </c>
      <c r="C486" s="7" t="s">
        <v>56</v>
      </c>
      <c r="D486" s="7" t="s">
        <v>112</v>
      </c>
      <c r="E486" s="7" t="s">
        <v>1642</v>
      </c>
      <c r="F486" s="7" t="s">
        <v>56</v>
      </c>
      <c r="G486" s="14">
        <v>549</v>
      </c>
      <c r="H486" s="14">
        <v>35</v>
      </c>
      <c r="I486" s="15">
        <v>5.74</v>
      </c>
      <c r="J486" s="14">
        <v>0</v>
      </c>
      <c r="K486" s="15">
        <v>0</v>
      </c>
      <c r="L486" s="14">
        <v>10</v>
      </c>
      <c r="M486" s="14">
        <v>2</v>
      </c>
      <c r="N486" s="13"/>
      <c r="O486" s="14">
        <v>1</v>
      </c>
      <c r="P486" s="14">
        <v>100</v>
      </c>
      <c r="Q486" s="15">
        <v>16.393442622950818</v>
      </c>
      <c r="R486" s="17">
        <f>IFERROR(G486/(G486+Priors!$H$18),0)</f>
        <v>0.35442220787604906</v>
      </c>
      <c r="S486" s="13">
        <v>1</v>
      </c>
      <c r="T486" s="40" t="b">
        <v>0</v>
      </c>
      <c r="U486" s="13">
        <v>1</v>
      </c>
      <c r="V486" s="40" t="b">
        <v>1</v>
      </c>
      <c r="W486" s="13">
        <v>0.9</v>
      </c>
      <c r="X486" s="17">
        <f t="shared" si="56"/>
        <v>0.31897998708844416</v>
      </c>
      <c r="Y486" s="37">
        <f>VLOOKUP(D486,Priors!$A$18:$B$21,2,FALSE)</f>
        <v>8.4555315342179806</v>
      </c>
      <c r="Z486" s="38">
        <f t="shared" si="57"/>
        <v>7.5893313204948658</v>
      </c>
      <c r="AA486" s="39">
        <v>1</v>
      </c>
      <c r="AB486" s="38">
        <f t="shared" si="58"/>
        <v>7.5893313204948658</v>
      </c>
      <c r="AC486" s="37">
        <f>Priors!$K$18</f>
        <v>2.7435089299114512</v>
      </c>
      <c r="AD486" s="38" t="str">
        <f t="shared" si="59"/>
        <v/>
      </c>
      <c r="AE486" s="37">
        <f>Priors!$K$19</f>
        <v>0.67280088332719912</v>
      </c>
      <c r="AF486" s="38" t="str">
        <f t="shared" si="60"/>
        <v/>
      </c>
      <c r="AG486" s="17">
        <f t="shared" si="61"/>
        <v>0.68102001291155578</v>
      </c>
      <c r="AH486" s="7" t="s">
        <v>1643</v>
      </c>
      <c r="AI486" s="7">
        <v>12</v>
      </c>
      <c r="AJ486" s="38">
        <f t="shared" si="62"/>
        <v>0.63244427670790548</v>
      </c>
      <c r="AK486" s="9" t="b">
        <f t="shared" si="63"/>
        <v>1</v>
      </c>
      <c r="AL486" s="28" t="s">
        <v>1644</v>
      </c>
      <c r="AM486" s="28" t="s">
        <v>1645</v>
      </c>
      <c r="AN486" s="28" t="s">
        <v>1792</v>
      </c>
    </row>
    <row r="487" spans="1:40" ht="30">
      <c r="A487" s="7">
        <v>486</v>
      </c>
      <c r="B487" s="7" t="s">
        <v>1446</v>
      </c>
      <c r="C487" s="7" t="s">
        <v>56</v>
      </c>
      <c r="D487" s="7" t="s">
        <v>112</v>
      </c>
      <c r="E487" s="7" t="s">
        <v>1642</v>
      </c>
      <c r="F487" s="7" t="s">
        <v>56</v>
      </c>
      <c r="G487" s="14">
        <v>288</v>
      </c>
      <c r="H487" s="14">
        <v>32</v>
      </c>
      <c r="I487" s="15">
        <v>10</v>
      </c>
      <c r="J487" s="14">
        <v>0</v>
      </c>
      <c r="K487" s="15">
        <v>0</v>
      </c>
      <c r="L487" s="14">
        <v>9</v>
      </c>
      <c r="M487" s="14">
        <v>0</v>
      </c>
      <c r="N487" s="13"/>
      <c r="O487" s="14">
        <v>0</v>
      </c>
      <c r="P487" s="14">
        <v>60</v>
      </c>
      <c r="Q487" s="15">
        <v>18.75</v>
      </c>
      <c r="R487" s="17">
        <f>IFERROR(G487/(G487+Priors!$H$18),0)</f>
        <v>0.2236024844720497</v>
      </c>
      <c r="S487" s="13">
        <v>1</v>
      </c>
      <c r="T487" s="40" t="b">
        <v>0</v>
      </c>
      <c r="U487" s="13">
        <v>1</v>
      </c>
      <c r="V487" s="40" t="b">
        <v>1</v>
      </c>
      <c r="W487" s="13">
        <v>0.9</v>
      </c>
      <c r="X487" s="17">
        <f t="shared" si="56"/>
        <v>0.20124223602484473</v>
      </c>
      <c r="Y487" s="37">
        <f>VLOOKUP(D487,Priors!$A$18:$B$21,2,FALSE)</f>
        <v>8.4555315342179806</v>
      </c>
      <c r="Z487" s="38">
        <f t="shared" si="57"/>
        <v>8.7663438217418168</v>
      </c>
      <c r="AA487" s="39">
        <v>1</v>
      </c>
      <c r="AB487" s="38">
        <f t="shared" si="58"/>
        <v>8.7663438217418168</v>
      </c>
      <c r="AC487" s="37">
        <f>Priors!$K$18</f>
        <v>2.7435089299114512</v>
      </c>
      <c r="AD487" s="38" t="str">
        <f t="shared" si="59"/>
        <v/>
      </c>
      <c r="AE487" s="37">
        <f>Priors!$K$19</f>
        <v>0.67280088332719912</v>
      </c>
      <c r="AF487" s="38" t="str">
        <f t="shared" si="60"/>
        <v/>
      </c>
      <c r="AG487" s="17">
        <f t="shared" si="61"/>
        <v>0.7987577639751553</v>
      </c>
      <c r="AH487" s="7" t="s">
        <v>1643</v>
      </c>
      <c r="AI487" s="7">
        <v>12</v>
      </c>
      <c r="AJ487" s="38">
        <f t="shared" si="62"/>
        <v>0.73052865181181803</v>
      </c>
      <c r="AK487" s="9" t="b">
        <f t="shared" si="63"/>
        <v>1</v>
      </c>
      <c r="AL487" s="28" t="s">
        <v>1644</v>
      </c>
      <c r="AM487" s="28" t="s">
        <v>1645</v>
      </c>
      <c r="AN487" s="28" t="s">
        <v>1792</v>
      </c>
    </row>
    <row r="488" spans="1:40" ht="30">
      <c r="A488" s="7">
        <v>487</v>
      </c>
      <c r="B488" s="7" t="s">
        <v>1448</v>
      </c>
      <c r="C488" s="7" t="s">
        <v>56</v>
      </c>
      <c r="D488" s="7" t="s">
        <v>112</v>
      </c>
      <c r="E488" s="7" t="s">
        <v>1642</v>
      </c>
      <c r="F488" s="7" t="s">
        <v>56</v>
      </c>
      <c r="G488" s="14">
        <v>1168</v>
      </c>
      <c r="H488" s="14">
        <v>143</v>
      </c>
      <c r="I488" s="15">
        <v>11.02</v>
      </c>
      <c r="J488" s="14">
        <v>0</v>
      </c>
      <c r="K488" s="15">
        <v>0</v>
      </c>
      <c r="L488" s="14">
        <v>20</v>
      </c>
      <c r="M488" s="14">
        <v>3</v>
      </c>
      <c r="N488" s="13"/>
      <c r="O488" s="14">
        <v>3</v>
      </c>
      <c r="P488" s="14">
        <v>229</v>
      </c>
      <c r="Q488" s="15">
        <v>17.645547945205479</v>
      </c>
      <c r="R488" s="17">
        <f>IFERROR(G488/(G488+Priors!$H$18),0)</f>
        <v>0.53874538745387457</v>
      </c>
      <c r="S488" s="13">
        <v>1</v>
      </c>
      <c r="T488" s="40" t="b">
        <v>0</v>
      </c>
      <c r="U488" s="13">
        <v>1</v>
      </c>
      <c r="V488" s="40" t="b">
        <v>1</v>
      </c>
      <c r="W488" s="13">
        <v>0.9</v>
      </c>
      <c r="X488" s="17">
        <f t="shared" si="56"/>
        <v>0.48487084870848712</v>
      </c>
      <c r="Y488" s="37">
        <f>VLOOKUP(D488,Priors!$A$18:$B$21,2,FALSE)</f>
        <v>8.4555315342179806</v>
      </c>
      <c r="Z488" s="38">
        <f t="shared" si="57"/>
        <v>9.6989675357078582</v>
      </c>
      <c r="AA488" s="39">
        <v>1</v>
      </c>
      <c r="AB488" s="38">
        <f t="shared" si="58"/>
        <v>9.6989675357078582</v>
      </c>
      <c r="AC488" s="37">
        <f>Priors!$K$18</f>
        <v>2.7435089299114512</v>
      </c>
      <c r="AD488" s="38" t="str">
        <f t="shared" si="59"/>
        <v/>
      </c>
      <c r="AE488" s="37">
        <f>Priors!$K$19</f>
        <v>0.67280088332719912</v>
      </c>
      <c r="AF488" s="38" t="str">
        <f t="shared" si="60"/>
        <v/>
      </c>
      <c r="AG488" s="17">
        <f t="shared" si="61"/>
        <v>0.51512915129151282</v>
      </c>
      <c r="AH488" s="7" t="s">
        <v>1643</v>
      </c>
      <c r="AI488" s="7">
        <v>12</v>
      </c>
      <c r="AJ488" s="38">
        <f t="shared" si="62"/>
        <v>0.80824729464232148</v>
      </c>
      <c r="AK488" s="9" t="b">
        <f t="shared" si="63"/>
        <v>1</v>
      </c>
      <c r="AL488" s="28" t="s">
        <v>1644</v>
      </c>
      <c r="AM488" s="28" t="s">
        <v>1645</v>
      </c>
      <c r="AN488" s="28" t="s">
        <v>1792</v>
      </c>
    </row>
    <row r="489" spans="1:40" ht="30">
      <c r="A489" s="7">
        <v>488</v>
      </c>
      <c r="B489" s="7" t="s">
        <v>418</v>
      </c>
      <c r="C489" s="7" t="s">
        <v>56</v>
      </c>
      <c r="D489" s="7" t="s">
        <v>112</v>
      </c>
      <c r="E489" s="7" t="s">
        <v>1642</v>
      </c>
      <c r="F489" s="7" t="s">
        <v>56</v>
      </c>
      <c r="G489" s="14">
        <v>2073</v>
      </c>
      <c r="H489" s="14">
        <v>267</v>
      </c>
      <c r="I489" s="15">
        <v>11.59</v>
      </c>
      <c r="J489" s="14">
        <v>0</v>
      </c>
      <c r="K489" s="15">
        <v>0</v>
      </c>
      <c r="L489" s="14">
        <v>26</v>
      </c>
      <c r="M489" s="14">
        <v>8</v>
      </c>
      <c r="N489" s="13"/>
      <c r="O489" s="14">
        <v>2</v>
      </c>
      <c r="P489" s="14">
        <v>366</v>
      </c>
      <c r="Q489" s="15">
        <v>15.890014471780029</v>
      </c>
      <c r="R489" s="17">
        <f>IFERROR(G489/(G489+Priors!$H$18),0)</f>
        <v>0.67458509599739669</v>
      </c>
      <c r="S489" s="13">
        <v>1</v>
      </c>
      <c r="T489" s="40" t="b">
        <v>0</v>
      </c>
      <c r="U489" s="13">
        <v>1</v>
      </c>
      <c r="V489" s="40" t="b">
        <v>1</v>
      </c>
      <c r="W489" s="13">
        <v>0.9</v>
      </c>
      <c r="X489" s="17">
        <f t="shared" si="56"/>
        <v>0.60712658639765704</v>
      </c>
      <c r="Y489" s="37">
        <f>VLOOKUP(D489,Priors!$A$18:$B$21,2,FALSE)</f>
        <v>8.4555315342179806</v>
      </c>
      <c r="Z489" s="38">
        <f t="shared" si="57"/>
        <v>10.35855067401932</v>
      </c>
      <c r="AA489" s="39">
        <v>1</v>
      </c>
      <c r="AB489" s="38">
        <f t="shared" si="58"/>
        <v>10.35855067401932</v>
      </c>
      <c r="AC489" s="37">
        <f>Priors!$K$18</f>
        <v>2.7435089299114512</v>
      </c>
      <c r="AD489" s="38" t="str">
        <f t="shared" si="59"/>
        <v/>
      </c>
      <c r="AE489" s="37">
        <f>Priors!$K$19</f>
        <v>0.67280088332719912</v>
      </c>
      <c r="AF489" s="38" t="str">
        <f t="shared" si="60"/>
        <v/>
      </c>
      <c r="AG489" s="17">
        <f t="shared" si="61"/>
        <v>0.39287341360234296</v>
      </c>
      <c r="AH489" s="7" t="s">
        <v>1643</v>
      </c>
      <c r="AI489" s="7">
        <v>12</v>
      </c>
      <c r="AJ489" s="38">
        <f t="shared" si="62"/>
        <v>0.86321255616827663</v>
      </c>
      <c r="AK489" s="9" t="b">
        <f t="shared" si="63"/>
        <v>1</v>
      </c>
      <c r="AL489" s="28" t="s">
        <v>1644</v>
      </c>
      <c r="AM489" s="28" t="s">
        <v>1645</v>
      </c>
      <c r="AN489" s="28" t="s">
        <v>1792</v>
      </c>
    </row>
    <row r="490" spans="1:40" ht="30">
      <c r="A490" s="7">
        <v>489</v>
      </c>
      <c r="B490" s="7" t="s">
        <v>1451</v>
      </c>
      <c r="C490" s="7" t="s">
        <v>56</v>
      </c>
      <c r="D490" s="7" t="s">
        <v>112</v>
      </c>
      <c r="E490" s="7" t="s">
        <v>1642</v>
      </c>
      <c r="F490" s="7" t="s">
        <v>56</v>
      </c>
      <c r="G490" s="14">
        <v>602</v>
      </c>
      <c r="H490" s="14">
        <v>69</v>
      </c>
      <c r="I490" s="15">
        <v>10.32</v>
      </c>
      <c r="J490" s="14">
        <v>0</v>
      </c>
      <c r="K490" s="15">
        <v>0</v>
      </c>
      <c r="L490" s="14">
        <v>7</v>
      </c>
      <c r="M490" s="14">
        <v>0</v>
      </c>
      <c r="N490" s="13"/>
      <c r="O490" s="14">
        <v>0</v>
      </c>
      <c r="P490" s="14">
        <v>123</v>
      </c>
      <c r="Q490" s="15">
        <v>18.388704318936878</v>
      </c>
      <c r="R490" s="17">
        <f>IFERROR(G490/(G490+Priors!$H$18),0)</f>
        <v>0.37578027465667913</v>
      </c>
      <c r="S490" s="13">
        <v>1</v>
      </c>
      <c r="T490" s="40" t="b">
        <v>0</v>
      </c>
      <c r="U490" s="13">
        <v>1</v>
      </c>
      <c r="V490" s="40" t="b">
        <v>1</v>
      </c>
      <c r="W490" s="13">
        <v>0.9</v>
      </c>
      <c r="X490" s="17">
        <f t="shared" si="56"/>
        <v>0.33820224719101122</v>
      </c>
      <c r="Y490" s="37">
        <f>VLOOKUP(D490,Priors!$A$18:$B$21,2,FALSE)</f>
        <v>8.4555315342179806</v>
      </c>
      <c r="Z490" s="38">
        <f t="shared" si="57"/>
        <v>9.0860989591622374</v>
      </c>
      <c r="AA490" s="39">
        <v>1</v>
      </c>
      <c r="AB490" s="38">
        <f t="shared" si="58"/>
        <v>9.0860989591622374</v>
      </c>
      <c r="AC490" s="37">
        <f>Priors!$K$18</f>
        <v>2.7435089299114512</v>
      </c>
      <c r="AD490" s="38" t="str">
        <f t="shared" si="59"/>
        <v/>
      </c>
      <c r="AE490" s="37">
        <f>Priors!$K$19</f>
        <v>0.67280088332719912</v>
      </c>
      <c r="AF490" s="38" t="str">
        <f t="shared" si="60"/>
        <v/>
      </c>
      <c r="AG490" s="17">
        <f t="shared" si="61"/>
        <v>0.66179775280898878</v>
      </c>
      <c r="AH490" s="7" t="s">
        <v>1643</v>
      </c>
      <c r="AI490" s="7">
        <v>12</v>
      </c>
      <c r="AJ490" s="38">
        <f t="shared" si="62"/>
        <v>0.75717491326351982</v>
      </c>
      <c r="AK490" s="9" t="b">
        <f t="shared" si="63"/>
        <v>1</v>
      </c>
      <c r="AL490" s="28" t="s">
        <v>1644</v>
      </c>
      <c r="AM490" s="28" t="s">
        <v>1645</v>
      </c>
      <c r="AN490" s="28" t="s">
        <v>1792</v>
      </c>
    </row>
    <row r="491" spans="1:40" ht="30">
      <c r="A491" s="7">
        <v>490</v>
      </c>
      <c r="B491" s="7" t="s">
        <v>1454</v>
      </c>
      <c r="C491" s="7" t="s">
        <v>56</v>
      </c>
      <c r="D491" s="7" t="s">
        <v>167</v>
      </c>
      <c r="E491" s="7" t="s">
        <v>1642</v>
      </c>
      <c r="F491" s="7" t="s">
        <v>56</v>
      </c>
      <c r="G491" s="14">
        <v>896</v>
      </c>
      <c r="H491" s="14">
        <v>29</v>
      </c>
      <c r="I491" s="15">
        <v>2.91</v>
      </c>
      <c r="J491" s="14">
        <v>0</v>
      </c>
      <c r="K491" s="15">
        <v>0</v>
      </c>
      <c r="L491" s="14">
        <v>14</v>
      </c>
      <c r="M491" s="14">
        <v>2</v>
      </c>
      <c r="N491" s="13"/>
      <c r="O491" s="14">
        <v>4</v>
      </c>
      <c r="P491" s="14">
        <v>145</v>
      </c>
      <c r="Q491" s="15">
        <v>14.564732142857142</v>
      </c>
      <c r="R491" s="17">
        <f>IFERROR(G491/(G491+Priors!$H$18),0)</f>
        <v>0.47257383966244726</v>
      </c>
      <c r="S491" s="13">
        <v>1</v>
      </c>
      <c r="T491" s="40" t="b">
        <v>0</v>
      </c>
      <c r="U491" s="13">
        <v>1</v>
      </c>
      <c r="V491" s="40" t="b">
        <v>1</v>
      </c>
      <c r="W491" s="13">
        <v>0.9</v>
      </c>
      <c r="X491" s="17">
        <f t="shared" si="56"/>
        <v>0.42531645569620252</v>
      </c>
      <c r="Y491" s="37">
        <f>VLOOKUP(D491,Priors!$A$18:$B$21,2,FALSE)</f>
        <v>4.5137422563476139</v>
      </c>
      <c r="Z491" s="38">
        <f t="shared" si="57"/>
        <v>3.8316442840276155</v>
      </c>
      <c r="AA491" s="39">
        <v>1</v>
      </c>
      <c r="AB491" s="38">
        <f t="shared" si="58"/>
        <v>3.8316442840276155</v>
      </c>
      <c r="AC491" s="37">
        <f>Priors!$K$18</f>
        <v>2.7435089299114512</v>
      </c>
      <c r="AD491" s="38" t="str">
        <f t="shared" si="59"/>
        <v/>
      </c>
      <c r="AE491" s="37">
        <f>Priors!$K$19</f>
        <v>0.67280088332719912</v>
      </c>
      <c r="AF491" s="38" t="str">
        <f t="shared" si="60"/>
        <v/>
      </c>
      <c r="AG491" s="17">
        <f t="shared" si="61"/>
        <v>0.57468354430379742</v>
      </c>
      <c r="AH491" s="7" t="s">
        <v>1643</v>
      </c>
      <c r="AI491" s="7">
        <v>12</v>
      </c>
      <c r="AJ491" s="38">
        <f t="shared" si="62"/>
        <v>0.3193036903356346</v>
      </c>
      <c r="AK491" s="9" t="b">
        <f t="shared" si="63"/>
        <v>1</v>
      </c>
      <c r="AL491" s="28" t="s">
        <v>1644</v>
      </c>
      <c r="AM491" s="28" t="s">
        <v>1645</v>
      </c>
      <c r="AN491" s="28" t="s">
        <v>1792</v>
      </c>
    </row>
    <row r="492" spans="1:40" ht="30">
      <c r="A492" s="7">
        <v>491</v>
      </c>
      <c r="B492" s="7" t="s">
        <v>1456</v>
      </c>
      <c r="C492" s="7" t="s">
        <v>56</v>
      </c>
      <c r="D492" s="7" t="s">
        <v>167</v>
      </c>
      <c r="E492" s="7" t="s">
        <v>1642</v>
      </c>
      <c r="F492" s="7" t="s">
        <v>56</v>
      </c>
      <c r="G492" s="14">
        <v>2293</v>
      </c>
      <c r="H492" s="14">
        <v>123</v>
      </c>
      <c r="I492" s="15">
        <v>4.83</v>
      </c>
      <c r="J492" s="14">
        <v>0</v>
      </c>
      <c r="K492" s="15">
        <v>0</v>
      </c>
      <c r="L492" s="14">
        <v>37</v>
      </c>
      <c r="M492" s="14">
        <v>9</v>
      </c>
      <c r="N492" s="13"/>
      <c r="O492" s="14">
        <v>13</v>
      </c>
      <c r="P492" s="14">
        <v>407</v>
      </c>
      <c r="Q492" s="15">
        <v>15.974705625817705</v>
      </c>
      <c r="R492" s="17">
        <f>IFERROR(G492/(G492+Priors!$H$18),0)</f>
        <v>0.69632553902216821</v>
      </c>
      <c r="S492" s="13">
        <v>1</v>
      </c>
      <c r="T492" s="40" t="b">
        <v>0</v>
      </c>
      <c r="U492" s="13">
        <v>1</v>
      </c>
      <c r="V492" s="40" t="b">
        <v>1</v>
      </c>
      <c r="W492" s="13">
        <v>0.9</v>
      </c>
      <c r="X492" s="17">
        <f t="shared" si="56"/>
        <v>0.62669298511995142</v>
      </c>
      <c r="Y492" s="37">
        <f>VLOOKUP(D492,Priors!$A$18:$B$21,2,FALSE)</f>
        <v>4.5137422563476139</v>
      </c>
      <c r="Z492" s="38">
        <f t="shared" si="57"/>
        <v>4.7119387657844278</v>
      </c>
      <c r="AA492" s="39">
        <v>1</v>
      </c>
      <c r="AB492" s="38">
        <f t="shared" si="58"/>
        <v>4.7119387657844278</v>
      </c>
      <c r="AC492" s="37">
        <f>Priors!$K$18</f>
        <v>2.7435089299114512</v>
      </c>
      <c r="AD492" s="38" t="str">
        <f t="shared" si="59"/>
        <v/>
      </c>
      <c r="AE492" s="37">
        <f>Priors!$K$19</f>
        <v>0.67280088332719912</v>
      </c>
      <c r="AF492" s="38" t="str">
        <f t="shared" si="60"/>
        <v/>
      </c>
      <c r="AG492" s="17">
        <f t="shared" si="61"/>
        <v>0.37330701488004858</v>
      </c>
      <c r="AH492" s="7" t="s">
        <v>1643</v>
      </c>
      <c r="AI492" s="7">
        <v>12</v>
      </c>
      <c r="AJ492" s="38">
        <f t="shared" si="62"/>
        <v>0.39266156381536899</v>
      </c>
      <c r="AK492" s="9" t="b">
        <f t="shared" si="63"/>
        <v>1</v>
      </c>
      <c r="AL492" s="28" t="s">
        <v>1644</v>
      </c>
      <c r="AM492" s="28" t="s">
        <v>1645</v>
      </c>
      <c r="AN492" s="28" t="s">
        <v>1792</v>
      </c>
    </row>
    <row r="493" spans="1:40" ht="30">
      <c r="A493" s="7">
        <v>492</v>
      </c>
      <c r="B493" s="7" t="s">
        <v>1458</v>
      </c>
      <c r="C493" s="7" t="s">
        <v>56</v>
      </c>
      <c r="D493" s="7" t="s">
        <v>167</v>
      </c>
      <c r="E493" s="7" t="s">
        <v>1642</v>
      </c>
      <c r="F493" s="7" t="s">
        <v>56</v>
      </c>
      <c r="G493" s="14">
        <v>480</v>
      </c>
      <c r="H493" s="14">
        <v>26</v>
      </c>
      <c r="I493" s="15">
        <v>4.88</v>
      </c>
      <c r="J493" s="14">
        <v>0</v>
      </c>
      <c r="K493" s="15">
        <v>0</v>
      </c>
      <c r="L493" s="14">
        <v>4</v>
      </c>
      <c r="M493" s="14">
        <v>1</v>
      </c>
      <c r="N493" s="13"/>
      <c r="O493" s="14">
        <v>4</v>
      </c>
      <c r="P493" s="14">
        <v>170</v>
      </c>
      <c r="Q493" s="15">
        <v>31.875</v>
      </c>
      <c r="R493" s="17">
        <f>IFERROR(G493/(G493+Priors!$H$18),0)</f>
        <v>0.32432432432432434</v>
      </c>
      <c r="S493" s="13">
        <v>1</v>
      </c>
      <c r="T493" s="40" t="b">
        <v>0</v>
      </c>
      <c r="U493" s="13">
        <v>1</v>
      </c>
      <c r="V493" s="40" t="b">
        <v>1</v>
      </c>
      <c r="W493" s="13">
        <v>0.9</v>
      </c>
      <c r="X493" s="17">
        <f t="shared" si="56"/>
        <v>0.29189189189189191</v>
      </c>
      <c r="Y493" s="37">
        <f>VLOOKUP(D493,Priors!$A$18:$B$21,2,FALSE)</f>
        <v>4.5137422563476139</v>
      </c>
      <c r="Z493" s="38">
        <f t="shared" si="57"/>
        <v>4.6206499220623645</v>
      </c>
      <c r="AA493" s="39">
        <v>1</v>
      </c>
      <c r="AB493" s="38">
        <f t="shared" si="58"/>
        <v>4.6206499220623645</v>
      </c>
      <c r="AC493" s="37">
        <f>Priors!$K$18</f>
        <v>2.7435089299114512</v>
      </c>
      <c r="AD493" s="38" t="str">
        <f t="shared" si="59"/>
        <v/>
      </c>
      <c r="AE493" s="37">
        <f>Priors!$K$19</f>
        <v>0.67280088332719912</v>
      </c>
      <c r="AF493" s="38" t="str">
        <f t="shared" si="60"/>
        <v/>
      </c>
      <c r="AG493" s="17">
        <f t="shared" si="61"/>
        <v>0.70810810810810809</v>
      </c>
      <c r="AH493" s="7" t="s">
        <v>1643</v>
      </c>
      <c r="AI493" s="7">
        <v>12</v>
      </c>
      <c r="AJ493" s="38">
        <f t="shared" si="62"/>
        <v>0.38505416017186372</v>
      </c>
      <c r="AK493" s="9" t="b">
        <f t="shared" si="63"/>
        <v>1</v>
      </c>
      <c r="AL493" s="28" t="s">
        <v>1644</v>
      </c>
      <c r="AM493" s="28" t="s">
        <v>1645</v>
      </c>
      <c r="AN493" s="28" t="s">
        <v>1792</v>
      </c>
    </row>
    <row r="494" spans="1:40" ht="30">
      <c r="A494" s="7">
        <v>493</v>
      </c>
      <c r="B494" s="7" t="s">
        <v>1461</v>
      </c>
      <c r="C494" s="7" t="s">
        <v>56</v>
      </c>
      <c r="D494" s="7" t="s">
        <v>167</v>
      </c>
      <c r="E494" s="7" t="s">
        <v>1642</v>
      </c>
      <c r="F494" s="7" t="s">
        <v>56</v>
      </c>
      <c r="G494" s="14">
        <v>89</v>
      </c>
      <c r="H494" s="14">
        <v>6</v>
      </c>
      <c r="I494" s="15">
        <v>6.07</v>
      </c>
      <c r="J494" s="14">
        <v>0</v>
      </c>
      <c r="K494" s="15">
        <v>0</v>
      </c>
      <c r="L494" s="14">
        <v>3</v>
      </c>
      <c r="M494" s="14">
        <v>0</v>
      </c>
      <c r="N494" s="13"/>
      <c r="O494" s="14">
        <v>0</v>
      </c>
      <c r="P494" s="14">
        <v>24</v>
      </c>
      <c r="Q494" s="15">
        <v>24.269662921348313</v>
      </c>
      <c r="R494" s="17">
        <f>IFERROR(G494/(G494+Priors!$H$18),0)</f>
        <v>8.1726354453627179E-2</v>
      </c>
      <c r="S494" s="13">
        <v>1</v>
      </c>
      <c r="T494" s="40" t="b">
        <v>0</v>
      </c>
      <c r="U494" s="13">
        <v>1</v>
      </c>
      <c r="V494" s="40" t="b">
        <v>1</v>
      </c>
      <c r="W494" s="13">
        <v>0.9</v>
      </c>
      <c r="X494" s="17">
        <f t="shared" si="56"/>
        <v>7.3553719008264462E-2</v>
      </c>
      <c r="Y494" s="37">
        <f>VLOOKUP(D494,Priors!$A$18:$B$21,2,FALSE)</f>
        <v>4.5137422563476139</v>
      </c>
      <c r="Z494" s="38">
        <f t="shared" si="57"/>
        <v>4.6282108011286569</v>
      </c>
      <c r="AA494" s="39">
        <v>1</v>
      </c>
      <c r="AB494" s="38">
        <f t="shared" si="58"/>
        <v>4.6282108011286569</v>
      </c>
      <c r="AC494" s="37">
        <f>Priors!$K$18</f>
        <v>2.7435089299114512</v>
      </c>
      <c r="AD494" s="38" t="str">
        <f t="shared" si="59"/>
        <v/>
      </c>
      <c r="AE494" s="37">
        <f>Priors!$K$19</f>
        <v>0.67280088332719912</v>
      </c>
      <c r="AF494" s="38" t="str">
        <f t="shared" si="60"/>
        <v/>
      </c>
      <c r="AG494" s="17">
        <f t="shared" si="61"/>
        <v>0.92644628099173554</v>
      </c>
      <c r="AH494" s="7" t="s">
        <v>1643</v>
      </c>
      <c r="AI494" s="7">
        <v>12</v>
      </c>
      <c r="AJ494" s="38">
        <f t="shared" si="62"/>
        <v>0.38568423342738806</v>
      </c>
      <c r="AK494" s="9" t="b">
        <f t="shared" si="63"/>
        <v>1</v>
      </c>
      <c r="AL494" s="28" t="s">
        <v>1644</v>
      </c>
      <c r="AM494" s="28" t="s">
        <v>1645</v>
      </c>
      <c r="AN494" s="28" t="s">
        <v>1792</v>
      </c>
    </row>
    <row r="495" spans="1:40" ht="30">
      <c r="A495" s="7">
        <v>494</v>
      </c>
      <c r="B495" s="7" t="s">
        <v>1471</v>
      </c>
      <c r="C495" s="7" t="s">
        <v>57</v>
      </c>
      <c r="D495" s="7" t="s">
        <v>85</v>
      </c>
      <c r="E495" s="7" t="s">
        <v>1642</v>
      </c>
      <c r="F495" s="7" t="s">
        <v>57</v>
      </c>
      <c r="G495" s="14">
        <v>2790</v>
      </c>
      <c r="H495" s="14">
        <v>97</v>
      </c>
      <c r="I495" s="15">
        <v>0</v>
      </c>
      <c r="J495" s="14">
        <v>83</v>
      </c>
      <c r="K495" s="15">
        <v>2.68</v>
      </c>
      <c r="L495" s="14">
        <v>50</v>
      </c>
      <c r="M495" s="14">
        <v>7</v>
      </c>
      <c r="N495" s="13">
        <v>0.62406015037593987</v>
      </c>
      <c r="O495" s="14">
        <v>6</v>
      </c>
      <c r="P495" s="14">
        <v>412</v>
      </c>
      <c r="Q495" s="15">
        <v>13.290322580645162</v>
      </c>
      <c r="R495" s="17">
        <f>IFERROR(G495/(G495+Priors!$H$18),0)</f>
        <v>0.73614775725593673</v>
      </c>
      <c r="S495" s="13">
        <v>1</v>
      </c>
      <c r="T495" s="40" t="b">
        <v>0</v>
      </c>
      <c r="U495" s="13">
        <v>1</v>
      </c>
      <c r="V495" s="40" t="b">
        <v>0</v>
      </c>
      <c r="W495" s="13">
        <v>1</v>
      </c>
      <c r="X495" s="17">
        <f t="shared" si="56"/>
        <v>0.73614775725593673</v>
      </c>
      <c r="Y495" s="37">
        <f>VLOOKUP(D495,Priors!$A$18:$B$21,2,FALSE)</f>
        <v>2.6414527990394716</v>
      </c>
      <c r="Z495" s="38">
        <f t="shared" si="57"/>
        <v>0.69695324512914802</v>
      </c>
      <c r="AA495" s="39">
        <v>1</v>
      </c>
      <c r="AB495" s="38">
        <f t="shared" si="58"/>
        <v>0.69695324512914802</v>
      </c>
      <c r="AC495" s="37">
        <f>Priors!$K$18</f>
        <v>2.7435089299114512</v>
      </c>
      <c r="AD495" s="38">
        <f t="shared" si="59"/>
        <v>2.6967569735914121</v>
      </c>
      <c r="AE495" s="37">
        <f>Priors!$K$19</f>
        <v>0.67280088332719912</v>
      </c>
      <c r="AF495" s="38">
        <f t="shared" si="60"/>
        <v>0.63692050207811912</v>
      </c>
      <c r="AG495" s="17">
        <f t="shared" si="61"/>
        <v>0.26385224274406327</v>
      </c>
      <c r="AH495" s="7" t="s">
        <v>1643</v>
      </c>
      <c r="AI495" s="7"/>
      <c r="AJ495" s="38" t="str">
        <f t="shared" si="62"/>
        <v/>
      </c>
      <c r="AK495" s="9" t="b">
        <f t="shared" si="63"/>
        <v>0</v>
      </c>
      <c r="AL495" s="28" t="s">
        <v>1644</v>
      </c>
      <c r="AM495" s="28" t="s">
        <v>1645</v>
      </c>
      <c r="AN495" s="28" t="s">
        <v>1792</v>
      </c>
    </row>
    <row r="496" spans="1:40" ht="30">
      <c r="A496" s="7">
        <v>495</v>
      </c>
      <c r="B496" s="7" t="s">
        <v>1473</v>
      </c>
      <c r="C496" s="7" t="s">
        <v>57</v>
      </c>
      <c r="D496" s="7" t="s">
        <v>85</v>
      </c>
      <c r="E496" s="7" t="s">
        <v>1642</v>
      </c>
      <c r="F496" s="7" t="s">
        <v>57</v>
      </c>
      <c r="G496" s="14">
        <v>0</v>
      </c>
      <c r="H496" s="14">
        <v>0</v>
      </c>
      <c r="I496" s="15">
        <v>0</v>
      </c>
      <c r="J496" s="14">
        <v>0</v>
      </c>
      <c r="K496" s="15">
        <v>0</v>
      </c>
      <c r="L496" s="14">
        <v>0</v>
      </c>
      <c r="M496" s="14">
        <v>0</v>
      </c>
      <c r="N496" s="13"/>
      <c r="O496" s="14">
        <v>0</v>
      </c>
      <c r="P496" s="14">
        <v>0</v>
      </c>
      <c r="Q496" s="15">
        <v>0</v>
      </c>
      <c r="R496" s="17">
        <f>IFERROR(G496/(G496+Priors!$H$18),0)</f>
        <v>0</v>
      </c>
      <c r="S496" s="13">
        <v>1</v>
      </c>
      <c r="T496" s="40" t="b">
        <v>0</v>
      </c>
      <c r="U496" s="13">
        <v>1</v>
      </c>
      <c r="V496" s="40" t="b">
        <v>0</v>
      </c>
      <c r="W496" s="13">
        <v>1</v>
      </c>
      <c r="X496" s="17">
        <f t="shared" si="56"/>
        <v>0</v>
      </c>
      <c r="Y496" s="37">
        <f>VLOOKUP(D496,Priors!$A$18:$B$21,2,FALSE)</f>
        <v>2.6414527990394716</v>
      </c>
      <c r="Z496" s="38">
        <f t="shared" si="57"/>
        <v>2.6414527990394716</v>
      </c>
      <c r="AA496" s="39">
        <v>1</v>
      </c>
      <c r="AB496" s="38">
        <f t="shared" si="58"/>
        <v>2.6414527990394716</v>
      </c>
      <c r="AC496" s="37">
        <f>Priors!$K$18</f>
        <v>2.7435089299114512</v>
      </c>
      <c r="AD496" s="38">
        <f t="shared" si="59"/>
        <v>2.7435089299114512</v>
      </c>
      <c r="AE496" s="37">
        <f>Priors!$K$19</f>
        <v>0.67280088332719912</v>
      </c>
      <c r="AF496" s="38">
        <f t="shared" si="60"/>
        <v>0.67280088332719912</v>
      </c>
      <c r="AG496" s="17">
        <f t="shared" si="61"/>
        <v>1</v>
      </c>
      <c r="AH496" s="7" t="s">
        <v>1643</v>
      </c>
      <c r="AI496" s="7"/>
      <c r="AJ496" s="38" t="str">
        <f t="shared" si="62"/>
        <v/>
      </c>
      <c r="AK496" s="9" t="b">
        <f t="shared" si="63"/>
        <v>1</v>
      </c>
      <c r="AL496" s="28" t="s">
        <v>1644</v>
      </c>
      <c r="AM496" s="28" t="s">
        <v>1645</v>
      </c>
      <c r="AN496" s="28" t="s">
        <v>1792</v>
      </c>
    </row>
    <row r="497" spans="1:40" ht="30">
      <c r="A497" s="7">
        <v>496</v>
      </c>
      <c r="B497" s="7" t="s">
        <v>1476</v>
      </c>
      <c r="C497" s="7" t="s">
        <v>57</v>
      </c>
      <c r="D497" s="7" t="s">
        <v>85</v>
      </c>
      <c r="E497" s="7" t="s">
        <v>1642</v>
      </c>
      <c r="F497" s="7" t="s">
        <v>57</v>
      </c>
      <c r="G497" s="14">
        <v>630</v>
      </c>
      <c r="H497" s="14">
        <v>0</v>
      </c>
      <c r="I497" s="15">
        <v>0</v>
      </c>
      <c r="J497" s="14">
        <v>10</v>
      </c>
      <c r="K497" s="15">
        <v>1.43</v>
      </c>
      <c r="L497" s="14">
        <v>7</v>
      </c>
      <c r="M497" s="14">
        <v>2</v>
      </c>
      <c r="N497" s="13">
        <v>0.58823529411764708</v>
      </c>
      <c r="O497" s="14">
        <v>0</v>
      </c>
      <c r="P497" s="14">
        <v>76</v>
      </c>
      <c r="Q497" s="15">
        <v>10.857142857142858</v>
      </c>
      <c r="R497" s="17">
        <f>IFERROR(G497/(G497+Priors!$H$18),0)</f>
        <v>0.38650306748466257</v>
      </c>
      <c r="S497" s="13">
        <v>1</v>
      </c>
      <c r="T497" s="40" t="b">
        <v>0</v>
      </c>
      <c r="U497" s="13">
        <v>1</v>
      </c>
      <c r="V497" s="40" t="b">
        <v>0</v>
      </c>
      <c r="W497" s="13">
        <v>1</v>
      </c>
      <c r="X497" s="17">
        <f t="shared" si="56"/>
        <v>0.38650306748466257</v>
      </c>
      <c r="Y497" s="37">
        <f>VLOOKUP(D497,Priors!$A$18:$B$21,2,FALSE)</f>
        <v>2.6414527990394716</v>
      </c>
      <c r="Z497" s="38">
        <f t="shared" si="57"/>
        <v>1.6205231895947678</v>
      </c>
      <c r="AA497" s="39">
        <v>1</v>
      </c>
      <c r="AB497" s="38">
        <f t="shared" si="58"/>
        <v>1.6205231895947678</v>
      </c>
      <c r="AC497" s="37">
        <f>Priors!$K$18</f>
        <v>2.7435089299114512</v>
      </c>
      <c r="AD497" s="38">
        <f t="shared" si="59"/>
        <v>2.2358336993321788</v>
      </c>
      <c r="AE497" s="37">
        <f>Priors!$K$19</f>
        <v>0.67280088332719912</v>
      </c>
      <c r="AF497" s="38">
        <f t="shared" si="60"/>
        <v>0.6401160236940594</v>
      </c>
      <c r="AG497" s="17">
        <f t="shared" si="61"/>
        <v>0.61349693251533743</v>
      </c>
      <c r="AH497" s="7" t="s">
        <v>1643</v>
      </c>
      <c r="AI497" s="7"/>
      <c r="AJ497" s="38" t="str">
        <f t="shared" si="62"/>
        <v/>
      </c>
      <c r="AK497" s="9" t="b">
        <f t="shared" si="63"/>
        <v>1</v>
      </c>
      <c r="AL497" s="28" t="s">
        <v>1644</v>
      </c>
      <c r="AM497" s="28" t="s">
        <v>1645</v>
      </c>
      <c r="AN497" s="28" t="s">
        <v>1792</v>
      </c>
    </row>
    <row r="498" spans="1:40" ht="30">
      <c r="A498" s="7">
        <v>497</v>
      </c>
      <c r="B498" s="7" t="s">
        <v>1479</v>
      </c>
      <c r="C498" s="7" t="s">
        <v>57</v>
      </c>
      <c r="D498" s="7" t="s">
        <v>85</v>
      </c>
      <c r="E498" s="7" t="s">
        <v>1642</v>
      </c>
      <c r="F498" s="7" t="s">
        <v>1652</v>
      </c>
      <c r="G498" s="14">
        <v>3150</v>
      </c>
      <c r="H498" s="14">
        <v>96</v>
      </c>
      <c r="I498" s="15">
        <v>0</v>
      </c>
      <c r="J498" s="14">
        <v>127</v>
      </c>
      <c r="K498" s="15">
        <v>3.63</v>
      </c>
      <c r="L498" s="14">
        <v>71</v>
      </c>
      <c r="M498" s="14">
        <v>4</v>
      </c>
      <c r="N498" s="13">
        <v>0.64141414141414144</v>
      </c>
      <c r="O498" s="14">
        <v>7</v>
      </c>
      <c r="P498" s="14">
        <v>436</v>
      </c>
      <c r="Q498" s="15">
        <v>12.457142857142857</v>
      </c>
      <c r="R498" s="17">
        <f>IFERROR(G498/(G498+Priors!$H$18),0)</f>
        <v>0.75903614457831325</v>
      </c>
      <c r="S498" s="13">
        <v>1</v>
      </c>
      <c r="T498" s="40" t="b">
        <v>1</v>
      </c>
      <c r="U498" s="13">
        <v>0.85</v>
      </c>
      <c r="V498" s="40" t="b">
        <v>0</v>
      </c>
      <c r="W498" s="13">
        <v>1</v>
      </c>
      <c r="X498" s="17">
        <f t="shared" si="56"/>
        <v>0.64518072289156625</v>
      </c>
      <c r="Y498" s="37">
        <f>VLOOKUP(D498,Priors!$A$18:$B$21,2,FALSE)</f>
        <v>2.6414527990394716</v>
      </c>
      <c r="Z498" s="38">
        <f t="shared" si="57"/>
        <v>0.93723837267123422</v>
      </c>
      <c r="AA498" s="39">
        <v>1</v>
      </c>
      <c r="AB498" s="38">
        <f t="shared" si="58"/>
        <v>0.93723837267123422</v>
      </c>
      <c r="AC498" s="37">
        <f>Priors!$K$18</f>
        <v>2.7435089299114512</v>
      </c>
      <c r="AD498" s="38">
        <f t="shared" si="59"/>
        <v>3.3154558793480993</v>
      </c>
      <c r="AE498" s="37">
        <f>Priors!$K$19</f>
        <v>0.67280088332719912</v>
      </c>
      <c r="AF498" s="38">
        <f t="shared" si="60"/>
        <v>0.65255076249052157</v>
      </c>
      <c r="AG498" s="17">
        <f t="shared" si="61"/>
        <v>0.35481927710843375</v>
      </c>
      <c r="AH498" s="7" t="s">
        <v>1643</v>
      </c>
      <c r="AI498" s="7"/>
      <c r="AJ498" s="38" t="str">
        <f t="shared" si="62"/>
        <v/>
      </c>
      <c r="AK498" s="9" t="b">
        <f t="shared" si="63"/>
        <v>1</v>
      </c>
      <c r="AL498" s="28" t="s">
        <v>1644</v>
      </c>
      <c r="AM498" s="28" t="s">
        <v>1645</v>
      </c>
      <c r="AN498" s="28" t="s">
        <v>1792</v>
      </c>
    </row>
    <row r="499" spans="1:40" ht="30">
      <c r="A499" s="7">
        <v>498</v>
      </c>
      <c r="B499" s="7" t="s">
        <v>1481</v>
      </c>
      <c r="C499" s="7" t="s">
        <v>57</v>
      </c>
      <c r="D499" s="7" t="s">
        <v>99</v>
      </c>
      <c r="E499" s="7" t="s">
        <v>1642</v>
      </c>
      <c r="F499" s="7" t="s">
        <v>41</v>
      </c>
      <c r="G499" s="14">
        <v>3288</v>
      </c>
      <c r="H499" s="14">
        <v>462</v>
      </c>
      <c r="I499" s="15">
        <v>11.47</v>
      </c>
      <c r="J499" s="14">
        <v>0</v>
      </c>
      <c r="K499" s="15">
        <v>0</v>
      </c>
      <c r="L499" s="14">
        <v>53</v>
      </c>
      <c r="M499" s="14">
        <v>11</v>
      </c>
      <c r="N499" s="13"/>
      <c r="O499" s="14">
        <v>14</v>
      </c>
      <c r="P499" s="14">
        <v>571</v>
      </c>
      <c r="Q499" s="15">
        <v>15.629562043795621</v>
      </c>
      <c r="R499" s="17">
        <f>IFERROR(G499/(G499+Priors!$H$18),0)</f>
        <v>0.76679104477611937</v>
      </c>
      <c r="S499" s="13">
        <v>1</v>
      </c>
      <c r="T499" s="40" t="b">
        <v>1</v>
      </c>
      <c r="U499" s="13">
        <v>0.85</v>
      </c>
      <c r="V499" s="40" t="b">
        <v>0</v>
      </c>
      <c r="W499" s="13">
        <v>1</v>
      </c>
      <c r="X499" s="17">
        <f t="shared" si="56"/>
        <v>0.65177238805970139</v>
      </c>
      <c r="Y499" s="37">
        <f>VLOOKUP(D499,Priors!$A$18:$B$21,2,FALSE)</f>
        <v>8.7398272304160223</v>
      </c>
      <c r="Z499" s="38">
        <f t="shared" si="57"/>
        <v>10.51927845626334</v>
      </c>
      <c r="AA499" s="39">
        <v>1</v>
      </c>
      <c r="AB499" s="38">
        <f t="shared" si="58"/>
        <v>10.51927845626334</v>
      </c>
      <c r="AC499" s="37">
        <f>Priors!$K$18</f>
        <v>2.7435089299114512</v>
      </c>
      <c r="AD499" s="38" t="str">
        <f t="shared" si="59"/>
        <v/>
      </c>
      <c r="AE499" s="37">
        <f>Priors!$K$19</f>
        <v>0.67280088332719912</v>
      </c>
      <c r="AF499" s="38" t="str">
        <f t="shared" si="60"/>
        <v/>
      </c>
      <c r="AG499" s="17">
        <f t="shared" si="61"/>
        <v>0.34822761194029861</v>
      </c>
      <c r="AH499" s="7" t="s">
        <v>1643</v>
      </c>
      <c r="AI499" s="7">
        <v>10</v>
      </c>
      <c r="AJ499" s="38">
        <f t="shared" si="62"/>
        <v>1.0519278456263339</v>
      </c>
      <c r="AK499" s="9" t="b">
        <f t="shared" si="63"/>
        <v>1</v>
      </c>
      <c r="AL499" s="28" t="s">
        <v>1644</v>
      </c>
      <c r="AM499" s="28" t="s">
        <v>1645</v>
      </c>
      <c r="AN499" s="28" t="s">
        <v>1792</v>
      </c>
    </row>
    <row r="500" spans="1:40" ht="30">
      <c r="A500" s="7">
        <v>499</v>
      </c>
      <c r="B500" s="7" t="s">
        <v>1483</v>
      </c>
      <c r="C500" s="7" t="s">
        <v>57</v>
      </c>
      <c r="D500" s="7" t="s">
        <v>99</v>
      </c>
      <c r="E500" s="7" t="s">
        <v>1642</v>
      </c>
      <c r="F500" s="7" t="s">
        <v>57</v>
      </c>
      <c r="G500" s="14">
        <v>2793</v>
      </c>
      <c r="H500" s="14">
        <v>253</v>
      </c>
      <c r="I500" s="15">
        <v>7.02</v>
      </c>
      <c r="J500" s="14">
        <v>0</v>
      </c>
      <c r="K500" s="15">
        <v>0</v>
      </c>
      <c r="L500" s="14">
        <v>40</v>
      </c>
      <c r="M500" s="14">
        <v>9</v>
      </c>
      <c r="N500" s="13"/>
      <c r="O500" s="14">
        <v>8</v>
      </c>
      <c r="P500" s="14">
        <v>502</v>
      </c>
      <c r="Q500" s="15">
        <v>16.176154672395274</v>
      </c>
      <c r="R500" s="17">
        <f>IFERROR(G500/(G500+Priors!$H$18),0)</f>
        <v>0.73635644608489326</v>
      </c>
      <c r="S500" s="13">
        <v>1</v>
      </c>
      <c r="T500" s="40" t="b">
        <v>0</v>
      </c>
      <c r="U500" s="13">
        <v>1</v>
      </c>
      <c r="V500" s="40" t="b">
        <v>0</v>
      </c>
      <c r="W500" s="13">
        <v>1</v>
      </c>
      <c r="X500" s="17">
        <f t="shared" si="56"/>
        <v>0.73635644608489326</v>
      </c>
      <c r="Y500" s="37">
        <f>VLOOKUP(D500,Priors!$A$18:$B$21,2,FALSE)</f>
        <v>8.7398272304160223</v>
      </c>
      <c r="Z500" s="38">
        <f t="shared" si="57"/>
        <v>7.4734213631468549</v>
      </c>
      <c r="AA500" s="39">
        <v>1</v>
      </c>
      <c r="AB500" s="38">
        <f t="shared" si="58"/>
        <v>7.4734213631468549</v>
      </c>
      <c r="AC500" s="37">
        <f>Priors!$K$18</f>
        <v>2.7435089299114512</v>
      </c>
      <c r="AD500" s="38" t="str">
        <f t="shared" si="59"/>
        <v/>
      </c>
      <c r="AE500" s="37">
        <f>Priors!$K$19</f>
        <v>0.67280088332719912</v>
      </c>
      <c r="AF500" s="38" t="str">
        <f t="shared" si="60"/>
        <v/>
      </c>
      <c r="AG500" s="17">
        <f t="shared" si="61"/>
        <v>0.26364355391510674</v>
      </c>
      <c r="AH500" s="7" t="s">
        <v>1643</v>
      </c>
      <c r="AI500" s="7">
        <v>10</v>
      </c>
      <c r="AJ500" s="38">
        <f t="shared" si="62"/>
        <v>0.74734213631468549</v>
      </c>
      <c r="AK500" s="9" t="b">
        <f t="shared" si="63"/>
        <v>0</v>
      </c>
      <c r="AL500" s="28" t="s">
        <v>1644</v>
      </c>
      <c r="AM500" s="28" t="s">
        <v>1645</v>
      </c>
      <c r="AN500" s="28" t="s">
        <v>1792</v>
      </c>
    </row>
    <row r="501" spans="1:40" ht="30">
      <c r="A501" s="7">
        <v>500</v>
      </c>
      <c r="B501" s="7" t="s">
        <v>1485</v>
      </c>
      <c r="C501" s="7" t="s">
        <v>57</v>
      </c>
      <c r="D501" s="7" t="s">
        <v>99</v>
      </c>
      <c r="E501" s="7" t="s">
        <v>1642</v>
      </c>
      <c r="F501" s="7" t="s">
        <v>57</v>
      </c>
      <c r="G501" s="14">
        <v>1869</v>
      </c>
      <c r="H501" s="14">
        <v>224</v>
      </c>
      <c r="I501" s="15">
        <v>9.49</v>
      </c>
      <c r="J501" s="14">
        <v>0</v>
      </c>
      <c r="K501" s="15">
        <v>0</v>
      </c>
      <c r="L501" s="14">
        <v>33</v>
      </c>
      <c r="M501" s="14">
        <v>5</v>
      </c>
      <c r="N501" s="13"/>
      <c r="O501" s="14">
        <v>10</v>
      </c>
      <c r="P501" s="14">
        <v>305</v>
      </c>
      <c r="Q501" s="15">
        <v>14.686998394863563</v>
      </c>
      <c r="R501" s="17">
        <f>IFERROR(G501/(G501+Priors!$H$18),0)</f>
        <v>0.65144649703729518</v>
      </c>
      <c r="S501" s="13">
        <v>1</v>
      </c>
      <c r="T501" s="40" t="b">
        <v>0</v>
      </c>
      <c r="U501" s="13">
        <v>1</v>
      </c>
      <c r="V501" s="40" t="b">
        <v>0</v>
      </c>
      <c r="W501" s="13">
        <v>1</v>
      </c>
      <c r="X501" s="17">
        <f t="shared" si="56"/>
        <v>0.65144649703729518</v>
      </c>
      <c r="Y501" s="37">
        <f>VLOOKUP(D501,Priors!$A$18:$B$21,2,FALSE)</f>
        <v>8.7398272304160223</v>
      </c>
      <c r="Z501" s="38">
        <f t="shared" si="57"/>
        <v>9.2285246533342704</v>
      </c>
      <c r="AA501" s="39">
        <v>1</v>
      </c>
      <c r="AB501" s="38">
        <f t="shared" si="58"/>
        <v>9.2285246533342704</v>
      </c>
      <c r="AC501" s="37">
        <f>Priors!$K$18</f>
        <v>2.7435089299114512</v>
      </c>
      <c r="AD501" s="38" t="str">
        <f t="shared" si="59"/>
        <v/>
      </c>
      <c r="AE501" s="37">
        <f>Priors!$K$19</f>
        <v>0.67280088332719912</v>
      </c>
      <c r="AF501" s="38" t="str">
        <f t="shared" si="60"/>
        <v/>
      </c>
      <c r="AG501" s="17">
        <f t="shared" si="61"/>
        <v>0.34855350296270482</v>
      </c>
      <c r="AH501" s="7" t="s">
        <v>1643</v>
      </c>
      <c r="AI501" s="7">
        <v>10</v>
      </c>
      <c r="AJ501" s="38">
        <f t="shared" si="62"/>
        <v>0.92285246533342702</v>
      </c>
      <c r="AK501" s="9" t="b">
        <f t="shared" si="63"/>
        <v>0</v>
      </c>
      <c r="AL501" s="28" t="s">
        <v>1644</v>
      </c>
      <c r="AM501" s="28" t="s">
        <v>1645</v>
      </c>
      <c r="AN501" s="28" t="s">
        <v>1792</v>
      </c>
    </row>
    <row r="502" spans="1:40" ht="30">
      <c r="A502" s="7">
        <v>501</v>
      </c>
      <c r="B502" s="7" t="s">
        <v>1488</v>
      </c>
      <c r="C502" s="7" t="s">
        <v>57</v>
      </c>
      <c r="D502" s="7" t="s">
        <v>99</v>
      </c>
      <c r="E502" s="7" t="s">
        <v>1642</v>
      </c>
      <c r="F502" s="7" t="s">
        <v>57</v>
      </c>
      <c r="G502" s="14">
        <v>1489</v>
      </c>
      <c r="H502" s="14">
        <v>199</v>
      </c>
      <c r="I502" s="15">
        <v>11.61</v>
      </c>
      <c r="J502" s="14">
        <v>0</v>
      </c>
      <c r="K502" s="15">
        <v>0</v>
      </c>
      <c r="L502" s="14">
        <v>25</v>
      </c>
      <c r="M502" s="14">
        <v>4</v>
      </c>
      <c r="N502" s="13"/>
      <c r="O502" s="14">
        <v>1</v>
      </c>
      <c r="P502" s="14">
        <v>219</v>
      </c>
      <c r="Q502" s="15">
        <v>13.237071860308932</v>
      </c>
      <c r="R502" s="17">
        <f>IFERROR(G502/(G502+Priors!$H$18),0)</f>
        <v>0.59823222177581359</v>
      </c>
      <c r="S502" s="13">
        <v>1</v>
      </c>
      <c r="T502" s="40" t="b">
        <v>0</v>
      </c>
      <c r="U502" s="13">
        <v>1</v>
      </c>
      <c r="V502" s="40" t="b">
        <v>0</v>
      </c>
      <c r="W502" s="13">
        <v>1</v>
      </c>
      <c r="X502" s="17">
        <f t="shared" si="56"/>
        <v>0.59823222177581359</v>
      </c>
      <c r="Y502" s="37">
        <f>VLOOKUP(D502,Priors!$A$18:$B$21,2,FALSE)</f>
        <v>8.7398272304160223</v>
      </c>
      <c r="Z502" s="38">
        <f t="shared" si="57"/>
        <v>10.456857063244685</v>
      </c>
      <c r="AA502" s="39">
        <v>1</v>
      </c>
      <c r="AB502" s="38">
        <f t="shared" si="58"/>
        <v>10.456857063244685</v>
      </c>
      <c r="AC502" s="37">
        <f>Priors!$K$18</f>
        <v>2.7435089299114512</v>
      </c>
      <c r="AD502" s="38" t="str">
        <f t="shared" si="59"/>
        <v/>
      </c>
      <c r="AE502" s="37">
        <f>Priors!$K$19</f>
        <v>0.67280088332719912</v>
      </c>
      <c r="AF502" s="38" t="str">
        <f t="shared" si="60"/>
        <v/>
      </c>
      <c r="AG502" s="17">
        <f t="shared" si="61"/>
        <v>0.40176777822418641</v>
      </c>
      <c r="AH502" s="7" t="s">
        <v>1643</v>
      </c>
      <c r="AI502" s="7">
        <v>10</v>
      </c>
      <c r="AJ502" s="38">
        <f t="shared" si="62"/>
        <v>1.0456857063244684</v>
      </c>
      <c r="AK502" s="9" t="b">
        <f t="shared" si="63"/>
        <v>0</v>
      </c>
      <c r="AL502" s="28" t="s">
        <v>1644</v>
      </c>
      <c r="AM502" s="28" t="s">
        <v>1645</v>
      </c>
      <c r="AN502" s="28" t="s">
        <v>1792</v>
      </c>
    </row>
    <row r="503" spans="1:40" ht="30">
      <c r="A503" s="7">
        <v>502</v>
      </c>
      <c r="B503" s="7" t="s">
        <v>1490</v>
      </c>
      <c r="C503" s="7" t="s">
        <v>57</v>
      </c>
      <c r="D503" s="7" t="s">
        <v>99</v>
      </c>
      <c r="E503" s="7" t="s">
        <v>1642</v>
      </c>
      <c r="F503" s="7" t="s">
        <v>52</v>
      </c>
      <c r="G503" s="14">
        <v>1165</v>
      </c>
      <c r="H503" s="14">
        <v>65</v>
      </c>
      <c r="I503" s="15">
        <v>4.25</v>
      </c>
      <c r="J503" s="14">
        <v>0</v>
      </c>
      <c r="K503" s="15">
        <v>0</v>
      </c>
      <c r="L503" s="14">
        <v>16</v>
      </c>
      <c r="M503" s="14">
        <v>4</v>
      </c>
      <c r="N503" s="13"/>
      <c r="O503" s="14">
        <v>4</v>
      </c>
      <c r="P503" s="14">
        <v>216</v>
      </c>
      <c r="Q503" s="15">
        <v>16.686695278969957</v>
      </c>
      <c r="R503" s="17">
        <f>IFERROR(G503/(G503+Priors!$H$18),0)</f>
        <v>0.53810623556581982</v>
      </c>
      <c r="S503" s="13">
        <v>1</v>
      </c>
      <c r="T503" s="40" t="b">
        <v>1</v>
      </c>
      <c r="U503" s="13">
        <v>0.85</v>
      </c>
      <c r="V503" s="40" t="b">
        <v>0</v>
      </c>
      <c r="W503" s="13">
        <v>1</v>
      </c>
      <c r="X503" s="17">
        <f t="shared" si="56"/>
        <v>0.45739030023094684</v>
      </c>
      <c r="Y503" s="37">
        <f>VLOOKUP(D503,Priors!$A$18:$B$21,2,FALSE)</f>
        <v>8.7398272304160223</v>
      </c>
      <c r="Z503" s="38">
        <f t="shared" si="57"/>
        <v>6.6862238055109575</v>
      </c>
      <c r="AA503" s="39">
        <v>1</v>
      </c>
      <c r="AB503" s="38">
        <f t="shared" si="58"/>
        <v>6.6862238055109575</v>
      </c>
      <c r="AC503" s="37">
        <f>Priors!$K$18</f>
        <v>2.7435089299114512</v>
      </c>
      <c r="AD503" s="38" t="str">
        <f t="shared" si="59"/>
        <v/>
      </c>
      <c r="AE503" s="37">
        <f>Priors!$K$19</f>
        <v>0.67280088332719912</v>
      </c>
      <c r="AF503" s="38" t="str">
        <f t="shared" si="60"/>
        <v/>
      </c>
      <c r="AG503" s="17">
        <f t="shared" si="61"/>
        <v>0.54260969976905316</v>
      </c>
      <c r="AH503" s="7" t="s">
        <v>1643</v>
      </c>
      <c r="AI503" s="7">
        <v>10</v>
      </c>
      <c r="AJ503" s="38">
        <f t="shared" si="62"/>
        <v>0.6686223805510958</v>
      </c>
      <c r="AK503" s="9" t="b">
        <f t="shared" si="63"/>
        <v>1</v>
      </c>
      <c r="AL503" s="28" t="s">
        <v>1644</v>
      </c>
      <c r="AM503" s="28" t="s">
        <v>1645</v>
      </c>
      <c r="AN503" s="28" t="s">
        <v>1792</v>
      </c>
    </row>
    <row r="504" spans="1:40" ht="30">
      <c r="A504" s="7">
        <v>503</v>
      </c>
      <c r="B504" s="7" t="s">
        <v>1492</v>
      </c>
      <c r="C504" s="7" t="s">
        <v>57</v>
      </c>
      <c r="D504" s="7" t="s">
        <v>99</v>
      </c>
      <c r="E504" s="7" t="s">
        <v>1642</v>
      </c>
      <c r="F504" s="7" t="s">
        <v>57</v>
      </c>
      <c r="G504" s="14">
        <v>3041</v>
      </c>
      <c r="H504" s="14">
        <v>248</v>
      </c>
      <c r="I504" s="15">
        <v>6.27</v>
      </c>
      <c r="J504" s="14">
        <v>0</v>
      </c>
      <c r="K504" s="15">
        <v>0</v>
      </c>
      <c r="L504" s="14">
        <v>50</v>
      </c>
      <c r="M504" s="14">
        <v>9</v>
      </c>
      <c r="N504" s="13"/>
      <c r="O504" s="14">
        <v>10</v>
      </c>
      <c r="P504" s="14">
        <v>431</v>
      </c>
      <c r="Q504" s="15">
        <v>12.755672476159159</v>
      </c>
      <c r="R504" s="17">
        <f>IFERROR(G504/(G504+Priors!$H$18),0)</f>
        <v>0.75253650086612223</v>
      </c>
      <c r="S504" s="13">
        <v>1</v>
      </c>
      <c r="T504" s="40" t="b">
        <v>0</v>
      </c>
      <c r="U504" s="13">
        <v>1</v>
      </c>
      <c r="V504" s="40" t="b">
        <v>0</v>
      </c>
      <c r="W504" s="13">
        <v>1</v>
      </c>
      <c r="X504" s="17">
        <f t="shared" si="56"/>
        <v>0.75253650086612223</v>
      </c>
      <c r="Y504" s="37">
        <f>VLOOKUP(D504,Priors!$A$18:$B$21,2,FALSE)</f>
        <v>8.7398272304160223</v>
      </c>
      <c r="Z504" s="38">
        <f t="shared" si="57"/>
        <v>6.881192088694883</v>
      </c>
      <c r="AA504" s="39">
        <v>1</v>
      </c>
      <c r="AB504" s="38">
        <f t="shared" si="58"/>
        <v>6.881192088694883</v>
      </c>
      <c r="AC504" s="37">
        <f>Priors!$K$18</f>
        <v>2.7435089299114512</v>
      </c>
      <c r="AD504" s="38" t="str">
        <f t="shared" si="59"/>
        <v/>
      </c>
      <c r="AE504" s="37">
        <f>Priors!$K$19</f>
        <v>0.67280088332719912</v>
      </c>
      <c r="AF504" s="38" t="str">
        <f t="shared" si="60"/>
        <v/>
      </c>
      <c r="AG504" s="17">
        <f t="shared" si="61"/>
        <v>0.24746349913387777</v>
      </c>
      <c r="AH504" s="7" t="s">
        <v>1643</v>
      </c>
      <c r="AI504" s="7">
        <v>10</v>
      </c>
      <c r="AJ504" s="38">
        <f t="shared" si="62"/>
        <v>0.6881192088694883</v>
      </c>
      <c r="AK504" s="9" t="b">
        <f t="shared" si="63"/>
        <v>0</v>
      </c>
      <c r="AL504" s="28" t="s">
        <v>1644</v>
      </c>
      <c r="AM504" s="28" t="s">
        <v>1645</v>
      </c>
      <c r="AN504" s="28" t="s">
        <v>1792</v>
      </c>
    </row>
    <row r="505" spans="1:40" ht="30">
      <c r="A505" s="7">
        <v>504</v>
      </c>
      <c r="B505" s="7" t="s">
        <v>504</v>
      </c>
      <c r="C505" s="7" t="s">
        <v>43</v>
      </c>
      <c r="D505" s="7" t="s">
        <v>99</v>
      </c>
      <c r="E505" s="7" t="s">
        <v>1642</v>
      </c>
      <c r="F505" s="7" t="s">
        <v>57</v>
      </c>
      <c r="G505" s="14">
        <v>0</v>
      </c>
      <c r="H505" s="14">
        <v>0</v>
      </c>
      <c r="I505" s="15">
        <v>0</v>
      </c>
      <c r="J505" s="14">
        <v>0</v>
      </c>
      <c r="K505" s="15">
        <v>0</v>
      </c>
      <c r="L505" s="14">
        <v>0</v>
      </c>
      <c r="M505" s="14">
        <v>0</v>
      </c>
      <c r="N505" s="13"/>
      <c r="O505" s="14">
        <v>0</v>
      </c>
      <c r="P505" s="14">
        <v>0</v>
      </c>
      <c r="Q505" s="15">
        <v>0</v>
      </c>
      <c r="R505" s="17">
        <f>IFERROR(G505/(G505+Priors!$H$18),0)</f>
        <v>0</v>
      </c>
      <c r="S505" s="13">
        <v>1</v>
      </c>
      <c r="T505" s="40" t="b">
        <v>1</v>
      </c>
      <c r="U505" s="13">
        <v>0.85</v>
      </c>
      <c r="V505" s="40" t="b">
        <v>0</v>
      </c>
      <c r="W505" s="13">
        <v>1</v>
      </c>
      <c r="X505" s="17">
        <f t="shared" si="56"/>
        <v>0</v>
      </c>
      <c r="Y505" s="37">
        <f>VLOOKUP(D505,Priors!$A$18:$B$21,2,FALSE)</f>
        <v>8.7398272304160223</v>
      </c>
      <c r="Z505" s="38">
        <f t="shared" si="57"/>
        <v>8.7398272304160223</v>
      </c>
      <c r="AA505" s="39">
        <v>1</v>
      </c>
      <c r="AB505" s="38">
        <f t="shared" si="58"/>
        <v>8.7398272304160223</v>
      </c>
      <c r="AC505" s="37">
        <f>Priors!$K$18</f>
        <v>2.7435089299114512</v>
      </c>
      <c r="AD505" s="38" t="str">
        <f t="shared" si="59"/>
        <v/>
      </c>
      <c r="AE505" s="37">
        <f>Priors!$K$19</f>
        <v>0.67280088332719912</v>
      </c>
      <c r="AF505" s="38" t="str">
        <f t="shared" si="60"/>
        <v/>
      </c>
      <c r="AG505" s="17">
        <f t="shared" si="61"/>
        <v>1</v>
      </c>
      <c r="AH505" s="7" t="s">
        <v>1643</v>
      </c>
      <c r="AI505" s="7">
        <v>10</v>
      </c>
      <c r="AJ505" s="38">
        <f t="shared" si="62"/>
        <v>0.87398272304160218</v>
      </c>
      <c r="AK505" s="9" t="b">
        <f t="shared" si="63"/>
        <v>1</v>
      </c>
      <c r="AL505" s="28" t="s">
        <v>1644</v>
      </c>
      <c r="AM505" s="28" t="s">
        <v>1645</v>
      </c>
      <c r="AN505" s="28" t="s">
        <v>1792</v>
      </c>
    </row>
    <row r="506" spans="1:40" ht="30">
      <c r="A506" s="7">
        <v>505</v>
      </c>
      <c r="B506" s="7" t="s">
        <v>1494</v>
      </c>
      <c r="C506" s="7" t="s">
        <v>57</v>
      </c>
      <c r="D506" s="7" t="s">
        <v>99</v>
      </c>
      <c r="E506" s="7" t="s">
        <v>1642</v>
      </c>
      <c r="F506" s="7" t="s">
        <v>57</v>
      </c>
      <c r="G506" s="14">
        <v>2049</v>
      </c>
      <c r="H506" s="14">
        <v>140</v>
      </c>
      <c r="I506" s="15">
        <v>5.0999999999999996</v>
      </c>
      <c r="J506" s="14">
        <v>0</v>
      </c>
      <c r="K506" s="15">
        <v>0</v>
      </c>
      <c r="L506" s="14">
        <v>31</v>
      </c>
      <c r="M506" s="14">
        <v>9</v>
      </c>
      <c r="N506" s="13"/>
      <c r="O506" s="14">
        <v>3</v>
      </c>
      <c r="P506" s="14">
        <v>271</v>
      </c>
      <c r="Q506" s="15">
        <v>11.903367496339678</v>
      </c>
      <c r="R506" s="17">
        <f>IFERROR(G506/(G506+Priors!$H$18),0)</f>
        <v>0.67202361429977042</v>
      </c>
      <c r="S506" s="13">
        <v>1</v>
      </c>
      <c r="T506" s="40" t="b">
        <v>0</v>
      </c>
      <c r="U506" s="13">
        <v>1</v>
      </c>
      <c r="V506" s="40" t="b">
        <v>0</v>
      </c>
      <c r="W506" s="13">
        <v>1</v>
      </c>
      <c r="X506" s="17">
        <f t="shared" si="56"/>
        <v>0.67202361429977042</v>
      </c>
      <c r="Y506" s="37">
        <f>VLOOKUP(D506,Priors!$A$18:$B$21,2,FALSE)</f>
        <v>8.7398272304160223</v>
      </c>
      <c r="Z506" s="38">
        <f t="shared" si="57"/>
        <v>6.2937773796051228</v>
      </c>
      <c r="AA506" s="39">
        <v>1</v>
      </c>
      <c r="AB506" s="38">
        <f t="shared" si="58"/>
        <v>6.2937773796051228</v>
      </c>
      <c r="AC506" s="37">
        <f>Priors!$K$18</f>
        <v>2.7435089299114512</v>
      </c>
      <c r="AD506" s="38" t="str">
        <f t="shared" si="59"/>
        <v/>
      </c>
      <c r="AE506" s="37">
        <f>Priors!$K$19</f>
        <v>0.67280088332719912</v>
      </c>
      <c r="AF506" s="38" t="str">
        <f t="shared" si="60"/>
        <v/>
      </c>
      <c r="AG506" s="17">
        <f t="shared" si="61"/>
        <v>0.32797638570022958</v>
      </c>
      <c r="AH506" s="7" t="s">
        <v>1643</v>
      </c>
      <c r="AI506" s="7">
        <v>10</v>
      </c>
      <c r="AJ506" s="38">
        <f t="shared" si="62"/>
        <v>0.62937773796051233</v>
      </c>
      <c r="AK506" s="9" t="b">
        <f t="shared" si="63"/>
        <v>0</v>
      </c>
      <c r="AL506" s="28" t="s">
        <v>1644</v>
      </c>
      <c r="AM506" s="28" t="s">
        <v>1645</v>
      </c>
      <c r="AN506" s="28" t="s">
        <v>1792</v>
      </c>
    </row>
    <row r="507" spans="1:40" ht="30">
      <c r="A507" s="7">
        <v>506</v>
      </c>
      <c r="B507" s="7" t="s">
        <v>1497</v>
      </c>
      <c r="C507" s="7" t="s">
        <v>57</v>
      </c>
      <c r="D507" s="7" t="s">
        <v>99</v>
      </c>
      <c r="E507" s="7" t="s">
        <v>1642</v>
      </c>
      <c r="F507" s="7" t="s">
        <v>57</v>
      </c>
      <c r="G507" s="14">
        <v>1335</v>
      </c>
      <c r="H507" s="14">
        <v>89</v>
      </c>
      <c r="I507" s="15">
        <v>4.58</v>
      </c>
      <c r="J507" s="14">
        <v>0</v>
      </c>
      <c r="K507" s="15">
        <v>0</v>
      </c>
      <c r="L507" s="14">
        <v>25</v>
      </c>
      <c r="M507" s="14">
        <v>1</v>
      </c>
      <c r="N507" s="13"/>
      <c r="O507" s="14">
        <v>1</v>
      </c>
      <c r="P507" s="14">
        <v>121</v>
      </c>
      <c r="Q507" s="15">
        <v>8.1573033707865168</v>
      </c>
      <c r="R507" s="17">
        <f>IFERROR(G507/(G507+Priors!$H$18),0)</f>
        <v>0.57173447537473232</v>
      </c>
      <c r="S507" s="13">
        <v>1</v>
      </c>
      <c r="T507" s="40" t="b">
        <v>0</v>
      </c>
      <c r="U507" s="13">
        <v>1</v>
      </c>
      <c r="V507" s="40" t="b">
        <v>0</v>
      </c>
      <c r="W507" s="13">
        <v>1</v>
      </c>
      <c r="X507" s="17">
        <f t="shared" si="56"/>
        <v>0.57173447537473232</v>
      </c>
      <c r="Y507" s="37">
        <f>VLOOKUP(D507,Priors!$A$18:$B$21,2,FALSE)</f>
        <v>8.7398272304160223</v>
      </c>
      <c r="Z507" s="38">
        <f t="shared" si="57"/>
        <v>6.3615105911845919</v>
      </c>
      <c r="AA507" s="39">
        <v>1</v>
      </c>
      <c r="AB507" s="38">
        <f t="shared" si="58"/>
        <v>6.3615105911845919</v>
      </c>
      <c r="AC507" s="37">
        <f>Priors!$K$18</f>
        <v>2.7435089299114512</v>
      </c>
      <c r="AD507" s="38" t="str">
        <f t="shared" si="59"/>
        <v/>
      </c>
      <c r="AE507" s="37">
        <f>Priors!$K$19</f>
        <v>0.67280088332719912</v>
      </c>
      <c r="AF507" s="38" t="str">
        <f t="shared" si="60"/>
        <v/>
      </c>
      <c r="AG507" s="17">
        <f t="shared" si="61"/>
        <v>0.42826552462526768</v>
      </c>
      <c r="AH507" s="7" t="s">
        <v>1643</v>
      </c>
      <c r="AI507" s="7">
        <v>10</v>
      </c>
      <c r="AJ507" s="38">
        <f t="shared" si="62"/>
        <v>0.63615105911845915</v>
      </c>
      <c r="AK507" s="9" t="b">
        <f t="shared" si="63"/>
        <v>0</v>
      </c>
      <c r="AL507" s="28" t="s">
        <v>1644</v>
      </c>
      <c r="AM507" s="28" t="s">
        <v>1645</v>
      </c>
      <c r="AN507" s="28" t="s">
        <v>1792</v>
      </c>
    </row>
    <row r="508" spans="1:40" ht="30">
      <c r="A508" s="7">
        <v>507</v>
      </c>
      <c r="B508" s="7" t="s">
        <v>869</v>
      </c>
      <c r="C508" s="7" t="s">
        <v>57</v>
      </c>
      <c r="D508" s="7" t="s">
        <v>99</v>
      </c>
      <c r="E508" s="7" t="s">
        <v>1642</v>
      </c>
      <c r="F508" s="7" t="s">
        <v>57</v>
      </c>
      <c r="G508" s="14">
        <v>0</v>
      </c>
      <c r="H508" s="14">
        <v>0</v>
      </c>
      <c r="I508" s="15">
        <v>0</v>
      </c>
      <c r="J508" s="14">
        <v>0</v>
      </c>
      <c r="K508" s="15">
        <v>0</v>
      </c>
      <c r="L508" s="14">
        <v>0</v>
      </c>
      <c r="M508" s="14">
        <v>0</v>
      </c>
      <c r="N508" s="13"/>
      <c r="O508" s="14">
        <v>0</v>
      </c>
      <c r="P508" s="14">
        <v>0</v>
      </c>
      <c r="Q508" s="15">
        <v>0</v>
      </c>
      <c r="R508" s="17">
        <f>IFERROR(G508/(G508+Priors!$H$18),0)</f>
        <v>0</v>
      </c>
      <c r="S508" s="13">
        <v>1</v>
      </c>
      <c r="T508" s="40" t="b">
        <v>0</v>
      </c>
      <c r="U508" s="13">
        <v>1</v>
      </c>
      <c r="V508" s="40" t="b">
        <v>0</v>
      </c>
      <c r="W508" s="13">
        <v>1</v>
      </c>
      <c r="X508" s="17">
        <f t="shared" si="56"/>
        <v>0</v>
      </c>
      <c r="Y508" s="37">
        <f>VLOOKUP(D508,Priors!$A$18:$B$21,2,FALSE)</f>
        <v>8.7398272304160223</v>
      </c>
      <c r="Z508" s="38">
        <f t="shared" si="57"/>
        <v>8.7398272304160223</v>
      </c>
      <c r="AA508" s="39">
        <v>1</v>
      </c>
      <c r="AB508" s="38">
        <f t="shared" si="58"/>
        <v>8.7398272304160223</v>
      </c>
      <c r="AC508" s="37">
        <f>Priors!$K$18</f>
        <v>2.7435089299114512</v>
      </c>
      <c r="AD508" s="38" t="str">
        <f t="shared" si="59"/>
        <v/>
      </c>
      <c r="AE508" s="37">
        <f>Priors!$K$19</f>
        <v>0.67280088332719912</v>
      </c>
      <c r="AF508" s="38" t="str">
        <f t="shared" si="60"/>
        <v/>
      </c>
      <c r="AG508" s="17">
        <f t="shared" si="61"/>
        <v>1</v>
      </c>
      <c r="AH508" s="7" t="s">
        <v>1643</v>
      </c>
      <c r="AI508" s="7">
        <v>10</v>
      </c>
      <c r="AJ508" s="38">
        <f t="shared" si="62"/>
        <v>0.87398272304160218</v>
      </c>
      <c r="AK508" s="9" t="b">
        <f t="shared" si="63"/>
        <v>1</v>
      </c>
      <c r="AL508" s="28" t="s">
        <v>1644</v>
      </c>
      <c r="AM508" s="28" t="s">
        <v>1645</v>
      </c>
      <c r="AN508" s="28" t="s">
        <v>1792</v>
      </c>
    </row>
    <row r="509" spans="1:40" ht="30">
      <c r="A509" s="7">
        <v>508</v>
      </c>
      <c r="B509" s="7" t="s">
        <v>1091</v>
      </c>
      <c r="C509" s="7" t="s">
        <v>57</v>
      </c>
      <c r="D509" s="7" t="s">
        <v>99</v>
      </c>
      <c r="E509" s="7" t="s">
        <v>1642</v>
      </c>
      <c r="F509" s="7" t="s">
        <v>57</v>
      </c>
      <c r="G509" s="14">
        <v>136</v>
      </c>
      <c r="H509" s="14">
        <v>14</v>
      </c>
      <c r="I509" s="15">
        <v>9.26</v>
      </c>
      <c r="J509" s="14">
        <v>0</v>
      </c>
      <c r="K509" s="15">
        <v>0</v>
      </c>
      <c r="L509" s="14">
        <v>3</v>
      </c>
      <c r="M509" s="14">
        <v>0</v>
      </c>
      <c r="N509" s="13"/>
      <c r="O509" s="14">
        <v>1</v>
      </c>
      <c r="P509" s="14">
        <v>29</v>
      </c>
      <c r="Q509" s="15">
        <v>19.191176470588236</v>
      </c>
      <c r="R509" s="17">
        <f>IFERROR(G509/(G509+Priors!$H$18),0)</f>
        <v>0.11971830985915492</v>
      </c>
      <c r="S509" s="13">
        <v>1</v>
      </c>
      <c r="T509" s="40" t="b">
        <v>0</v>
      </c>
      <c r="U509" s="13">
        <v>1</v>
      </c>
      <c r="V509" s="40" t="b">
        <v>0</v>
      </c>
      <c r="W509" s="13">
        <v>1</v>
      </c>
      <c r="X509" s="17">
        <f t="shared" si="56"/>
        <v>0.11971830985915492</v>
      </c>
      <c r="Y509" s="37">
        <f>VLOOKUP(D509,Priors!$A$18:$B$21,2,FALSE)</f>
        <v>8.7398272304160223</v>
      </c>
      <c r="Z509" s="38">
        <f t="shared" si="57"/>
        <v>8.8021014352253726</v>
      </c>
      <c r="AA509" s="39">
        <v>1</v>
      </c>
      <c r="AB509" s="38">
        <f t="shared" si="58"/>
        <v>8.8021014352253726</v>
      </c>
      <c r="AC509" s="37">
        <f>Priors!$K$18</f>
        <v>2.7435089299114512</v>
      </c>
      <c r="AD509" s="38" t="str">
        <f t="shared" si="59"/>
        <v/>
      </c>
      <c r="AE509" s="37">
        <f>Priors!$K$19</f>
        <v>0.67280088332719912</v>
      </c>
      <c r="AF509" s="38" t="str">
        <f t="shared" si="60"/>
        <v/>
      </c>
      <c r="AG509" s="17">
        <f t="shared" si="61"/>
        <v>0.88028169014084512</v>
      </c>
      <c r="AH509" s="7" t="s">
        <v>1643</v>
      </c>
      <c r="AI509" s="7">
        <v>10</v>
      </c>
      <c r="AJ509" s="38">
        <f t="shared" si="62"/>
        <v>0.88021014352253724</v>
      </c>
      <c r="AK509" s="9" t="b">
        <f t="shared" si="63"/>
        <v>1</v>
      </c>
      <c r="AL509" s="28" t="s">
        <v>1644</v>
      </c>
      <c r="AM509" s="28" t="s">
        <v>1645</v>
      </c>
      <c r="AN509" s="28" t="s">
        <v>1792</v>
      </c>
    </row>
    <row r="510" spans="1:40" ht="30">
      <c r="A510" s="7">
        <v>509</v>
      </c>
      <c r="B510" s="7" t="s">
        <v>1503</v>
      </c>
      <c r="C510" s="7" t="s">
        <v>57</v>
      </c>
      <c r="D510" s="7" t="s">
        <v>99</v>
      </c>
      <c r="E510" s="7" t="s">
        <v>1642</v>
      </c>
      <c r="F510" s="7" t="s">
        <v>57</v>
      </c>
      <c r="G510" s="14">
        <v>1</v>
      </c>
      <c r="H510" s="14">
        <v>0</v>
      </c>
      <c r="I510" s="15">
        <v>0</v>
      </c>
      <c r="J510" s="14">
        <v>0</v>
      </c>
      <c r="K510" s="15">
        <v>0</v>
      </c>
      <c r="L510" s="14">
        <v>0</v>
      </c>
      <c r="M510" s="14">
        <v>0</v>
      </c>
      <c r="N510" s="13"/>
      <c r="O510" s="14">
        <v>0</v>
      </c>
      <c r="P510" s="14">
        <v>3</v>
      </c>
      <c r="Q510" s="15">
        <v>270</v>
      </c>
      <c r="R510" s="17">
        <f>IFERROR(G510/(G510+Priors!$H$18),0)</f>
        <v>9.99000999000999E-4</v>
      </c>
      <c r="S510" s="13">
        <v>1</v>
      </c>
      <c r="T510" s="40" t="b">
        <v>0</v>
      </c>
      <c r="U510" s="13">
        <v>1</v>
      </c>
      <c r="V510" s="40" t="b">
        <v>0</v>
      </c>
      <c r="W510" s="13">
        <v>1</v>
      </c>
      <c r="X510" s="17">
        <f t="shared" si="56"/>
        <v>9.99000999000999E-4</v>
      </c>
      <c r="Y510" s="37">
        <f>VLOOKUP(D510,Priors!$A$18:$B$21,2,FALSE)</f>
        <v>8.7398272304160223</v>
      </c>
      <c r="Z510" s="38">
        <f t="shared" si="57"/>
        <v>8.7310961342817404</v>
      </c>
      <c r="AA510" s="39">
        <v>1</v>
      </c>
      <c r="AB510" s="38">
        <f t="shared" si="58"/>
        <v>8.7310961342817404</v>
      </c>
      <c r="AC510" s="37">
        <f>Priors!$K$18</f>
        <v>2.7435089299114512</v>
      </c>
      <c r="AD510" s="38" t="str">
        <f t="shared" si="59"/>
        <v/>
      </c>
      <c r="AE510" s="37">
        <f>Priors!$K$19</f>
        <v>0.67280088332719912</v>
      </c>
      <c r="AF510" s="38" t="str">
        <f t="shared" si="60"/>
        <v/>
      </c>
      <c r="AG510" s="17">
        <f t="shared" si="61"/>
        <v>0.99900099900099903</v>
      </c>
      <c r="AH510" s="7" t="s">
        <v>1643</v>
      </c>
      <c r="AI510" s="7">
        <v>10</v>
      </c>
      <c r="AJ510" s="38">
        <f t="shared" si="62"/>
        <v>0.87310961342817406</v>
      </c>
      <c r="AK510" s="9" t="b">
        <f t="shared" si="63"/>
        <v>1</v>
      </c>
      <c r="AL510" s="28" t="s">
        <v>1644</v>
      </c>
      <c r="AM510" s="28" t="s">
        <v>1645</v>
      </c>
      <c r="AN510" s="28" t="s">
        <v>1792</v>
      </c>
    </row>
    <row r="511" spans="1:40" ht="30">
      <c r="A511" s="7">
        <v>510</v>
      </c>
      <c r="B511" s="7" t="s">
        <v>1505</v>
      </c>
      <c r="C511" s="7" t="s">
        <v>57</v>
      </c>
      <c r="D511" s="7" t="s">
        <v>99</v>
      </c>
      <c r="E511" s="7" t="s">
        <v>1642</v>
      </c>
      <c r="F511" s="7" t="s">
        <v>57</v>
      </c>
      <c r="G511" s="14">
        <v>1</v>
      </c>
      <c r="H511" s="14">
        <v>0</v>
      </c>
      <c r="I511" s="15">
        <v>0</v>
      </c>
      <c r="J511" s="14">
        <v>0</v>
      </c>
      <c r="K511" s="15">
        <v>0</v>
      </c>
      <c r="L511" s="14">
        <v>0</v>
      </c>
      <c r="M511" s="14">
        <v>0</v>
      </c>
      <c r="N511" s="13"/>
      <c r="O511" s="14">
        <v>0</v>
      </c>
      <c r="P511" s="14">
        <v>3</v>
      </c>
      <c r="Q511" s="15">
        <v>270</v>
      </c>
      <c r="R511" s="17">
        <f>IFERROR(G511/(G511+Priors!$H$18),0)</f>
        <v>9.99000999000999E-4</v>
      </c>
      <c r="S511" s="13">
        <v>1</v>
      </c>
      <c r="T511" s="40" t="b">
        <v>0</v>
      </c>
      <c r="U511" s="13">
        <v>1</v>
      </c>
      <c r="V511" s="40" t="b">
        <v>0</v>
      </c>
      <c r="W511" s="13">
        <v>1</v>
      </c>
      <c r="X511" s="17">
        <f t="shared" si="56"/>
        <v>9.99000999000999E-4</v>
      </c>
      <c r="Y511" s="37">
        <f>VLOOKUP(D511,Priors!$A$18:$B$21,2,FALSE)</f>
        <v>8.7398272304160223</v>
      </c>
      <c r="Z511" s="38">
        <f t="shared" si="57"/>
        <v>8.7310961342817404</v>
      </c>
      <c r="AA511" s="39">
        <v>1</v>
      </c>
      <c r="AB511" s="38">
        <f t="shared" si="58"/>
        <v>8.7310961342817404</v>
      </c>
      <c r="AC511" s="37">
        <f>Priors!$K$18</f>
        <v>2.7435089299114512</v>
      </c>
      <c r="AD511" s="38" t="str">
        <f t="shared" si="59"/>
        <v/>
      </c>
      <c r="AE511" s="37">
        <f>Priors!$K$19</f>
        <v>0.67280088332719912</v>
      </c>
      <c r="AF511" s="38" t="str">
        <f t="shared" si="60"/>
        <v/>
      </c>
      <c r="AG511" s="17">
        <f t="shared" si="61"/>
        <v>0.99900099900099903</v>
      </c>
      <c r="AH511" s="7" t="s">
        <v>1643</v>
      </c>
      <c r="AI511" s="7">
        <v>10</v>
      </c>
      <c r="AJ511" s="38">
        <f t="shared" si="62"/>
        <v>0.87310961342817406</v>
      </c>
      <c r="AK511" s="9" t="b">
        <f t="shared" si="63"/>
        <v>1</v>
      </c>
      <c r="AL511" s="28" t="s">
        <v>1644</v>
      </c>
      <c r="AM511" s="28" t="s">
        <v>1645</v>
      </c>
      <c r="AN511" s="28" t="s">
        <v>1792</v>
      </c>
    </row>
    <row r="512" spans="1:40" ht="30">
      <c r="A512" s="7">
        <v>511</v>
      </c>
      <c r="B512" s="7" t="s">
        <v>1507</v>
      </c>
      <c r="C512" s="7" t="s">
        <v>57</v>
      </c>
      <c r="D512" s="7" t="s">
        <v>99</v>
      </c>
      <c r="E512" s="7" t="s">
        <v>1642</v>
      </c>
      <c r="F512" s="7" t="s">
        <v>57</v>
      </c>
      <c r="G512" s="14">
        <v>142</v>
      </c>
      <c r="H512" s="14">
        <v>6</v>
      </c>
      <c r="I512" s="15">
        <v>3.8</v>
      </c>
      <c r="J512" s="14">
        <v>0</v>
      </c>
      <c r="K512" s="15">
        <v>0</v>
      </c>
      <c r="L512" s="14">
        <v>3</v>
      </c>
      <c r="M512" s="14">
        <v>0</v>
      </c>
      <c r="N512" s="13"/>
      <c r="O512" s="14">
        <v>0</v>
      </c>
      <c r="P512" s="14">
        <v>0</v>
      </c>
      <c r="Q512" s="15">
        <v>0</v>
      </c>
      <c r="R512" s="17">
        <f>IFERROR(G512/(G512+Priors!$H$18),0)</f>
        <v>0.12434325744308231</v>
      </c>
      <c r="S512" s="13">
        <v>1</v>
      </c>
      <c r="T512" s="40" t="b">
        <v>0</v>
      </c>
      <c r="U512" s="13">
        <v>1</v>
      </c>
      <c r="V512" s="40" t="b">
        <v>0</v>
      </c>
      <c r="W512" s="13">
        <v>1</v>
      </c>
      <c r="X512" s="17">
        <f t="shared" si="56"/>
        <v>0.12434325744308231</v>
      </c>
      <c r="Y512" s="37">
        <f>VLOOKUP(D512,Priors!$A$18:$B$21,2,FALSE)</f>
        <v>8.7398272304160223</v>
      </c>
      <c r="Z512" s="38">
        <f t="shared" si="57"/>
        <v>8.1255930213800553</v>
      </c>
      <c r="AA512" s="39">
        <v>1</v>
      </c>
      <c r="AB512" s="38">
        <f t="shared" si="58"/>
        <v>8.1255930213800553</v>
      </c>
      <c r="AC512" s="37">
        <f>Priors!$K$18</f>
        <v>2.7435089299114512</v>
      </c>
      <c r="AD512" s="38" t="str">
        <f t="shared" si="59"/>
        <v/>
      </c>
      <c r="AE512" s="37">
        <f>Priors!$K$19</f>
        <v>0.67280088332719912</v>
      </c>
      <c r="AF512" s="38" t="str">
        <f t="shared" si="60"/>
        <v/>
      </c>
      <c r="AG512" s="17">
        <f t="shared" si="61"/>
        <v>0.87565674255691772</v>
      </c>
      <c r="AH512" s="7" t="s">
        <v>1643</v>
      </c>
      <c r="AI512" s="7">
        <v>10</v>
      </c>
      <c r="AJ512" s="38">
        <f t="shared" si="62"/>
        <v>0.81255930213800553</v>
      </c>
      <c r="AK512" s="9" t="b">
        <f t="shared" si="63"/>
        <v>1</v>
      </c>
      <c r="AL512" s="28" t="s">
        <v>1644</v>
      </c>
      <c r="AM512" s="28" t="s">
        <v>1645</v>
      </c>
      <c r="AN512" s="28" t="s">
        <v>1792</v>
      </c>
    </row>
    <row r="513" spans="1:40" ht="30">
      <c r="A513" s="7">
        <v>512</v>
      </c>
      <c r="B513" s="7" t="s">
        <v>1510</v>
      </c>
      <c r="C513" s="7" t="s">
        <v>57</v>
      </c>
      <c r="D513" s="7" t="s">
        <v>112</v>
      </c>
      <c r="E513" s="7" t="s">
        <v>1642</v>
      </c>
      <c r="F513" s="7" t="s">
        <v>57</v>
      </c>
      <c r="G513" s="14">
        <v>1535</v>
      </c>
      <c r="H513" s="14">
        <v>133</v>
      </c>
      <c r="I513" s="15">
        <v>7.8</v>
      </c>
      <c r="J513" s="14">
        <v>0</v>
      </c>
      <c r="K513" s="15">
        <v>0</v>
      </c>
      <c r="L513" s="14">
        <v>20</v>
      </c>
      <c r="M513" s="14">
        <v>7</v>
      </c>
      <c r="N513" s="13"/>
      <c r="O513" s="14">
        <v>7</v>
      </c>
      <c r="P513" s="14">
        <v>257</v>
      </c>
      <c r="Q513" s="15">
        <v>15.068403908794789</v>
      </c>
      <c r="R513" s="17">
        <f>IFERROR(G513/(G513+Priors!$H$18),0)</f>
        <v>0.60552268244575935</v>
      </c>
      <c r="S513" s="13">
        <v>1</v>
      </c>
      <c r="T513" s="40" t="b">
        <v>0</v>
      </c>
      <c r="U513" s="13">
        <v>1</v>
      </c>
      <c r="V513" s="40" t="b">
        <v>0</v>
      </c>
      <c r="W513" s="13">
        <v>1</v>
      </c>
      <c r="X513" s="17">
        <f t="shared" si="56"/>
        <v>0.60552268244575935</v>
      </c>
      <c r="Y513" s="37">
        <f>VLOOKUP(D513,Priors!$A$18:$B$21,2,FALSE)</f>
        <v>8.4555315342179806</v>
      </c>
      <c r="Z513" s="38">
        <f t="shared" si="57"/>
        <v>8.0585923211905257</v>
      </c>
      <c r="AA513" s="39">
        <v>1</v>
      </c>
      <c r="AB513" s="38">
        <f t="shared" si="58"/>
        <v>8.0585923211905257</v>
      </c>
      <c r="AC513" s="37">
        <f>Priors!$K$18</f>
        <v>2.7435089299114512</v>
      </c>
      <c r="AD513" s="38" t="str">
        <f t="shared" si="59"/>
        <v/>
      </c>
      <c r="AE513" s="37">
        <f>Priors!$K$19</f>
        <v>0.67280088332719912</v>
      </c>
      <c r="AF513" s="38" t="str">
        <f t="shared" si="60"/>
        <v/>
      </c>
      <c r="AG513" s="17">
        <f t="shared" si="61"/>
        <v>0.39447731755424065</v>
      </c>
      <c r="AH513" s="7" t="s">
        <v>1643</v>
      </c>
      <c r="AI513" s="7">
        <v>12</v>
      </c>
      <c r="AJ513" s="38">
        <f t="shared" si="62"/>
        <v>0.67154936009921051</v>
      </c>
      <c r="AK513" s="9" t="b">
        <f t="shared" si="63"/>
        <v>0</v>
      </c>
      <c r="AL513" s="28" t="s">
        <v>1644</v>
      </c>
      <c r="AM513" s="28" t="s">
        <v>1645</v>
      </c>
      <c r="AN513" s="28" t="s">
        <v>1792</v>
      </c>
    </row>
    <row r="514" spans="1:40" ht="30">
      <c r="A514" s="7">
        <v>513</v>
      </c>
      <c r="B514" s="7" t="s">
        <v>1512</v>
      </c>
      <c r="C514" s="7" t="s">
        <v>57</v>
      </c>
      <c r="D514" s="7" t="s">
        <v>112</v>
      </c>
      <c r="E514" s="7" t="s">
        <v>1642</v>
      </c>
      <c r="F514" s="7" t="s">
        <v>57</v>
      </c>
      <c r="G514" s="14">
        <v>1747</v>
      </c>
      <c r="H514" s="14">
        <v>149</v>
      </c>
      <c r="I514" s="15">
        <v>7.68</v>
      </c>
      <c r="J514" s="14">
        <v>0</v>
      </c>
      <c r="K514" s="15">
        <v>0</v>
      </c>
      <c r="L514" s="14">
        <v>36</v>
      </c>
      <c r="M514" s="14">
        <v>4</v>
      </c>
      <c r="N514" s="13"/>
      <c r="O514" s="14">
        <v>7</v>
      </c>
      <c r="P514" s="14">
        <v>345</v>
      </c>
      <c r="Q514" s="15">
        <v>17.773325701202062</v>
      </c>
      <c r="R514" s="17">
        <f>IFERROR(G514/(G514+Priors!$H$18),0)</f>
        <v>0.63596650891882056</v>
      </c>
      <c r="S514" s="13">
        <v>1</v>
      </c>
      <c r="T514" s="40" t="b">
        <v>0</v>
      </c>
      <c r="U514" s="13">
        <v>1</v>
      </c>
      <c r="V514" s="40" t="b">
        <v>0</v>
      </c>
      <c r="W514" s="13">
        <v>1</v>
      </c>
      <c r="X514" s="17">
        <f t="shared" ref="X514:X577" si="64">R514*S514*U514*W514</f>
        <v>0.63596650891882056</v>
      </c>
      <c r="Y514" s="37">
        <f>VLOOKUP(D514,Priors!$A$18:$B$21,2,FALSE)</f>
        <v>8.4555315342179806</v>
      </c>
      <c r="Z514" s="38">
        <f t="shared" ref="Z514:Z577" si="65">IF(OR(H514="",G514=0),Y514,X514*I514+(1-X514)*Y514)</f>
        <v>7.9623194518449143</v>
      </c>
      <c r="AA514" s="39">
        <v>1</v>
      </c>
      <c r="AB514" s="38">
        <f t="shared" ref="AB514:AB577" si="66">Z514*AA514</f>
        <v>7.9623194518449143</v>
      </c>
      <c r="AC514" s="37">
        <f>Priors!$K$18</f>
        <v>2.7435089299114512</v>
      </c>
      <c r="AD514" s="38" t="str">
        <f t="shared" ref="AD514:AD577" si="67">IF(D514&lt;&gt;"GK","",IF(OR(K514="",G514=0),AC514,X514*K514+(1-X514)*AC514))</f>
        <v/>
      </c>
      <c r="AE514" s="37">
        <f>Priors!$K$19</f>
        <v>0.67280088332719912</v>
      </c>
      <c r="AF514" s="38" t="str">
        <f t="shared" ref="AF514:AF577" si="68">IF(D514&lt;&gt;"GK","",IF(OR(N514="",G514=0),AE514,X514*N514+(1-X514)*AE514))</f>
        <v/>
      </c>
      <c r="AG514" s="17">
        <f t="shared" ref="AG514:AG568" si="69">1-X514</f>
        <v>0.36403349108117944</v>
      </c>
      <c r="AH514" s="7" t="s">
        <v>1643</v>
      </c>
      <c r="AI514" s="7">
        <v>12</v>
      </c>
      <c r="AJ514" s="38">
        <f t="shared" ref="AJ514:AJ577" si="70">IF(OR(AI514="",AI514=0),"",AB514/AI514)</f>
        <v>0.66352662098707615</v>
      </c>
      <c r="AK514" s="9" t="b">
        <f t="shared" ref="AK514:AK568" si="71">OR(AG514&gt;=0.5,E514&lt;&gt;"Premier League",T514=TRUE,V514=TRUE)</f>
        <v>0</v>
      </c>
      <c r="AL514" s="28" t="s">
        <v>1644</v>
      </c>
      <c r="AM514" s="28" t="s">
        <v>1645</v>
      </c>
      <c r="AN514" s="28" t="s">
        <v>1792</v>
      </c>
    </row>
    <row r="515" spans="1:40" ht="30">
      <c r="A515" s="7">
        <v>514</v>
      </c>
      <c r="B515" s="7" t="s">
        <v>1514</v>
      </c>
      <c r="C515" s="7" t="s">
        <v>57</v>
      </c>
      <c r="D515" s="7" t="s">
        <v>112</v>
      </c>
      <c r="E515" s="7" t="s">
        <v>1642</v>
      </c>
      <c r="F515" s="7" t="s">
        <v>57</v>
      </c>
      <c r="G515" s="14">
        <v>1334</v>
      </c>
      <c r="H515" s="14">
        <v>111</v>
      </c>
      <c r="I515" s="15">
        <v>7.49</v>
      </c>
      <c r="J515" s="14">
        <v>0</v>
      </c>
      <c r="K515" s="15">
        <v>0</v>
      </c>
      <c r="L515" s="14">
        <v>23</v>
      </c>
      <c r="M515" s="14">
        <v>3</v>
      </c>
      <c r="N515" s="13"/>
      <c r="O515" s="14">
        <v>7</v>
      </c>
      <c r="P515" s="14">
        <v>266</v>
      </c>
      <c r="Q515" s="15">
        <v>17.946026986506748</v>
      </c>
      <c r="R515" s="17">
        <f>IFERROR(G515/(G515+Priors!$H$18),0)</f>
        <v>0.57155098543273353</v>
      </c>
      <c r="S515" s="13">
        <v>1</v>
      </c>
      <c r="T515" s="40" t="b">
        <v>0</v>
      </c>
      <c r="U515" s="13">
        <v>1</v>
      </c>
      <c r="V515" s="40" t="b">
        <v>0</v>
      </c>
      <c r="W515" s="13">
        <v>1</v>
      </c>
      <c r="X515" s="17">
        <f t="shared" si="64"/>
        <v>0.57155098543273353</v>
      </c>
      <c r="Y515" s="37">
        <f>VLOOKUP(D515,Priors!$A$18:$B$21,2,FALSE)</f>
        <v>8.4555315342179806</v>
      </c>
      <c r="Z515" s="38">
        <f t="shared" si="65"/>
        <v>7.9036810343693151</v>
      </c>
      <c r="AA515" s="39">
        <v>1</v>
      </c>
      <c r="AB515" s="38">
        <f t="shared" si="66"/>
        <v>7.9036810343693151</v>
      </c>
      <c r="AC515" s="37">
        <f>Priors!$K$18</f>
        <v>2.7435089299114512</v>
      </c>
      <c r="AD515" s="38" t="str">
        <f t="shared" si="67"/>
        <v/>
      </c>
      <c r="AE515" s="37">
        <f>Priors!$K$19</f>
        <v>0.67280088332719912</v>
      </c>
      <c r="AF515" s="38" t="str">
        <f t="shared" si="68"/>
        <v/>
      </c>
      <c r="AG515" s="17">
        <f t="shared" si="69"/>
        <v>0.42844901456726647</v>
      </c>
      <c r="AH515" s="7" t="s">
        <v>1643</v>
      </c>
      <c r="AI515" s="7">
        <v>12</v>
      </c>
      <c r="AJ515" s="38">
        <f t="shared" si="70"/>
        <v>0.65864008619744296</v>
      </c>
      <c r="AK515" s="9" t="b">
        <f t="shared" si="71"/>
        <v>0</v>
      </c>
      <c r="AL515" s="28" t="s">
        <v>1644</v>
      </c>
      <c r="AM515" s="28" t="s">
        <v>1645</v>
      </c>
      <c r="AN515" s="28" t="s">
        <v>1792</v>
      </c>
    </row>
    <row r="516" spans="1:40" ht="30">
      <c r="A516" s="7">
        <v>515</v>
      </c>
      <c r="B516" s="7" t="s">
        <v>1516</v>
      </c>
      <c r="C516" s="7" t="s">
        <v>57</v>
      </c>
      <c r="D516" s="7" t="s">
        <v>112</v>
      </c>
      <c r="E516" s="7" t="s">
        <v>1642</v>
      </c>
      <c r="F516" s="7" t="s">
        <v>57</v>
      </c>
      <c r="G516" s="14">
        <v>34</v>
      </c>
      <c r="H516" s="14">
        <v>5</v>
      </c>
      <c r="I516" s="15">
        <v>13.24</v>
      </c>
      <c r="J516" s="14">
        <v>0</v>
      </c>
      <c r="K516" s="15">
        <v>0</v>
      </c>
      <c r="L516" s="14">
        <v>0</v>
      </c>
      <c r="M516" s="14">
        <v>0</v>
      </c>
      <c r="N516" s="13"/>
      <c r="O516" s="14">
        <v>0</v>
      </c>
      <c r="P516" s="14">
        <v>5</v>
      </c>
      <c r="Q516" s="15">
        <v>13.235294117647058</v>
      </c>
      <c r="R516" s="17">
        <f>IFERROR(G516/(G516+Priors!$H$18),0)</f>
        <v>3.2882011605415859E-2</v>
      </c>
      <c r="S516" s="13">
        <v>1</v>
      </c>
      <c r="T516" s="40" t="b">
        <v>0</v>
      </c>
      <c r="U516" s="13">
        <v>1</v>
      </c>
      <c r="V516" s="40" t="b">
        <v>0</v>
      </c>
      <c r="W516" s="13">
        <v>1</v>
      </c>
      <c r="X516" s="17">
        <f t="shared" si="64"/>
        <v>3.2882011605415859E-2</v>
      </c>
      <c r="Y516" s="37">
        <f>VLOOKUP(D516,Priors!$A$18:$B$21,2,FALSE)</f>
        <v>8.4555315342179806</v>
      </c>
      <c r="Z516" s="38">
        <f t="shared" si="65"/>
        <v>8.612854481835571</v>
      </c>
      <c r="AA516" s="39">
        <v>1</v>
      </c>
      <c r="AB516" s="38">
        <f t="shared" si="66"/>
        <v>8.612854481835571</v>
      </c>
      <c r="AC516" s="37">
        <f>Priors!$K$18</f>
        <v>2.7435089299114512</v>
      </c>
      <c r="AD516" s="38" t="str">
        <f t="shared" si="67"/>
        <v/>
      </c>
      <c r="AE516" s="37">
        <f>Priors!$K$19</f>
        <v>0.67280088332719912</v>
      </c>
      <c r="AF516" s="38" t="str">
        <f t="shared" si="68"/>
        <v/>
      </c>
      <c r="AG516" s="17">
        <f t="shared" si="69"/>
        <v>0.96711798839458418</v>
      </c>
      <c r="AH516" s="7" t="s">
        <v>1643</v>
      </c>
      <c r="AI516" s="7">
        <v>12</v>
      </c>
      <c r="AJ516" s="38">
        <f t="shared" si="70"/>
        <v>0.71773787348629758</v>
      </c>
      <c r="AK516" s="9" t="b">
        <f t="shared" si="71"/>
        <v>1</v>
      </c>
      <c r="AL516" s="28" t="s">
        <v>1644</v>
      </c>
      <c r="AM516" s="28" t="s">
        <v>1645</v>
      </c>
      <c r="AN516" s="28" t="s">
        <v>1792</v>
      </c>
    </row>
    <row r="517" spans="1:40" ht="30">
      <c r="A517" s="7">
        <v>516</v>
      </c>
      <c r="B517" s="7" t="s">
        <v>1518</v>
      </c>
      <c r="C517" s="7" t="s">
        <v>57</v>
      </c>
      <c r="D517" s="7" t="s">
        <v>112</v>
      </c>
      <c r="E517" s="7" t="s">
        <v>1642</v>
      </c>
      <c r="F517" s="7" t="s">
        <v>57</v>
      </c>
      <c r="G517" s="14">
        <v>1880</v>
      </c>
      <c r="H517" s="14">
        <v>278</v>
      </c>
      <c r="I517" s="15">
        <v>13.31</v>
      </c>
      <c r="J517" s="14">
        <v>0</v>
      </c>
      <c r="K517" s="15">
        <v>0</v>
      </c>
      <c r="L517" s="14">
        <v>25</v>
      </c>
      <c r="M517" s="14">
        <v>8</v>
      </c>
      <c r="N517" s="13"/>
      <c r="O517" s="14">
        <v>4</v>
      </c>
      <c r="P517" s="14">
        <v>366</v>
      </c>
      <c r="Q517" s="15">
        <v>17.521276595744681</v>
      </c>
      <c r="R517" s="17">
        <f>IFERROR(G517/(G517+Priors!$H$18),0)</f>
        <v>0.65277777777777779</v>
      </c>
      <c r="S517" s="13">
        <v>1</v>
      </c>
      <c r="T517" s="40" t="b">
        <v>0</v>
      </c>
      <c r="U517" s="13">
        <v>1</v>
      </c>
      <c r="V517" s="40" t="b">
        <v>0</v>
      </c>
      <c r="W517" s="13">
        <v>1</v>
      </c>
      <c r="X517" s="17">
        <f t="shared" si="64"/>
        <v>0.65277777777777779</v>
      </c>
      <c r="Y517" s="37">
        <f>VLOOKUP(D517,Priors!$A$18:$B$21,2,FALSE)</f>
        <v>8.4555315342179806</v>
      </c>
      <c r="Z517" s="38">
        <f t="shared" si="65"/>
        <v>11.624420671603465</v>
      </c>
      <c r="AA517" s="39">
        <v>1</v>
      </c>
      <c r="AB517" s="38">
        <f t="shared" si="66"/>
        <v>11.624420671603465</v>
      </c>
      <c r="AC517" s="37">
        <f>Priors!$K$18</f>
        <v>2.7435089299114512</v>
      </c>
      <c r="AD517" s="38" t="str">
        <f t="shared" si="67"/>
        <v/>
      </c>
      <c r="AE517" s="37">
        <f>Priors!$K$19</f>
        <v>0.67280088332719912</v>
      </c>
      <c r="AF517" s="38" t="str">
        <f t="shared" si="68"/>
        <v/>
      </c>
      <c r="AG517" s="17">
        <f t="shared" si="69"/>
        <v>0.34722222222222221</v>
      </c>
      <c r="AH517" s="7" t="s">
        <v>1643</v>
      </c>
      <c r="AI517" s="7">
        <v>12</v>
      </c>
      <c r="AJ517" s="38">
        <f t="shared" si="70"/>
        <v>0.96870172263362209</v>
      </c>
      <c r="AK517" s="9" t="b">
        <f t="shared" si="71"/>
        <v>0</v>
      </c>
      <c r="AL517" s="28" t="s">
        <v>1644</v>
      </c>
      <c r="AM517" s="28" t="s">
        <v>1645</v>
      </c>
      <c r="AN517" s="28" t="s">
        <v>1792</v>
      </c>
    </row>
    <row r="518" spans="1:40" ht="30">
      <c r="A518" s="7">
        <v>517</v>
      </c>
      <c r="B518" s="7" t="s">
        <v>1520</v>
      </c>
      <c r="C518" s="7" t="s">
        <v>57</v>
      </c>
      <c r="D518" s="7" t="s">
        <v>112</v>
      </c>
      <c r="E518" s="7" t="s">
        <v>1642</v>
      </c>
      <c r="F518" s="7" t="s">
        <v>57</v>
      </c>
      <c r="G518" s="14">
        <v>972</v>
      </c>
      <c r="H518" s="14">
        <v>77</v>
      </c>
      <c r="I518" s="15">
        <v>7.13</v>
      </c>
      <c r="J518" s="14">
        <v>0</v>
      </c>
      <c r="K518" s="15">
        <v>0</v>
      </c>
      <c r="L518" s="14">
        <v>13</v>
      </c>
      <c r="M518" s="14">
        <v>2</v>
      </c>
      <c r="N518" s="13"/>
      <c r="O518" s="14">
        <v>6</v>
      </c>
      <c r="P518" s="14">
        <v>176</v>
      </c>
      <c r="Q518" s="15">
        <v>16.296296296296298</v>
      </c>
      <c r="R518" s="17">
        <f>IFERROR(G518/(G518+Priors!$H$18),0)</f>
        <v>0.49290060851926976</v>
      </c>
      <c r="S518" s="13">
        <v>1</v>
      </c>
      <c r="T518" s="40" t="b">
        <v>0</v>
      </c>
      <c r="U518" s="13">
        <v>1</v>
      </c>
      <c r="V518" s="40" t="b">
        <v>0</v>
      </c>
      <c r="W518" s="13">
        <v>1</v>
      </c>
      <c r="X518" s="17">
        <f t="shared" si="64"/>
        <v>0.49290060851926976</v>
      </c>
      <c r="Y518" s="37">
        <f>VLOOKUP(D518,Priors!$A$18:$B$21,2,FALSE)</f>
        <v>8.4555315342179806</v>
      </c>
      <c r="Z518" s="38">
        <f t="shared" si="65"/>
        <v>7.8021762343904566</v>
      </c>
      <c r="AA518" s="39">
        <v>1</v>
      </c>
      <c r="AB518" s="38">
        <f t="shared" si="66"/>
        <v>7.8021762343904566</v>
      </c>
      <c r="AC518" s="37">
        <f>Priors!$K$18</f>
        <v>2.7435089299114512</v>
      </c>
      <c r="AD518" s="38" t="str">
        <f t="shared" si="67"/>
        <v/>
      </c>
      <c r="AE518" s="37">
        <f>Priors!$K$19</f>
        <v>0.67280088332719912</v>
      </c>
      <c r="AF518" s="38" t="str">
        <f t="shared" si="68"/>
        <v/>
      </c>
      <c r="AG518" s="17">
        <f t="shared" si="69"/>
        <v>0.50709939148073024</v>
      </c>
      <c r="AH518" s="7" t="s">
        <v>1643</v>
      </c>
      <c r="AI518" s="7">
        <v>12</v>
      </c>
      <c r="AJ518" s="38">
        <f t="shared" si="70"/>
        <v>0.65018135286587142</v>
      </c>
      <c r="AK518" s="9" t="b">
        <f t="shared" si="71"/>
        <v>1</v>
      </c>
      <c r="AL518" s="28" t="s">
        <v>1644</v>
      </c>
      <c r="AM518" s="28" t="s">
        <v>1645</v>
      </c>
      <c r="AN518" s="28" t="s">
        <v>1792</v>
      </c>
    </row>
    <row r="519" spans="1:40" ht="30">
      <c r="A519" s="7">
        <v>518</v>
      </c>
      <c r="B519" s="7" t="s">
        <v>1522</v>
      </c>
      <c r="C519" s="7" t="s">
        <v>57</v>
      </c>
      <c r="D519" s="7" t="s">
        <v>112</v>
      </c>
      <c r="E519" s="7" t="s">
        <v>1642</v>
      </c>
      <c r="F519" s="7" t="s">
        <v>57</v>
      </c>
      <c r="G519" s="14">
        <v>1388</v>
      </c>
      <c r="H519" s="14">
        <v>183</v>
      </c>
      <c r="I519" s="15">
        <v>11.87</v>
      </c>
      <c r="J519" s="14">
        <v>0</v>
      </c>
      <c r="K519" s="15">
        <v>0</v>
      </c>
      <c r="L519" s="14">
        <v>23</v>
      </c>
      <c r="M519" s="14">
        <v>3</v>
      </c>
      <c r="N519" s="13"/>
      <c r="O519" s="14">
        <v>2</v>
      </c>
      <c r="P519" s="14">
        <v>313</v>
      </c>
      <c r="Q519" s="15">
        <v>20.295389048991353</v>
      </c>
      <c r="R519" s="17">
        <f>IFERROR(G519/(G519+Priors!$H$18),0)</f>
        <v>0.58123953098827474</v>
      </c>
      <c r="S519" s="13">
        <v>1</v>
      </c>
      <c r="T519" s="40" t="b">
        <v>0</v>
      </c>
      <c r="U519" s="13">
        <v>1</v>
      </c>
      <c r="V519" s="40" t="b">
        <v>0</v>
      </c>
      <c r="W519" s="13">
        <v>1</v>
      </c>
      <c r="X519" s="17">
        <f t="shared" si="64"/>
        <v>0.58123953098827474</v>
      </c>
      <c r="Y519" s="37">
        <f>VLOOKUP(D519,Priors!$A$18:$B$21,2,FALSE)</f>
        <v>8.4555315342179806</v>
      </c>
      <c r="Z519" s="38">
        <f t="shared" si="65"/>
        <v>10.440155583843374</v>
      </c>
      <c r="AA519" s="39">
        <v>1</v>
      </c>
      <c r="AB519" s="38">
        <f t="shared" si="66"/>
        <v>10.440155583843374</v>
      </c>
      <c r="AC519" s="37">
        <f>Priors!$K$18</f>
        <v>2.7435089299114512</v>
      </c>
      <c r="AD519" s="38" t="str">
        <f t="shared" si="67"/>
        <v/>
      </c>
      <c r="AE519" s="37">
        <f>Priors!$K$19</f>
        <v>0.67280088332719912</v>
      </c>
      <c r="AF519" s="38" t="str">
        <f t="shared" si="68"/>
        <v/>
      </c>
      <c r="AG519" s="17">
        <f t="shared" si="69"/>
        <v>0.41876046901172526</v>
      </c>
      <c r="AH519" s="7" t="s">
        <v>1643</v>
      </c>
      <c r="AI519" s="7">
        <v>12</v>
      </c>
      <c r="AJ519" s="38">
        <f t="shared" si="70"/>
        <v>0.87001296532028116</v>
      </c>
      <c r="AK519" s="9" t="b">
        <f t="shared" si="71"/>
        <v>0</v>
      </c>
      <c r="AL519" s="28" t="s">
        <v>1644</v>
      </c>
      <c r="AM519" s="28" t="s">
        <v>1645</v>
      </c>
      <c r="AN519" s="28" t="s">
        <v>1792</v>
      </c>
    </row>
    <row r="520" spans="1:40" ht="30">
      <c r="A520" s="7">
        <v>519</v>
      </c>
      <c r="B520" s="7" t="s">
        <v>1525</v>
      </c>
      <c r="C520" s="7" t="s">
        <v>57</v>
      </c>
      <c r="D520" s="7" t="s">
        <v>112</v>
      </c>
      <c r="E520" s="7" t="s">
        <v>1642</v>
      </c>
      <c r="F520" s="7" t="s">
        <v>57</v>
      </c>
      <c r="G520" s="14">
        <v>1183</v>
      </c>
      <c r="H520" s="14">
        <v>124</v>
      </c>
      <c r="I520" s="15">
        <v>9.43</v>
      </c>
      <c r="J520" s="14">
        <v>0</v>
      </c>
      <c r="K520" s="15">
        <v>0</v>
      </c>
      <c r="L520" s="14">
        <v>23</v>
      </c>
      <c r="M520" s="14">
        <v>2</v>
      </c>
      <c r="N520" s="13"/>
      <c r="O520" s="14">
        <v>3</v>
      </c>
      <c r="P520" s="14">
        <v>211</v>
      </c>
      <c r="Q520" s="15">
        <v>16.052409129332208</v>
      </c>
      <c r="R520" s="17">
        <f>IFERROR(G520/(G520+Priors!$H$18),0)</f>
        <v>0.54191479615208427</v>
      </c>
      <c r="S520" s="13">
        <v>1</v>
      </c>
      <c r="T520" s="40" t="b">
        <v>0</v>
      </c>
      <c r="U520" s="13">
        <v>1</v>
      </c>
      <c r="V520" s="40" t="b">
        <v>0</v>
      </c>
      <c r="W520" s="13">
        <v>1</v>
      </c>
      <c r="X520" s="17">
        <f t="shared" si="64"/>
        <v>0.54191479615208427</v>
      </c>
      <c r="Y520" s="37">
        <f>VLOOKUP(D520,Priors!$A$18:$B$21,2,FALSE)</f>
        <v>8.4555315342179806</v>
      </c>
      <c r="Z520" s="38">
        <f t="shared" si="65"/>
        <v>8.9836104142088775</v>
      </c>
      <c r="AA520" s="39">
        <v>1</v>
      </c>
      <c r="AB520" s="38">
        <f t="shared" si="66"/>
        <v>8.9836104142088775</v>
      </c>
      <c r="AC520" s="37">
        <f>Priors!$K$18</f>
        <v>2.7435089299114512</v>
      </c>
      <c r="AD520" s="38" t="str">
        <f t="shared" si="67"/>
        <v/>
      </c>
      <c r="AE520" s="37">
        <f>Priors!$K$19</f>
        <v>0.67280088332719912</v>
      </c>
      <c r="AF520" s="38" t="str">
        <f t="shared" si="68"/>
        <v/>
      </c>
      <c r="AG520" s="17">
        <f t="shared" si="69"/>
        <v>0.45808520384791573</v>
      </c>
      <c r="AH520" s="7" t="s">
        <v>1643</v>
      </c>
      <c r="AI520" s="7">
        <v>12</v>
      </c>
      <c r="AJ520" s="38">
        <f t="shared" si="70"/>
        <v>0.74863420118407309</v>
      </c>
      <c r="AK520" s="9" t="b">
        <f t="shared" si="71"/>
        <v>0</v>
      </c>
      <c r="AL520" s="28" t="s">
        <v>1644</v>
      </c>
      <c r="AM520" s="28" t="s">
        <v>1645</v>
      </c>
      <c r="AN520" s="28" t="s">
        <v>1792</v>
      </c>
    </row>
    <row r="521" spans="1:40" ht="30">
      <c r="A521" s="7">
        <v>520</v>
      </c>
      <c r="B521" s="7" t="s">
        <v>1528</v>
      </c>
      <c r="C521" s="7" t="s">
        <v>57</v>
      </c>
      <c r="D521" s="7" t="s">
        <v>112</v>
      </c>
      <c r="E521" s="7" t="s">
        <v>1642</v>
      </c>
      <c r="F521" s="7" t="s">
        <v>57</v>
      </c>
      <c r="G521" s="14">
        <v>955</v>
      </c>
      <c r="H521" s="14">
        <v>79</v>
      </c>
      <c r="I521" s="15">
        <v>7.45</v>
      </c>
      <c r="J521" s="14">
        <v>0</v>
      </c>
      <c r="K521" s="15">
        <v>0</v>
      </c>
      <c r="L521" s="14">
        <v>18</v>
      </c>
      <c r="M521" s="14">
        <v>3</v>
      </c>
      <c r="N521" s="13"/>
      <c r="O521" s="14">
        <v>0</v>
      </c>
      <c r="P521" s="14">
        <v>163</v>
      </c>
      <c r="Q521" s="15">
        <v>15.361256544502618</v>
      </c>
      <c r="R521" s="17">
        <f>IFERROR(G521/(G521+Priors!$H$18),0)</f>
        <v>0.48849104859335041</v>
      </c>
      <c r="S521" s="13">
        <v>1</v>
      </c>
      <c r="T521" s="40" t="b">
        <v>0</v>
      </c>
      <c r="U521" s="13">
        <v>1</v>
      </c>
      <c r="V521" s="40" t="b">
        <v>0</v>
      </c>
      <c r="W521" s="13">
        <v>1</v>
      </c>
      <c r="X521" s="17">
        <f t="shared" si="64"/>
        <v>0.48849104859335041</v>
      </c>
      <c r="Y521" s="37">
        <f>VLOOKUP(D521,Priors!$A$18:$B$21,2,FALSE)</f>
        <v>8.4555315342179806</v>
      </c>
      <c r="Z521" s="38">
        <f t="shared" si="65"/>
        <v>7.9643383806741586</v>
      </c>
      <c r="AA521" s="39">
        <v>1</v>
      </c>
      <c r="AB521" s="38">
        <f t="shared" si="66"/>
        <v>7.9643383806741586</v>
      </c>
      <c r="AC521" s="37">
        <f>Priors!$K$18</f>
        <v>2.7435089299114512</v>
      </c>
      <c r="AD521" s="38" t="str">
        <f t="shared" si="67"/>
        <v/>
      </c>
      <c r="AE521" s="37">
        <f>Priors!$K$19</f>
        <v>0.67280088332719912</v>
      </c>
      <c r="AF521" s="38" t="str">
        <f t="shared" si="68"/>
        <v/>
      </c>
      <c r="AG521" s="17">
        <f t="shared" si="69"/>
        <v>0.51150895140664954</v>
      </c>
      <c r="AH521" s="7" t="s">
        <v>1643</v>
      </c>
      <c r="AI521" s="7">
        <v>12</v>
      </c>
      <c r="AJ521" s="38">
        <f t="shared" si="70"/>
        <v>0.66369486505617992</v>
      </c>
      <c r="AK521" s="9" t="b">
        <f t="shared" si="71"/>
        <v>1</v>
      </c>
      <c r="AL521" s="28" t="s">
        <v>1644</v>
      </c>
      <c r="AM521" s="28" t="s">
        <v>1645</v>
      </c>
      <c r="AN521" s="28" t="s">
        <v>1792</v>
      </c>
    </row>
    <row r="522" spans="1:40" ht="30">
      <c r="A522" s="7">
        <v>521</v>
      </c>
      <c r="B522" s="7" t="s">
        <v>1530</v>
      </c>
      <c r="C522" s="7" t="s">
        <v>57</v>
      </c>
      <c r="D522" s="7" t="s">
        <v>112</v>
      </c>
      <c r="E522" s="7" t="s">
        <v>1642</v>
      </c>
      <c r="F522" s="7" t="s">
        <v>57</v>
      </c>
      <c r="G522" s="14">
        <v>0</v>
      </c>
      <c r="H522" s="14">
        <v>0</v>
      </c>
      <c r="I522" s="15">
        <v>0</v>
      </c>
      <c r="J522" s="14">
        <v>0</v>
      </c>
      <c r="K522" s="15">
        <v>0</v>
      </c>
      <c r="L522" s="14">
        <v>0</v>
      </c>
      <c r="M522" s="14">
        <v>0</v>
      </c>
      <c r="N522" s="13"/>
      <c r="O522" s="14">
        <v>0</v>
      </c>
      <c r="P522" s="14">
        <v>0</v>
      </c>
      <c r="Q522" s="15">
        <v>0</v>
      </c>
      <c r="R522" s="17">
        <f>IFERROR(G522/(G522+Priors!$H$18),0)</f>
        <v>0</v>
      </c>
      <c r="S522" s="13">
        <v>1</v>
      </c>
      <c r="T522" s="40" t="b">
        <v>0</v>
      </c>
      <c r="U522" s="13">
        <v>1</v>
      </c>
      <c r="V522" s="40" t="b">
        <v>0</v>
      </c>
      <c r="W522" s="13">
        <v>1</v>
      </c>
      <c r="X522" s="17">
        <f t="shared" si="64"/>
        <v>0</v>
      </c>
      <c r="Y522" s="37">
        <f>VLOOKUP(D522,Priors!$A$18:$B$21,2,FALSE)</f>
        <v>8.4555315342179806</v>
      </c>
      <c r="Z522" s="38">
        <f t="shared" si="65"/>
        <v>8.4555315342179806</v>
      </c>
      <c r="AA522" s="39">
        <v>1</v>
      </c>
      <c r="AB522" s="38">
        <f t="shared" si="66"/>
        <v>8.4555315342179806</v>
      </c>
      <c r="AC522" s="37">
        <f>Priors!$K$18</f>
        <v>2.7435089299114512</v>
      </c>
      <c r="AD522" s="38" t="str">
        <f t="shared" si="67"/>
        <v/>
      </c>
      <c r="AE522" s="37">
        <f>Priors!$K$19</f>
        <v>0.67280088332719912</v>
      </c>
      <c r="AF522" s="38" t="str">
        <f t="shared" si="68"/>
        <v/>
      </c>
      <c r="AG522" s="17">
        <f t="shared" si="69"/>
        <v>1</v>
      </c>
      <c r="AH522" s="7" t="s">
        <v>1643</v>
      </c>
      <c r="AI522" s="7">
        <v>12</v>
      </c>
      <c r="AJ522" s="38">
        <f t="shared" si="70"/>
        <v>0.70462762785149835</v>
      </c>
      <c r="AK522" s="9" t="b">
        <f t="shared" si="71"/>
        <v>1</v>
      </c>
      <c r="AL522" s="28" t="s">
        <v>1644</v>
      </c>
      <c r="AM522" s="28" t="s">
        <v>1645</v>
      </c>
      <c r="AN522" s="28" t="s">
        <v>1792</v>
      </c>
    </row>
    <row r="523" spans="1:40" ht="30">
      <c r="A523" s="7">
        <v>522</v>
      </c>
      <c r="B523" s="7" t="s">
        <v>1532</v>
      </c>
      <c r="C523" s="7" t="s">
        <v>57</v>
      </c>
      <c r="D523" s="7" t="s">
        <v>112</v>
      </c>
      <c r="E523" s="7" t="s">
        <v>1642</v>
      </c>
      <c r="F523" s="7" t="s">
        <v>57</v>
      </c>
      <c r="G523" s="14">
        <v>1471</v>
      </c>
      <c r="H523" s="14">
        <v>132</v>
      </c>
      <c r="I523" s="15">
        <v>8.08</v>
      </c>
      <c r="J523" s="14">
        <v>0</v>
      </c>
      <c r="K523" s="15">
        <v>0</v>
      </c>
      <c r="L523" s="14">
        <v>28</v>
      </c>
      <c r="M523" s="14">
        <v>5</v>
      </c>
      <c r="N523" s="13"/>
      <c r="O523" s="14">
        <v>6</v>
      </c>
      <c r="P523" s="14">
        <v>237</v>
      </c>
      <c r="Q523" s="15">
        <v>14.500339904826648</v>
      </c>
      <c r="R523" s="17">
        <f>IFERROR(G523/(G523+Priors!$H$18),0)</f>
        <v>0.59530554431404292</v>
      </c>
      <c r="S523" s="13">
        <v>1</v>
      </c>
      <c r="T523" s="40" t="b">
        <v>0</v>
      </c>
      <c r="U523" s="13">
        <v>1</v>
      </c>
      <c r="V523" s="40" t="b">
        <v>0</v>
      </c>
      <c r="W523" s="13">
        <v>1</v>
      </c>
      <c r="X523" s="17">
        <f t="shared" si="64"/>
        <v>0.59530554431404292</v>
      </c>
      <c r="Y523" s="37">
        <f>VLOOKUP(D523,Priors!$A$18:$B$21,2,FALSE)</f>
        <v>8.4555315342179806</v>
      </c>
      <c r="Z523" s="38">
        <f t="shared" si="65"/>
        <v>8.2319755298332584</v>
      </c>
      <c r="AA523" s="39">
        <v>1</v>
      </c>
      <c r="AB523" s="38">
        <f t="shared" si="66"/>
        <v>8.2319755298332584</v>
      </c>
      <c r="AC523" s="37">
        <f>Priors!$K$18</f>
        <v>2.7435089299114512</v>
      </c>
      <c r="AD523" s="38" t="str">
        <f t="shared" si="67"/>
        <v/>
      </c>
      <c r="AE523" s="37">
        <f>Priors!$K$19</f>
        <v>0.67280088332719912</v>
      </c>
      <c r="AF523" s="38" t="str">
        <f t="shared" si="68"/>
        <v/>
      </c>
      <c r="AG523" s="17">
        <f t="shared" si="69"/>
        <v>0.40469445568595708</v>
      </c>
      <c r="AH523" s="7" t="s">
        <v>1643</v>
      </c>
      <c r="AI523" s="7">
        <v>12</v>
      </c>
      <c r="AJ523" s="38">
        <f t="shared" si="70"/>
        <v>0.6859979608194382</v>
      </c>
      <c r="AK523" s="9" t="b">
        <f t="shared" si="71"/>
        <v>0</v>
      </c>
      <c r="AL523" s="28" t="s">
        <v>1644</v>
      </c>
      <c r="AM523" s="28" t="s">
        <v>1645</v>
      </c>
      <c r="AN523" s="28" t="s">
        <v>1792</v>
      </c>
    </row>
    <row r="524" spans="1:40" ht="30">
      <c r="A524" s="7">
        <v>523</v>
      </c>
      <c r="B524" s="7" t="s">
        <v>1534</v>
      </c>
      <c r="C524" s="7" t="s">
        <v>57</v>
      </c>
      <c r="D524" s="7" t="s">
        <v>112</v>
      </c>
      <c r="E524" s="7" t="s">
        <v>1642</v>
      </c>
      <c r="F524" s="7" t="s">
        <v>57</v>
      </c>
      <c r="G524" s="14">
        <v>0</v>
      </c>
      <c r="H524" s="14">
        <v>0</v>
      </c>
      <c r="I524" s="15">
        <v>0</v>
      </c>
      <c r="J524" s="14">
        <v>0</v>
      </c>
      <c r="K524" s="15">
        <v>0</v>
      </c>
      <c r="L524" s="14">
        <v>0</v>
      </c>
      <c r="M524" s="14">
        <v>0</v>
      </c>
      <c r="N524" s="13"/>
      <c r="O524" s="14">
        <v>0</v>
      </c>
      <c r="P524" s="14">
        <v>0</v>
      </c>
      <c r="Q524" s="15">
        <v>0</v>
      </c>
      <c r="R524" s="17">
        <f>IFERROR(G524/(G524+Priors!$H$18),0)</f>
        <v>0</v>
      </c>
      <c r="S524" s="13">
        <v>1</v>
      </c>
      <c r="T524" s="40" t="b">
        <v>0</v>
      </c>
      <c r="U524" s="13">
        <v>1</v>
      </c>
      <c r="V524" s="40" t="b">
        <v>0</v>
      </c>
      <c r="W524" s="13">
        <v>1</v>
      </c>
      <c r="X524" s="17">
        <f t="shared" si="64"/>
        <v>0</v>
      </c>
      <c r="Y524" s="37">
        <f>VLOOKUP(D524,Priors!$A$18:$B$21,2,FALSE)</f>
        <v>8.4555315342179806</v>
      </c>
      <c r="Z524" s="38">
        <f t="shared" si="65"/>
        <v>8.4555315342179806</v>
      </c>
      <c r="AA524" s="39">
        <v>1</v>
      </c>
      <c r="AB524" s="38">
        <f t="shared" si="66"/>
        <v>8.4555315342179806</v>
      </c>
      <c r="AC524" s="37">
        <f>Priors!$K$18</f>
        <v>2.7435089299114512</v>
      </c>
      <c r="AD524" s="38" t="str">
        <f t="shared" si="67"/>
        <v/>
      </c>
      <c r="AE524" s="37">
        <f>Priors!$K$19</f>
        <v>0.67280088332719912</v>
      </c>
      <c r="AF524" s="38" t="str">
        <f t="shared" si="68"/>
        <v/>
      </c>
      <c r="AG524" s="17">
        <f t="shared" si="69"/>
        <v>1</v>
      </c>
      <c r="AH524" s="7" t="s">
        <v>1643</v>
      </c>
      <c r="AI524" s="7">
        <v>12</v>
      </c>
      <c r="AJ524" s="38">
        <f t="shared" si="70"/>
        <v>0.70462762785149835</v>
      </c>
      <c r="AK524" s="9" t="b">
        <f t="shared" si="71"/>
        <v>1</v>
      </c>
      <c r="AL524" s="28" t="s">
        <v>1644</v>
      </c>
      <c r="AM524" s="28" t="s">
        <v>1645</v>
      </c>
      <c r="AN524" s="28" t="s">
        <v>1792</v>
      </c>
    </row>
    <row r="525" spans="1:40" ht="30">
      <c r="A525" s="7">
        <v>524</v>
      </c>
      <c r="B525" s="7" t="s">
        <v>1537</v>
      </c>
      <c r="C525" s="7" t="s">
        <v>57</v>
      </c>
      <c r="D525" s="7" t="s">
        <v>112</v>
      </c>
      <c r="E525" s="7" t="s">
        <v>1642</v>
      </c>
      <c r="F525" s="7" t="s">
        <v>57</v>
      </c>
      <c r="G525" s="14">
        <v>14</v>
      </c>
      <c r="H525" s="14">
        <v>2</v>
      </c>
      <c r="I525" s="15">
        <v>12.86</v>
      </c>
      <c r="J525" s="14">
        <v>0</v>
      </c>
      <c r="K525" s="15">
        <v>0</v>
      </c>
      <c r="L525" s="14">
        <v>0</v>
      </c>
      <c r="M525" s="14">
        <v>0</v>
      </c>
      <c r="N525" s="13"/>
      <c r="O525" s="14">
        <v>0</v>
      </c>
      <c r="P525" s="14">
        <v>3</v>
      </c>
      <c r="Q525" s="15">
        <v>19.285714285714285</v>
      </c>
      <c r="R525" s="17">
        <f>IFERROR(G525/(G525+Priors!$H$18),0)</f>
        <v>1.3806706114398421E-2</v>
      </c>
      <c r="S525" s="13">
        <v>1</v>
      </c>
      <c r="T525" s="40" t="b">
        <v>0</v>
      </c>
      <c r="U525" s="13">
        <v>1</v>
      </c>
      <c r="V525" s="40" t="b">
        <v>0</v>
      </c>
      <c r="W525" s="13">
        <v>1</v>
      </c>
      <c r="X525" s="17">
        <f t="shared" si="64"/>
        <v>1.3806706114398421E-2</v>
      </c>
      <c r="Y525" s="37">
        <f>VLOOKUP(D525,Priors!$A$18:$B$21,2,FALSE)</f>
        <v>8.4555315342179806</v>
      </c>
      <c r="Z525" s="38">
        <f t="shared" si="65"/>
        <v>8.5163427359151687</v>
      </c>
      <c r="AA525" s="39">
        <v>1</v>
      </c>
      <c r="AB525" s="38">
        <f t="shared" si="66"/>
        <v>8.5163427359151687</v>
      </c>
      <c r="AC525" s="37">
        <f>Priors!$K$18</f>
        <v>2.7435089299114512</v>
      </c>
      <c r="AD525" s="38" t="str">
        <f t="shared" si="67"/>
        <v/>
      </c>
      <c r="AE525" s="37">
        <f>Priors!$K$19</f>
        <v>0.67280088332719912</v>
      </c>
      <c r="AF525" s="38" t="str">
        <f t="shared" si="68"/>
        <v/>
      </c>
      <c r="AG525" s="17">
        <f t="shared" si="69"/>
        <v>0.98619329388560162</v>
      </c>
      <c r="AH525" s="7" t="s">
        <v>1643</v>
      </c>
      <c r="AI525" s="7">
        <v>12</v>
      </c>
      <c r="AJ525" s="38">
        <f t="shared" si="70"/>
        <v>0.70969522799293072</v>
      </c>
      <c r="AK525" s="9" t="b">
        <f t="shared" si="71"/>
        <v>1</v>
      </c>
      <c r="AL525" s="28" t="s">
        <v>1644</v>
      </c>
      <c r="AM525" s="28" t="s">
        <v>1645</v>
      </c>
      <c r="AN525" s="28" t="s">
        <v>1792</v>
      </c>
    </row>
    <row r="526" spans="1:40" ht="30">
      <c r="A526" s="7">
        <v>525</v>
      </c>
      <c r="B526" s="7" t="s">
        <v>1539</v>
      </c>
      <c r="C526" s="7" t="s">
        <v>57</v>
      </c>
      <c r="D526" s="7" t="s">
        <v>112</v>
      </c>
      <c r="E526" s="7" t="s">
        <v>1642</v>
      </c>
      <c r="F526" s="7" t="s">
        <v>1653</v>
      </c>
      <c r="G526" s="14">
        <v>3017</v>
      </c>
      <c r="H526" s="14">
        <v>369</v>
      </c>
      <c r="I526" s="15">
        <v>11.01</v>
      </c>
      <c r="J526" s="14">
        <v>0</v>
      </c>
      <c r="K526" s="15">
        <v>0</v>
      </c>
      <c r="L526" s="14">
        <v>50</v>
      </c>
      <c r="M526" s="14">
        <v>8</v>
      </c>
      <c r="N526" s="13"/>
      <c r="O526" s="14">
        <v>7</v>
      </c>
      <c r="P526" s="14">
        <v>659</v>
      </c>
      <c r="Q526" s="15">
        <v>19.658601259529334</v>
      </c>
      <c r="R526" s="17">
        <f>IFERROR(G526/(G526+Priors!$H$18),0)</f>
        <v>0.75105800348518792</v>
      </c>
      <c r="S526" s="13">
        <v>1</v>
      </c>
      <c r="T526" s="40" t="b">
        <v>1</v>
      </c>
      <c r="U526" s="13">
        <v>0.85</v>
      </c>
      <c r="V526" s="40" t="b">
        <v>0</v>
      </c>
      <c r="W526" s="13">
        <v>1</v>
      </c>
      <c r="X526" s="17">
        <f t="shared" si="64"/>
        <v>0.63839930296240976</v>
      </c>
      <c r="Y526" s="37">
        <f>VLOOKUP(D526,Priors!$A$18:$B$21,2,FALSE)</f>
        <v>8.4555315342179806</v>
      </c>
      <c r="Z526" s="38">
        <f t="shared" si="65"/>
        <v>10.086302422212677</v>
      </c>
      <c r="AA526" s="39">
        <v>1</v>
      </c>
      <c r="AB526" s="38">
        <f t="shared" si="66"/>
        <v>10.086302422212677</v>
      </c>
      <c r="AC526" s="37">
        <f>Priors!$K$18</f>
        <v>2.7435089299114512</v>
      </c>
      <c r="AD526" s="38" t="str">
        <f t="shared" si="67"/>
        <v/>
      </c>
      <c r="AE526" s="37">
        <f>Priors!$K$19</f>
        <v>0.67280088332719912</v>
      </c>
      <c r="AF526" s="38" t="str">
        <f t="shared" si="68"/>
        <v/>
      </c>
      <c r="AG526" s="17">
        <f t="shared" si="69"/>
        <v>0.36160069703759024</v>
      </c>
      <c r="AH526" s="7" t="s">
        <v>1643</v>
      </c>
      <c r="AI526" s="7">
        <v>12</v>
      </c>
      <c r="AJ526" s="38">
        <f t="shared" si="70"/>
        <v>0.84052520185105639</v>
      </c>
      <c r="AK526" s="9" t="b">
        <f t="shared" si="71"/>
        <v>1</v>
      </c>
      <c r="AL526" s="28" t="s">
        <v>1644</v>
      </c>
      <c r="AM526" s="28" t="s">
        <v>1645</v>
      </c>
      <c r="AN526" s="28" t="s">
        <v>1792</v>
      </c>
    </row>
    <row r="527" spans="1:40" ht="30">
      <c r="A527" s="7">
        <v>526</v>
      </c>
      <c r="B527" s="7" t="s">
        <v>1541</v>
      </c>
      <c r="C527" s="7" t="s">
        <v>57</v>
      </c>
      <c r="D527" s="7" t="s">
        <v>167</v>
      </c>
      <c r="E527" s="7" t="s">
        <v>1642</v>
      </c>
      <c r="F527" s="7" t="s">
        <v>57</v>
      </c>
      <c r="G527" s="14">
        <v>997</v>
      </c>
      <c r="H527" s="14">
        <v>71</v>
      </c>
      <c r="I527" s="15">
        <v>6.41</v>
      </c>
      <c r="J527" s="14">
        <v>0</v>
      </c>
      <c r="K527" s="15">
        <v>0</v>
      </c>
      <c r="L527" s="14">
        <v>21</v>
      </c>
      <c r="M527" s="14">
        <v>0</v>
      </c>
      <c r="N527" s="13"/>
      <c r="O527" s="14">
        <v>4</v>
      </c>
      <c r="P527" s="14">
        <v>187</v>
      </c>
      <c r="Q527" s="15">
        <v>16.880641925777333</v>
      </c>
      <c r="R527" s="17">
        <f>IFERROR(G527/(G527+Priors!$H$18),0)</f>
        <v>0.49924887330996492</v>
      </c>
      <c r="S527" s="13">
        <v>1</v>
      </c>
      <c r="T527" s="40" t="b">
        <v>0</v>
      </c>
      <c r="U527" s="13">
        <v>1</v>
      </c>
      <c r="V527" s="40" t="b">
        <v>0</v>
      </c>
      <c r="W527" s="13">
        <v>1</v>
      </c>
      <c r="X527" s="17">
        <f t="shared" si="64"/>
        <v>0.49924887330996492</v>
      </c>
      <c r="Y527" s="37">
        <f>VLOOKUP(D527,Priors!$A$18:$B$21,2,FALSE)</f>
        <v>4.5137422563476139</v>
      </c>
      <c r="Z527" s="38">
        <f t="shared" si="65"/>
        <v>5.4604467983713638</v>
      </c>
      <c r="AA527" s="39">
        <v>1</v>
      </c>
      <c r="AB527" s="38">
        <f t="shared" si="66"/>
        <v>5.4604467983713638</v>
      </c>
      <c r="AC527" s="37">
        <f>Priors!$K$18</f>
        <v>2.7435089299114512</v>
      </c>
      <c r="AD527" s="38" t="str">
        <f t="shared" si="67"/>
        <v/>
      </c>
      <c r="AE527" s="37">
        <f>Priors!$K$19</f>
        <v>0.67280088332719912</v>
      </c>
      <c r="AF527" s="38" t="str">
        <f t="shared" si="68"/>
        <v/>
      </c>
      <c r="AG527" s="17">
        <f t="shared" si="69"/>
        <v>0.50075112669003508</v>
      </c>
      <c r="AH527" s="7" t="s">
        <v>1643</v>
      </c>
      <c r="AI527" s="7">
        <v>12</v>
      </c>
      <c r="AJ527" s="38">
        <f t="shared" si="70"/>
        <v>0.45503723319761363</v>
      </c>
      <c r="AK527" s="9" t="b">
        <f t="shared" si="71"/>
        <v>1</v>
      </c>
      <c r="AL527" s="28" t="s">
        <v>1644</v>
      </c>
      <c r="AM527" s="28" t="s">
        <v>1645</v>
      </c>
      <c r="AN527" s="28" t="s">
        <v>1792</v>
      </c>
    </row>
    <row r="528" spans="1:40" ht="30">
      <c r="A528" s="7">
        <v>527</v>
      </c>
      <c r="B528" s="7" t="s">
        <v>1544</v>
      </c>
      <c r="C528" s="7" t="s">
        <v>57</v>
      </c>
      <c r="D528" s="7" t="s">
        <v>167</v>
      </c>
      <c r="E528" s="7" t="s">
        <v>1642</v>
      </c>
      <c r="F528" s="7" t="s">
        <v>57</v>
      </c>
      <c r="G528" s="14">
        <v>1954</v>
      </c>
      <c r="H528" s="14">
        <v>147</v>
      </c>
      <c r="I528" s="15">
        <v>6.77</v>
      </c>
      <c r="J528" s="14">
        <v>0</v>
      </c>
      <c r="K528" s="15">
        <v>0</v>
      </c>
      <c r="L528" s="14">
        <v>27</v>
      </c>
      <c r="M528" s="14">
        <v>7</v>
      </c>
      <c r="N528" s="13"/>
      <c r="O528" s="14">
        <v>17</v>
      </c>
      <c r="P528" s="14">
        <v>505</v>
      </c>
      <c r="Q528" s="15">
        <v>23.259979529170931</v>
      </c>
      <c r="R528" s="17">
        <f>IFERROR(G528/(G528+Priors!$H$18),0)</f>
        <v>0.66147596479350035</v>
      </c>
      <c r="S528" s="13">
        <v>1</v>
      </c>
      <c r="T528" s="40" t="b">
        <v>0</v>
      </c>
      <c r="U528" s="13">
        <v>1</v>
      </c>
      <c r="V528" s="40" t="b">
        <v>0</v>
      </c>
      <c r="W528" s="13">
        <v>1</v>
      </c>
      <c r="X528" s="17">
        <f t="shared" si="64"/>
        <v>0.66147596479350035</v>
      </c>
      <c r="Y528" s="37">
        <f>VLOOKUP(D528,Priors!$A$18:$B$21,2,FALSE)</f>
        <v>4.5137422563476139</v>
      </c>
      <c r="Z528" s="38">
        <f t="shared" si="65"/>
        <v>6.0062025241528811</v>
      </c>
      <c r="AA528" s="39">
        <v>1</v>
      </c>
      <c r="AB528" s="38">
        <f t="shared" si="66"/>
        <v>6.0062025241528811</v>
      </c>
      <c r="AC528" s="37">
        <f>Priors!$K$18</f>
        <v>2.7435089299114512</v>
      </c>
      <c r="AD528" s="38" t="str">
        <f t="shared" si="67"/>
        <v/>
      </c>
      <c r="AE528" s="37">
        <f>Priors!$K$19</f>
        <v>0.67280088332719912</v>
      </c>
      <c r="AF528" s="38" t="str">
        <f t="shared" si="68"/>
        <v/>
      </c>
      <c r="AG528" s="17">
        <f t="shared" si="69"/>
        <v>0.33852403520649965</v>
      </c>
      <c r="AH528" s="7" t="s">
        <v>1643</v>
      </c>
      <c r="AI528" s="7">
        <v>12</v>
      </c>
      <c r="AJ528" s="38">
        <f t="shared" si="70"/>
        <v>0.50051687701274006</v>
      </c>
      <c r="AK528" s="9" t="b">
        <f t="shared" si="71"/>
        <v>0</v>
      </c>
      <c r="AL528" s="28" t="s">
        <v>1644</v>
      </c>
      <c r="AM528" s="28" t="s">
        <v>1645</v>
      </c>
      <c r="AN528" s="28" t="s">
        <v>1792</v>
      </c>
    </row>
    <row r="529" spans="1:40" ht="30">
      <c r="A529" s="7">
        <v>528</v>
      </c>
      <c r="B529" s="7" t="s">
        <v>1546</v>
      </c>
      <c r="C529" s="7" t="s">
        <v>57</v>
      </c>
      <c r="D529" s="7" t="s">
        <v>167</v>
      </c>
      <c r="E529" s="7" t="s">
        <v>1642</v>
      </c>
      <c r="F529" s="7" t="s">
        <v>57</v>
      </c>
      <c r="G529" s="14">
        <v>7</v>
      </c>
      <c r="H529" s="14">
        <v>1</v>
      </c>
      <c r="I529" s="15">
        <v>12.86</v>
      </c>
      <c r="J529" s="14">
        <v>0</v>
      </c>
      <c r="K529" s="15">
        <v>0</v>
      </c>
      <c r="L529" s="14">
        <v>0</v>
      </c>
      <c r="M529" s="14">
        <v>0</v>
      </c>
      <c r="N529" s="13"/>
      <c r="O529" s="14">
        <v>0</v>
      </c>
      <c r="P529" s="14">
        <v>5</v>
      </c>
      <c r="Q529" s="15">
        <v>64.285714285714292</v>
      </c>
      <c r="R529" s="17">
        <f>IFERROR(G529/(G529+Priors!$H$18),0)</f>
        <v>6.9513406156901684E-3</v>
      </c>
      <c r="S529" s="13">
        <v>1</v>
      </c>
      <c r="T529" s="40" t="b">
        <v>0</v>
      </c>
      <c r="U529" s="13">
        <v>1</v>
      </c>
      <c r="V529" s="40" t="b">
        <v>0</v>
      </c>
      <c r="W529" s="13">
        <v>1</v>
      </c>
      <c r="X529" s="17">
        <f t="shared" si="64"/>
        <v>6.9513406156901684E-3</v>
      </c>
      <c r="Y529" s="37">
        <f>VLOOKUP(D529,Priors!$A$18:$B$21,2,FALSE)</f>
        <v>4.5137422563476139</v>
      </c>
      <c r="Z529" s="38">
        <f t="shared" si="65"/>
        <v>4.5717599367900839</v>
      </c>
      <c r="AA529" s="39">
        <v>1</v>
      </c>
      <c r="AB529" s="38">
        <f t="shared" si="66"/>
        <v>4.5717599367900839</v>
      </c>
      <c r="AC529" s="37">
        <f>Priors!$K$18</f>
        <v>2.7435089299114512</v>
      </c>
      <c r="AD529" s="38" t="str">
        <f t="shared" si="67"/>
        <v/>
      </c>
      <c r="AE529" s="37">
        <f>Priors!$K$19</f>
        <v>0.67280088332719912</v>
      </c>
      <c r="AF529" s="38" t="str">
        <f t="shared" si="68"/>
        <v/>
      </c>
      <c r="AG529" s="17">
        <f t="shared" si="69"/>
        <v>0.99304865938430986</v>
      </c>
      <c r="AH529" s="7" t="s">
        <v>1643</v>
      </c>
      <c r="AI529" s="7">
        <v>12</v>
      </c>
      <c r="AJ529" s="38">
        <f t="shared" si="70"/>
        <v>0.38097999473250699</v>
      </c>
      <c r="AK529" s="9" t="b">
        <f t="shared" si="71"/>
        <v>1</v>
      </c>
      <c r="AL529" s="28" t="s">
        <v>1644</v>
      </c>
      <c r="AM529" s="28" t="s">
        <v>1645</v>
      </c>
      <c r="AN529" s="28" t="s">
        <v>1792</v>
      </c>
    </row>
    <row r="530" spans="1:40" ht="30">
      <c r="A530" s="7">
        <v>529</v>
      </c>
      <c r="B530" s="7" t="s">
        <v>1549</v>
      </c>
      <c r="C530" s="7" t="s">
        <v>58</v>
      </c>
      <c r="D530" s="7" t="s">
        <v>85</v>
      </c>
      <c r="E530" s="7" t="s">
        <v>1642</v>
      </c>
      <c r="F530" s="7" t="s">
        <v>58</v>
      </c>
      <c r="G530" s="14">
        <v>3150</v>
      </c>
      <c r="H530" s="14">
        <v>110</v>
      </c>
      <c r="I530" s="15">
        <v>0</v>
      </c>
      <c r="J530" s="14">
        <v>109</v>
      </c>
      <c r="K530" s="15">
        <v>3.11</v>
      </c>
      <c r="L530" s="14">
        <v>46</v>
      </c>
      <c r="M530" s="14">
        <v>10</v>
      </c>
      <c r="N530" s="13">
        <v>0.70322580645161292</v>
      </c>
      <c r="O530" s="14">
        <v>12</v>
      </c>
      <c r="P530" s="14">
        <v>573</v>
      </c>
      <c r="Q530" s="15">
        <v>16.37142857142857</v>
      </c>
      <c r="R530" s="17">
        <f>IFERROR(G530/(G530+Priors!$H$18),0)</f>
        <v>0.75903614457831325</v>
      </c>
      <c r="S530" s="13">
        <v>1</v>
      </c>
      <c r="T530" s="40" t="b">
        <v>0</v>
      </c>
      <c r="U530" s="13">
        <v>1</v>
      </c>
      <c r="V530" s="40" t="b">
        <v>0</v>
      </c>
      <c r="W530" s="13">
        <v>1</v>
      </c>
      <c r="X530" s="17">
        <f t="shared" si="64"/>
        <v>0.75903614457831325</v>
      </c>
      <c r="Y530" s="37">
        <f>VLOOKUP(D530,Priors!$A$18:$B$21,2,FALSE)</f>
        <v>2.6414527990394716</v>
      </c>
      <c r="Z530" s="38">
        <f t="shared" si="65"/>
        <v>0.63649465037095698</v>
      </c>
      <c r="AA530" s="39">
        <v>1</v>
      </c>
      <c r="AB530" s="38">
        <f t="shared" si="66"/>
        <v>0.63649465037095698</v>
      </c>
      <c r="AC530" s="37">
        <f>Priors!$K$18</f>
        <v>2.7435089299114512</v>
      </c>
      <c r="AD530" s="38">
        <f t="shared" si="67"/>
        <v>3.0216888987738439</v>
      </c>
      <c r="AE530" s="37">
        <f>Priors!$K$19</f>
        <v>0.67280088332719912</v>
      </c>
      <c r="AF530" s="38">
        <f t="shared" si="68"/>
        <v>0.69589449967464578</v>
      </c>
      <c r="AG530" s="17">
        <f t="shared" si="69"/>
        <v>0.24096385542168675</v>
      </c>
      <c r="AH530" s="7" t="s">
        <v>1643</v>
      </c>
      <c r="AI530" s="7"/>
      <c r="AJ530" s="38" t="str">
        <f t="shared" si="70"/>
        <v/>
      </c>
      <c r="AK530" s="9" t="b">
        <f t="shared" si="71"/>
        <v>0</v>
      </c>
      <c r="AL530" s="28" t="s">
        <v>1644</v>
      </c>
      <c r="AM530" s="28" t="s">
        <v>1645</v>
      </c>
      <c r="AN530" s="28" t="s">
        <v>1792</v>
      </c>
    </row>
    <row r="531" spans="1:40" ht="30">
      <c r="A531" s="7">
        <v>530</v>
      </c>
      <c r="B531" s="7" t="s">
        <v>772</v>
      </c>
      <c r="C531" s="7" t="s">
        <v>58</v>
      </c>
      <c r="D531" s="7" t="s">
        <v>85</v>
      </c>
      <c r="E531" s="7" t="s">
        <v>1642</v>
      </c>
      <c r="F531" s="7" t="s">
        <v>58</v>
      </c>
      <c r="G531" s="14">
        <v>0</v>
      </c>
      <c r="H531" s="14">
        <v>0</v>
      </c>
      <c r="I531" s="15">
        <v>0</v>
      </c>
      <c r="J531" s="14">
        <v>0</v>
      </c>
      <c r="K531" s="15">
        <v>0</v>
      </c>
      <c r="L531" s="14">
        <v>0</v>
      </c>
      <c r="M531" s="14">
        <v>0</v>
      </c>
      <c r="N531" s="13"/>
      <c r="O531" s="14">
        <v>0</v>
      </c>
      <c r="P531" s="14">
        <v>0</v>
      </c>
      <c r="Q531" s="15">
        <v>0</v>
      </c>
      <c r="R531" s="17">
        <f>IFERROR(G531/(G531+Priors!$H$18),0)</f>
        <v>0</v>
      </c>
      <c r="S531" s="13">
        <v>1</v>
      </c>
      <c r="T531" s="40" t="b">
        <v>0</v>
      </c>
      <c r="U531" s="13">
        <v>1</v>
      </c>
      <c r="V531" s="40" t="b">
        <v>0</v>
      </c>
      <c r="W531" s="13">
        <v>1</v>
      </c>
      <c r="X531" s="17">
        <f t="shared" si="64"/>
        <v>0</v>
      </c>
      <c r="Y531" s="37">
        <f>VLOOKUP(D531,Priors!$A$18:$B$21,2,FALSE)</f>
        <v>2.6414527990394716</v>
      </c>
      <c r="Z531" s="38">
        <f t="shared" si="65"/>
        <v>2.6414527990394716</v>
      </c>
      <c r="AA531" s="39">
        <v>1</v>
      </c>
      <c r="AB531" s="38">
        <f t="shared" si="66"/>
        <v>2.6414527990394716</v>
      </c>
      <c r="AC531" s="37">
        <f>Priors!$K$18</f>
        <v>2.7435089299114512</v>
      </c>
      <c r="AD531" s="38">
        <f t="shared" si="67"/>
        <v>2.7435089299114512</v>
      </c>
      <c r="AE531" s="37">
        <f>Priors!$K$19</f>
        <v>0.67280088332719912</v>
      </c>
      <c r="AF531" s="38">
        <f t="shared" si="68"/>
        <v>0.67280088332719912</v>
      </c>
      <c r="AG531" s="17">
        <f t="shared" si="69"/>
        <v>1</v>
      </c>
      <c r="AH531" s="7" t="s">
        <v>1643</v>
      </c>
      <c r="AI531" s="7"/>
      <c r="AJ531" s="38" t="str">
        <f t="shared" si="70"/>
        <v/>
      </c>
      <c r="AK531" s="9" t="b">
        <f t="shared" si="71"/>
        <v>1</v>
      </c>
      <c r="AL531" s="28" t="s">
        <v>1644</v>
      </c>
      <c r="AM531" s="28" t="s">
        <v>1645</v>
      </c>
      <c r="AN531" s="28" t="s">
        <v>1792</v>
      </c>
    </row>
    <row r="532" spans="1:40" ht="30">
      <c r="A532" s="7">
        <v>531</v>
      </c>
      <c r="B532" s="7" t="s">
        <v>1554</v>
      </c>
      <c r="C532" s="7" t="s">
        <v>58</v>
      </c>
      <c r="D532" s="7" t="s">
        <v>85</v>
      </c>
      <c r="E532" s="7" t="s">
        <v>1642</v>
      </c>
      <c r="F532" s="7" t="s">
        <v>58</v>
      </c>
      <c r="G532" s="14">
        <v>270</v>
      </c>
      <c r="H532" s="14">
        <v>0</v>
      </c>
      <c r="I532" s="15">
        <v>0</v>
      </c>
      <c r="J532" s="14">
        <v>10</v>
      </c>
      <c r="K532" s="15">
        <v>3.33</v>
      </c>
      <c r="L532" s="14">
        <v>2</v>
      </c>
      <c r="M532" s="14">
        <v>1</v>
      </c>
      <c r="N532" s="13">
        <v>0.83333333333333337</v>
      </c>
      <c r="O532" s="14">
        <v>3</v>
      </c>
      <c r="P532" s="14">
        <v>62</v>
      </c>
      <c r="Q532" s="15">
        <v>20.666666666666668</v>
      </c>
      <c r="R532" s="17">
        <f>IFERROR(G532/(G532+Priors!$H$18),0)</f>
        <v>0.2125984251968504</v>
      </c>
      <c r="S532" s="13">
        <v>1</v>
      </c>
      <c r="T532" s="40" t="b">
        <v>0</v>
      </c>
      <c r="U532" s="13">
        <v>1</v>
      </c>
      <c r="V532" s="40" t="b">
        <v>0</v>
      </c>
      <c r="W532" s="13">
        <v>1</v>
      </c>
      <c r="X532" s="17">
        <f t="shared" si="64"/>
        <v>0.2125984251968504</v>
      </c>
      <c r="Y532" s="37">
        <f>VLOOKUP(D532,Priors!$A$18:$B$21,2,FALSE)</f>
        <v>2.6414527990394716</v>
      </c>
      <c r="Z532" s="38">
        <f t="shared" si="65"/>
        <v>2.0798840937318674</v>
      </c>
      <c r="AA532" s="39">
        <v>1</v>
      </c>
      <c r="AB532" s="38">
        <f t="shared" si="66"/>
        <v>2.0798840937318674</v>
      </c>
      <c r="AC532" s="37">
        <f>Priors!$K$18</f>
        <v>2.7435089299114512</v>
      </c>
      <c r="AD532" s="38">
        <f t="shared" si="67"/>
        <v>2.8681960078042925</v>
      </c>
      <c r="AE532" s="37">
        <f>Priors!$K$19</f>
        <v>0.67280088332719912</v>
      </c>
      <c r="AF532" s="38">
        <f t="shared" si="68"/>
        <v>0.70692982939149529</v>
      </c>
      <c r="AG532" s="17">
        <f t="shared" si="69"/>
        <v>0.78740157480314954</v>
      </c>
      <c r="AH532" s="7" t="s">
        <v>1643</v>
      </c>
      <c r="AI532" s="7"/>
      <c r="AJ532" s="38" t="str">
        <f t="shared" si="70"/>
        <v/>
      </c>
      <c r="AK532" s="9" t="b">
        <f t="shared" si="71"/>
        <v>1</v>
      </c>
      <c r="AL532" s="28" t="s">
        <v>1644</v>
      </c>
      <c r="AM532" s="28" t="s">
        <v>1645</v>
      </c>
      <c r="AN532" s="28" t="s">
        <v>1792</v>
      </c>
    </row>
    <row r="533" spans="1:40" ht="30">
      <c r="A533" s="7">
        <v>532</v>
      </c>
      <c r="B533" s="7" t="s">
        <v>1557</v>
      </c>
      <c r="C533" s="7" t="s">
        <v>58</v>
      </c>
      <c r="D533" s="7" t="s">
        <v>99</v>
      </c>
      <c r="E533" s="7" t="s">
        <v>1642</v>
      </c>
      <c r="F533" s="7" t="s">
        <v>58</v>
      </c>
      <c r="G533" s="14">
        <v>2144</v>
      </c>
      <c r="H533" s="14">
        <v>276</v>
      </c>
      <c r="I533" s="15">
        <v>11.08</v>
      </c>
      <c r="J533" s="14">
        <v>0</v>
      </c>
      <c r="K533" s="15">
        <v>0</v>
      </c>
      <c r="L533" s="14">
        <v>35</v>
      </c>
      <c r="M533" s="14">
        <v>6</v>
      </c>
      <c r="N533" s="13"/>
      <c r="O533" s="14">
        <v>9</v>
      </c>
      <c r="P533" s="14">
        <v>340</v>
      </c>
      <c r="Q533" s="15">
        <v>14.272388059701493</v>
      </c>
      <c r="R533" s="17">
        <f>IFERROR(G533/(G533+Priors!$H$18),0)</f>
        <v>0.68193384223918574</v>
      </c>
      <c r="S533" s="13">
        <v>1</v>
      </c>
      <c r="T533" s="40" t="b">
        <v>0</v>
      </c>
      <c r="U533" s="13">
        <v>1</v>
      </c>
      <c r="V533" s="40" t="b">
        <v>0</v>
      </c>
      <c r="W533" s="13">
        <v>1</v>
      </c>
      <c r="X533" s="17">
        <f t="shared" si="64"/>
        <v>0.68193384223918574</v>
      </c>
      <c r="Y533" s="37">
        <f>VLOOKUP(D533,Priors!$A$18:$B$21,2,FALSE)</f>
        <v>8.7398272304160223</v>
      </c>
      <c r="Z533" s="38">
        <f t="shared" si="65"/>
        <v>10.33567023868194</v>
      </c>
      <c r="AA533" s="39">
        <v>1</v>
      </c>
      <c r="AB533" s="38">
        <f t="shared" si="66"/>
        <v>10.33567023868194</v>
      </c>
      <c r="AC533" s="37">
        <f>Priors!$K$18</f>
        <v>2.7435089299114512</v>
      </c>
      <c r="AD533" s="38" t="str">
        <f t="shared" si="67"/>
        <v/>
      </c>
      <c r="AE533" s="37">
        <f>Priors!$K$19</f>
        <v>0.67280088332719912</v>
      </c>
      <c r="AF533" s="38" t="str">
        <f t="shared" si="68"/>
        <v/>
      </c>
      <c r="AG533" s="17">
        <f t="shared" si="69"/>
        <v>0.31806615776081426</v>
      </c>
      <c r="AH533" s="7" t="s">
        <v>1643</v>
      </c>
      <c r="AI533" s="7">
        <v>10</v>
      </c>
      <c r="AJ533" s="38">
        <f t="shared" si="70"/>
        <v>1.033567023868194</v>
      </c>
      <c r="AK533" s="9" t="b">
        <f t="shared" si="71"/>
        <v>0</v>
      </c>
      <c r="AL533" s="28" t="s">
        <v>1644</v>
      </c>
      <c r="AM533" s="28" t="s">
        <v>1645</v>
      </c>
      <c r="AN533" s="28" t="s">
        <v>1792</v>
      </c>
    </row>
    <row r="534" spans="1:40" ht="30">
      <c r="A534" s="7">
        <v>533</v>
      </c>
      <c r="B534" s="7" t="s">
        <v>1559</v>
      </c>
      <c r="C534" s="7" t="s">
        <v>58</v>
      </c>
      <c r="D534" s="7" t="s">
        <v>99</v>
      </c>
      <c r="E534" s="7" t="s">
        <v>1642</v>
      </c>
      <c r="F534" s="7" t="s">
        <v>58</v>
      </c>
      <c r="G534" s="14">
        <v>2784</v>
      </c>
      <c r="H534" s="14">
        <v>301</v>
      </c>
      <c r="I534" s="15">
        <v>8.83</v>
      </c>
      <c r="J534" s="14">
        <v>0</v>
      </c>
      <c r="K534" s="15">
        <v>0</v>
      </c>
      <c r="L534" s="14">
        <v>40</v>
      </c>
      <c r="M534" s="14">
        <v>9</v>
      </c>
      <c r="N534" s="13"/>
      <c r="O534" s="14">
        <v>11</v>
      </c>
      <c r="P534" s="14">
        <v>489</v>
      </c>
      <c r="Q534" s="15">
        <v>15.808189655172415</v>
      </c>
      <c r="R534" s="17">
        <f>IFERROR(G534/(G534+Priors!$H$18),0)</f>
        <v>0.73572938689217759</v>
      </c>
      <c r="S534" s="13">
        <v>1</v>
      </c>
      <c r="T534" s="40" t="b">
        <v>0</v>
      </c>
      <c r="U534" s="13">
        <v>1</v>
      </c>
      <c r="V534" s="40" t="b">
        <v>0</v>
      </c>
      <c r="W534" s="13">
        <v>1</v>
      </c>
      <c r="X534" s="17">
        <f t="shared" si="64"/>
        <v>0.73572938689217759</v>
      </c>
      <c r="Y534" s="37">
        <f>VLOOKUP(D534,Priors!$A$18:$B$21,2,FALSE)</f>
        <v>8.7398272304160223</v>
      </c>
      <c r="Z534" s="38">
        <f t="shared" si="65"/>
        <v>8.8061699868964105</v>
      </c>
      <c r="AA534" s="39">
        <v>1</v>
      </c>
      <c r="AB534" s="38">
        <f t="shared" si="66"/>
        <v>8.8061699868964105</v>
      </c>
      <c r="AC534" s="37">
        <f>Priors!$K$18</f>
        <v>2.7435089299114512</v>
      </c>
      <c r="AD534" s="38" t="str">
        <f t="shared" si="67"/>
        <v/>
      </c>
      <c r="AE534" s="37">
        <f>Priors!$K$19</f>
        <v>0.67280088332719912</v>
      </c>
      <c r="AF534" s="38" t="str">
        <f t="shared" si="68"/>
        <v/>
      </c>
      <c r="AG534" s="17">
        <f t="shared" si="69"/>
        <v>0.26427061310782241</v>
      </c>
      <c r="AH534" s="7" t="s">
        <v>1643</v>
      </c>
      <c r="AI534" s="7">
        <v>10</v>
      </c>
      <c r="AJ534" s="38">
        <f t="shared" si="70"/>
        <v>0.88061699868964105</v>
      </c>
      <c r="AK534" s="9" t="b">
        <f t="shared" si="71"/>
        <v>0</v>
      </c>
      <c r="AL534" s="28" t="s">
        <v>1644</v>
      </c>
      <c r="AM534" s="28" t="s">
        <v>1645</v>
      </c>
      <c r="AN534" s="28" t="s">
        <v>1792</v>
      </c>
    </row>
    <row r="535" spans="1:40" ht="30">
      <c r="A535" s="7">
        <v>534</v>
      </c>
      <c r="B535" s="7" t="s">
        <v>1561</v>
      </c>
      <c r="C535" s="7" t="s">
        <v>58</v>
      </c>
      <c r="D535" s="7" t="s">
        <v>99</v>
      </c>
      <c r="E535" s="7" t="s">
        <v>1642</v>
      </c>
      <c r="F535" s="7" t="s">
        <v>58</v>
      </c>
      <c r="G535" s="14">
        <v>3032</v>
      </c>
      <c r="H535" s="14">
        <v>230</v>
      </c>
      <c r="I535" s="15">
        <v>6.03</v>
      </c>
      <c r="J535" s="14">
        <v>0</v>
      </c>
      <c r="K535" s="15">
        <v>0</v>
      </c>
      <c r="L535" s="14">
        <v>42</v>
      </c>
      <c r="M535" s="14">
        <v>9</v>
      </c>
      <c r="N535" s="13"/>
      <c r="O535" s="14">
        <v>6</v>
      </c>
      <c r="P535" s="14">
        <v>383</v>
      </c>
      <c r="Q535" s="15">
        <v>11.368733509234829</v>
      </c>
      <c r="R535" s="17">
        <f>IFERROR(G535/(G535+Priors!$H$18),0)</f>
        <v>0.75198412698412698</v>
      </c>
      <c r="S535" s="13">
        <v>1</v>
      </c>
      <c r="T535" s="40" t="b">
        <v>0</v>
      </c>
      <c r="U535" s="13">
        <v>1</v>
      </c>
      <c r="V535" s="40" t="b">
        <v>0</v>
      </c>
      <c r="W535" s="13">
        <v>1</v>
      </c>
      <c r="X535" s="17">
        <f t="shared" si="64"/>
        <v>0.75198412698412698</v>
      </c>
      <c r="Y535" s="37">
        <f>VLOOKUP(D535,Priors!$A$18:$B$21,2,FALSE)</f>
        <v>8.7398272304160223</v>
      </c>
      <c r="Z535" s="38">
        <f t="shared" si="65"/>
        <v>6.7020801662738148</v>
      </c>
      <c r="AA535" s="39">
        <v>1</v>
      </c>
      <c r="AB535" s="38">
        <f t="shared" si="66"/>
        <v>6.7020801662738148</v>
      </c>
      <c r="AC535" s="37">
        <f>Priors!$K$18</f>
        <v>2.7435089299114512</v>
      </c>
      <c r="AD535" s="38" t="str">
        <f t="shared" si="67"/>
        <v/>
      </c>
      <c r="AE535" s="37">
        <f>Priors!$K$19</f>
        <v>0.67280088332719912</v>
      </c>
      <c r="AF535" s="38" t="str">
        <f t="shared" si="68"/>
        <v/>
      </c>
      <c r="AG535" s="17">
        <f t="shared" si="69"/>
        <v>0.24801587301587302</v>
      </c>
      <c r="AH535" s="7" t="s">
        <v>1643</v>
      </c>
      <c r="AI535" s="7">
        <v>10</v>
      </c>
      <c r="AJ535" s="38">
        <f t="shared" si="70"/>
        <v>0.6702080166273815</v>
      </c>
      <c r="AK535" s="9" t="b">
        <f t="shared" si="71"/>
        <v>0</v>
      </c>
      <c r="AL535" s="28" t="s">
        <v>1644</v>
      </c>
      <c r="AM535" s="28" t="s">
        <v>1645</v>
      </c>
      <c r="AN535" s="28" t="s">
        <v>1792</v>
      </c>
    </row>
    <row r="536" spans="1:40" ht="30">
      <c r="A536" s="7">
        <v>535</v>
      </c>
      <c r="B536" s="7" t="s">
        <v>1563</v>
      </c>
      <c r="C536" s="7" t="s">
        <v>58</v>
      </c>
      <c r="D536" s="7" t="s">
        <v>99</v>
      </c>
      <c r="E536" s="7" t="s">
        <v>1642</v>
      </c>
      <c r="F536" s="7" t="s">
        <v>58</v>
      </c>
      <c r="G536" s="14">
        <v>2797</v>
      </c>
      <c r="H536" s="14">
        <v>336</v>
      </c>
      <c r="I536" s="15">
        <v>10.039999999999999</v>
      </c>
      <c r="J536" s="14">
        <v>0</v>
      </c>
      <c r="K536" s="15">
        <v>0</v>
      </c>
      <c r="L536" s="14">
        <v>40</v>
      </c>
      <c r="M536" s="14">
        <v>10</v>
      </c>
      <c r="N536" s="13"/>
      <c r="O536" s="14">
        <v>5</v>
      </c>
      <c r="P536" s="14">
        <v>400</v>
      </c>
      <c r="Q536" s="15">
        <v>12.870933142652841</v>
      </c>
      <c r="R536" s="17">
        <f>IFERROR(G536/(G536+Priors!$H$18),0)</f>
        <v>0.73663418488280219</v>
      </c>
      <c r="S536" s="13">
        <v>1</v>
      </c>
      <c r="T536" s="40" t="b">
        <v>0</v>
      </c>
      <c r="U536" s="13">
        <v>1</v>
      </c>
      <c r="V536" s="40" t="b">
        <v>0</v>
      </c>
      <c r="W536" s="13">
        <v>1</v>
      </c>
      <c r="X536" s="17">
        <f t="shared" si="64"/>
        <v>0.73663418488280219</v>
      </c>
      <c r="Y536" s="37">
        <f>VLOOKUP(D536,Priors!$A$18:$B$21,2,FALSE)</f>
        <v>8.7398272304160223</v>
      </c>
      <c r="Z536" s="38">
        <f t="shared" si="65"/>
        <v>9.6975789387453304</v>
      </c>
      <c r="AA536" s="39">
        <v>1</v>
      </c>
      <c r="AB536" s="38">
        <f t="shared" si="66"/>
        <v>9.6975789387453304</v>
      </c>
      <c r="AC536" s="37">
        <f>Priors!$K$18</f>
        <v>2.7435089299114512</v>
      </c>
      <c r="AD536" s="38" t="str">
        <f t="shared" si="67"/>
        <v/>
      </c>
      <c r="AE536" s="37">
        <f>Priors!$K$19</f>
        <v>0.67280088332719912</v>
      </c>
      <c r="AF536" s="38" t="str">
        <f t="shared" si="68"/>
        <v/>
      </c>
      <c r="AG536" s="17">
        <f t="shared" si="69"/>
        <v>0.26336581511719781</v>
      </c>
      <c r="AH536" s="7" t="s">
        <v>1643</v>
      </c>
      <c r="AI536" s="7">
        <v>10</v>
      </c>
      <c r="AJ536" s="38">
        <f t="shared" si="70"/>
        <v>0.96975789387453304</v>
      </c>
      <c r="AK536" s="9" t="b">
        <f t="shared" si="71"/>
        <v>0</v>
      </c>
      <c r="AL536" s="28" t="s">
        <v>1644</v>
      </c>
      <c r="AM536" s="28" t="s">
        <v>1645</v>
      </c>
      <c r="AN536" s="28" t="s">
        <v>1792</v>
      </c>
    </row>
    <row r="537" spans="1:40" ht="30">
      <c r="A537" s="7">
        <v>536</v>
      </c>
      <c r="B537" s="7" t="s">
        <v>1565</v>
      </c>
      <c r="C537" s="7" t="s">
        <v>58</v>
      </c>
      <c r="D537" s="7" t="s">
        <v>99</v>
      </c>
      <c r="E537" s="7" t="s">
        <v>1642</v>
      </c>
      <c r="F537" s="7" t="s">
        <v>58</v>
      </c>
      <c r="G537" s="14">
        <v>1966</v>
      </c>
      <c r="H537" s="14">
        <v>183</v>
      </c>
      <c r="I537" s="15">
        <v>7.51</v>
      </c>
      <c r="J537" s="14">
        <v>0</v>
      </c>
      <c r="K537" s="15">
        <v>0</v>
      </c>
      <c r="L537" s="14">
        <v>27</v>
      </c>
      <c r="M537" s="14">
        <v>6</v>
      </c>
      <c r="N537" s="13"/>
      <c r="O537" s="14">
        <v>6</v>
      </c>
      <c r="P537" s="14">
        <v>281</v>
      </c>
      <c r="Q537" s="15">
        <v>12.863682604272634</v>
      </c>
      <c r="R537" s="17">
        <f>IFERROR(G537/(G537+Priors!$H$18),0)</f>
        <v>0.66284558327714094</v>
      </c>
      <c r="S537" s="13">
        <v>1</v>
      </c>
      <c r="T537" s="40" t="b">
        <v>0</v>
      </c>
      <c r="U537" s="13">
        <v>1</v>
      </c>
      <c r="V537" s="40" t="b">
        <v>0</v>
      </c>
      <c r="W537" s="13">
        <v>1</v>
      </c>
      <c r="X537" s="17">
        <f t="shared" si="64"/>
        <v>0.66284558327714094</v>
      </c>
      <c r="Y537" s="37">
        <f>VLOOKUP(D537,Priors!$A$18:$B$21,2,FALSE)</f>
        <v>8.7398272304160223</v>
      </c>
      <c r="Z537" s="38">
        <f t="shared" si="65"/>
        <v>7.9246416825408037</v>
      </c>
      <c r="AA537" s="39">
        <v>1</v>
      </c>
      <c r="AB537" s="38">
        <f t="shared" si="66"/>
        <v>7.9246416825408037</v>
      </c>
      <c r="AC537" s="37">
        <f>Priors!$K$18</f>
        <v>2.7435089299114512</v>
      </c>
      <c r="AD537" s="38" t="str">
        <f t="shared" si="67"/>
        <v/>
      </c>
      <c r="AE537" s="37">
        <f>Priors!$K$19</f>
        <v>0.67280088332719912</v>
      </c>
      <c r="AF537" s="38" t="str">
        <f t="shared" si="68"/>
        <v/>
      </c>
      <c r="AG537" s="17">
        <f t="shared" si="69"/>
        <v>0.33715441672285906</v>
      </c>
      <c r="AH537" s="7" t="s">
        <v>1643</v>
      </c>
      <c r="AI537" s="7">
        <v>10</v>
      </c>
      <c r="AJ537" s="38">
        <f t="shared" si="70"/>
        <v>0.79246416825408039</v>
      </c>
      <c r="AK537" s="9" t="b">
        <f t="shared" si="71"/>
        <v>0</v>
      </c>
      <c r="AL537" s="28" t="s">
        <v>1644</v>
      </c>
      <c r="AM537" s="28" t="s">
        <v>1645</v>
      </c>
      <c r="AN537" s="28" t="s">
        <v>1792</v>
      </c>
    </row>
    <row r="538" spans="1:40" ht="30">
      <c r="A538" s="7">
        <v>537</v>
      </c>
      <c r="B538" s="7" t="s">
        <v>1567</v>
      </c>
      <c r="C538" s="7" t="s">
        <v>58</v>
      </c>
      <c r="D538" s="7" t="s">
        <v>99</v>
      </c>
      <c r="E538" s="7" t="s">
        <v>1642</v>
      </c>
      <c r="F538" s="7" t="s">
        <v>58</v>
      </c>
      <c r="G538" s="14">
        <v>133</v>
      </c>
      <c r="H538" s="14">
        <v>18</v>
      </c>
      <c r="I538" s="15">
        <v>8.1199999999999992</v>
      </c>
      <c r="J538" s="14">
        <v>0</v>
      </c>
      <c r="K538" s="15">
        <v>0</v>
      </c>
      <c r="L538" s="14">
        <v>2</v>
      </c>
      <c r="M538" s="14">
        <v>0</v>
      </c>
      <c r="N538" s="13"/>
      <c r="O538" s="14">
        <v>0</v>
      </c>
      <c r="P538" s="14">
        <v>11</v>
      </c>
      <c r="Q538" s="15">
        <v>7.4436090225563909</v>
      </c>
      <c r="R538" s="17">
        <f>IFERROR(G538/(G538+Priors!$H$18),0)</f>
        <v>0.11738746690203</v>
      </c>
      <c r="S538" s="13">
        <v>1</v>
      </c>
      <c r="T538" s="40" t="b">
        <v>0</v>
      </c>
      <c r="U538" s="13">
        <v>1</v>
      </c>
      <c r="V538" s="40" t="b">
        <v>0</v>
      </c>
      <c r="W538" s="13">
        <v>1</v>
      </c>
      <c r="X538" s="17">
        <f t="shared" si="64"/>
        <v>0.11738746690203</v>
      </c>
      <c r="Y538" s="37">
        <f>VLOOKUP(D538,Priors!$A$18:$B$21,2,FALSE)</f>
        <v>8.7398272304160223</v>
      </c>
      <c r="Z538" s="38">
        <f t="shared" si="65"/>
        <v>8.6670672819205841</v>
      </c>
      <c r="AA538" s="39">
        <v>1</v>
      </c>
      <c r="AB538" s="38">
        <f t="shared" si="66"/>
        <v>8.6670672819205841</v>
      </c>
      <c r="AC538" s="37">
        <f>Priors!$K$18</f>
        <v>2.7435089299114512</v>
      </c>
      <c r="AD538" s="38" t="str">
        <f t="shared" si="67"/>
        <v/>
      </c>
      <c r="AE538" s="37">
        <f>Priors!$K$19</f>
        <v>0.67280088332719912</v>
      </c>
      <c r="AF538" s="38" t="str">
        <f t="shared" si="68"/>
        <v/>
      </c>
      <c r="AG538" s="17">
        <f t="shared" si="69"/>
        <v>0.88261253309796994</v>
      </c>
      <c r="AH538" s="7" t="s">
        <v>1643</v>
      </c>
      <c r="AI538" s="7">
        <v>10</v>
      </c>
      <c r="AJ538" s="38">
        <f t="shared" si="70"/>
        <v>0.86670672819205841</v>
      </c>
      <c r="AK538" s="9" t="b">
        <f t="shared" si="71"/>
        <v>1</v>
      </c>
      <c r="AL538" s="28" t="s">
        <v>1644</v>
      </c>
      <c r="AM538" s="28" t="s">
        <v>1645</v>
      </c>
      <c r="AN538" s="28" t="s">
        <v>1792</v>
      </c>
    </row>
    <row r="539" spans="1:40" ht="30">
      <c r="A539" s="7">
        <v>538</v>
      </c>
      <c r="B539" s="7" t="s">
        <v>1569</v>
      </c>
      <c r="C539" s="7" t="s">
        <v>58</v>
      </c>
      <c r="D539" s="7" t="s">
        <v>99</v>
      </c>
      <c r="E539" s="7" t="s">
        <v>1642</v>
      </c>
      <c r="F539" s="7" t="s">
        <v>58</v>
      </c>
      <c r="G539" s="14">
        <v>0</v>
      </c>
      <c r="H539" s="14">
        <v>0</v>
      </c>
      <c r="I539" s="15">
        <v>0</v>
      </c>
      <c r="J539" s="14">
        <v>0</v>
      </c>
      <c r="K539" s="15">
        <v>0</v>
      </c>
      <c r="L539" s="14">
        <v>0</v>
      </c>
      <c r="M539" s="14">
        <v>0</v>
      </c>
      <c r="N539" s="13"/>
      <c r="O539" s="14">
        <v>0</v>
      </c>
      <c r="P539" s="14">
        <v>0</v>
      </c>
      <c r="Q539" s="15">
        <v>0</v>
      </c>
      <c r="R539" s="17">
        <f>IFERROR(G539/(G539+Priors!$H$18),0)</f>
        <v>0</v>
      </c>
      <c r="S539" s="13">
        <v>1</v>
      </c>
      <c r="T539" s="40" t="b">
        <v>0</v>
      </c>
      <c r="U539" s="13">
        <v>1</v>
      </c>
      <c r="V539" s="40" t="b">
        <v>0</v>
      </c>
      <c r="W539" s="13">
        <v>1</v>
      </c>
      <c r="X539" s="17">
        <f t="shared" si="64"/>
        <v>0</v>
      </c>
      <c r="Y539" s="37">
        <f>VLOOKUP(D539,Priors!$A$18:$B$21,2,FALSE)</f>
        <v>8.7398272304160223</v>
      </c>
      <c r="Z539" s="38">
        <f t="shared" si="65"/>
        <v>8.7398272304160223</v>
      </c>
      <c r="AA539" s="39">
        <v>1</v>
      </c>
      <c r="AB539" s="38">
        <f t="shared" si="66"/>
        <v>8.7398272304160223</v>
      </c>
      <c r="AC539" s="37">
        <f>Priors!$K$18</f>
        <v>2.7435089299114512</v>
      </c>
      <c r="AD539" s="38" t="str">
        <f t="shared" si="67"/>
        <v/>
      </c>
      <c r="AE539" s="37">
        <f>Priors!$K$19</f>
        <v>0.67280088332719912</v>
      </c>
      <c r="AF539" s="38" t="str">
        <f t="shared" si="68"/>
        <v/>
      </c>
      <c r="AG539" s="17">
        <f t="shared" si="69"/>
        <v>1</v>
      </c>
      <c r="AH539" s="7" t="s">
        <v>1643</v>
      </c>
      <c r="AI539" s="7">
        <v>10</v>
      </c>
      <c r="AJ539" s="38">
        <f t="shared" si="70"/>
        <v>0.87398272304160218</v>
      </c>
      <c r="AK539" s="9" t="b">
        <f t="shared" si="71"/>
        <v>1</v>
      </c>
      <c r="AL539" s="28" t="s">
        <v>1644</v>
      </c>
      <c r="AM539" s="28" t="s">
        <v>1645</v>
      </c>
      <c r="AN539" s="28" t="s">
        <v>1792</v>
      </c>
    </row>
    <row r="540" spans="1:40" ht="30">
      <c r="A540" s="7">
        <v>539</v>
      </c>
      <c r="B540" s="7" t="s">
        <v>1571</v>
      </c>
      <c r="C540" s="7" t="s">
        <v>58</v>
      </c>
      <c r="D540" s="7" t="s">
        <v>99</v>
      </c>
      <c r="E540" s="7" t="s">
        <v>1642</v>
      </c>
      <c r="F540" s="7" t="s">
        <v>58</v>
      </c>
      <c r="G540" s="14">
        <v>565</v>
      </c>
      <c r="H540" s="14">
        <v>43</v>
      </c>
      <c r="I540" s="15">
        <v>6.85</v>
      </c>
      <c r="J540" s="14">
        <v>0</v>
      </c>
      <c r="K540" s="15">
        <v>0</v>
      </c>
      <c r="L540" s="14">
        <v>7</v>
      </c>
      <c r="M540" s="14">
        <v>2</v>
      </c>
      <c r="N540" s="13"/>
      <c r="O540" s="14">
        <v>1</v>
      </c>
      <c r="P540" s="14">
        <v>90</v>
      </c>
      <c r="Q540" s="15">
        <v>14.336283185840708</v>
      </c>
      <c r="R540" s="17">
        <f>IFERROR(G540/(G540+Priors!$H$18),0)</f>
        <v>0.36102236421725242</v>
      </c>
      <c r="S540" s="13">
        <v>1</v>
      </c>
      <c r="T540" s="40" t="b">
        <v>0</v>
      </c>
      <c r="U540" s="13">
        <v>1</v>
      </c>
      <c r="V540" s="40" t="b">
        <v>0</v>
      </c>
      <c r="W540" s="13">
        <v>1</v>
      </c>
      <c r="X540" s="17">
        <f t="shared" si="64"/>
        <v>0.36102236421725242</v>
      </c>
      <c r="Y540" s="37">
        <f>VLOOKUP(D540,Priors!$A$18:$B$21,2,FALSE)</f>
        <v>8.7398272304160223</v>
      </c>
      <c r="Z540" s="38">
        <f t="shared" si="65"/>
        <v>8.0575573357290864</v>
      </c>
      <c r="AA540" s="39">
        <v>1</v>
      </c>
      <c r="AB540" s="38">
        <f t="shared" si="66"/>
        <v>8.0575573357290864</v>
      </c>
      <c r="AC540" s="37">
        <f>Priors!$K$18</f>
        <v>2.7435089299114512</v>
      </c>
      <c r="AD540" s="38" t="str">
        <f t="shared" si="67"/>
        <v/>
      </c>
      <c r="AE540" s="37">
        <f>Priors!$K$19</f>
        <v>0.67280088332719912</v>
      </c>
      <c r="AF540" s="38" t="str">
        <f t="shared" si="68"/>
        <v/>
      </c>
      <c r="AG540" s="17">
        <f t="shared" si="69"/>
        <v>0.63897763578274758</v>
      </c>
      <c r="AH540" s="7" t="s">
        <v>1643</v>
      </c>
      <c r="AI540" s="7">
        <v>10</v>
      </c>
      <c r="AJ540" s="38">
        <f t="shared" si="70"/>
        <v>0.80575573357290864</v>
      </c>
      <c r="AK540" s="9" t="b">
        <f t="shared" si="71"/>
        <v>1</v>
      </c>
      <c r="AL540" s="28" t="s">
        <v>1644</v>
      </c>
      <c r="AM540" s="28" t="s">
        <v>1645</v>
      </c>
      <c r="AN540" s="28" t="s">
        <v>1792</v>
      </c>
    </row>
    <row r="541" spans="1:40" ht="30">
      <c r="A541" s="7">
        <v>540</v>
      </c>
      <c r="B541" s="7" t="s">
        <v>1574</v>
      </c>
      <c r="C541" s="7" t="s">
        <v>58</v>
      </c>
      <c r="D541" s="7" t="s">
        <v>99</v>
      </c>
      <c r="E541" s="7" t="s">
        <v>1642</v>
      </c>
      <c r="F541" s="7" t="s">
        <v>58</v>
      </c>
      <c r="G541" s="14">
        <v>125</v>
      </c>
      <c r="H541" s="14">
        <v>13</v>
      </c>
      <c r="I541" s="15">
        <v>7.2</v>
      </c>
      <c r="J541" s="14">
        <v>0</v>
      </c>
      <c r="K541" s="15">
        <v>0</v>
      </c>
      <c r="L541" s="14">
        <v>2</v>
      </c>
      <c r="M541" s="14">
        <v>0</v>
      </c>
      <c r="N541" s="13"/>
      <c r="O541" s="14">
        <v>0</v>
      </c>
      <c r="P541" s="14">
        <v>4</v>
      </c>
      <c r="Q541" s="15">
        <v>2.88</v>
      </c>
      <c r="R541" s="17">
        <f>IFERROR(G541/(G541+Priors!$H$18),0)</f>
        <v>0.1111111111111111</v>
      </c>
      <c r="S541" s="13">
        <v>1</v>
      </c>
      <c r="T541" s="40" t="b">
        <v>0</v>
      </c>
      <c r="U541" s="13">
        <v>1</v>
      </c>
      <c r="V541" s="40" t="b">
        <v>0</v>
      </c>
      <c r="W541" s="13">
        <v>1</v>
      </c>
      <c r="X541" s="17">
        <f t="shared" si="64"/>
        <v>0.1111111111111111</v>
      </c>
      <c r="Y541" s="37">
        <f>VLOOKUP(D541,Priors!$A$18:$B$21,2,FALSE)</f>
        <v>8.7398272304160223</v>
      </c>
      <c r="Z541" s="38">
        <f t="shared" si="65"/>
        <v>8.5687353159253536</v>
      </c>
      <c r="AA541" s="39">
        <v>1</v>
      </c>
      <c r="AB541" s="38">
        <f t="shared" si="66"/>
        <v>8.5687353159253536</v>
      </c>
      <c r="AC541" s="37">
        <f>Priors!$K$18</f>
        <v>2.7435089299114512</v>
      </c>
      <c r="AD541" s="38" t="str">
        <f t="shared" si="67"/>
        <v/>
      </c>
      <c r="AE541" s="37">
        <f>Priors!$K$19</f>
        <v>0.67280088332719912</v>
      </c>
      <c r="AF541" s="38" t="str">
        <f t="shared" si="68"/>
        <v/>
      </c>
      <c r="AG541" s="17">
        <f t="shared" si="69"/>
        <v>0.88888888888888884</v>
      </c>
      <c r="AH541" s="7" t="s">
        <v>1643</v>
      </c>
      <c r="AI541" s="7">
        <v>10</v>
      </c>
      <c r="AJ541" s="38">
        <f t="shared" si="70"/>
        <v>0.85687353159253532</v>
      </c>
      <c r="AK541" s="9" t="b">
        <f t="shared" si="71"/>
        <v>1</v>
      </c>
      <c r="AL541" s="28" t="s">
        <v>1644</v>
      </c>
      <c r="AM541" s="28" t="s">
        <v>1645</v>
      </c>
      <c r="AN541" s="28" t="s">
        <v>1792</v>
      </c>
    </row>
    <row r="542" spans="1:40" ht="30">
      <c r="A542" s="7">
        <v>541</v>
      </c>
      <c r="B542" s="7" t="s">
        <v>1577</v>
      </c>
      <c r="C542" s="7" t="s">
        <v>58</v>
      </c>
      <c r="D542" s="7" t="s">
        <v>99</v>
      </c>
      <c r="E542" s="7" t="s">
        <v>1647</v>
      </c>
      <c r="F542" s="7"/>
      <c r="G542" s="14">
        <v>0</v>
      </c>
      <c r="H542" s="14"/>
      <c r="I542" s="15"/>
      <c r="J542" s="14"/>
      <c r="K542" s="15"/>
      <c r="L542" s="14"/>
      <c r="M542" s="14"/>
      <c r="N542" s="13"/>
      <c r="O542" s="14"/>
      <c r="P542" s="14"/>
      <c r="Q542" s="15"/>
      <c r="R542" s="17">
        <f>IFERROR(G542/(G542+Priors!$H$18),0)</f>
        <v>0</v>
      </c>
      <c r="S542" s="13">
        <v>0</v>
      </c>
      <c r="T542" s="40" t="b">
        <v>0</v>
      </c>
      <c r="U542" s="13">
        <v>1</v>
      </c>
      <c r="V542" s="40" t="b">
        <v>0</v>
      </c>
      <c r="W542" s="13">
        <v>1</v>
      </c>
      <c r="X542" s="17">
        <f t="shared" si="64"/>
        <v>0</v>
      </c>
      <c r="Y542" s="37">
        <f>VLOOKUP(D542,Priors!$A$18:$B$21,2,FALSE)</f>
        <v>8.7398272304160223</v>
      </c>
      <c r="Z542" s="38">
        <f t="shared" si="65"/>
        <v>8.7398272304160223</v>
      </c>
      <c r="AA542" s="39">
        <v>1</v>
      </c>
      <c r="AB542" s="38">
        <f t="shared" si="66"/>
        <v>8.7398272304160223</v>
      </c>
      <c r="AC542" s="37">
        <f>Priors!$K$18</f>
        <v>2.7435089299114512</v>
      </c>
      <c r="AD542" s="38" t="str">
        <f t="shared" si="67"/>
        <v/>
      </c>
      <c r="AE542" s="37">
        <f>Priors!$K$19</f>
        <v>0.67280088332719912</v>
      </c>
      <c r="AF542" s="38" t="str">
        <f t="shared" si="68"/>
        <v/>
      </c>
      <c r="AG542" s="17">
        <f t="shared" si="69"/>
        <v>1</v>
      </c>
      <c r="AH542" s="7" t="s">
        <v>1793</v>
      </c>
      <c r="AI542" s="7">
        <v>10</v>
      </c>
      <c r="AJ542" s="38">
        <f t="shared" si="70"/>
        <v>0.87398272304160218</v>
      </c>
      <c r="AK542" s="9" t="b">
        <f t="shared" si="71"/>
        <v>1</v>
      </c>
      <c r="AL542" s="28" t="s">
        <v>1794</v>
      </c>
      <c r="AM542" s="28"/>
      <c r="AN542" s="28" t="s">
        <v>1792</v>
      </c>
    </row>
    <row r="543" spans="1:40" ht="30">
      <c r="A543" s="7">
        <v>542</v>
      </c>
      <c r="B543" s="7" t="s">
        <v>1580</v>
      </c>
      <c r="C543" s="7" t="s">
        <v>58</v>
      </c>
      <c r="D543" s="7" t="s">
        <v>112</v>
      </c>
      <c r="E543" s="7" t="s">
        <v>1642</v>
      </c>
      <c r="F543" s="7" t="s">
        <v>58</v>
      </c>
      <c r="G543" s="14">
        <v>2930</v>
      </c>
      <c r="H543" s="14">
        <v>319</v>
      </c>
      <c r="I543" s="15">
        <v>9.8000000000000007</v>
      </c>
      <c r="J543" s="14">
        <v>0</v>
      </c>
      <c r="K543" s="15">
        <v>0</v>
      </c>
      <c r="L543" s="14">
        <v>43</v>
      </c>
      <c r="M543" s="14">
        <v>10</v>
      </c>
      <c r="N543" s="13"/>
      <c r="O543" s="14">
        <v>16</v>
      </c>
      <c r="P543" s="14">
        <v>621</v>
      </c>
      <c r="Q543" s="15">
        <v>19.075085324232081</v>
      </c>
      <c r="R543" s="17">
        <f>IFERROR(G543/(G543+Priors!$H$18),0)</f>
        <v>0.74554707379134855</v>
      </c>
      <c r="S543" s="13">
        <v>1</v>
      </c>
      <c r="T543" s="40" t="b">
        <v>0</v>
      </c>
      <c r="U543" s="13">
        <v>1</v>
      </c>
      <c r="V543" s="40" t="b">
        <v>0</v>
      </c>
      <c r="W543" s="13">
        <v>1</v>
      </c>
      <c r="X543" s="17">
        <f t="shared" si="64"/>
        <v>0.74554707379134855</v>
      </c>
      <c r="Y543" s="37">
        <f>VLOOKUP(D543,Priors!$A$18:$B$21,2,FALSE)</f>
        <v>8.4555315342179806</v>
      </c>
      <c r="Z543" s="38">
        <f t="shared" si="65"/>
        <v>9.4578960646865085</v>
      </c>
      <c r="AA543" s="39">
        <v>1</v>
      </c>
      <c r="AB543" s="38">
        <f t="shared" si="66"/>
        <v>9.4578960646865085</v>
      </c>
      <c r="AC543" s="37">
        <f>Priors!$K$18</f>
        <v>2.7435089299114512</v>
      </c>
      <c r="AD543" s="38" t="str">
        <f t="shared" si="67"/>
        <v/>
      </c>
      <c r="AE543" s="37">
        <f>Priors!$K$19</f>
        <v>0.67280088332719912</v>
      </c>
      <c r="AF543" s="38" t="str">
        <f t="shared" si="68"/>
        <v/>
      </c>
      <c r="AG543" s="17">
        <f t="shared" si="69"/>
        <v>0.25445292620865145</v>
      </c>
      <c r="AH543" s="7" t="s">
        <v>1643</v>
      </c>
      <c r="AI543" s="7">
        <v>12</v>
      </c>
      <c r="AJ543" s="38">
        <f t="shared" si="70"/>
        <v>0.78815800539054237</v>
      </c>
      <c r="AK543" s="9" t="b">
        <f t="shared" si="71"/>
        <v>0</v>
      </c>
      <c r="AL543" s="28" t="s">
        <v>1644</v>
      </c>
      <c r="AM543" s="28" t="s">
        <v>1645</v>
      </c>
      <c r="AN543" s="28" t="s">
        <v>1792</v>
      </c>
    </row>
    <row r="544" spans="1:40" ht="30">
      <c r="A544" s="7">
        <v>543</v>
      </c>
      <c r="B544" s="7" t="s">
        <v>1582</v>
      </c>
      <c r="C544" s="7" t="s">
        <v>58</v>
      </c>
      <c r="D544" s="7" t="s">
        <v>112</v>
      </c>
      <c r="E544" s="7" t="s">
        <v>1642</v>
      </c>
      <c r="F544" s="7" t="s">
        <v>58</v>
      </c>
      <c r="G544" s="14">
        <v>1403</v>
      </c>
      <c r="H544" s="14">
        <v>79</v>
      </c>
      <c r="I544" s="15">
        <v>5.07</v>
      </c>
      <c r="J544" s="14">
        <v>0</v>
      </c>
      <c r="K544" s="15">
        <v>0</v>
      </c>
      <c r="L544" s="14">
        <v>19</v>
      </c>
      <c r="M544" s="14">
        <v>5</v>
      </c>
      <c r="N544" s="13"/>
      <c r="O544" s="14">
        <v>3</v>
      </c>
      <c r="P544" s="14">
        <v>209</v>
      </c>
      <c r="Q544" s="15">
        <v>13.406985032074127</v>
      </c>
      <c r="R544" s="17">
        <f>IFERROR(G544/(G544+Priors!$H$18),0)</f>
        <v>0.58385351643778605</v>
      </c>
      <c r="S544" s="13">
        <v>1</v>
      </c>
      <c r="T544" s="40" t="b">
        <v>0</v>
      </c>
      <c r="U544" s="13">
        <v>1</v>
      </c>
      <c r="V544" s="40" t="b">
        <v>0</v>
      </c>
      <c r="W544" s="13">
        <v>1</v>
      </c>
      <c r="X544" s="17">
        <f t="shared" si="64"/>
        <v>0.58385351643778605</v>
      </c>
      <c r="Y544" s="37">
        <f>VLOOKUP(D544,Priors!$A$18:$B$21,2,FALSE)</f>
        <v>8.4555315342179806</v>
      </c>
      <c r="Z544" s="38">
        <f t="shared" si="65"/>
        <v>6.4788770429538003</v>
      </c>
      <c r="AA544" s="39">
        <v>1</v>
      </c>
      <c r="AB544" s="38">
        <f t="shared" si="66"/>
        <v>6.4788770429538003</v>
      </c>
      <c r="AC544" s="37">
        <f>Priors!$K$18</f>
        <v>2.7435089299114512</v>
      </c>
      <c r="AD544" s="38" t="str">
        <f t="shared" si="67"/>
        <v/>
      </c>
      <c r="AE544" s="37">
        <f>Priors!$K$19</f>
        <v>0.67280088332719912</v>
      </c>
      <c r="AF544" s="38" t="str">
        <f t="shared" si="68"/>
        <v/>
      </c>
      <c r="AG544" s="17">
        <f t="shared" si="69"/>
        <v>0.41614648356221395</v>
      </c>
      <c r="AH544" s="7" t="s">
        <v>1643</v>
      </c>
      <c r="AI544" s="7">
        <v>12</v>
      </c>
      <c r="AJ544" s="38">
        <f t="shared" si="70"/>
        <v>0.53990642024614999</v>
      </c>
      <c r="AK544" s="9" t="b">
        <f t="shared" si="71"/>
        <v>0</v>
      </c>
      <c r="AL544" s="28" t="s">
        <v>1644</v>
      </c>
      <c r="AM544" s="28" t="s">
        <v>1645</v>
      </c>
      <c r="AN544" s="28" t="s">
        <v>1792</v>
      </c>
    </row>
    <row r="545" spans="1:40" ht="30">
      <c r="A545" s="7">
        <v>544</v>
      </c>
      <c r="B545" s="7" t="s">
        <v>1584</v>
      </c>
      <c r="C545" s="7" t="s">
        <v>58</v>
      </c>
      <c r="D545" s="7" t="s">
        <v>112</v>
      </c>
      <c r="E545" s="7" t="s">
        <v>1642</v>
      </c>
      <c r="F545" s="7" t="s">
        <v>58</v>
      </c>
      <c r="G545" s="14">
        <v>2901</v>
      </c>
      <c r="H545" s="14">
        <v>362</v>
      </c>
      <c r="I545" s="15">
        <v>11.23</v>
      </c>
      <c r="J545" s="14">
        <v>0</v>
      </c>
      <c r="K545" s="15">
        <v>0</v>
      </c>
      <c r="L545" s="14">
        <v>39</v>
      </c>
      <c r="M545" s="14">
        <v>9</v>
      </c>
      <c r="N545" s="13"/>
      <c r="O545" s="14">
        <v>8</v>
      </c>
      <c r="P545" s="14">
        <v>603</v>
      </c>
      <c r="Q545" s="15">
        <v>18.707342295760082</v>
      </c>
      <c r="R545" s="17">
        <f>IFERROR(G545/(G545+Priors!$H$18),0)</f>
        <v>0.74365547295565237</v>
      </c>
      <c r="S545" s="13">
        <v>1</v>
      </c>
      <c r="T545" s="40" t="b">
        <v>0</v>
      </c>
      <c r="U545" s="13">
        <v>1</v>
      </c>
      <c r="V545" s="40" t="b">
        <v>0</v>
      </c>
      <c r="W545" s="13">
        <v>1</v>
      </c>
      <c r="X545" s="17">
        <f t="shared" si="64"/>
        <v>0.74365547295565237</v>
      </c>
      <c r="Y545" s="37">
        <f>VLOOKUP(D545,Priors!$A$18:$B$21,2,FALSE)</f>
        <v>8.4555315342179806</v>
      </c>
      <c r="Z545" s="38">
        <f t="shared" si="65"/>
        <v>10.518780193339651</v>
      </c>
      <c r="AA545" s="39">
        <v>1</v>
      </c>
      <c r="AB545" s="38">
        <f t="shared" si="66"/>
        <v>10.518780193339651</v>
      </c>
      <c r="AC545" s="37">
        <f>Priors!$K$18</f>
        <v>2.7435089299114512</v>
      </c>
      <c r="AD545" s="38" t="str">
        <f t="shared" si="67"/>
        <v/>
      </c>
      <c r="AE545" s="37">
        <f>Priors!$K$19</f>
        <v>0.67280088332719912</v>
      </c>
      <c r="AF545" s="38" t="str">
        <f t="shared" si="68"/>
        <v/>
      </c>
      <c r="AG545" s="17">
        <f t="shared" si="69"/>
        <v>0.25634452704434763</v>
      </c>
      <c r="AH545" s="7" t="s">
        <v>1643</v>
      </c>
      <c r="AI545" s="7">
        <v>12</v>
      </c>
      <c r="AJ545" s="38">
        <f t="shared" si="70"/>
        <v>0.87656501611163762</v>
      </c>
      <c r="AK545" s="9" t="b">
        <f t="shared" si="71"/>
        <v>0</v>
      </c>
      <c r="AL545" s="28" t="s">
        <v>1644</v>
      </c>
      <c r="AM545" s="28" t="s">
        <v>1645</v>
      </c>
      <c r="AN545" s="28" t="s">
        <v>1792</v>
      </c>
    </row>
    <row r="546" spans="1:40" ht="30">
      <c r="A546" s="7">
        <v>545</v>
      </c>
      <c r="B546" s="7" t="s">
        <v>1587</v>
      </c>
      <c r="C546" s="7" t="s">
        <v>58</v>
      </c>
      <c r="D546" s="7" t="s">
        <v>112</v>
      </c>
      <c r="E546" s="7" t="s">
        <v>1642</v>
      </c>
      <c r="F546" s="7" t="s">
        <v>58</v>
      </c>
      <c r="G546" s="14">
        <v>2891</v>
      </c>
      <c r="H546" s="14">
        <v>248</v>
      </c>
      <c r="I546" s="15">
        <v>7.72</v>
      </c>
      <c r="J546" s="14">
        <v>0</v>
      </c>
      <c r="K546" s="15">
        <v>0</v>
      </c>
      <c r="L546" s="14">
        <v>42</v>
      </c>
      <c r="M546" s="14">
        <v>9</v>
      </c>
      <c r="N546" s="13"/>
      <c r="O546" s="14">
        <v>0</v>
      </c>
      <c r="P546" s="14">
        <v>410</v>
      </c>
      <c r="Q546" s="15">
        <v>12.763749567623659</v>
      </c>
      <c r="R546" s="17">
        <f>IFERROR(G546/(G546+Priors!$H$18),0)</f>
        <v>0.74299665895656641</v>
      </c>
      <c r="S546" s="13">
        <v>1</v>
      </c>
      <c r="T546" s="40" t="b">
        <v>0</v>
      </c>
      <c r="U546" s="13">
        <v>1</v>
      </c>
      <c r="V546" s="40" t="b">
        <v>0</v>
      </c>
      <c r="W546" s="13">
        <v>1</v>
      </c>
      <c r="X546" s="17">
        <f t="shared" si="64"/>
        <v>0.74299665895656641</v>
      </c>
      <c r="Y546" s="37">
        <f>VLOOKUP(D546,Priors!$A$18:$B$21,2,FALSE)</f>
        <v>8.4555315342179806</v>
      </c>
      <c r="Z546" s="38">
        <f t="shared" si="65"/>
        <v>7.9090340617368238</v>
      </c>
      <c r="AA546" s="39">
        <v>1</v>
      </c>
      <c r="AB546" s="38">
        <f t="shared" si="66"/>
        <v>7.9090340617368238</v>
      </c>
      <c r="AC546" s="37">
        <f>Priors!$K$18</f>
        <v>2.7435089299114512</v>
      </c>
      <c r="AD546" s="38" t="str">
        <f t="shared" si="67"/>
        <v/>
      </c>
      <c r="AE546" s="37">
        <f>Priors!$K$19</f>
        <v>0.67280088332719912</v>
      </c>
      <c r="AF546" s="38" t="str">
        <f t="shared" si="68"/>
        <v/>
      </c>
      <c r="AG546" s="17">
        <f t="shared" si="69"/>
        <v>0.25700334104343359</v>
      </c>
      <c r="AH546" s="7" t="s">
        <v>1643</v>
      </c>
      <c r="AI546" s="7">
        <v>12</v>
      </c>
      <c r="AJ546" s="38">
        <f t="shared" si="70"/>
        <v>0.65908617181140194</v>
      </c>
      <c r="AK546" s="9" t="b">
        <f t="shared" si="71"/>
        <v>0</v>
      </c>
      <c r="AL546" s="28" t="s">
        <v>1644</v>
      </c>
      <c r="AM546" s="28" t="s">
        <v>1645</v>
      </c>
      <c r="AN546" s="28" t="s">
        <v>1792</v>
      </c>
    </row>
    <row r="547" spans="1:40" ht="30">
      <c r="A547" s="7">
        <v>546</v>
      </c>
      <c r="B547" s="7" t="s">
        <v>1589</v>
      </c>
      <c r="C547" s="7" t="s">
        <v>58</v>
      </c>
      <c r="D547" s="7" t="s">
        <v>112</v>
      </c>
      <c r="E547" s="7" t="s">
        <v>1642</v>
      </c>
      <c r="F547" s="7" t="s">
        <v>58</v>
      </c>
      <c r="G547" s="14">
        <v>649</v>
      </c>
      <c r="H547" s="14">
        <v>45</v>
      </c>
      <c r="I547" s="15">
        <v>6.24</v>
      </c>
      <c r="J547" s="14">
        <v>0</v>
      </c>
      <c r="K547" s="15">
        <v>0</v>
      </c>
      <c r="L547" s="14">
        <v>8</v>
      </c>
      <c r="M547" s="14">
        <v>4</v>
      </c>
      <c r="N547" s="13"/>
      <c r="O547" s="14">
        <v>3</v>
      </c>
      <c r="P547" s="14">
        <v>81</v>
      </c>
      <c r="Q547" s="15">
        <v>11.232665639445301</v>
      </c>
      <c r="R547" s="17">
        <f>IFERROR(G547/(G547+Priors!$H$18),0)</f>
        <v>0.39357186173438446</v>
      </c>
      <c r="S547" s="13">
        <v>1</v>
      </c>
      <c r="T547" s="40" t="b">
        <v>0</v>
      </c>
      <c r="U547" s="13">
        <v>1</v>
      </c>
      <c r="V547" s="40" t="b">
        <v>0</v>
      </c>
      <c r="W547" s="13">
        <v>1</v>
      </c>
      <c r="X547" s="17">
        <f t="shared" si="64"/>
        <v>0.39357186173438446</v>
      </c>
      <c r="Y547" s="37">
        <f>VLOOKUP(D547,Priors!$A$18:$B$21,2,FALSE)</f>
        <v>8.4555315342179806</v>
      </c>
      <c r="Z547" s="38">
        <f t="shared" si="65"/>
        <v>7.5835606635645725</v>
      </c>
      <c r="AA547" s="39">
        <v>1</v>
      </c>
      <c r="AB547" s="38">
        <f t="shared" si="66"/>
        <v>7.5835606635645725</v>
      </c>
      <c r="AC547" s="37">
        <f>Priors!$K$18</f>
        <v>2.7435089299114512</v>
      </c>
      <c r="AD547" s="38" t="str">
        <f t="shared" si="67"/>
        <v/>
      </c>
      <c r="AE547" s="37">
        <f>Priors!$K$19</f>
        <v>0.67280088332719912</v>
      </c>
      <c r="AF547" s="38" t="str">
        <f t="shared" si="68"/>
        <v/>
      </c>
      <c r="AG547" s="17">
        <f t="shared" si="69"/>
        <v>0.60642813826561559</v>
      </c>
      <c r="AH547" s="7" t="s">
        <v>1643</v>
      </c>
      <c r="AI547" s="7">
        <v>12</v>
      </c>
      <c r="AJ547" s="38">
        <f t="shared" si="70"/>
        <v>0.63196338863038104</v>
      </c>
      <c r="AK547" s="9" t="b">
        <f t="shared" si="71"/>
        <v>1</v>
      </c>
      <c r="AL547" s="28" t="s">
        <v>1644</v>
      </c>
      <c r="AM547" s="28" t="s">
        <v>1645</v>
      </c>
      <c r="AN547" s="28" t="s">
        <v>1792</v>
      </c>
    </row>
    <row r="548" spans="1:40" ht="30">
      <c r="A548" s="7">
        <v>547</v>
      </c>
      <c r="B548" s="7" t="s">
        <v>1591</v>
      </c>
      <c r="C548" s="7" t="s">
        <v>58</v>
      </c>
      <c r="D548" s="7" t="s">
        <v>112</v>
      </c>
      <c r="E548" s="7" t="s">
        <v>1642</v>
      </c>
      <c r="F548" s="7" t="s">
        <v>58</v>
      </c>
      <c r="G548" s="14">
        <v>399</v>
      </c>
      <c r="H548" s="14">
        <v>33</v>
      </c>
      <c r="I548" s="15">
        <v>7.44</v>
      </c>
      <c r="J548" s="14">
        <v>0</v>
      </c>
      <c r="K548" s="15">
        <v>0</v>
      </c>
      <c r="L548" s="14">
        <v>11</v>
      </c>
      <c r="M548" s="14">
        <v>0</v>
      </c>
      <c r="N548" s="13"/>
      <c r="O548" s="14">
        <v>0</v>
      </c>
      <c r="P548" s="14">
        <v>42</v>
      </c>
      <c r="Q548" s="15">
        <v>9.473684210526315</v>
      </c>
      <c r="R548" s="17">
        <f>IFERROR(G548/(G548+Priors!$H$18),0)</f>
        <v>0.28520371694067193</v>
      </c>
      <c r="S548" s="13">
        <v>1</v>
      </c>
      <c r="T548" s="40" t="b">
        <v>0</v>
      </c>
      <c r="U548" s="13">
        <v>1</v>
      </c>
      <c r="V548" s="40" t="b">
        <v>0</v>
      </c>
      <c r="W548" s="13">
        <v>1</v>
      </c>
      <c r="X548" s="17">
        <f t="shared" si="64"/>
        <v>0.28520371694067193</v>
      </c>
      <c r="Y548" s="37">
        <f>VLOOKUP(D548,Priors!$A$18:$B$21,2,FALSE)</f>
        <v>8.4555315342179806</v>
      </c>
      <c r="Z548" s="38">
        <f t="shared" si="65"/>
        <v>8.1658981659885495</v>
      </c>
      <c r="AA548" s="39">
        <v>1</v>
      </c>
      <c r="AB548" s="38">
        <f t="shared" si="66"/>
        <v>8.1658981659885495</v>
      </c>
      <c r="AC548" s="37">
        <f>Priors!$K$18</f>
        <v>2.7435089299114512</v>
      </c>
      <c r="AD548" s="38" t="str">
        <f t="shared" si="67"/>
        <v/>
      </c>
      <c r="AE548" s="37">
        <f>Priors!$K$19</f>
        <v>0.67280088332719912</v>
      </c>
      <c r="AF548" s="38" t="str">
        <f t="shared" si="68"/>
        <v/>
      </c>
      <c r="AG548" s="17">
        <f t="shared" si="69"/>
        <v>0.71479628305932807</v>
      </c>
      <c r="AH548" s="7" t="s">
        <v>1643</v>
      </c>
      <c r="AI548" s="7">
        <v>12</v>
      </c>
      <c r="AJ548" s="38">
        <f t="shared" si="70"/>
        <v>0.68049151383237916</v>
      </c>
      <c r="AK548" s="9" t="b">
        <f t="shared" si="71"/>
        <v>1</v>
      </c>
      <c r="AL548" s="28" t="s">
        <v>1644</v>
      </c>
      <c r="AM548" s="28" t="s">
        <v>1645</v>
      </c>
      <c r="AN548" s="28" t="s">
        <v>1792</v>
      </c>
    </row>
    <row r="549" spans="1:40" ht="30">
      <c r="A549" s="7">
        <v>548</v>
      </c>
      <c r="B549" s="7" t="s">
        <v>1593</v>
      </c>
      <c r="C549" s="7" t="s">
        <v>58</v>
      </c>
      <c r="D549" s="7" t="s">
        <v>112</v>
      </c>
      <c r="E549" s="7" t="s">
        <v>1642</v>
      </c>
      <c r="F549" s="7" t="s">
        <v>58</v>
      </c>
      <c r="G549" s="14">
        <v>758</v>
      </c>
      <c r="H549" s="14">
        <v>57</v>
      </c>
      <c r="I549" s="15">
        <v>6.77</v>
      </c>
      <c r="J549" s="14">
        <v>0</v>
      </c>
      <c r="K549" s="15">
        <v>0</v>
      </c>
      <c r="L549" s="14">
        <v>11</v>
      </c>
      <c r="M549" s="14">
        <v>3</v>
      </c>
      <c r="N549" s="13"/>
      <c r="O549" s="14">
        <v>1</v>
      </c>
      <c r="P549" s="14">
        <v>136</v>
      </c>
      <c r="Q549" s="15">
        <v>16.147757255936675</v>
      </c>
      <c r="R549" s="17">
        <f>IFERROR(G549/(G549+Priors!$H$18),0)</f>
        <v>0.43117178612059159</v>
      </c>
      <c r="S549" s="13">
        <v>1</v>
      </c>
      <c r="T549" s="40" t="b">
        <v>0</v>
      </c>
      <c r="U549" s="13">
        <v>1</v>
      </c>
      <c r="V549" s="40" t="b">
        <v>0</v>
      </c>
      <c r="W549" s="13">
        <v>1</v>
      </c>
      <c r="X549" s="17">
        <f t="shared" si="64"/>
        <v>0.43117178612059159</v>
      </c>
      <c r="Y549" s="37">
        <f>VLOOKUP(D549,Priors!$A$18:$B$21,2,FALSE)</f>
        <v>8.4555315342179806</v>
      </c>
      <c r="Z549" s="38">
        <f t="shared" si="65"/>
        <v>7.728777892046633</v>
      </c>
      <c r="AA549" s="39">
        <v>1</v>
      </c>
      <c r="AB549" s="38">
        <f t="shared" si="66"/>
        <v>7.728777892046633</v>
      </c>
      <c r="AC549" s="37">
        <f>Priors!$K$18</f>
        <v>2.7435089299114512</v>
      </c>
      <c r="AD549" s="38" t="str">
        <f t="shared" si="67"/>
        <v/>
      </c>
      <c r="AE549" s="37">
        <f>Priors!$K$19</f>
        <v>0.67280088332719912</v>
      </c>
      <c r="AF549" s="38" t="str">
        <f t="shared" si="68"/>
        <v/>
      </c>
      <c r="AG549" s="17">
        <f t="shared" si="69"/>
        <v>0.56882821387940841</v>
      </c>
      <c r="AH549" s="7" t="s">
        <v>1643</v>
      </c>
      <c r="AI549" s="7">
        <v>12</v>
      </c>
      <c r="AJ549" s="38">
        <f t="shared" si="70"/>
        <v>0.64406482433721945</v>
      </c>
      <c r="AK549" s="9" t="b">
        <f t="shared" si="71"/>
        <v>1</v>
      </c>
      <c r="AL549" s="28" t="s">
        <v>1644</v>
      </c>
      <c r="AM549" s="28" t="s">
        <v>1645</v>
      </c>
      <c r="AN549" s="28" t="s">
        <v>1792</v>
      </c>
    </row>
    <row r="550" spans="1:40" ht="30">
      <c r="A550" s="7">
        <v>549</v>
      </c>
      <c r="B550" s="7" t="s">
        <v>1596</v>
      </c>
      <c r="C550" s="7" t="s">
        <v>58</v>
      </c>
      <c r="D550" s="7" t="s">
        <v>112</v>
      </c>
      <c r="E550" s="7" t="s">
        <v>1642</v>
      </c>
      <c r="F550" s="7" t="s">
        <v>58</v>
      </c>
      <c r="G550" s="14">
        <v>1553</v>
      </c>
      <c r="H550" s="14">
        <v>92</v>
      </c>
      <c r="I550" s="15">
        <v>5.33</v>
      </c>
      <c r="J550" s="14">
        <v>0</v>
      </c>
      <c r="K550" s="15">
        <v>0</v>
      </c>
      <c r="L550" s="14">
        <v>14</v>
      </c>
      <c r="M550" s="14">
        <v>7</v>
      </c>
      <c r="N550" s="13"/>
      <c r="O550" s="14">
        <v>6</v>
      </c>
      <c r="P550" s="14">
        <v>248</v>
      </c>
      <c r="Q550" s="15">
        <v>14.372182871860915</v>
      </c>
      <c r="R550" s="17">
        <f>IFERROR(G550/(G550+Priors!$H$18),0)</f>
        <v>0.60830395613004307</v>
      </c>
      <c r="S550" s="13">
        <v>1</v>
      </c>
      <c r="T550" s="40" t="b">
        <v>0</v>
      </c>
      <c r="U550" s="13">
        <v>1</v>
      </c>
      <c r="V550" s="40" t="b">
        <v>0</v>
      </c>
      <c r="W550" s="13">
        <v>1</v>
      </c>
      <c r="X550" s="17">
        <f t="shared" si="64"/>
        <v>0.60830395613004307</v>
      </c>
      <c r="Y550" s="37">
        <f>VLOOKUP(D550,Priors!$A$18:$B$21,2,FALSE)</f>
        <v>8.4555315342179806</v>
      </c>
      <c r="Z550" s="38">
        <f t="shared" si="65"/>
        <v>6.5542583369439793</v>
      </c>
      <c r="AA550" s="39">
        <v>1</v>
      </c>
      <c r="AB550" s="38">
        <f t="shared" si="66"/>
        <v>6.5542583369439793</v>
      </c>
      <c r="AC550" s="37">
        <f>Priors!$K$18</f>
        <v>2.7435089299114512</v>
      </c>
      <c r="AD550" s="38" t="str">
        <f t="shared" si="67"/>
        <v/>
      </c>
      <c r="AE550" s="37">
        <f>Priors!$K$19</f>
        <v>0.67280088332719912</v>
      </c>
      <c r="AF550" s="38" t="str">
        <f t="shared" si="68"/>
        <v/>
      </c>
      <c r="AG550" s="17">
        <f t="shared" si="69"/>
        <v>0.39169604386995693</v>
      </c>
      <c r="AH550" s="7" t="s">
        <v>1643</v>
      </c>
      <c r="AI550" s="7">
        <v>12</v>
      </c>
      <c r="AJ550" s="38">
        <f t="shared" si="70"/>
        <v>0.54618819474533165</v>
      </c>
      <c r="AK550" s="9" t="b">
        <f t="shared" si="71"/>
        <v>0</v>
      </c>
      <c r="AL550" s="28" t="s">
        <v>1644</v>
      </c>
      <c r="AM550" s="28" t="s">
        <v>1645</v>
      </c>
      <c r="AN550" s="28" t="s">
        <v>1792</v>
      </c>
    </row>
    <row r="551" spans="1:40" ht="30">
      <c r="A551" s="7">
        <v>550</v>
      </c>
      <c r="B551" s="7" t="s">
        <v>1598</v>
      </c>
      <c r="C551" s="7" t="s">
        <v>58</v>
      </c>
      <c r="D551" s="7" t="s">
        <v>112</v>
      </c>
      <c r="E551" s="7" t="s">
        <v>1642</v>
      </c>
      <c r="F551" s="7" t="s">
        <v>58</v>
      </c>
      <c r="G551" s="14">
        <v>38</v>
      </c>
      <c r="H551" s="14">
        <v>3</v>
      </c>
      <c r="I551" s="15">
        <v>7.11</v>
      </c>
      <c r="J551" s="14">
        <v>0</v>
      </c>
      <c r="K551" s="15">
        <v>0</v>
      </c>
      <c r="L551" s="14">
        <v>0</v>
      </c>
      <c r="M551" s="14">
        <v>0</v>
      </c>
      <c r="N551" s="13"/>
      <c r="O551" s="14">
        <v>0</v>
      </c>
      <c r="P551" s="14">
        <v>4</v>
      </c>
      <c r="Q551" s="15">
        <v>9.473684210526315</v>
      </c>
      <c r="R551" s="17">
        <f>IFERROR(G551/(G551+Priors!$H$18),0)</f>
        <v>3.6608863198458574E-2</v>
      </c>
      <c r="S551" s="13">
        <v>1</v>
      </c>
      <c r="T551" s="40" t="b">
        <v>0</v>
      </c>
      <c r="U551" s="13">
        <v>1</v>
      </c>
      <c r="V551" s="40" t="b">
        <v>0</v>
      </c>
      <c r="W551" s="13">
        <v>1</v>
      </c>
      <c r="X551" s="17">
        <f t="shared" si="64"/>
        <v>3.6608863198458574E-2</v>
      </c>
      <c r="Y551" s="37">
        <f>VLOOKUP(D551,Priors!$A$18:$B$21,2,FALSE)</f>
        <v>8.4555315342179806</v>
      </c>
      <c r="Z551" s="38">
        <f t="shared" si="65"/>
        <v>8.4062731543525828</v>
      </c>
      <c r="AA551" s="39">
        <v>1</v>
      </c>
      <c r="AB551" s="38">
        <f t="shared" si="66"/>
        <v>8.4062731543525828</v>
      </c>
      <c r="AC551" s="37">
        <f>Priors!$K$18</f>
        <v>2.7435089299114512</v>
      </c>
      <c r="AD551" s="38" t="str">
        <f t="shared" si="67"/>
        <v/>
      </c>
      <c r="AE551" s="37">
        <f>Priors!$K$19</f>
        <v>0.67280088332719912</v>
      </c>
      <c r="AF551" s="38" t="str">
        <f t="shared" si="68"/>
        <v/>
      </c>
      <c r="AG551" s="17">
        <f t="shared" si="69"/>
        <v>0.96339113680154143</v>
      </c>
      <c r="AH551" s="7" t="s">
        <v>1643</v>
      </c>
      <c r="AI551" s="7">
        <v>12</v>
      </c>
      <c r="AJ551" s="38">
        <f t="shared" si="70"/>
        <v>0.7005227628627152</v>
      </c>
      <c r="AK551" s="9" t="b">
        <f t="shared" si="71"/>
        <v>1</v>
      </c>
      <c r="AL551" s="28" t="s">
        <v>1644</v>
      </c>
      <c r="AM551" s="28" t="s">
        <v>1645</v>
      </c>
      <c r="AN551" s="28" t="s">
        <v>1792</v>
      </c>
    </row>
    <row r="552" spans="1:40" ht="30">
      <c r="A552" s="7">
        <v>551</v>
      </c>
      <c r="B552" s="7" t="s">
        <v>1601</v>
      </c>
      <c r="C552" s="7" t="s">
        <v>58</v>
      </c>
      <c r="D552" s="7" t="s">
        <v>112</v>
      </c>
      <c r="E552" s="7" t="s">
        <v>1642</v>
      </c>
      <c r="F552" s="7" t="s">
        <v>58</v>
      </c>
      <c r="G552" s="14">
        <v>401</v>
      </c>
      <c r="H552" s="14">
        <v>35</v>
      </c>
      <c r="I552" s="15">
        <v>7.86</v>
      </c>
      <c r="J552" s="14">
        <v>0</v>
      </c>
      <c r="K552" s="15">
        <v>0</v>
      </c>
      <c r="L552" s="14">
        <v>6</v>
      </c>
      <c r="M552" s="14">
        <v>1</v>
      </c>
      <c r="N552" s="13"/>
      <c r="O552" s="14">
        <v>0</v>
      </c>
      <c r="P552" s="14">
        <v>43</v>
      </c>
      <c r="Q552" s="15">
        <v>9.6508728179551131</v>
      </c>
      <c r="R552" s="17">
        <f>IFERROR(G552/(G552+Priors!$H$18),0)</f>
        <v>0.2862241256245539</v>
      </c>
      <c r="S552" s="13">
        <v>1</v>
      </c>
      <c r="T552" s="40" t="b">
        <v>0</v>
      </c>
      <c r="U552" s="13">
        <v>1</v>
      </c>
      <c r="V552" s="40" t="b">
        <v>0</v>
      </c>
      <c r="W552" s="13">
        <v>1</v>
      </c>
      <c r="X552" s="17">
        <f t="shared" si="64"/>
        <v>0.2862241256245539</v>
      </c>
      <c r="Y552" s="37">
        <f>VLOOKUP(D552,Priors!$A$18:$B$21,2,FALSE)</f>
        <v>8.4555315342179806</v>
      </c>
      <c r="Z552" s="38">
        <f t="shared" si="65"/>
        <v>8.2850760415545892</v>
      </c>
      <c r="AA552" s="39">
        <v>1</v>
      </c>
      <c r="AB552" s="38">
        <f t="shared" si="66"/>
        <v>8.2850760415545892</v>
      </c>
      <c r="AC552" s="37">
        <f>Priors!$K$18</f>
        <v>2.7435089299114512</v>
      </c>
      <c r="AD552" s="38" t="str">
        <f t="shared" si="67"/>
        <v/>
      </c>
      <c r="AE552" s="37">
        <f>Priors!$K$19</f>
        <v>0.67280088332719912</v>
      </c>
      <c r="AF552" s="38" t="str">
        <f t="shared" si="68"/>
        <v/>
      </c>
      <c r="AG552" s="17">
        <f t="shared" si="69"/>
        <v>0.7137758743754461</v>
      </c>
      <c r="AH552" s="7" t="s">
        <v>1643</v>
      </c>
      <c r="AI552" s="7">
        <v>12</v>
      </c>
      <c r="AJ552" s="38">
        <f t="shared" si="70"/>
        <v>0.69042300346288243</v>
      </c>
      <c r="AK552" s="9" t="b">
        <f t="shared" si="71"/>
        <v>1</v>
      </c>
      <c r="AL552" s="28" t="s">
        <v>1644</v>
      </c>
      <c r="AM552" s="28" t="s">
        <v>1645</v>
      </c>
      <c r="AN552" s="28" t="s">
        <v>1792</v>
      </c>
    </row>
    <row r="553" spans="1:40" ht="30">
      <c r="A553" s="7">
        <v>552</v>
      </c>
      <c r="B553" s="7" t="s">
        <v>1603</v>
      </c>
      <c r="C553" s="7" t="s">
        <v>58</v>
      </c>
      <c r="D553" s="7" t="s">
        <v>167</v>
      </c>
      <c r="E553" s="7" t="s">
        <v>1642</v>
      </c>
      <c r="F553" s="7" t="s">
        <v>58</v>
      </c>
      <c r="G553" s="14">
        <v>1920</v>
      </c>
      <c r="H553" s="14">
        <v>74</v>
      </c>
      <c r="I553" s="15">
        <v>3.47</v>
      </c>
      <c r="J553" s="14">
        <v>0</v>
      </c>
      <c r="K553" s="15">
        <v>0</v>
      </c>
      <c r="L553" s="14">
        <v>30</v>
      </c>
      <c r="M553" s="14">
        <v>6</v>
      </c>
      <c r="N553" s="13"/>
      <c r="O553" s="14">
        <v>12</v>
      </c>
      <c r="P553" s="14">
        <v>309</v>
      </c>
      <c r="Q553" s="15">
        <v>14.484375</v>
      </c>
      <c r="R553" s="17">
        <f>IFERROR(G553/(G553+Priors!$H$18),0)</f>
        <v>0.65753424657534243</v>
      </c>
      <c r="S553" s="13">
        <v>1</v>
      </c>
      <c r="T553" s="40" t="b">
        <v>0</v>
      </c>
      <c r="U553" s="13">
        <v>1</v>
      </c>
      <c r="V553" s="40" t="b">
        <v>0</v>
      </c>
      <c r="W553" s="13">
        <v>1</v>
      </c>
      <c r="X553" s="17">
        <f t="shared" si="64"/>
        <v>0.65753424657534243</v>
      </c>
      <c r="Y553" s="37">
        <f>VLOOKUP(D553,Priors!$A$18:$B$21,2,FALSE)</f>
        <v>4.5137422563476139</v>
      </c>
      <c r="Z553" s="38">
        <f t="shared" si="65"/>
        <v>3.8274459782012382</v>
      </c>
      <c r="AA553" s="39">
        <v>1</v>
      </c>
      <c r="AB553" s="38">
        <f t="shared" si="66"/>
        <v>3.8274459782012382</v>
      </c>
      <c r="AC553" s="37">
        <f>Priors!$K$18</f>
        <v>2.7435089299114512</v>
      </c>
      <c r="AD553" s="38" t="str">
        <f t="shared" si="67"/>
        <v/>
      </c>
      <c r="AE553" s="37">
        <f>Priors!$K$19</f>
        <v>0.67280088332719912</v>
      </c>
      <c r="AF553" s="38" t="str">
        <f t="shared" si="68"/>
        <v/>
      </c>
      <c r="AG553" s="17">
        <f t="shared" si="69"/>
        <v>0.34246575342465757</v>
      </c>
      <c r="AH553" s="7" t="s">
        <v>1643</v>
      </c>
      <c r="AI553" s="7">
        <v>12</v>
      </c>
      <c r="AJ553" s="38">
        <f t="shared" si="70"/>
        <v>0.31895383151676987</v>
      </c>
      <c r="AK553" s="9" t="b">
        <f t="shared" si="71"/>
        <v>0</v>
      </c>
      <c r="AL553" s="28" t="s">
        <v>1644</v>
      </c>
      <c r="AM553" s="28" t="s">
        <v>1645</v>
      </c>
      <c r="AN553" s="28" t="s">
        <v>1792</v>
      </c>
    </row>
    <row r="554" spans="1:40" ht="30">
      <c r="A554" s="7">
        <v>553</v>
      </c>
      <c r="B554" s="7" t="s">
        <v>1605</v>
      </c>
      <c r="C554" s="7" t="s">
        <v>58</v>
      </c>
      <c r="D554" s="7" t="s">
        <v>167</v>
      </c>
      <c r="E554" s="7" t="s">
        <v>1642</v>
      </c>
      <c r="F554" s="7" t="s">
        <v>58</v>
      </c>
      <c r="G554" s="14">
        <v>1148</v>
      </c>
      <c r="H554" s="14">
        <v>51</v>
      </c>
      <c r="I554" s="15">
        <v>4</v>
      </c>
      <c r="J554" s="14">
        <v>0</v>
      </c>
      <c r="K554" s="15">
        <v>0</v>
      </c>
      <c r="L554" s="14">
        <v>17</v>
      </c>
      <c r="M554" s="14">
        <v>4</v>
      </c>
      <c r="N554" s="13"/>
      <c r="O554" s="14">
        <v>7</v>
      </c>
      <c r="P554" s="14">
        <v>266</v>
      </c>
      <c r="Q554" s="15">
        <v>20.853658536585368</v>
      </c>
      <c r="R554" s="17">
        <f>IFERROR(G554/(G554+Priors!$H$18),0)</f>
        <v>0.53445065176908757</v>
      </c>
      <c r="S554" s="13">
        <v>1</v>
      </c>
      <c r="T554" s="40" t="b">
        <v>0</v>
      </c>
      <c r="U554" s="13">
        <v>1</v>
      </c>
      <c r="V554" s="40" t="b">
        <v>0</v>
      </c>
      <c r="W554" s="13">
        <v>1</v>
      </c>
      <c r="X554" s="17">
        <f t="shared" si="64"/>
        <v>0.53445065176908757</v>
      </c>
      <c r="Y554" s="37">
        <f>VLOOKUP(D554,Priors!$A$18:$B$21,2,FALSE)</f>
        <v>4.5137422563476139</v>
      </c>
      <c r="Z554" s="38">
        <f t="shared" si="65"/>
        <v>4.2391723726013097</v>
      </c>
      <c r="AA554" s="39">
        <v>1</v>
      </c>
      <c r="AB554" s="38">
        <f t="shared" si="66"/>
        <v>4.2391723726013097</v>
      </c>
      <c r="AC554" s="37">
        <f>Priors!$K$18</f>
        <v>2.7435089299114512</v>
      </c>
      <c r="AD554" s="38" t="str">
        <f t="shared" si="67"/>
        <v/>
      </c>
      <c r="AE554" s="37">
        <f>Priors!$K$19</f>
        <v>0.67280088332719912</v>
      </c>
      <c r="AF554" s="38" t="str">
        <f t="shared" si="68"/>
        <v/>
      </c>
      <c r="AG554" s="17">
        <f t="shared" si="69"/>
        <v>0.46554934823091243</v>
      </c>
      <c r="AH554" s="7" t="s">
        <v>1643</v>
      </c>
      <c r="AI554" s="7">
        <v>12</v>
      </c>
      <c r="AJ554" s="38">
        <f t="shared" si="70"/>
        <v>0.3532643643834425</v>
      </c>
      <c r="AK554" s="9" t="b">
        <f t="shared" si="71"/>
        <v>0</v>
      </c>
      <c r="AL554" s="28" t="s">
        <v>1644</v>
      </c>
      <c r="AM554" s="28" t="s">
        <v>1645</v>
      </c>
      <c r="AN554" s="28" t="s">
        <v>1792</v>
      </c>
    </row>
    <row r="555" spans="1:40" ht="30">
      <c r="A555" s="7">
        <v>554</v>
      </c>
      <c r="B555" s="7" t="s">
        <v>1012</v>
      </c>
      <c r="C555" s="7" t="s">
        <v>50</v>
      </c>
      <c r="D555" s="7" t="s">
        <v>85</v>
      </c>
      <c r="E555" s="7" t="s">
        <v>1647</v>
      </c>
      <c r="F555" s="7"/>
      <c r="G555" s="14">
        <v>0</v>
      </c>
      <c r="H555" s="14"/>
      <c r="I555" s="15"/>
      <c r="J555" s="14"/>
      <c r="K555" s="15"/>
      <c r="L555" s="14"/>
      <c r="M555" s="14"/>
      <c r="N555" s="13"/>
      <c r="O555" s="14"/>
      <c r="P555" s="14"/>
      <c r="Q555" s="15"/>
      <c r="R555" s="17">
        <f>IFERROR(G555/(G555+Priors!$H$18),0)</f>
        <v>0</v>
      </c>
      <c r="S555" s="13">
        <v>0</v>
      </c>
      <c r="T555" s="40" t="b">
        <v>0</v>
      </c>
      <c r="U555" s="13">
        <v>1</v>
      </c>
      <c r="V555" s="40" t="b">
        <v>1</v>
      </c>
      <c r="W555" s="13">
        <v>0.9</v>
      </c>
      <c r="X555" s="17">
        <f t="shared" si="64"/>
        <v>0</v>
      </c>
      <c r="Y555" s="37">
        <f>VLOOKUP(D555,Priors!$A$18:$B$21,2,FALSE)</f>
        <v>2.6414527990394716</v>
      </c>
      <c r="Z555" s="38">
        <f t="shared" si="65"/>
        <v>2.6414527990394716</v>
      </c>
      <c r="AA555" s="39">
        <v>1</v>
      </c>
      <c r="AB555" s="38">
        <f t="shared" si="66"/>
        <v>2.6414527990394716</v>
      </c>
      <c r="AC555" s="37">
        <f>Priors!$K$18</f>
        <v>2.7435089299114512</v>
      </c>
      <c r="AD555" s="38">
        <f t="shared" si="67"/>
        <v>2.7435089299114512</v>
      </c>
      <c r="AE555" s="37">
        <f>Priors!$K$19</f>
        <v>0.67280088332719912</v>
      </c>
      <c r="AF555" s="38">
        <f t="shared" si="68"/>
        <v>0.67280088332719912</v>
      </c>
      <c r="AG555" s="17">
        <f t="shared" si="69"/>
        <v>1</v>
      </c>
      <c r="AH555" s="7" t="s">
        <v>1793</v>
      </c>
      <c r="AI555" s="7"/>
      <c r="AJ555" s="38" t="str">
        <f t="shared" si="70"/>
        <v/>
      </c>
      <c r="AK555" s="9" t="b">
        <f t="shared" si="71"/>
        <v>1</v>
      </c>
      <c r="AL555" s="28" t="s">
        <v>1794</v>
      </c>
      <c r="AM555" s="28"/>
      <c r="AN555" s="28" t="s">
        <v>1792</v>
      </c>
    </row>
    <row r="556" spans="1:40" ht="30">
      <c r="A556" s="7">
        <v>555</v>
      </c>
      <c r="B556" s="7" t="s">
        <v>746</v>
      </c>
      <c r="C556" s="7" t="s">
        <v>46</v>
      </c>
      <c r="D556" s="7" t="s">
        <v>85</v>
      </c>
      <c r="E556" s="7" t="s">
        <v>1642</v>
      </c>
      <c r="F556" s="7" t="s">
        <v>46</v>
      </c>
      <c r="G556" s="14">
        <v>0</v>
      </c>
      <c r="H556" s="14">
        <v>0</v>
      </c>
      <c r="I556" s="15">
        <v>0</v>
      </c>
      <c r="J556" s="14">
        <v>0</v>
      </c>
      <c r="K556" s="15">
        <v>0</v>
      </c>
      <c r="L556" s="14">
        <v>0</v>
      </c>
      <c r="M556" s="14">
        <v>0</v>
      </c>
      <c r="N556" s="13"/>
      <c r="O556" s="14">
        <v>0</v>
      </c>
      <c r="P556" s="14">
        <v>0</v>
      </c>
      <c r="Q556" s="15">
        <v>0</v>
      </c>
      <c r="R556" s="17">
        <f>IFERROR(G556/(G556+Priors!$H$18),0)</f>
        <v>0</v>
      </c>
      <c r="S556" s="13">
        <v>1</v>
      </c>
      <c r="T556" s="40" t="b">
        <v>0</v>
      </c>
      <c r="U556" s="13">
        <v>1</v>
      </c>
      <c r="V556" s="40" t="b">
        <v>1</v>
      </c>
      <c r="W556" s="13">
        <v>0.9</v>
      </c>
      <c r="X556" s="17">
        <f t="shared" si="64"/>
        <v>0</v>
      </c>
      <c r="Y556" s="37">
        <f>VLOOKUP(D556,Priors!$A$18:$B$21,2,FALSE)</f>
        <v>2.6414527990394716</v>
      </c>
      <c r="Z556" s="38">
        <f t="shared" si="65"/>
        <v>2.6414527990394716</v>
      </c>
      <c r="AA556" s="39">
        <v>1</v>
      </c>
      <c r="AB556" s="38">
        <f t="shared" si="66"/>
        <v>2.6414527990394716</v>
      </c>
      <c r="AC556" s="37">
        <f>Priors!$K$18</f>
        <v>2.7435089299114512</v>
      </c>
      <c r="AD556" s="38">
        <f t="shared" si="67"/>
        <v>2.7435089299114512</v>
      </c>
      <c r="AE556" s="37">
        <f>Priors!$K$19</f>
        <v>0.67280088332719912</v>
      </c>
      <c r="AF556" s="38">
        <f t="shared" si="68"/>
        <v>0.67280088332719912</v>
      </c>
      <c r="AG556" s="17">
        <f t="shared" si="69"/>
        <v>1</v>
      </c>
      <c r="AH556" s="7" t="s">
        <v>1643</v>
      </c>
      <c r="AI556" s="7"/>
      <c r="AJ556" s="38" t="str">
        <f t="shared" si="70"/>
        <v/>
      </c>
      <c r="AK556" s="9" t="b">
        <f t="shared" si="71"/>
        <v>1</v>
      </c>
      <c r="AL556" s="28" t="s">
        <v>1644</v>
      </c>
      <c r="AM556" s="28" t="s">
        <v>1645</v>
      </c>
      <c r="AN556" s="28" t="s">
        <v>1792</v>
      </c>
    </row>
    <row r="557" spans="1:40" ht="30">
      <c r="A557" s="7">
        <v>556</v>
      </c>
      <c r="B557" s="7" t="s">
        <v>937</v>
      </c>
      <c r="C557" s="7" t="s">
        <v>49</v>
      </c>
      <c r="D557" s="7" t="s">
        <v>99</v>
      </c>
      <c r="E557" s="7" t="s">
        <v>1642</v>
      </c>
      <c r="F557" s="7" t="s">
        <v>55</v>
      </c>
      <c r="G557" s="14">
        <v>0</v>
      </c>
      <c r="H557" s="14">
        <v>0</v>
      </c>
      <c r="I557" s="15">
        <v>0</v>
      </c>
      <c r="J557" s="14">
        <v>0</v>
      </c>
      <c r="K557" s="15">
        <v>0</v>
      </c>
      <c r="L557" s="14">
        <v>0</v>
      </c>
      <c r="M557" s="14">
        <v>0</v>
      </c>
      <c r="N557" s="13"/>
      <c r="O557" s="14">
        <v>0</v>
      </c>
      <c r="P557" s="14">
        <v>0</v>
      </c>
      <c r="Q557" s="15">
        <v>0</v>
      </c>
      <c r="R557" s="17">
        <f>IFERROR(G557/(G557+Priors!$H$18),0)</f>
        <v>0</v>
      </c>
      <c r="S557" s="13">
        <v>1</v>
      </c>
      <c r="T557" s="40" t="b">
        <v>1</v>
      </c>
      <c r="U557" s="13">
        <v>0.85</v>
      </c>
      <c r="V557" s="40" t="b">
        <v>0</v>
      </c>
      <c r="W557" s="13">
        <v>1</v>
      </c>
      <c r="X557" s="17">
        <f t="shared" si="64"/>
        <v>0</v>
      </c>
      <c r="Y557" s="37">
        <f>VLOOKUP(D557,Priors!$A$18:$B$21,2,FALSE)</f>
        <v>8.7398272304160223</v>
      </c>
      <c r="Z557" s="38">
        <f t="shared" si="65"/>
        <v>8.7398272304160223</v>
      </c>
      <c r="AA557" s="39">
        <v>1</v>
      </c>
      <c r="AB557" s="38">
        <f t="shared" si="66"/>
        <v>8.7398272304160223</v>
      </c>
      <c r="AC557" s="37">
        <f>Priors!$K$18</f>
        <v>2.7435089299114512</v>
      </c>
      <c r="AD557" s="38" t="str">
        <f t="shared" si="67"/>
        <v/>
      </c>
      <c r="AE557" s="37">
        <f>Priors!$K$19</f>
        <v>0.67280088332719912</v>
      </c>
      <c r="AF557" s="38" t="str">
        <f t="shared" si="68"/>
        <v/>
      </c>
      <c r="AG557" s="17">
        <f t="shared" si="69"/>
        <v>1</v>
      </c>
      <c r="AH557" s="7" t="s">
        <v>1643</v>
      </c>
      <c r="AI557" s="7">
        <v>10</v>
      </c>
      <c r="AJ557" s="38">
        <f t="shared" si="70"/>
        <v>0.87398272304160218</v>
      </c>
      <c r="AK557" s="9" t="b">
        <f t="shared" si="71"/>
        <v>1</v>
      </c>
      <c r="AL557" s="28" t="s">
        <v>1644</v>
      </c>
      <c r="AM557" s="28" t="s">
        <v>1645</v>
      </c>
      <c r="AN557" s="28" t="s">
        <v>1792</v>
      </c>
    </row>
    <row r="558" spans="1:40" ht="30">
      <c r="A558" s="7">
        <v>557</v>
      </c>
      <c r="B558" s="7" t="s">
        <v>175</v>
      </c>
      <c r="C558" s="7" t="s">
        <v>39</v>
      </c>
      <c r="D558" s="7" t="s">
        <v>112</v>
      </c>
      <c r="E558" s="7" t="s">
        <v>1647</v>
      </c>
      <c r="F558" s="7"/>
      <c r="G558" s="14">
        <v>0</v>
      </c>
      <c r="H558" s="14"/>
      <c r="I558" s="15"/>
      <c r="J558" s="14"/>
      <c r="K558" s="15"/>
      <c r="L558" s="14"/>
      <c r="M558" s="14"/>
      <c r="N558" s="13"/>
      <c r="O558" s="14"/>
      <c r="P558" s="14"/>
      <c r="Q558" s="15"/>
      <c r="R558" s="17">
        <f>IFERROR(G558/(G558+Priors!$H$18),0)</f>
        <v>0</v>
      </c>
      <c r="S558" s="13">
        <v>0</v>
      </c>
      <c r="T558" s="40" t="b">
        <v>0</v>
      </c>
      <c r="U558" s="13">
        <v>1</v>
      </c>
      <c r="V558" s="40" t="b">
        <v>0</v>
      </c>
      <c r="W558" s="13">
        <v>1</v>
      </c>
      <c r="X558" s="17">
        <f t="shared" si="64"/>
        <v>0</v>
      </c>
      <c r="Y558" s="37">
        <f>VLOOKUP(D558,Priors!$A$18:$B$21,2,FALSE)</f>
        <v>8.4555315342179806</v>
      </c>
      <c r="Z558" s="38">
        <f t="shared" si="65"/>
        <v>8.4555315342179806</v>
      </c>
      <c r="AA558" s="39">
        <v>1</v>
      </c>
      <c r="AB558" s="38">
        <f t="shared" si="66"/>
        <v>8.4555315342179806</v>
      </c>
      <c r="AC558" s="37">
        <f>Priors!$K$18</f>
        <v>2.7435089299114512</v>
      </c>
      <c r="AD558" s="38" t="str">
        <f t="shared" si="67"/>
        <v/>
      </c>
      <c r="AE558" s="37">
        <f>Priors!$K$19</f>
        <v>0.67280088332719912</v>
      </c>
      <c r="AF558" s="38" t="str">
        <f t="shared" si="68"/>
        <v/>
      </c>
      <c r="AG558" s="17">
        <f t="shared" si="69"/>
        <v>1</v>
      </c>
      <c r="AH558" s="7" t="s">
        <v>1793</v>
      </c>
      <c r="AI558" s="7">
        <v>12</v>
      </c>
      <c r="AJ558" s="38">
        <f t="shared" si="70"/>
        <v>0.70462762785149835</v>
      </c>
      <c r="AK558" s="9" t="b">
        <f t="shared" si="71"/>
        <v>1</v>
      </c>
      <c r="AL558" s="28" t="s">
        <v>1794</v>
      </c>
      <c r="AM558" s="28"/>
      <c r="AN558" s="28" t="s">
        <v>1792</v>
      </c>
    </row>
    <row r="559" spans="1:40" ht="30">
      <c r="A559" s="7">
        <v>558</v>
      </c>
      <c r="B559" s="7" t="s">
        <v>1463</v>
      </c>
      <c r="C559" s="7" t="s">
        <v>56</v>
      </c>
      <c r="D559" s="7" t="s">
        <v>112</v>
      </c>
      <c r="E559" s="7" t="s">
        <v>1647</v>
      </c>
      <c r="F559" s="7"/>
      <c r="G559" s="14">
        <v>0</v>
      </c>
      <c r="H559" s="14"/>
      <c r="I559" s="15"/>
      <c r="J559" s="14"/>
      <c r="K559" s="15"/>
      <c r="L559" s="14"/>
      <c r="M559" s="14"/>
      <c r="N559" s="13"/>
      <c r="O559" s="14"/>
      <c r="P559" s="14"/>
      <c r="Q559" s="15"/>
      <c r="R559" s="17">
        <f>IFERROR(G559/(G559+Priors!$H$18),0)</f>
        <v>0</v>
      </c>
      <c r="S559" s="13">
        <v>0</v>
      </c>
      <c r="T559" s="40" t="b">
        <v>0</v>
      </c>
      <c r="U559" s="13">
        <v>1</v>
      </c>
      <c r="V559" s="40" t="b">
        <v>1</v>
      </c>
      <c r="W559" s="13">
        <v>0.9</v>
      </c>
      <c r="X559" s="17">
        <f t="shared" si="64"/>
        <v>0</v>
      </c>
      <c r="Y559" s="37">
        <f>VLOOKUP(D559,Priors!$A$18:$B$21,2,FALSE)</f>
        <v>8.4555315342179806</v>
      </c>
      <c r="Z559" s="38">
        <f t="shared" si="65"/>
        <v>8.4555315342179806</v>
      </c>
      <c r="AA559" s="39">
        <v>1</v>
      </c>
      <c r="AB559" s="38">
        <f t="shared" si="66"/>
        <v>8.4555315342179806</v>
      </c>
      <c r="AC559" s="37">
        <f>Priors!$K$18</f>
        <v>2.7435089299114512</v>
      </c>
      <c r="AD559" s="38" t="str">
        <f t="shared" si="67"/>
        <v/>
      </c>
      <c r="AE559" s="37">
        <f>Priors!$K$19</f>
        <v>0.67280088332719912</v>
      </c>
      <c r="AF559" s="38" t="str">
        <f t="shared" si="68"/>
        <v/>
      </c>
      <c r="AG559" s="17">
        <f t="shared" si="69"/>
        <v>1</v>
      </c>
      <c r="AH559" s="7" t="s">
        <v>1793</v>
      </c>
      <c r="AI559" s="7">
        <v>12</v>
      </c>
      <c r="AJ559" s="38">
        <f t="shared" si="70"/>
        <v>0.70462762785149835</v>
      </c>
      <c r="AK559" s="9" t="b">
        <f t="shared" si="71"/>
        <v>1</v>
      </c>
      <c r="AL559" s="28" t="s">
        <v>1794</v>
      </c>
      <c r="AM559" s="28"/>
      <c r="AN559" s="28" t="s">
        <v>1792</v>
      </c>
    </row>
    <row r="560" spans="1:40" ht="30">
      <c r="A560" s="7">
        <v>559</v>
      </c>
      <c r="B560" s="7" t="s">
        <v>1398</v>
      </c>
      <c r="C560" s="7" t="s">
        <v>55</v>
      </c>
      <c r="D560" s="7" t="s">
        <v>112</v>
      </c>
      <c r="E560" s="7" t="s">
        <v>1647</v>
      </c>
      <c r="F560" s="7"/>
      <c r="G560" s="14">
        <v>0</v>
      </c>
      <c r="H560" s="14"/>
      <c r="I560" s="15"/>
      <c r="J560" s="14"/>
      <c r="K560" s="15"/>
      <c r="L560" s="14"/>
      <c r="M560" s="14"/>
      <c r="N560" s="13"/>
      <c r="O560" s="14"/>
      <c r="P560" s="14"/>
      <c r="Q560" s="15"/>
      <c r="R560" s="17">
        <f>IFERROR(G560/(G560+Priors!$H$18),0)</f>
        <v>0</v>
      </c>
      <c r="S560" s="13">
        <v>0</v>
      </c>
      <c r="T560" s="40" t="b">
        <v>0</v>
      </c>
      <c r="U560" s="13">
        <v>1</v>
      </c>
      <c r="V560" s="40" t="b">
        <v>1</v>
      </c>
      <c r="W560" s="13">
        <v>0.9</v>
      </c>
      <c r="X560" s="17">
        <f t="shared" si="64"/>
        <v>0</v>
      </c>
      <c r="Y560" s="37">
        <f>VLOOKUP(D560,Priors!$A$18:$B$21,2,FALSE)</f>
        <v>8.4555315342179806</v>
      </c>
      <c r="Z560" s="38">
        <f t="shared" si="65"/>
        <v>8.4555315342179806</v>
      </c>
      <c r="AA560" s="39">
        <v>1</v>
      </c>
      <c r="AB560" s="38">
        <f t="shared" si="66"/>
        <v>8.4555315342179806</v>
      </c>
      <c r="AC560" s="37">
        <f>Priors!$K$18</f>
        <v>2.7435089299114512</v>
      </c>
      <c r="AD560" s="38" t="str">
        <f t="shared" si="67"/>
        <v/>
      </c>
      <c r="AE560" s="37">
        <f>Priors!$K$19</f>
        <v>0.67280088332719912</v>
      </c>
      <c r="AF560" s="38" t="str">
        <f t="shared" si="68"/>
        <v/>
      </c>
      <c r="AG560" s="17">
        <f t="shared" si="69"/>
        <v>1</v>
      </c>
      <c r="AH560" s="7" t="s">
        <v>1793</v>
      </c>
      <c r="AI560" s="7">
        <v>12</v>
      </c>
      <c r="AJ560" s="38">
        <f t="shared" si="70"/>
        <v>0.70462762785149835</v>
      </c>
      <c r="AK560" s="9" t="b">
        <f t="shared" si="71"/>
        <v>1</v>
      </c>
      <c r="AL560" s="28" t="s">
        <v>1794</v>
      </c>
      <c r="AM560" s="28"/>
      <c r="AN560" s="28" t="s">
        <v>1792</v>
      </c>
    </row>
    <row r="561" spans="1:40" ht="30">
      <c r="A561" s="7">
        <v>560</v>
      </c>
      <c r="B561" s="7" t="s">
        <v>596</v>
      </c>
      <c r="C561" s="7" t="s">
        <v>44</v>
      </c>
      <c r="D561" s="7" t="s">
        <v>85</v>
      </c>
      <c r="E561" s="7" t="s">
        <v>1642</v>
      </c>
      <c r="F561" s="7" t="s">
        <v>44</v>
      </c>
      <c r="G561" s="14">
        <v>0</v>
      </c>
      <c r="H561" s="14">
        <v>0</v>
      </c>
      <c r="I561" s="15">
        <v>0</v>
      </c>
      <c r="J561" s="14">
        <v>0</v>
      </c>
      <c r="K561" s="15">
        <v>0</v>
      </c>
      <c r="L561" s="14">
        <v>0</v>
      </c>
      <c r="M561" s="14">
        <v>0</v>
      </c>
      <c r="N561" s="13"/>
      <c r="O561" s="14">
        <v>0</v>
      </c>
      <c r="P561" s="14">
        <v>0</v>
      </c>
      <c r="Q561" s="15">
        <v>0</v>
      </c>
      <c r="R561" s="17">
        <f>IFERROR(G561/(G561+Priors!$H$18),0)</f>
        <v>0</v>
      </c>
      <c r="S561" s="13">
        <v>1</v>
      </c>
      <c r="T561" s="40" t="b">
        <v>0</v>
      </c>
      <c r="U561" s="13">
        <v>1</v>
      </c>
      <c r="V561" s="40" t="b">
        <v>1</v>
      </c>
      <c r="W561" s="13">
        <v>0.9</v>
      </c>
      <c r="X561" s="17">
        <f t="shared" si="64"/>
        <v>0</v>
      </c>
      <c r="Y561" s="37">
        <f>VLOOKUP(D561,Priors!$A$18:$B$21,2,FALSE)</f>
        <v>2.6414527990394716</v>
      </c>
      <c r="Z561" s="38">
        <f t="shared" si="65"/>
        <v>2.6414527990394716</v>
      </c>
      <c r="AA561" s="39">
        <v>1</v>
      </c>
      <c r="AB561" s="38">
        <f t="shared" si="66"/>
        <v>2.6414527990394716</v>
      </c>
      <c r="AC561" s="37">
        <f>Priors!$K$18</f>
        <v>2.7435089299114512</v>
      </c>
      <c r="AD561" s="38">
        <f t="shared" si="67"/>
        <v>2.7435089299114512</v>
      </c>
      <c r="AE561" s="37">
        <f>Priors!$K$19</f>
        <v>0.67280088332719912</v>
      </c>
      <c r="AF561" s="38">
        <f t="shared" si="68"/>
        <v>0.67280088332719912</v>
      </c>
      <c r="AG561" s="17">
        <f t="shared" si="69"/>
        <v>1</v>
      </c>
      <c r="AH561" s="7" t="s">
        <v>1643</v>
      </c>
      <c r="AI561" s="7"/>
      <c r="AJ561" s="38" t="str">
        <f t="shared" si="70"/>
        <v/>
      </c>
      <c r="AK561" s="9" t="b">
        <f t="shared" si="71"/>
        <v>1</v>
      </c>
      <c r="AL561" s="28" t="s">
        <v>1644</v>
      </c>
      <c r="AM561" s="28" t="s">
        <v>1645</v>
      </c>
      <c r="AN561" s="28" t="s">
        <v>1792</v>
      </c>
    </row>
    <row r="562" spans="1:40" ht="30">
      <c r="A562" s="7">
        <v>561</v>
      </c>
      <c r="B562" s="7" t="s">
        <v>598</v>
      </c>
      <c r="C562" s="7" t="s">
        <v>44</v>
      </c>
      <c r="D562" s="7" t="s">
        <v>99</v>
      </c>
      <c r="E562" s="7" t="s">
        <v>1642</v>
      </c>
      <c r="F562" s="7" t="s">
        <v>44</v>
      </c>
      <c r="G562" s="14">
        <v>0</v>
      </c>
      <c r="H562" s="14">
        <v>0</v>
      </c>
      <c r="I562" s="15">
        <v>0</v>
      </c>
      <c r="J562" s="14">
        <v>0</v>
      </c>
      <c r="K562" s="15">
        <v>0</v>
      </c>
      <c r="L562" s="14">
        <v>0</v>
      </c>
      <c r="M562" s="14">
        <v>0</v>
      </c>
      <c r="N562" s="13"/>
      <c r="O562" s="14">
        <v>0</v>
      </c>
      <c r="P562" s="14">
        <v>0</v>
      </c>
      <c r="Q562" s="15">
        <v>0</v>
      </c>
      <c r="R562" s="17">
        <f>IFERROR(G562/(G562+Priors!$H$18),0)</f>
        <v>0</v>
      </c>
      <c r="S562" s="13">
        <v>1</v>
      </c>
      <c r="T562" s="40" t="b">
        <v>0</v>
      </c>
      <c r="U562" s="13">
        <v>1</v>
      </c>
      <c r="V562" s="40" t="b">
        <v>1</v>
      </c>
      <c r="W562" s="13">
        <v>0.9</v>
      </c>
      <c r="X562" s="17">
        <f t="shared" si="64"/>
        <v>0</v>
      </c>
      <c r="Y562" s="37">
        <f>VLOOKUP(D562,Priors!$A$18:$B$21,2,FALSE)</f>
        <v>8.7398272304160223</v>
      </c>
      <c r="Z562" s="38">
        <f t="shared" si="65"/>
        <v>8.7398272304160223</v>
      </c>
      <c r="AA562" s="39">
        <v>1</v>
      </c>
      <c r="AB562" s="38">
        <f t="shared" si="66"/>
        <v>8.7398272304160223</v>
      </c>
      <c r="AC562" s="37">
        <f>Priors!$K$18</f>
        <v>2.7435089299114512</v>
      </c>
      <c r="AD562" s="38" t="str">
        <f t="shared" si="67"/>
        <v/>
      </c>
      <c r="AE562" s="37">
        <f>Priors!$K$19</f>
        <v>0.67280088332719912</v>
      </c>
      <c r="AF562" s="38" t="str">
        <f t="shared" si="68"/>
        <v/>
      </c>
      <c r="AG562" s="17">
        <f t="shared" si="69"/>
        <v>1</v>
      </c>
      <c r="AH562" s="7" t="s">
        <v>1643</v>
      </c>
      <c r="AI562" s="7">
        <v>10</v>
      </c>
      <c r="AJ562" s="38">
        <f t="shared" si="70"/>
        <v>0.87398272304160218</v>
      </c>
      <c r="AK562" s="9" t="b">
        <f t="shared" si="71"/>
        <v>1</v>
      </c>
      <c r="AL562" s="28" t="s">
        <v>1644</v>
      </c>
      <c r="AM562" s="28" t="s">
        <v>1645</v>
      </c>
      <c r="AN562" s="28" t="s">
        <v>1792</v>
      </c>
    </row>
    <row r="563" spans="1:40" ht="30">
      <c r="A563" s="7">
        <v>562</v>
      </c>
      <c r="B563" s="7" t="s">
        <v>1014</v>
      </c>
      <c r="C563" s="7" t="s">
        <v>50</v>
      </c>
      <c r="D563" s="7" t="s">
        <v>112</v>
      </c>
      <c r="E563" s="7" t="s">
        <v>1647</v>
      </c>
      <c r="F563" s="7"/>
      <c r="G563" s="14">
        <v>0</v>
      </c>
      <c r="H563" s="14"/>
      <c r="I563" s="15"/>
      <c r="J563" s="14"/>
      <c r="K563" s="15"/>
      <c r="L563" s="14"/>
      <c r="M563" s="14"/>
      <c r="N563" s="13"/>
      <c r="O563" s="14"/>
      <c r="P563" s="14"/>
      <c r="Q563" s="15"/>
      <c r="R563" s="17">
        <f>IFERROR(G563/(G563+Priors!$H$18),0)</f>
        <v>0</v>
      </c>
      <c r="S563" s="13">
        <v>0</v>
      </c>
      <c r="T563" s="40" t="b">
        <v>0</v>
      </c>
      <c r="U563" s="13">
        <v>1</v>
      </c>
      <c r="V563" s="40" t="b">
        <v>1</v>
      </c>
      <c r="W563" s="13">
        <v>0.9</v>
      </c>
      <c r="X563" s="17">
        <f t="shared" si="64"/>
        <v>0</v>
      </c>
      <c r="Y563" s="37">
        <f>VLOOKUP(D563,Priors!$A$18:$B$21,2,FALSE)</f>
        <v>8.4555315342179806</v>
      </c>
      <c r="Z563" s="38">
        <f t="shared" si="65"/>
        <v>8.4555315342179806</v>
      </c>
      <c r="AA563" s="39">
        <v>1</v>
      </c>
      <c r="AB563" s="38">
        <f t="shared" si="66"/>
        <v>8.4555315342179806</v>
      </c>
      <c r="AC563" s="37">
        <f>Priors!$K$18</f>
        <v>2.7435089299114512</v>
      </c>
      <c r="AD563" s="38" t="str">
        <f t="shared" si="67"/>
        <v/>
      </c>
      <c r="AE563" s="37">
        <f>Priors!$K$19</f>
        <v>0.67280088332719912</v>
      </c>
      <c r="AF563" s="38" t="str">
        <f t="shared" si="68"/>
        <v/>
      </c>
      <c r="AG563" s="17">
        <f t="shared" si="69"/>
        <v>1</v>
      </c>
      <c r="AH563" s="7" t="s">
        <v>1793</v>
      </c>
      <c r="AI563" s="7">
        <v>12</v>
      </c>
      <c r="AJ563" s="38">
        <f t="shared" si="70"/>
        <v>0.70462762785149835</v>
      </c>
      <c r="AK563" s="9" t="b">
        <f t="shared" si="71"/>
        <v>1</v>
      </c>
      <c r="AL563" s="28" t="s">
        <v>1794</v>
      </c>
      <c r="AM563" s="28"/>
      <c r="AN563" s="28" t="s">
        <v>1792</v>
      </c>
    </row>
    <row r="564" spans="1:40" ht="30">
      <c r="A564" s="7">
        <v>563</v>
      </c>
      <c r="B564" s="7" t="s">
        <v>939</v>
      </c>
      <c r="C564" s="7" t="s">
        <v>49</v>
      </c>
      <c r="D564" s="7" t="s">
        <v>112</v>
      </c>
      <c r="E564" s="7" t="s">
        <v>1647</v>
      </c>
      <c r="F564" s="7"/>
      <c r="G564" s="14">
        <v>0</v>
      </c>
      <c r="H564" s="14"/>
      <c r="I564" s="15"/>
      <c r="J564" s="14"/>
      <c r="K564" s="15"/>
      <c r="L564" s="14"/>
      <c r="M564" s="14"/>
      <c r="N564" s="13"/>
      <c r="O564" s="14"/>
      <c r="P564" s="14"/>
      <c r="Q564" s="15"/>
      <c r="R564" s="17">
        <f>IFERROR(G564/(G564+Priors!$H$18),0)</f>
        <v>0</v>
      </c>
      <c r="S564" s="13">
        <v>0</v>
      </c>
      <c r="T564" s="40" t="b">
        <v>0</v>
      </c>
      <c r="U564" s="13">
        <v>1</v>
      </c>
      <c r="V564" s="40" t="b">
        <v>0</v>
      </c>
      <c r="W564" s="13">
        <v>1</v>
      </c>
      <c r="X564" s="17">
        <f t="shared" si="64"/>
        <v>0</v>
      </c>
      <c r="Y564" s="37">
        <f>VLOOKUP(D564,Priors!$A$18:$B$21,2,FALSE)</f>
        <v>8.4555315342179806</v>
      </c>
      <c r="Z564" s="38">
        <f t="shared" si="65"/>
        <v>8.4555315342179806</v>
      </c>
      <c r="AA564" s="39">
        <v>1</v>
      </c>
      <c r="AB564" s="38">
        <f t="shared" si="66"/>
        <v>8.4555315342179806</v>
      </c>
      <c r="AC564" s="37">
        <f>Priors!$K$18</f>
        <v>2.7435089299114512</v>
      </c>
      <c r="AD564" s="38" t="str">
        <f t="shared" si="67"/>
        <v/>
      </c>
      <c r="AE564" s="37">
        <f>Priors!$K$19</f>
        <v>0.67280088332719912</v>
      </c>
      <c r="AF564" s="38" t="str">
        <f t="shared" si="68"/>
        <v/>
      </c>
      <c r="AG564" s="17">
        <f t="shared" si="69"/>
        <v>1</v>
      </c>
      <c r="AH564" s="7" t="s">
        <v>1793</v>
      </c>
      <c r="AI564" s="7">
        <v>12</v>
      </c>
      <c r="AJ564" s="38">
        <f t="shared" si="70"/>
        <v>0.70462762785149835</v>
      </c>
      <c r="AK564" s="9" t="b">
        <f t="shared" si="71"/>
        <v>1</v>
      </c>
      <c r="AL564" s="28" t="s">
        <v>1794</v>
      </c>
      <c r="AM564" s="28"/>
      <c r="AN564" s="28" t="s">
        <v>1792</v>
      </c>
    </row>
    <row r="565" spans="1:40" ht="30">
      <c r="A565" s="7">
        <v>564</v>
      </c>
      <c r="B565" s="7" t="s">
        <v>1017</v>
      </c>
      <c r="C565" s="7" t="s">
        <v>50</v>
      </c>
      <c r="D565" s="7" t="s">
        <v>85</v>
      </c>
      <c r="E565" s="7" t="s">
        <v>1642</v>
      </c>
      <c r="F565" s="7" t="s">
        <v>43</v>
      </c>
      <c r="G565" s="14">
        <v>0</v>
      </c>
      <c r="H565" s="14">
        <v>0</v>
      </c>
      <c r="I565" s="15">
        <v>0</v>
      </c>
      <c r="J565" s="14">
        <v>0</v>
      </c>
      <c r="K565" s="15">
        <v>0</v>
      </c>
      <c r="L565" s="14">
        <v>0</v>
      </c>
      <c r="M565" s="14">
        <v>0</v>
      </c>
      <c r="N565" s="13"/>
      <c r="O565" s="14">
        <v>0</v>
      </c>
      <c r="P565" s="14">
        <v>0</v>
      </c>
      <c r="Q565" s="15">
        <v>0</v>
      </c>
      <c r="R565" s="17">
        <f>IFERROR(G565/(G565+Priors!$H$18),0)</f>
        <v>0</v>
      </c>
      <c r="S565" s="13">
        <v>1</v>
      </c>
      <c r="T565" s="40" t="b">
        <v>1</v>
      </c>
      <c r="U565" s="13">
        <v>0.85</v>
      </c>
      <c r="V565" s="40" t="b">
        <v>1</v>
      </c>
      <c r="W565" s="13">
        <v>0.9</v>
      </c>
      <c r="X565" s="17">
        <f t="shared" si="64"/>
        <v>0</v>
      </c>
      <c r="Y565" s="37">
        <f>VLOOKUP(D565,Priors!$A$18:$B$21,2,FALSE)</f>
        <v>2.6414527990394716</v>
      </c>
      <c r="Z565" s="38">
        <f t="shared" si="65"/>
        <v>2.6414527990394716</v>
      </c>
      <c r="AA565" s="39">
        <v>1</v>
      </c>
      <c r="AB565" s="38">
        <f t="shared" si="66"/>
        <v>2.6414527990394716</v>
      </c>
      <c r="AC565" s="37">
        <f>Priors!$K$18</f>
        <v>2.7435089299114512</v>
      </c>
      <c r="AD565" s="38">
        <f t="shared" si="67"/>
        <v>2.7435089299114512</v>
      </c>
      <c r="AE565" s="37">
        <f>Priors!$K$19</f>
        <v>0.67280088332719912</v>
      </c>
      <c r="AF565" s="38">
        <f t="shared" si="68"/>
        <v>0.67280088332719912</v>
      </c>
      <c r="AG565" s="17">
        <f t="shared" si="69"/>
        <v>1</v>
      </c>
      <c r="AH565" s="7" t="s">
        <v>1643</v>
      </c>
      <c r="AI565" s="7"/>
      <c r="AJ565" s="38" t="str">
        <f t="shared" si="70"/>
        <v/>
      </c>
      <c r="AK565" s="9" t="b">
        <f t="shared" si="71"/>
        <v>1</v>
      </c>
      <c r="AL565" s="28" t="s">
        <v>1644</v>
      </c>
      <c r="AM565" s="28" t="s">
        <v>1645</v>
      </c>
      <c r="AN565" s="28" t="s">
        <v>1792</v>
      </c>
    </row>
    <row r="566" spans="1:40" ht="30">
      <c r="A566" s="7">
        <v>565</v>
      </c>
      <c r="B566" s="7" t="s">
        <v>418</v>
      </c>
      <c r="C566" s="7" t="s">
        <v>42</v>
      </c>
      <c r="D566" s="7" t="s">
        <v>112</v>
      </c>
      <c r="E566" s="7" t="s">
        <v>1647</v>
      </c>
      <c r="F566" s="7"/>
      <c r="G566" s="14">
        <v>0</v>
      </c>
      <c r="H566" s="14"/>
      <c r="I566" s="15"/>
      <c r="J566" s="14"/>
      <c r="K566" s="15"/>
      <c r="L566" s="14"/>
      <c r="M566" s="14"/>
      <c r="N566" s="13"/>
      <c r="O566" s="14"/>
      <c r="P566" s="14"/>
      <c r="Q566" s="15"/>
      <c r="R566" s="17">
        <f>IFERROR(G566/(G566+Priors!$H$18),0)</f>
        <v>0</v>
      </c>
      <c r="S566" s="13">
        <v>0</v>
      </c>
      <c r="T566" s="40" t="b">
        <v>0</v>
      </c>
      <c r="U566" s="13">
        <v>1</v>
      </c>
      <c r="V566" s="40" t="b">
        <v>0</v>
      </c>
      <c r="W566" s="13">
        <v>1</v>
      </c>
      <c r="X566" s="17">
        <f t="shared" si="64"/>
        <v>0</v>
      </c>
      <c r="Y566" s="37">
        <f>VLOOKUP(D566,Priors!$A$18:$B$21,2,FALSE)</f>
        <v>8.4555315342179806</v>
      </c>
      <c r="Z566" s="38">
        <f t="shared" si="65"/>
        <v>8.4555315342179806</v>
      </c>
      <c r="AA566" s="39">
        <v>1</v>
      </c>
      <c r="AB566" s="38">
        <f t="shared" si="66"/>
        <v>8.4555315342179806</v>
      </c>
      <c r="AC566" s="37">
        <f>Priors!$K$18</f>
        <v>2.7435089299114512</v>
      </c>
      <c r="AD566" s="38" t="str">
        <f t="shared" si="67"/>
        <v/>
      </c>
      <c r="AE566" s="37">
        <f>Priors!$K$19</f>
        <v>0.67280088332719912</v>
      </c>
      <c r="AF566" s="38" t="str">
        <f t="shared" si="68"/>
        <v/>
      </c>
      <c r="AG566" s="17">
        <f t="shared" si="69"/>
        <v>1</v>
      </c>
      <c r="AH566" s="7" t="s">
        <v>1793</v>
      </c>
      <c r="AI566" s="7">
        <v>12</v>
      </c>
      <c r="AJ566" s="38">
        <f t="shared" si="70"/>
        <v>0.70462762785149835</v>
      </c>
      <c r="AK566" s="9" t="b">
        <f t="shared" si="71"/>
        <v>1</v>
      </c>
      <c r="AL566" s="28" t="s">
        <v>1794</v>
      </c>
      <c r="AM566" s="28"/>
      <c r="AN566" s="28" t="s">
        <v>1792</v>
      </c>
    </row>
    <row r="567" spans="1:40" ht="30">
      <c r="A567" s="7">
        <v>566</v>
      </c>
      <c r="B567" s="7" t="s">
        <v>338</v>
      </c>
      <c r="C567" s="7" t="s">
        <v>41</v>
      </c>
      <c r="D567" s="7" t="s">
        <v>99</v>
      </c>
      <c r="E567" s="7" t="s">
        <v>1647</v>
      </c>
      <c r="F567" s="7"/>
      <c r="G567" s="14">
        <v>0</v>
      </c>
      <c r="H567" s="14"/>
      <c r="I567" s="15"/>
      <c r="J567" s="14"/>
      <c r="K567" s="15"/>
      <c r="L567" s="14"/>
      <c r="M567" s="14"/>
      <c r="N567" s="13"/>
      <c r="O567" s="14"/>
      <c r="P567" s="14"/>
      <c r="Q567" s="15"/>
      <c r="R567" s="17">
        <f>IFERROR(G567/(G567+Priors!$H$18),0)</f>
        <v>0</v>
      </c>
      <c r="S567" s="13">
        <v>0</v>
      </c>
      <c r="T567" s="40" t="b">
        <v>0</v>
      </c>
      <c r="U567" s="13">
        <v>1</v>
      </c>
      <c r="V567" s="40" t="b">
        <v>1</v>
      </c>
      <c r="W567" s="13">
        <v>0.9</v>
      </c>
      <c r="X567" s="17">
        <f t="shared" si="64"/>
        <v>0</v>
      </c>
      <c r="Y567" s="37">
        <f>VLOOKUP(D567,Priors!$A$18:$B$21,2,FALSE)</f>
        <v>8.7398272304160223</v>
      </c>
      <c r="Z567" s="38">
        <f t="shared" si="65"/>
        <v>8.7398272304160223</v>
      </c>
      <c r="AA567" s="39">
        <v>1</v>
      </c>
      <c r="AB567" s="38">
        <f t="shared" si="66"/>
        <v>8.7398272304160223</v>
      </c>
      <c r="AC567" s="37">
        <f>Priors!$K$18</f>
        <v>2.7435089299114512</v>
      </c>
      <c r="AD567" s="38" t="str">
        <f t="shared" si="67"/>
        <v/>
      </c>
      <c r="AE567" s="37">
        <f>Priors!$K$19</f>
        <v>0.67280088332719912</v>
      </c>
      <c r="AF567" s="38" t="str">
        <f t="shared" si="68"/>
        <v/>
      </c>
      <c r="AG567" s="17">
        <f t="shared" si="69"/>
        <v>1</v>
      </c>
      <c r="AH567" s="7" t="s">
        <v>1793</v>
      </c>
      <c r="AI567" s="7">
        <v>10</v>
      </c>
      <c r="AJ567" s="38">
        <f t="shared" si="70"/>
        <v>0.87398272304160218</v>
      </c>
      <c r="AK567" s="9" t="b">
        <f t="shared" si="71"/>
        <v>1</v>
      </c>
      <c r="AL567" s="28" t="s">
        <v>1794</v>
      </c>
      <c r="AM567" s="28"/>
      <c r="AN567" s="28" t="s">
        <v>1792</v>
      </c>
    </row>
    <row r="568" spans="1:40" ht="30">
      <c r="A568" s="7">
        <v>567</v>
      </c>
      <c r="B568" s="7" t="s">
        <v>1400</v>
      </c>
      <c r="C568" s="7" t="s">
        <v>55</v>
      </c>
      <c r="D568" s="7" t="s">
        <v>85</v>
      </c>
      <c r="E568" s="7" t="s">
        <v>1647</v>
      </c>
      <c r="F568" s="7"/>
      <c r="G568" s="14">
        <v>0</v>
      </c>
      <c r="H568" s="14"/>
      <c r="I568" s="15"/>
      <c r="J568" s="14"/>
      <c r="K568" s="15"/>
      <c r="L568" s="14"/>
      <c r="M568" s="14"/>
      <c r="N568" s="13"/>
      <c r="O568" s="14"/>
      <c r="P568" s="14"/>
      <c r="Q568" s="15"/>
      <c r="R568" s="17">
        <f>IFERROR(G568/(G568+Priors!$H$18),0)</f>
        <v>0</v>
      </c>
      <c r="S568" s="13">
        <v>0</v>
      </c>
      <c r="T568" s="40" t="b">
        <v>0</v>
      </c>
      <c r="U568" s="13">
        <v>1</v>
      </c>
      <c r="V568" s="40" t="b">
        <v>1</v>
      </c>
      <c r="W568" s="13">
        <v>0.9</v>
      </c>
      <c r="X568" s="17">
        <f t="shared" si="64"/>
        <v>0</v>
      </c>
      <c r="Y568" s="37">
        <f>VLOOKUP(D568,Priors!$A$18:$B$21,2,FALSE)</f>
        <v>2.6414527990394716</v>
      </c>
      <c r="Z568" s="38">
        <f t="shared" si="65"/>
        <v>2.6414527990394716</v>
      </c>
      <c r="AA568" s="39">
        <v>1</v>
      </c>
      <c r="AB568" s="38">
        <f t="shared" si="66"/>
        <v>2.6414527990394716</v>
      </c>
      <c r="AC568" s="37">
        <f>Priors!$K$18</f>
        <v>2.7435089299114512</v>
      </c>
      <c r="AD568" s="38">
        <f t="shared" si="67"/>
        <v>2.7435089299114512</v>
      </c>
      <c r="AE568" s="37">
        <f>Priors!$K$19</f>
        <v>0.67280088332719912</v>
      </c>
      <c r="AF568" s="38">
        <f t="shared" si="68"/>
        <v>0.67280088332719912</v>
      </c>
      <c r="AG568" s="17">
        <f t="shared" si="69"/>
        <v>1</v>
      </c>
      <c r="AH568" s="7" t="s">
        <v>1793</v>
      </c>
      <c r="AI568" s="7"/>
      <c r="AJ568" s="38" t="str">
        <f t="shared" si="70"/>
        <v/>
      </c>
      <c r="AK568" s="9" t="b">
        <f t="shared" si="71"/>
        <v>1</v>
      </c>
      <c r="AL568" s="28" t="s">
        <v>1794</v>
      </c>
      <c r="AM568" s="28"/>
      <c r="AN568" s="28" t="s">
        <v>1792</v>
      </c>
    </row>
  </sheetData>
  <conditionalFormatting sqref="AG2:AG56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:AK568">
    <cfRule type="expression" dxfId="0" priority="1">
      <formula>AK2=TRUE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1"/>
  <sheetViews>
    <sheetView workbookViewId="0"/>
  </sheetViews>
  <sheetFormatPr baseColWidth="10" defaultColWidth="8.83203125" defaultRowHeight="14"/>
  <cols>
    <col min="1" max="1" width="18" customWidth="1"/>
    <col min="2" max="2" width="16" customWidth="1"/>
    <col min="3" max="4" width="15" customWidth="1"/>
    <col min="5" max="6" width="16" customWidth="1"/>
    <col min="7" max="8" width="13" customWidth="1"/>
    <col min="9" max="17" width="15" customWidth="1"/>
    <col min="18" max="19" width="17" customWidth="1"/>
    <col min="20" max="21" width="18" customWidth="1"/>
    <col min="22" max="22" width="48" customWidth="1"/>
    <col min="23" max="24" width="38" customWidth="1"/>
  </cols>
  <sheetData>
    <row r="1" spans="1:24" ht="15">
      <c r="A1" s="44" t="s">
        <v>33</v>
      </c>
      <c r="B1" s="44" t="s">
        <v>1607</v>
      </c>
      <c r="C1" s="44" t="s">
        <v>1795</v>
      </c>
      <c r="D1" s="44" t="s">
        <v>1796</v>
      </c>
      <c r="E1" s="44" t="s">
        <v>1797</v>
      </c>
      <c r="F1" s="44" t="s">
        <v>1798</v>
      </c>
      <c r="G1" s="44" t="s">
        <v>1799</v>
      </c>
      <c r="H1" s="44" t="s">
        <v>75</v>
      </c>
      <c r="I1" s="44" t="s">
        <v>1800</v>
      </c>
      <c r="J1" s="44" t="s">
        <v>1801</v>
      </c>
      <c r="K1" s="44" t="s">
        <v>1802</v>
      </c>
      <c r="L1" s="44" t="s">
        <v>1803</v>
      </c>
      <c r="M1" s="44" t="s">
        <v>1804</v>
      </c>
      <c r="N1" s="44" t="s">
        <v>1805</v>
      </c>
      <c r="O1" s="44" t="s">
        <v>1806</v>
      </c>
      <c r="P1" s="44" t="s">
        <v>1807</v>
      </c>
      <c r="Q1" s="44" t="s">
        <v>1808</v>
      </c>
      <c r="R1" s="44" t="s">
        <v>1809</v>
      </c>
      <c r="S1" s="44" t="s">
        <v>1810</v>
      </c>
      <c r="T1" s="44" t="s">
        <v>1811</v>
      </c>
      <c r="U1" s="44" t="s">
        <v>1812</v>
      </c>
      <c r="V1" s="44" t="s">
        <v>1637</v>
      </c>
      <c r="W1" s="44" t="s">
        <v>1813</v>
      </c>
      <c r="X1" s="44" t="s">
        <v>1814</v>
      </c>
    </row>
    <row r="2" spans="1:24" ht="45">
      <c r="A2" s="7" t="s">
        <v>39</v>
      </c>
      <c r="B2" s="7" t="s">
        <v>1642</v>
      </c>
      <c r="C2" s="15">
        <v>1.726315789473684</v>
      </c>
      <c r="D2" s="15">
        <v>0.74473684210526314</v>
      </c>
      <c r="E2" s="15">
        <v>1.2351722839389945</v>
      </c>
      <c r="F2" s="15">
        <v>0.5328061752800527</v>
      </c>
      <c r="G2" s="8" t="b">
        <v>0</v>
      </c>
      <c r="H2" s="8" t="b">
        <v>0</v>
      </c>
      <c r="I2" s="15">
        <v>0.7</v>
      </c>
      <c r="J2" s="15"/>
      <c r="K2" s="15"/>
      <c r="L2" s="15">
        <v>1.1646205987572962</v>
      </c>
      <c r="M2" s="15">
        <v>0.6729643226960369</v>
      </c>
      <c r="N2" s="45">
        <v>1</v>
      </c>
      <c r="O2" s="45">
        <v>1</v>
      </c>
      <c r="P2" s="45">
        <v>1</v>
      </c>
      <c r="Q2" s="45">
        <v>1</v>
      </c>
      <c r="R2" s="45"/>
      <c r="S2" s="45"/>
      <c r="T2" s="38">
        <f t="shared" ref="T2:T21" si="0">IF(R2&lt;&gt;"",R2,L2*N2*P2)</f>
        <v>1.1646205987572962</v>
      </c>
      <c r="U2" s="38">
        <f t="shared" ref="U2:U21" si="1">IF(S2&lt;&gt;"",S2,M2*O2*Q2)</f>
        <v>0.6729643226960369</v>
      </c>
      <c r="V2" s="31" t="s">
        <v>1815</v>
      </c>
      <c r="W2" s="31" t="s">
        <v>1666</v>
      </c>
      <c r="X2" s="31" t="s">
        <v>1773</v>
      </c>
    </row>
    <row r="3" spans="1:24" ht="45">
      <c r="A3" s="7" t="s">
        <v>40</v>
      </c>
      <c r="B3" s="7" t="s">
        <v>1642</v>
      </c>
      <c r="C3" s="15">
        <v>1.2684210526315791</v>
      </c>
      <c r="D3" s="15">
        <v>1.4184210526315788</v>
      </c>
      <c r="E3" s="15">
        <v>0.90755036716249315</v>
      </c>
      <c r="F3" s="15">
        <v>1.0147792525651886</v>
      </c>
      <c r="G3" s="8" t="b">
        <v>0</v>
      </c>
      <c r="H3" s="8" t="b">
        <v>0</v>
      </c>
      <c r="I3" s="15">
        <v>0.7</v>
      </c>
      <c r="J3" s="15"/>
      <c r="K3" s="15"/>
      <c r="L3" s="15">
        <v>0.93528525701374521</v>
      </c>
      <c r="M3" s="15">
        <v>1.0103454767956321</v>
      </c>
      <c r="N3" s="45">
        <v>1</v>
      </c>
      <c r="O3" s="45">
        <v>1</v>
      </c>
      <c r="P3" s="45">
        <v>1</v>
      </c>
      <c r="Q3" s="45">
        <v>1</v>
      </c>
      <c r="R3" s="45"/>
      <c r="S3" s="45"/>
      <c r="T3" s="38">
        <f t="shared" si="0"/>
        <v>0.93528525701374521</v>
      </c>
      <c r="U3" s="38">
        <f t="shared" si="1"/>
        <v>1.0103454767956321</v>
      </c>
      <c r="V3" s="31" t="s">
        <v>1815</v>
      </c>
      <c r="W3" s="31" t="s">
        <v>1666</v>
      </c>
      <c r="X3" s="31" t="s">
        <v>1773</v>
      </c>
    </row>
    <row r="4" spans="1:24" ht="45">
      <c r="A4" s="7" t="s">
        <v>41</v>
      </c>
      <c r="B4" s="7" t="s">
        <v>1642</v>
      </c>
      <c r="C4" s="15">
        <v>1.6289473684210527</v>
      </c>
      <c r="D4" s="15">
        <v>1.4947368421052631</v>
      </c>
      <c r="E4" s="15">
        <v>1.1655055545095088</v>
      </c>
      <c r="F4" s="15">
        <v>1.0693777652263954</v>
      </c>
      <c r="G4" s="8" t="b">
        <v>0</v>
      </c>
      <c r="H4" s="8" t="b">
        <v>1</v>
      </c>
      <c r="I4" s="15">
        <v>0.55000000000000004</v>
      </c>
      <c r="J4" s="15"/>
      <c r="K4" s="15"/>
      <c r="L4" s="15">
        <v>1.0910280549802298</v>
      </c>
      <c r="M4" s="15">
        <v>1.0381577708745175</v>
      </c>
      <c r="N4" s="45">
        <v>1</v>
      </c>
      <c r="O4" s="45">
        <v>1</v>
      </c>
      <c r="P4" s="45">
        <v>1</v>
      </c>
      <c r="Q4" s="45">
        <v>1</v>
      </c>
      <c r="R4" s="45"/>
      <c r="S4" s="45"/>
      <c r="T4" s="38">
        <f t="shared" si="0"/>
        <v>1.0910280549802298</v>
      </c>
      <c r="U4" s="38">
        <f t="shared" si="1"/>
        <v>1.0381577708745175</v>
      </c>
      <c r="V4" s="31" t="s">
        <v>1815</v>
      </c>
      <c r="W4" s="31" t="s">
        <v>1666</v>
      </c>
      <c r="X4" s="31" t="s">
        <v>1773</v>
      </c>
    </row>
    <row r="5" spans="1:24" ht="45">
      <c r="A5" s="7" t="s">
        <v>42</v>
      </c>
      <c r="B5" s="7" t="s">
        <v>1642</v>
      </c>
      <c r="C5" s="15">
        <v>1.5868421052631578</v>
      </c>
      <c r="D5" s="15">
        <v>1.4315789473684211</v>
      </c>
      <c r="E5" s="15">
        <v>1.1353794012427039</v>
      </c>
      <c r="F5" s="15">
        <v>1.0241927892309139</v>
      </c>
      <c r="G5" s="8" t="b">
        <v>0</v>
      </c>
      <c r="H5" s="8" t="b">
        <v>0</v>
      </c>
      <c r="I5" s="15">
        <v>0.7</v>
      </c>
      <c r="J5" s="15"/>
      <c r="K5" s="15"/>
      <c r="L5" s="15">
        <v>1.0947655808698926</v>
      </c>
      <c r="M5" s="15">
        <v>1.0169349524616398</v>
      </c>
      <c r="N5" s="45">
        <v>1</v>
      </c>
      <c r="O5" s="45">
        <v>1</v>
      </c>
      <c r="P5" s="45">
        <v>1</v>
      </c>
      <c r="Q5" s="45">
        <v>1</v>
      </c>
      <c r="R5" s="45"/>
      <c r="S5" s="45"/>
      <c r="T5" s="38">
        <f t="shared" si="0"/>
        <v>1.0947655808698926</v>
      </c>
      <c r="U5" s="38">
        <f t="shared" si="1"/>
        <v>1.0169349524616398</v>
      </c>
      <c r="V5" s="31" t="s">
        <v>1815</v>
      </c>
      <c r="W5" s="31" t="s">
        <v>1666</v>
      </c>
      <c r="X5" s="31" t="s">
        <v>1773</v>
      </c>
    </row>
    <row r="6" spans="1:24" ht="45">
      <c r="A6" s="7" t="s">
        <v>43</v>
      </c>
      <c r="B6" s="7" t="s">
        <v>1642</v>
      </c>
      <c r="C6" s="15">
        <v>1.5236842105263158</v>
      </c>
      <c r="D6" s="15">
        <v>1.2921052631578949</v>
      </c>
      <c r="E6" s="15">
        <v>1.0901901713424968</v>
      </c>
      <c r="F6" s="15">
        <v>0.92440930057422577</v>
      </c>
      <c r="G6" s="8" t="b">
        <v>0</v>
      </c>
      <c r="H6" s="8" t="b">
        <v>0</v>
      </c>
      <c r="I6" s="15">
        <v>0.7</v>
      </c>
      <c r="J6" s="15"/>
      <c r="K6" s="15"/>
      <c r="L6" s="15">
        <v>1.0631331199397478</v>
      </c>
      <c r="M6" s="15">
        <v>0.94708651040195801</v>
      </c>
      <c r="N6" s="45">
        <v>1</v>
      </c>
      <c r="O6" s="45">
        <v>1</v>
      </c>
      <c r="P6" s="45">
        <v>1</v>
      </c>
      <c r="Q6" s="45">
        <v>1</v>
      </c>
      <c r="R6" s="45"/>
      <c r="S6" s="45"/>
      <c r="T6" s="38">
        <f t="shared" si="0"/>
        <v>1.0631331199397478</v>
      </c>
      <c r="U6" s="38">
        <f t="shared" si="1"/>
        <v>0.94708651040195801</v>
      </c>
      <c r="V6" s="31" t="s">
        <v>1815</v>
      </c>
      <c r="W6" s="31" t="s">
        <v>1666</v>
      </c>
      <c r="X6" s="31" t="s">
        <v>1773</v>
      </c>
    </row>
    <row r="7" spans="1:24" ht="45">
      <c r="A7" s="7" t="s">
        <v>44</v>
      </c>
      <c r="B7" s="7" t="s">
        <v>1642</v>
      </c>
      <c r="C7" s="15">
        <v>1.75</v>
      </c>
      <c r="D7" s="15">
        <v>1.3763157894736842</v>
      </c>
      <c r="E7" s="15">
        <v>1.2521182451515722</v>
      </c>
      <c r="F7" s="15">
        <v>0.98465593523486761</v>
      </c>
      <c r="G7" s="8" t="b">
        <v>0</v>
      </c>
      <c r="H7" s="8" t="b">
        <v>1</v>
      </c>
      <c r="I7" s="15">
        <v>0.55000000000000004</v>
      </c>
      <c r="J7" s="15"/>
      <c r="K7" s="15"/>
      <c r="L7" s="15">
        <v>1.1386650348333647</v>
      </c>
      <c r="M7" s="15">
        <v>0.99156076437917717</v>
      </c>
      <c r="N7" s="45">
        <v>1</v>
      </c>
      <c r="O7" s="45">
        <v>1</v>
      </c>
      <c r="P7" s="45">
        <v>1</v>
      </c>
      <c r="Q7" s="45">
        <v>1</v>
      </c>
      <c r="R7" s="45"/>
      <c r="S7" s="45"/>
      <c r="T7" s="38">
        <f t="shared" si="0"/>
        <v>1.1386650348333647</v>
      </c>
      <c r="U7" s="38">
        <f t="shared" si="1"/>
        <v>0.99156076437917717</v>
      </c>
      <c r="V7" s="31" t="s">
        <v>1815</v>
      </c>
      <c r="W7" s="31" t="s">
        <v>1666</v>
      </c>
      <c r="X7" s="31" t="s">
        <v>1773</v>
      </c>
    </row>
    <row r="8" spans="1:24" ht="45">
      <c r="A8" s="7" t="s">
        <v>45</v>
      </c>
      <c r="B8" s="7" t="s">
        <v>1654</v>
      </c>
      <c r="C8" s="15">
        <v>1.8978260869565218</v>
      </c>
      <c r="D8" s="15">
        <v>1.0913043478260871</v>
      </c>
      <c r="E8" s="15">
        <v>1.1578249336870026</v>
      </c>
      <c r="F8" s="15">
        <v>0.85132843414358406</v>
      </c>
      <c r="G8" s="8" t="b">
        <v>1</v>
      </c>
      <c r="H8" s="8" t="b">
        <v>0</v>
      </c>
      <c r="I8" s="15">
        <v>0.6</v>
      </c>
      <c r="J8" s="15">
        <v>0.75</v>
      </c>
      <c r="K8" s="15">
        <v>1.3</v>
      </c>
      <c r="L8" s="15">
        <v>0.78945623342175064</v>
      </c>
      <c r="M8" s="15">
        <v>1.2563413014608233</v>
      </c>
      <c r="N8" s="45">
        <v>1</v>
      </c>
      <c r="O8" s="45">
        <v>1</v>
      </c>
      <c r="P8" s="45">
        <v>1</v>
      </c>
      <c r="Q8" s="45">
        <v>1</v>
      </c>
      <c r="R8" s="45"/>
      <c r="S8" s="45"/>
      <c r="T8" s="38">
        <f t="shared" si="0"/>
        <v>0.78945623342175064</v>
      </c>
      <c r="U8" s="38">
        <f t="shared" si="1"/>
        <v>1.2563413014608233</v>
      </c>
      <c r="V8" s="31" t="s">
        <v>1815</v>
      </c>
      <c r="W8" s="31" t="s">
        <v>1667</v>
      </c>
      <c r="X8" s="31" t="s">
        <v>1771</v>
      </c>
    </row>
    <row r="9" spans="1:24" ht="45">
      <c r="A9" s="7" t="s">
        <v>46</v>
      </c>
      <c r="B9" s="7" t="s">
        <v>1642</v>
      </c>
      <c r="C9" s="15">
        <v>1.5315789473684212</v>
      </c>
      <c r="D9" s="15">
        <v>1.3657894736842104</v>
      </c>
      <c r="E9" s="15">
        <v>1.0958388250800228</v>
      </c>
      <c r="F9" s="15">
        <v>0.97712510590228741</v>
      </c>
      <c r="G9" s="8" t="b">
        <v>0</v>
      </c>
      <c r="H9" s="8" t="b">
        <v>1</v>
      </c>
      <c r="I9" s="15">
        <v>0.55000000000000004</v>
      </c>
      <c r="J9" s="15"/>
      <c r="K9" s="15"/>
      <c r="L9" s="15">
        <v>1.0527113537940125</v>
      </c>
      <c r="M9" s="15">
        <v>0.98741880824625805</v>
      </c>
      <c r="N9" s="45">
        <v>1</v>
      </c>
      <c r="O9" s="45">
        <v>1</v>
      </c>
      <c r="P9" s="45">
        <v>1</v>
      </c>
      <c r="Q9" s="45">
        <v>1</v>
      </c>
      <c r="R9" s="45"/>
      <c r="S9" s="45"/>
      <c r="T9" s="38">
        <f t="shared" si="0"/>
        <v>1.0527113537940125</v>
      </c>
      <c r="U9" s="38">
        <f t="shared" si="1"/>
        <v>0.98741880824625805</v>
      </c>
      <c r="V9" s="31" t="s">
        <v>1815</v>
      </c>
      <c r="W9" s="31" t="s">
        <v>1666</v>
      </c>
      <c r="X9" s="31" t="s">
        <v>1773</v>
      </c>
    </row>
    <row r="10" spans="1:24" ht="45">
      <c r="A10" s="7" t="s">
        <v>47</v>
      </c>
      <c r="B10" s="7" t="s">
        <v>1642</v>
      </c>
      <c r="C10" s="15">
        <v>1.2289473684210528</v>
      </c>
      <c r="D10" s="15">
        <v>1.486842105263158</v>
      </c>
      <c r="E10" s="15">
        <v>0.87930709847486366</v>
      </c>
      <c r="F10" s="15">
        <v>1.0637296432269603</v>
      </c>
      <c r="G10" s="8" t="b">
        <v>0</v>
      </c>
      <c r="H10" s="8" t="b">
        <v>0</v>
      </c>
      <c r="I10" s="15">
        <v>0.7</v>
      </c>
      <c r="J10" s="15"/>
      <c r="K10" s="15"/>
      <c r="L10" s="15">
        <v>0.91551496893240458</v>
      </c>
      <c r="M10" s="15">
        <v>1.0446107502588722</v>
      </c>
      <c r="N10" s="45">
        <v>1</v>
      </c>
      <c r="O10" s="45">
        <v>1</v>
      </c>
      <c r="P10" s="45">
        <v>1</v>
      </c>
      <c r="Q10" s="45">
        <v>1</v>
      </c>
      <c r="R10" s="45"/>
      <c r="S10" s="45"/>
      <c r="T10" s="38">
        <f t="shared" si="0"/>
        <v>0.91551496893240458</v>
      </c>
      <c r="U10" s="38">
        <f t="shared" si="1"/>
        <v>1.0446107502588722</v>
      </c>
      <c r="V10" s="31" t="s">
        <v>1815</v>
      </c>
      <c r="W10" s="31" t="s">
        <v>1666</v>
      </c>
      <c r="X10" s="31" t="s">
        <v>1773</v>
      </c>
    </row>
    <row r="11" spans="1:24" ht="45">
      <c r="A11" s="7" t="s">
        <v>48</v>
      </c>
      <c r="B11" s="7" t="s">
        <v>1642</v>
      </c>
      <c r="C11" s="15">
        <v>1.2736842105263158</v>
      </c>
      <c r="D11" s="15">
        <v>1.4052631578947368</v>
      </c>
      <c r="E11" s="15">
        <v>0.91131613632084352</v>
      </c>
      <c r="F11" s="15">
        <v>1.0053657158994633</v>
      </c>
      <c r="G11" s="8" t="b">
        <v>0</v>
      </c>
      <c r="H11" s="8" t="b">
        <v>1</v>
      </c>
      <c r="I11" s="15">
        <v>0.55000000000000004</v>
      </c>
      <c r="J11" s="15"/>
      <c r="K11" s="15"/>
      <c r="L11" s="15">
        <v>0.95122387497646388</v>
      </c>
      <c r="M11" s="15">
        <v>1.0029511437447047</v>
      </c>
      <c r="N11" s="45">
        <v>1</v>
      </c>
      <c r="O11" s="45">
        <v>1</v>
      </c>
      <c r="P11" s="45">
        <v>1</v>
      </c>
      <c r="Q11" s="45">
        <v>1</v>
      </c>
      <c r="R11" s="45"/>
      <c r="S11" s="45"/>
      <c r="T11" s="38">
        <f t="shared" si="0"/>
        <v>0.95122387497646388</v>
      </c>
      <c r="U11" s="38">
        <f t="shared" si="1"/>
        <v>1.0029511437447047</v>
      </c>
      <c r="V11" s="31" t="s">
        <v>1815</v>
      </c>
      <c r="W11" s="31" t="s">
        <v>1666</v>
      </c>
      <c r="X11" s="31" t="s">
        <v>1773</v>
      </c>
    </row>
    <row r="12" spans="1:24" ht="45">
      <c r="A12" s="7" t="s">
        <v>49</v>
      </c>
      <c r="B12" s="7" t="s">
        <v>1654</v>
      </c>
      <c r="C12" s="15">
        <v>1.2978260869565219</v>
      </c>
      <c r="D12" s="15">
        <v>1.7413043478260868</v>
      </c>
      <c r="E12" s="15">
        <v>0.79177718832891253</v>
      </c>
      <c r="F12" s="15">
        <v>1.3583945732052005</v>
      </c>
      <c r="G12" s="8" t="b">
        <v>1</v>
      </c>
      <c r="H12" s="8" t="b">
        <v>0</v>
      </c>
      <c r="I12" s="15">
        <v>0.6</v>
      </c>
      <c r="J12" s="15">
        <v>0.75</v>
      </c>
      <c r="K12" s="15">
        <v>1.3</v>
      </c>
      <c r="L12" s="15">
        <v>0.69794429708222816</v>
      </c>
      <c r="M12" s="15">
        <v>1.3659592176446109</v>
      </c>
      <c r="N12" s="45">
        <v>1</v>
      </c>
      <c r="O12" s="45">
        <v>1</v>
      </c>
      <c r="P12" s="45">
        <v>1</v>
      </c>
      <c r="Q12" s="45">
        <v>1</v>
      </c>
      <c r="R12" s="45"/>
      <c r="S12" s="45"/>
      <c r="T12" s="38">
        <f t="shared" si="0"/>
        <v>0.69794429708222816</v>
      </c>
      <c r="U12" s="38">
        <f t="shared" si="1"/>
        <v>1.3659592176446109</v>
      </c>
      <c r="V12" s="31" t="s">
        <v>1815</v>
      </c>
      <c r="W12" s="31" t="s">
        <v>1667</v>
      </c>
      <c r="X12" s="31" t="s">
        <v>1771</v>
      </c>
    </row>
    <row r="13" spans="1:24" ht="45">
      <c r="A13" s="7" t="s">
        <v>50</v>
      </c>
      <c r="B13" s="7" t="s">
        <v>1654</v>
      </c>
      <c r="C13" s="15">
        <v>1.7217391304347827</v>
      </c>
      <c r="D13" s="15">
        <v>1.0130434782608695</v>
      </c>
      <c r="E13" s="15">
        <v>1.0503978779840848</v>
      </c>
      <c r="F13" s="15">
        <v>0.79027699265121532</v>
      </c>
      <c r="G13" s="8" t="b">
        <v>1</v>
      </c>
      <c r="H13" s="8" t="b">
        <v>1</v>
      </c>
      <c r="I13" s="15">
        <v>0.5</v>
      </c>
      <c r="J13" s="15">
        <v>0.75</v>
      </c>
      <c r="K13" s="15">
        <v>1.3</v>
      </c>
      <c r="L13" s="15">
        <v>0.7625994694960212</v>
      </c>
      <c r="M13" s="15">
        <v>1.2336552217453505</v>
      </c>
      <c r="N13" s="45">
        <v>1</v>
      </c>
      <c r="O13" s="45">
        <v>1</v>
      </c>
      <c r="P13" s="45">
        <v>1</v>
      </c>
      <c r="Q13" s="45">
        <v>1</v>
      </c>
      <c r="R13" s="45"/>
      <c r="S13" s="45"/>
      <c r="T13" s="38">
        <f t="shared" si="0"/>
        <v>0.7625994694960212</v>
      </c>
      <c r="U13" s="38">
        <f t="shared" si="1"/>
        <v>1.2336552217453505</v>
      </c>
      <c r="V13" s="31" t="s">
        <v>1815</v>
      </c>
      <c r="W13" s="31" t="s">
        <v>1667</v>
      </c>
      <c r="X13" s="31" t="s">
        <v>1771</v>
      </c>
    </row>
    <row r="14" spans="1:24" ht="45">
      <c r="A14" s="7" t="s">
        <v>51</v>
      </c>
      <c r="B14" s="7" t="s">
        <v>1642</v>
      </c>
      <c r="C14" s="15">
        <v>1.4263157894736842</v>
      </c>
      <c r="D14" s="15">
        <v>1.4657894736842105</v>
      </c>
      <c r="E14" s="15">
        <v>1.0205234419130107</v>
      </c>
      <c r="F14" s="15">
        <v>1.0486679845617999</v>
      </c>
      <c r="G14" s="8" t="b">
        <v>0</v>
      </c>
      <c r="H14" s="8" t="b">
        <v>0</v>
      </c>
      <c r="I14" s="15">
        <v>0.7</v>
      </c>
      <c r="J14" s="15"/>
      <c r="K14" s="15"/>
      <c r="L14" s="15">
        <v>1.0143664093391074</v>
      </c>
      <c r="M14" s="15">
        <v>1.0340675891932598</v>
      </c>
      <c r="N14" s="45">
        <v>1</v>
      </c>
      <c r="O14" s="45">
        <v>1</v>
      </c>
      <c r="P14" s="45">
        <v>1</v>
      </c>
      <c r="Q14" s="45">
        <v>1</v>
      </c>
      <c r="R14" s="45"/>
      <c r="S14" s="45"/>
      <c r="T14" s="38">
        <f t="shared" si="0"/>
        <v>1.0143664093391074</v>
      </c>
      <c r="U14" s="38">
        <f t="shared" si="1"/>
        <v>1.0340675891932598</v>
      </c>
      <c r="V14" s="31" t="s">
        <v>1815</v>
      </c>
      <c r="W14" s="31" t="s">
        <v>1666</v>
      </c>
      <c r="X14" s="31" t="s">
        <v>1773</v>
      </c>
    </row>
    <row r="15" spans="1:24" ht="45">
      <c r="A15" s="7" t="s">
        <v>52</v>
      </c>
      <c r="B15" s="7" t="s">
        <v>1642</v>
      </c>
      <c r="C15" s="15">
        <v>1.6131578947368421</v>
      </c>
      <c r="D15" s="15">
        <v>1.2473684210526315</v>
      </c>
      <c r="E15" s="15">
        <v>1.1542082470344568</v>
      </c>
      <c r="F15" s="15">
        <v>0.89240327591075952</v>
      </c>
      <c r="G15" s="8" t="b">
        <v>0</v>
      </c>
      <c r="H15" s="8" t="b">
        <v>1</v>
      </c>
      <c r="I15" s="15">
        <v>0.55000000000000004</v>
      </c>
      <c r="J15" s="15"/>
      <c r="K15" s="15"/>
      <c r="L15" s="15">
        <v>1.0848145358689512</v>
      </c>
      <c r="M15" s="15">
        <v>0.94082180175091779</v>
      </c>
      <c r="N15" s="45">
        <v>1</v>
      </c>
      <c r="O15" s="45">
        <v>1</v>
      </c>
      <c r="P15" s="45">
        <v>1</v>
      </c>
      <c r="Q15" s="45">
        <v>1</v>
      </c>
      <c r="R15" s="45"/>
      <c r="S15" s="45"/>
      <c r="T15" s="38">
        <f t="shared" si="0"/>
        <v>1.0848145358689512</v>
      </c>
      <c r="U15" s="38">
        <f t="shared" si="1"/>
        <v>0.94082180175091779</v>
      </c>
      <c r="V15" s="31" t="s">
        <v>1815</v>
      </c>
      <c r="W15" s="31" t="s">
        <v>1666</v>
      </c>
      <c r="X15" s="31" t="s">
        <v>1773</v>
      </c>
    </row>
    <row r="16" spans="1:24" ht="45">
      <c r="A16" s="7" t="s">
        <v>53</v>
      </c>
      <c r="B16" s="7" t="s">
        <v>1642</v>
      </c>
      <c r="C16" s="15">
        <v>1.8842105263157893</v>
      </c>
      <c r="D16" s="15">
        <v>1.1631578947368422</v>
      </c>
      <c r="E16" s="15">
        <v>1.3481453586895122</v>
      </c>
      <c r="F16" s="15">
        <v>0.83215664125011768</v>
      </c>
      <c r="G16" s="8" t="b">
        <v>0</v>
      </c>
      <c r="H16" s="8" t="b">
        <v>1</v>
      </c>
      <c r="I16" s="15">
        <v>0.55000000000000004</v>
      </c>
      <c r="J16" s="15"/>
      <c r="K16" s="15"/>
      <c r="L16" s="15">
        <v>1.1914799472792317</v>
      </c>
      <c r="M16" s="15">
        <v>0.9076861526875647</v>
      </c>
      <c r="N16" s="45">
        <v>1</v>
      </c>
      <c r="O16" s="45">
        <v>1</v>
      </c>
      <c r="P16" s="45">
        <v>1</v>
      </c>
      <c r="Q16" s="45">
        <v>1</v>
      </c>
      <c r="R16" s="45"/>
      <c r="S16" s="45"/>
      <c r="T16" s="38">
        <f t="shared" si="0"/>
        <v>1.1914799472792317</v>
      </c>
      <c r="U16" s="38">
        <f t="shared" si="1"/>
        <v>0.9076861526875647</v>
      </c>
      <c r="V16" s="31" t="s">
        <v>1815</v>
      </c>
      <c r="W16" s="31" t="s">
        <v>1666</v>
      </c>
      <c r="X16" s="31" t="s">
        <v>1773</v>
      </c>
    </row>
    <row r="17" spans="1:24" ht="45">
      <c r="A17" s="7" t="s">
        <v>54</v>
      </c>
      <c r="B17" s="7" t="s">
        <v>1642</v>
      </c>
      <c r="C17" s="15">
        <v>1.7184210526315788</v>
      </c>
      <c r="D17" s="15">
        <v>1.2789473684210526</v>
      </c>
      <c r="E17" s="15">
        <v>1.2295236302014687</v>
      </c>
      <c r="F17" s="15">
        <v>0.91499576390850035</v>
      </c>
      <c r="G17" s="8" t="b">
        <v>0</v>
      </c>
      <c r="H17" s="8" t="b">
        <v>0</v>
      </c>
      <c r="I17" s="15">
        <v>0.7</v>
      </c>
      <c r="J17" s="15"/>
      <c r="K17" s="15"/>
      <c r="L17" s="15">
        <v>1.160666541141028</v>
      </c>
      <c r="M17" s="15">
        <v>0.94049703473595025</v>
      </c>
      <c r="N17" s="45">
        <v>1</v>
      </c>
      <c r="O17" s="45">
        <v>1</v>
      </c>
      <c r="P17" s="45">
        <v>1</v>
      </c>
      <c r="Q17" s="45">
        <v>1</v>
      </c>
      <c r="R17" s="45"/>
      <c r="S17" s="45"/>
      <c r="T17" s="38">
        <f t="shared" si="0"/>
        <v>1.160666541141028</v>
      </c>
      <c r="U17" s="38">
        <f t="shared" si="1"/>
        <v>0.94049703473595025</v>
      </c>
      <c r="V17" s="31" t="s">
        <v>1815</v>
      </c>
      <c r="W17" s="31" t="s">
        <v>1666</v>
      </c>
      <c r="X17" s="31" t="s">
        <v>1773</v>
      </c>
    </row>
    <row r="18" spans="1:24" ht="45">
      <c r="A18" s="7" t="s">
        <v>55</v>
      </c>
      <c r="B18" s="7" t="s">
        <v>1642</v>
      </c>
      <c r="C18" s="15">
        <v>1.5026315789473685</v>
      </c>
      <c r="D18" s="15">
        <v>1.3499999999999999</v>
      </c>
      <c r="E18" s="15">
        <v>1.0751270947090945</v>
      </c>
      <c r="F18" s="15">
        <v>0.96582886190341699</v>
      </c>
      <c r="G18" s="8" t="b">
        <v>0</v>
      </c>
      <c r="H18" s="8" t="b">
        <v>1</v>
      </c>
      <c r="I18" s="15">
        <v>0.55000000000000004</v>
      </c>
      <c r="J18" s="15"/>
      <c r="K18" s="15"/>
      <c r="L18" s="15">
        <v>1.0413199020900019</v>
      </c>
      <c r="M18" s="15">
        <v>0.98120587404687931</v>
      </c>
      <c r="N18" s="45">
        <v>1</v>
      </c>
      <c r="O18" s="45">
        <v>1</v>
      </c>
      <c r="P18" s="45">
        <v>1</v>
      </c>
      <c r="Q18" s="45">
        <v>1</v>
      </c>
      <c r="R18" s="45"/>
      <c r="S18" s="45"/>
      <c r="T18" s="38">
        <f t="shared" si="0"/>
        <v>1.0413199020900019</v>
      </c>
      <c r="U18" s="38">
        <f t="shared" si="1"/>
        <v>0.98120587404687931</v>
      </c>
      <c r="V18" s="31" t="s">
        <v>1815</v>
      </c>
      <c r="W18" s="31" t="s">
        <v>1666</v>
      </c>
      <c r="X18" s="31" t="s">
        <v>1773</v>
      </c>
    </row>
    <row r="19" spans="1:24" ht="45">
      <c r="A19" s="7" t="s">
        <v>56</v>
      </c>
      <c r="B19" s="7" t="s">
        <v>1642</v>
      </c>
      <c r="C19" s="15">
        <v>1.2105263157894737</v>
      </c>
      <c r="D19" s="15">
        <v>1.5078947368421052</v>
      </c>
      <c r="E19" s="15">
        <v>0.8661269064206365</v>
      </c>
      <c r="F19" s="15">
        <v>1.0787913018921207</v>
      </c>
      <c r="G19" s="8" t="b">
        <v>0</v>
      </c>
      <c r="H19" s="8" t="b">
        <v>1</v>
      </c>
      <c r="I19" s="15">
        <v>0.55000000000000004</v>
      </c>
      <c r="J19" s="15"/>
      <c r="K19" s="15"/>
      <c r="L19" s="15">
        <v>0.92636979853135004</v>
      </c>
      <c r="M19" s="15">
        <v>1.0433352160406664</v>
      </c>
      <c r="N19" s="45">
        <v>1</v>
      </c>
      <c r="O19" s="45">
        <v>1</v>
      </c>
      <c r="P19" s="45">
        <v>1</v>
      </c>
      <c r="Q19" s="45">
        <v>1</v>
      </c>
      <c r="R19" s="45"/>
      <c r="S19" s="45"/>
      <c r="T19" s="38">
        <f t="shared" si="0"/>
        <v>0.92636979853135004</v>
      </c>
      <c r="U19" s="38">
        <f t="shared" si="1"/>
        <v>1.0433352160406664</v>
      </c>
      <c r="V19" s="31" t="s">
        <v>1815</v>
      </c>
      <c r="W19" s="31" t="s">
        <v>1666</v>
      </c>
      <c r="X19" s="31" t="s">
        <v>1773</v>
      </c>
    </row>
    <row r="20" spans="1:24" ht="45">
      <c r="A20" s="7" t="s">
        <v>57</v>
      </c>
      <c r="B20" s="7" t="s">
        <v>1642</v>
      </c>
      <c r="C20" s="15">
        <v>1.0526315789473684</v>
      </c>
      <c r="D20" s="15">
        <v>1.3763157894736842</v>
      </c>
      <c r="E20" s="15">
        <v>0.75315383167011862</v>
      </c>
      <c r="F20" s="15">
        <v>0.98465593523486761</v>
      </c>
      <c r="G20" s="8" t="b">
        <v>0</v>
      </c>
      <c r="H20" s="8" t="b">
        <v>0</v>
      </c>
      <c r="I20" s="15">
        <v>0.7</v>
      </c>
      <c r="J20" s="15"/>
      <c r="K20" s="15"/>
      <c r="L20" s="15">
        <v>0.82720768216908303</v>
      </c>
      <c r="M20" s="15">
        <v>0.98925915466440728</v>
      </c>
      <c r="N20" s="45">
        <v>1</v>
      </c>
      <c r="O20" s="45">
        <v>1</v>
      </c>
      <c r="P20" s="45">
        <v>1</v>
      </c>
      <c r="Q20" s="45">
        <v>1</v>
      </c>
      <c r="R20" s="45"/>
      <c r="S20" s="45"/>
      <c r="T20" s="38">
        <f t="shared" si="0"/>
        <v>0.82720768216908303</v>
      </c>
      <c r="U20" s="38">
        <f t="shared" si="1"/>
        <v>0.98925915466440728</v>
      </c>
      <c r="V20" s="31" t="s">
        <v>1815</v>
      </c>
      <c r="W20" s="31" t="s">
        <v>1666</v>
      </c>
      <c r="X20" s="31" t="s">
        <v>1773</v>
      </c>
    </row>
    <row r="21" spans="1:24" ht="45">
      <c r="A21" s="7" t="s">
        <v>58</v>
      </c>
      <c r="B21" s="7" t="s">
        <v>1642</v>
      </c>
      <c r="C21" s="15">
        <v>1.0236842105263158</v>
      </c>
      <c r="D21" s="15">
        <v>1.4315789473684211</v>
      </c>
      <c r="E21" s="15">
        <v>0.73244210129919041</v>
      </c>
      <c r="F21" s="15">
        <v>1.0241927892309139</v>
      </c>
      <c r="G21" s="8" t="b">
        <v>0</v>
      </c>
      <c r="H21" s="8" t="b">
        <v>0</v>
      </c>
      <c r="I21" s="15">
        <v>0.7</v>
      </c>
      <c r="J21" s="15"/>
      <c r="K21" s="15"/>
      <c r="L21" s="15">
        <v>0.81270947090943335</v>
      </c>
      <c r="M21" s="15">
        <v>1.0169349524616398</v>
      </c>
      <c r="N21" s="45">
        <v>1</v>
      </c>
      <c r="O21" s="45">
        <v>1</v>
      </c>
      <c r="P21" s="45">
        <v>1</v>
      </c>
      <c r="Q21" s="45">
        <v>1</v>
      </c>
      <c r="R21" s="45"/>
      <c r="S21" s="45"/>
      <c r="T21" s="38">
        <f t="shared" si="0"/>
        <v>0.81270947090943335</v>
      </c>
      <c r="U21" s="38">
        <f t="shared" si="1"/>
        <v>1.0169349524616398</v>
      </c>
      <c r="V21" s="31" t="s">
        <v>1815</v>
      </c>
      <c r="W21" s="31" t="s">
        <v>1666</v>
      </c>
      <c r="X21" s="31" t="s">
        <v>1773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1"/>
  <sheetViews>
    <sheetView workbookViewId="0"/>
  </sheetViews>
  <sheetFormatPr baseColWidth="10" defaultColWidth="8.83203125" defaultRowHeight="14"/>
  <cols>
    <col min="1" max="2" width="8" customWidth="1"/>
    <col min="3" max="4" width="18" customWidth="1"/>
    <col min="5" max="7" width="10" customWidth="1"/>
    <col min="8" max="10" width="11" customWidth="1"/>
    <col min="11" max="17" width="12" customWidth="1"/>
    <col min="18" max="23" width="14" customWidth="1"/>
    <col min="24" max="24" width="52" customWidth="1"/>
    <col min="25" max="25" width="44" customWidth="1"/>
  </cols>
  <sheetData>
    <row r="1" spans="1:25" ht="15">
      <c r="A1" s="44" t="s">
        <v>1731</v>
      </c>
      <c r="B1" s="44" t="s">
        <v>1816</v>
      </c>
      <c r="C1" s="44" t="s">
        <v>1817</v>
      </c>
      <c r="D1" s="44" t="s">
        <v>1818</v>
      </c>
      <c r="E1" s="44" t="s">
        <v>1819</v>
      </c>
      <c r="F1" s="44" t="s">
        <v>1820</v>
      </c>
      <c r="G1" s="44" t="s">
        <v>1821</v>
      </c>
      <c r="H1" s="44" t="s">
        <v>1822</v>
      </c>
      <c r="I1" s="44" t="s">
        <v>1823</v>
      </c>
      <c r="J1" s="44" t="s">
        <v>1824</v>
      </c>
      <c r="K1" s="44" t="s">
        <v>1825</v>
      </c>
      <c r="L1" s="44" t="s">
        <v>1826</v>
      </c>
      <c r="M1" s="44" t="s">
        <v>1827</v>
      </c>
      <c r="N1" s="44" t="s">
        <v>1828</v>
      </c>
      <c r="O1" s="44" t="s">
        <v>1829</v>
      </c>
      <c r="P1" s="44" t="s">
        <v>1830</v>
      </c>
      <c r="Q1" s="44" t="s">
        <v>1831</v>
      </c>
      <c r="R1" s="44" t="s">
        <v>1832</v>
      </c>
      <c r="S1" s="44" t="s">
        <v>1833</v>
      </c>
      <c r="T1" s="44" t="s">
        <v>1834</v>
      </c>
      <c r="U1" s="44" t="s">
        <v>1835</v>
      </c>
      <c r="V1" s="44" t="s">
        <v>1836</v>
      </c>
      <c r="W1" s="44" t="s">
        <v>1837</v>
      </c>
      <c r="X1" s="44" t="s">
        <v>1838</v>
      </c>
      <c r="Y1" s="44" t="s">
        <v>1636</v>
      </c>
    </row>
    <row r="2" spans="1:25" ht="30">
      <c r="A2" s="7">
        <v>1</v>
      </c>
      <c r="B2" s="7">
        <v>1</v>
      </c>
      <c r="C2" s="7" t="s">
        <v>39</v>
      </c>
      <c r="D2" s="7" t="s">
        <v>45</v>
      </c>
      <c r="E2" s="7" t="s">
        <v>1839</v>
      </c>
      <c r="F2" s="7" t="s">
        <v>1840</v>
      </c>
      <c r="G2" s="7" t="s">
        <v>1841</v>
      </c>
      <c r="H2" s="46">
        <v>1.2</v>
      </c>
      <c r="I2" s="46">
        <v>8</v>
      </c>
      <c r="J2" s="46">
        <v>19</v>
      </c>
      <c r="K2" s="13">
        <v>0.83333333333333337</v>
      </c>
      <c r="L2" s="13">
        <v>0.125</v>
      </c>
      <c r="M2" s="13">
        <v>5.2631578947368418E-2</v>
      </c>
      <c r="N2" s="13">
        <v>1.0109649122807018</v>
      </c>
      <c r="O2" s="13">
        <v>0.824295010845987</v>
      </c>
      <c r="P2" s="13">
        <v>0.12364425162689803</v>
      </c>
      <c r="Q2" s="13">
        <v>5.2060737527114959E-2</v>
      </c>
      <c r="R2" s="15">
        <v>2.6529358272146251</v>
      </c>
      <c r="S2" s="15">
        <v>0.52865868671275384</v>
      </c>
      <c r="T2" s="15">
        <v>3.1815945139273789</v>
      </c>
      <c r="U2" s="15">
        <v>0.58939500306781811</v>
      </c>
      <c r="V2" s="15">
        <v>7.0444097482917162E-2</v>
      </c>
      <c r="W2" s="15">
        <v>2.9286734426481331E-8</v>
      </c>
      <c r="X2" s="28" t="s">
        <v>1842</v>
      </c>
      <c r="Y2" s="28" t="s">
        <v>1843</v>
      </c>
    </row>
    <row r="3" spans="1:25" ht="30">
      <c r="A3" s="7">
        <v>1</v>
      </c>
      <c r="B3" s="7">
        <v>2</v>
      </c>
      <c r="C3" s="7" t="s">
        <v>49</v>
      </c>
      <c r="D3" s="7" t="s">
        <v>54</v>
      </c>
      <c r="E3" s="7" t="s">
        <v>1844</v>
      </c>
      <c r="F3" s="7" t="s">
        <v>1845</v>
      </c>
      <c r="G3" s="7" t="s">
        <v>1846</v>
      </c>
      <c r="H3" s="46">
        <v>9.5</v>
      </c>
      <c r="I3" s="46">
        <v>5</v>
      </c>
      <c r="J3" s="46">
        <v>1.4</v>
      </c>
      <c r="K3" s="13">
        <v>0.10526315789473684</v>
      </c>
      <c r="L3" s="13">
        <v>0.2</v>
      </c>
      <c r="M3" s="13">
        <v>0.7142857142857143</v>
      </c>
      <c r="N3" s="13">
        <v>1.0195488721804511</v>
      </c>
      <c r="O3" s="13">
        <v>0.10324483775811209</v>
      </c>
      <c r="P3" s="13">
        <v>0.196165191740413</v>
      </c>
      <c r="Q3" s="13">
        <v>0.70058997050147498</v>
      </c>
      <c r="R3" s="15">
        <v>0.60545882999044243</v>
      </c>
      <c r="S3" s="15">
        <v>1.9843123696263989</v>
      </c>
      <c r="T3" s="15">
        <v>2.5897711996168411</v>
      </c>
      <c r="U3" s="15">
        <v>0.13747511368662868</v>
      </c>
      <c r="V3" s="15">
        <v>0.54582392878811159</v>
      </c>
      <c r="W3" s="15">
        <v>1.1061122850986038E-10</v>
      </c>
      <c r="X3" s="28" t="s">
        <v>1842</v>
      </c>
      <c r="Y3" s="28" t="s">
        <v>1843</v>
      </c>
    </row>
    <row r="4" spans="1:25" ht="30">
      <c r="A4" s="7">
        <v>1</v>
      </c>
      <c r="B4" s="7">
        <v>3</v>
      </c>
      <c r="C4" s="7" t="s">
        <v>50</v>
      </c>
      <c r="D4" s="7" t="s">
        <v>58</v>
      </c>
      <c r="E4" s="7" t="s">
        <v>1847</v>
      </c>
      <c r="F4" s="7" t="s">
        <v>1848</v>
      </c>
      <c r="G4" s="7" t="s">
        <v>1849</v>
      </c>
      <c r="H4" s="46">
        <v>2.8</v>
      </c>
      <c r="I4" s="46">
        <v>3.4</v>
      </c>
      <c r="J4" s="46">
        <v>2.7</v>
      </c>
      <c r="K4" s="13">
        <v>0.35714285714285715</v>
      </c>
      <c r="L4" s="13">
        <v>0.29411764705882354</v>
      </c>
      <c r="M4" s="13">
        <v>0.37037037037037035</v>
      </c>
      <c r="N4" s="13">
        <v>1.021630874572051</v>
      </c>
      <c r="O4" s="13">
        <v>0.34958111195734959</v>
      </c>
      <c r="P4" s="13">
        <v>0.28789032749428789</v>
      </c>
      <c r="Q4" s="13">
        <v>0.36252856054836252</v>
      </c>
      <c r="R4" s="15">
        <v>1.1088256638526099</v>
      </c>
      <c r="S4" s="15">
        <v>1.1347601803060365</v>
      </c>
      <c r="T4" s="15">
        <v>2.2435858441586465</v>
      </c>
      <c r="U4" s="15">
        <v>0.32149921393295505</v>
      </c>
      <c r="V4" s="15">
        <v>0.32994620140653291</v>
      </c>
      <c r="W4" s="15">
        <v>4.7956083548683637E-13</v>
      </c>
      <c r="X4" s="28" t="s">
        <v>1842</v>
      </c>
      <c r="Y4" s="28" t="s">
        <v>1843</v>
      </c>
    </row>
    <row r="5" spans="1:25" ht="30">
      <c r="A5" s="7">
        <v>1</v>
      </c>
      <c r="B5" s="7">
        <v>4</v>
      </c>
      <c r="C5" s="7" t="s">
        <v>47</v>
      </c>
      <c r="D5" s="7" t="s">
        <v>46</v>
      </c>
      <c r="E5" s="7" t="s">
        <v>1850</v>
      </c>
      <c r="F5" s="7" t="s">
        <v>1851</v>
      </c>
      <c r="G5" s="7" t="s">
        <v>1848</v>
      </c>
      <c r="H5" s="46">
        <v>2.25</v>
      </c>
      <c r="I5" s="46">
        <v>3.5</v>
      </c>
      <c r="J5" s="46">
        <v>3.4</v>
      </c>
      <c r="K5" s="13">
        <v>0.44444444444444442</v>
      </c>
      <c r="L5" s="13">
        <v>0.2857142857142857</v>
      </c>
      <c r="M5" s="13">
        <v>0.29411764705882354</v>
      </c>
      <c r="N5" s="13">
        <v>1.0242763772175536</v>
      </c>
      <c r="O5" s="13">
        <v>0.43391066545123064</v>
      </c>
      <c r="P5" s="13">
        <v>0.27894257064721972</v>
      </c>
      <c r="Q5" s="13">
        <v>0.2871467639015497</v>
      </c>
      <c r="R5" s="15">
        <v>1.3042477689012788</v>
      </c>
      <c r="S5" s="15">
        <v>1.0054212185228999</v>
      </c>
      <c r="T5" s="15">
        <v>2.3096689874241787</v>
      </c>
      <c r="U5" s="15">
        <v>0.36589048249181161</v>
      </c>
      <c r="V5" s="15">
        <v>0.27137659620053128</v>
      </c>
      <c r="W5" s="15">
        <v>9.934098543773473E-10</v>
      </c>
      <c r="X5" s="28" t="s">
        <v>1842</v>
      </c>
      <c r="Y5" s="28" t="s">
        <v>1843</v>
      </c>
    </row>
    <row r="6" spans="1:25" ht="30">
      <c r="A6" s="7">
        <v>1</v>
      </c>
      <c r="B6" s="7">
        <v>5</v>
      </c>
      <c r="C6" s="7" t="s">
        <v>56</v>
      </c>
      <c r="D6" s="7" t="s">
        <v>51</v>
      </c>
      <c r="E6" s="7" t="s">
        <v>1852</v>
      </c>
      <c r="F6" s="7" t="s">
        <v>1851</v>
      </c>
      <c r="G6" s="7" t="s">
        <v>1853</v>
      </c>
      <c r="H6" s="46">
        <v>2.375</v>
      </c>
      <c r="I6" s="46">
        <v>3.5</v>
      </c>
      <c r="J6" s="46">
        <v>3.2</v>
      </c>
      <c r="K6" s="13">
        <v>0.42105263157894735</v>
      </c>
      <c r="L6" s="13">
        <v>0.2857142857142857</v>
      </c>
      <c r="M6" s="13">
        <v>0.3125</v>
      </c>
      <c r="N6" s="13">
        <v>1.0192669172932329</v>
      </c>
      <c r="O6" s="13">
        <v>0.41309359151682806</v>
      </c>
      <c r="P6" s="13">
        <v>0.28031350852927617</v>
      </c>
      <c r="Q6" s="13">
        <v>0.30659289995389583</v>
      </c>
      <c r="R6" s="15">
        <v>1.2669809751991843</v>
      </c>
      <c r="S6" s="15">
        <v>1.0502506804949732</v>
      </c>
      <c r="T6" s="15">
        <v>2.3172316556941572</v>
      </c>
      <c r="U6" s="15">
        <v>0.34985003753724808</v>
      </c>
      <c r="V6" s="15">
        <v>0.2816807405197097</v>
      </c>
      <c r="W6" s="15">
        <v>6.5441001506627572E-9</v>
      </c>
      <c r="X6" s="28" t="s">
        <v>1842</v>
      </c>
      <c r="Y6" s="28" t="s">
        <v>1843</v>
      </c>
    </row>
    <row r="7" spans="1:25" ht="30">
      <c r="A7" s="7">
        <v>1</v>
      </c>
      <c r="B7" s="7">
        <v>6</v>
      </c>
      <c r="C7" s="7" t="s">
        <v>42</v>
      </c>
      <c r="D7" s="7" t="s">
        <v>57</v>
      </c>
      <c r="E7" s="7" t="s">
        <v>1854</v>
      </c>
      <c r="F7" s="7" t="s">
        <v>1855</v>
      </c>
      <c r="G7" s="7" t="s">
        <v>1847</v>
      </c>
      <c r="H7" s="46">
        <v>2.5</v>
      </c>
      <c r="I7" s="46">
        <v>3.75</v>
      </c>
      <c r="J7" s="46">
        <v>2.8</v>
      </c>
      <c r="K7" s="13">
        <v>0.4</v>
      </c>
      <c r="L7" s="13">
        <v>0.26666666666666666</v>
      </c>
      <c r="M7" s="13">
        <v>0.35714285714285715</v>
      </c>
      <c r="N7" s="13">
        <v>1.0238095238095239</v>
      </c>
      <c r="O7" s="13">
        <v>0.39069767441860465</v>
      </c>
      <c r="P7" s="13">
        <v>0.26046511627906971</v>
      </c>
      <c r="Q7" s="13">
        <v>0.34883720930232553</v>
      </c>
      <c r="R7" s="15">
        <v>1.3720338233100562</v>
      </c>
      <c r="S7" s="15">
        <v>1.2818599603231151</v>
      </c>
      <c r="T7" s="15">
        <v>2.6538937836331713</v>
      </c>
      <c r="U7" s="15">
        <v>0.27752064273637816</v>
      </c>
      <c r="V7" s="15">
        <v>0.25359067608785163</v>
      </c>
      <c r="W7" s="15">
        <v>1.7136292385089291E-13</v>
      </c>
      <c r="X7" s="28" t="s">
        <v>1842</v>
      </c>
      <c r="Y7" s="28" t="s">
        <v>1843</v>
      </c>
    </row>
    <row r="8" spans="1:25" ht="30">
      <c r="A8" s="7">
        <v>1</v>
      </c>
      <c r="B8" s="7">
        <v>7</v>
      </c>
      <c r="C8" s="7" t="s">
        <v>53</v>
      </c>
      <c r="D8" s="7" t="s">
        <v>41</v>
      </c>
      <c r="E8" s="7" t="s">
        <v>1856</v>
      </c>
      <c r="F8" s="7" t="s">
        <v>1845</v>
      </c>
      <c r="G8" s="7" t="s">
        <v>1857</v>
      </c>
      <c r="H8" s="46">
        <v>1.5</v>
      </c>
      <c r="I8" s="46">
        <v>5</v>
      </c>
      <c r="J8" s="46">
        <v>6.5</v>
      </c>
      <c r="K8" s="13">
        <v>0.66666666666666663</v>
      </c>
      <c r="L8" s="13">
        <v>0.2</v>
      </c>
      <c r="M8" s="13">
        <v>0.15384615384615385</v>
      </c>
      <c r="N8" s="13">
        <v>1.0205128205128204</v>
      </c>
      <c r="O8" s="13">
        <v>0.65326633165829151</v>
      </c>
      <c r="P8" s="13">
        <v>0.19597989949748745</v>
      </c>
      <c r="Q8" s="13">
        <v>0.15075376884422112</v>
      </c>
      <c r="R8" s="15">
        <v>2.1387927682342065</v>
      </c>
      <c r="S8" s="15">
        <v>0.9191782076853533</v>
      </c>
      <c r="T8" s="15">
        <v>3.0579709759195599</v>
      </c>
      <c r="U8" s="15">
        <v>0.39884667557503217</v>
      </c>
      <c r="V8" s="15">
        <v>0.11779696545577215</v>
      </c>
      <c r="W8" s="15">
        <v>3.6270986214503864E-13</v>
      </c>
      <c r="X8" s="28" t="s">
        <v>1842</v>
      </c>
      <c r="Y8" s="28" t="s">
        <v>1843</v>
      </c>
    </row>
    <row r="9" spans="1:25" ht="30">
      <c r="A9" s="7">
        <v>1</v>
      </c>
      <c r="B9" s="7">
        <v>8</v>
      </c>
      <c r="C9" s="7" t="s">
        <v>43</v>
      </c>
      <c r="D9" s="7" t="s">
        <v>40</v>
      </c>
      <c r="E9" s="7" t="s">
        <v>1858</v>
      </c>
      <c r="F9" s="7" t="s">
        <v>1859</v>
      </c>
      <c r="G9" s="7" t="s">
        <v>1860</v>
      </c>
      <c r="H9" s="46">
        <v>2.2999999999999998</v>
      </c>
      <c r="I9" s="46">
        <v>3.8</v>
      </c>
      <c r="J9" s="46">
        <v>3.1</v>
      </c>
      <c r="K9" s="13">
        <v>0.43478260869565222</v>
      </c>
      <c r="L9" s="13">
        <v>0.26315789473684209</v>
      </c>
      <c r="M9" s="13">
        <v>0.32258064516129031</v>
      </c>
      <c r="N9" s="13">
        <v>1.0205211485937846</v>
      </c>
      <c r="O9" s="13">
        <v>0.42603978300180834</v>
      </c>
      <c r="P9" s="13">
        <v>0.25786618444846293</v>
      </c>
      <c r="Q9" s="13">
        <v>0.31609403254972873</v>
      </c>
      <c r="R9" s="15">
        <v>1.452548189055803</v>
      </c>
      <c r="S9" s="15">
        <v>1.2147039153583923</v>
      </c>
      <c r="T9" s="15">
        <v>2.667252104414195</v>
      </c>
      <c r="U9" s="15">
        <v>0.29679787857927975</v>
      </c>
      <c r="V9" s="15">
        <v>0.2339733195702127</v>
      </c>
      <c r="W9" s="15">
        <v>6.3943939032640174E-10</v>
      </c>
      <c r="X9" s="28" t="s">
        <v>1842</v>
      </c>
      <c r="Y9" s="28" t="s">
        <v>1843</v>
      </c>
    </row>
    <row r="10" spans="1:25" ht="30">
      <c r="A10" s="7">
        <v>1</v>
      </c>
      <c r="B10" s="7">
        <v>9</v>
      </c>
      <c r="C10" s="7" t="s">
        <v>55</v>
      </c>
      <c r="D10" s="7" t="s">
        <v>52</v>
      </c>
      <c r="E10" s="7" t="s">
        <v>1861</v>
      </c>
      <c r="F10" s="7" t="s">
        <v>1862</v>
      </c>
      <c r="G10" s="7" t="s">
        <v>1863</v>
      </c>
      <c r="H10" s="46">
        <v>3.7</v>
      </c>
      <c r="I10" s="46">
        <v>3.9</v>
      </c>
      <c r="J10" s="46">
        <v>2</v>
      </c>
      <c r="K10" s="13">
        <v>0.27027027027027023</v>
      </c>
      <c r="L10" s="13">
        <v>0.25641025641025644</v>
      </c>
      <c r="M10" s="13">
        <v>0.5</v>
      </c>
      <c r="N10" s="13">
        <v>1.0266805266805266</v>
      </c>
      <c r="O10" s="13">
        <v>0.26324670941613226</v>
      </c>
      <c r="P10" s="13">
        <v>0.24974687816402302</v>
      </c>
      <c r="Q10" s="13">
        <v>0.48700641241984483</v>
      </c>
      <c r="R10" s="15">
        <v>1.1006915106715305</v>
      </c>
      <c r="S10" s="15">
        <v>1.5903534900875227</v>
      </c>
      <c r="T10" s="15">
        <v>2.6910450007590532</v>
      </c>
      <c r="U10" s="15">
        <v>0.20385353879115936</v>
      </c>
      <c r="V10" s="15">
        <v>0.33264097936043036</v>
      </c>
      <c r="W10" s="15">
        <v>7.0134782953479302E-8</v>
      </c>
      <c r="X10" s="28" t="s">
        <v>1842</v>
      </c>
      <c r="Y10" s="28" t="s">
        <v>1843</v>
      </c>
    </row>
    <row r="11" spans="1:25" ht="30">
      <c r="A11" s="7">
        <v>1</v>
      </c>
      <c r="B11" s="7">
        <v>10</v>
      </c>
      <c r="C11" s="7" t="s">
        <v>48</v>
      </c>
      <c r="D11" s="7" t="s">
        <v>44</v>
      </c>
      <c r="E11" s="7" t="s">
        <v>1859</v>
      </c>
      <c r="F11" s="7" t="s">
        <v>1859</v>
      </c>
      <c r="G11" s="7" t="s">
        <v>1863</v>
      </c>
      <c r="H11" s="46">
        <v>3.8</v>
      </c>
      <c r="I11" s="46">
        <v>3.8</v>
      </c>
      <c r="J11" s="46">
        <v>2</v>
      </c>
      <c r="K11" s="13">
        <v>0.26315789473684209</v>
      </c>
      <c r="L11" s="13">
        <v>0.26315789473684209</v>
      </c>
      <c r="M11" s="13">
        <v>0.5</v>
      </c>
      <c r="N11" s="13">
        <v>1.0263157894736841</v>
      </c>
      <c r="O11" s="13">
        <v>0.25641025641025644</v>
      </c>
      <c r="P11" s="13">
        <v>0.25641025641025644</v>
      </c>
      <c r="Q11" s="13">
        <v>0.48717948717948723</v>
      </c>
      <c r="R11" s="15">
        <v>1.0345389928276891</v>
      </c>
      <c r="S11" s="15">
        <v>1.529190937318446</v>
      </c>
      <c r="T11" s="15">
        <v>2.5637299301461351</v>
      </c>
      <c r="U11" s="15">
        <v>0.21671092913299536</v>
      </c>
      <c r="V11" s="15">
        <v>0.35539018058786065</v>
      </c>
      <c r="W11" s="15">
        <v>2.2582885561561739E-9</v>
      </c>
      <c r="X11" s="28" t="s">
        <v>1842</v>
      </c>
      <c r="Y11" s="28" t="s">
        <v>1843</v>
      </c>
    </row>
  </sheetData>
  <conditionalFormatting sqref="N2:N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761"/>
  <sheetViews>
    <sheetView workbookViewId="0"/>
  </sheetViews>
  <sheetFormatPr baseColWidth="10" defaultColWidth="8.83203125" defaultRowHeight="14"/>
  <cols>
    <col min="1" max="1" width="7" customWidth="1"/>
    <col min="2" max="2" width="11" customWidth="1"/>
    <col min="3" max="3" width="19" customWidth="1"/>
    <col min="4" max="5" width="18" customWidth="1"/>
    <col min="6" max="6" width="7" customWidth="1"/>
    <col min="7" max="7" width="11" customWidth="1"/>
    <col min="8" max="17" width="15" customWidth="1"/>
    <col min="18" max="19" width="14" customWidth="1"/>
    <col min="20" max="20" width="18" customWidth="1"/>
    <col min="21" max="21" width="42" customWidth="1"/>
    <col min="22" max="22" width="38" customWidth="1"/>
  </cols>
  <sheetData>
    <row r="1" spans="1:22" ht="15">
      <c r="A1" s="44" t="s">
        <v>1731</v>
      </c>
      <c r="B1" s="44" t="s">
        <v>1732</v>
      </c>
      <c r="C1" s="44" t="s">
        <v>1733</v>
      </c>
      <c r="D1" s="44" t="s">
        <v>33</v>
      </c>
      <c r="E1" s="44" t="s">
        <v>1734</v>
      </c>
      <c r="F1" s="44" t="s">
        <v>1735</v>
      </c>
      <c r="G1" s="44" t="s">
        <v>1736</v>
      </c>
      <c r="H1" s="44" t="s">
        <v>1864</v>
      </c>
      <c r="I1" s="44" t="s">
        <v>1865</v>
      </c>
      <c r="J1" s="44" t="s">
        <v>1737</v>
      </c>
      <c r="K1" s="44" t="s">
        <v>1738</v>
      </c>
      <c r="L1" s="44" t="s">
        <v>1866</v>
      </c>
      <c r="M1" s="44" t="s">
        <v>1867</v>
      </c>
      <c r="N1" s="44" t="s">
        <v>1868</v>
      </c>
      <c r="O1" s="44" t="s">
        <v>1869</v>
      </c>
      <c r="P1" s="44" t="s">
        <v>1870</v>
      </c>
      <c r="Q1" s="44" t="s">
        <v>1871</v>
      </c>
      <c r="R1" s="44" t="s">
        <v>1872</v>
      </c>
      <c r="S1" s="44" t="s">
        <v>1873</v>
      </c>
      <c r="T1" s="44" t="s">
        <v>1874</v>
      </c>
      <c r="U1" s="44" t="s">
        <v>1838</v>
      </c>
      <c r="V1" s="44" t="s">
        <v>1875</v>
      </c>
    </row>
    <row r="2" spans="1:22" ht="30">
      <c r="A2" s="7">
        <v>1</v>
      </c>
      <c r="B2" s="7">
        <v>1</v>
      </c>
      <c r="C2" s="7">
        <v>46255.791666666664</v>
      </c>
      <c r="D2" s="7" t="s">
        <v>45</v>
      </c>
      <c r="E2" s="7" t="s">
        <v>39</v>
      </c>
      <c r="F2" s="7" t="s">
        <v>1742</v>
      </c>
      <c r="G2" s="7">
        <v>5</v>
      </c>
      <c r="H2" s="37">
        <f>Priors!$H$27*VLOOKUP(D2,Team_26_27!$A$2:$U$21,20,FALSE)*VLOOKUP(E2,Team_26_27!$A$2:$U$21,21,FALSE)*IF(F2="H",Priors!$H$28,Priors!$H$29)</f>
        <v>0.66827515159294693</v>
      </c>
      <c r="I2" s="37">
        <f>Priors!$H$27*VLOOKUP(E2,Team_26_27!$A$2:$U$21,20,FALSE)*VLOOKUP(D2,Team_26_27!$A$2:$U$21,21,FALSE)*IF(F2="H",Priors!$H$29,Priors!$H$28)</f>
        <v>2.2494559571363668</v>
      </c>
      <c r="J2" s="15">
        <v>0.52865868671275384</v>
      </c>
      <c r="K2" s="15">
        <v>2.6529358272146251</v>
      </c>
      <c r="L2" s="47" t="b">
        <v>1</v>
      </c>
      <c r="M2" s="45">
        <v>1</v>
      </c>
      <c r="N2" s="45"/>
      <c r="O2" s="45"/>
      <c r="P2" s="38">
        <f t="shared" ref="P2:P65" si="0">IF(N2&lt;&gt;"",N2,IF(L2=TRUE,M2*J2+(1-M2)*H2,H2))</f>
        <v>0.52865868671275384</v>
      </c>
      <c r="Q2" s="38">
        <f t="shared" ref="Q2:Q65" si="1">IF(O2&lt;&gt;"",O2,IF(L2=TRUE,M2*K2+(1-M2)*I2,I2))</f>
        <v>2.6529358272146251</v>
      </c>
      <c r="R2" s="17">
        <f t="shared" ref="R2:R65" si="2">EXP(-Q2)</f>
        <v>7.0444097482917162E-2</v>
      </c>
      <c r="S2" s="17">
        <f t="shared" ref="S2:S65" si="3">EXP(-P2)</f>
        <v>0.58939500306781811</v>
      </c>
      <c r="T2" s="38">
        <f t="shared" ref="T2:T65" si="4">IF(L2=TRUE,J2-H2,"")</f>
        <v>-0.13961646488019308</v>
      </c>
      <c r="U2" s="31" t="s">
        <v>1876</v>
      </c>
      <c r="V2" s="31" t="s">
        <v>1843</v>
      </c>
    </row>
    <row r="3" spans="1:22" ht="30">
      <c r="A3" s="7">
        <v>1</v>
      </c>
      <c r="B3" s="7">
        <v>1</v>
      </c>
      <c r="C3" s="7">
        <v>46255.791666666664</v>
      </c>
      <c r="D3" s="7" t="s">
        <v>39</v>
      </c>
      <c r="E3" s="7" t="s">
        <v>45</v>
      </c>
      <c r="F3" s="7" t="s">
        <v>1743</v>
      </c>
      <c r="G3" s="7">
        <v>2</v>
      </c>
      <c r="H3" s="37">
        <f>Priors!$H$27*VLOOKUP(D3,Team_26_27!$A$2:$U$21,20,FALSE)*VLOOKUP(E3,Team_26_27!$A$2:$U$21,21,FALSE)*IF(F3="H",Priors!$H$28,Priors!$H$29)</f>
        <v>2.2494559571363668</v>
      </c>
      <c r="I3" s="37">
        <f>Priors!$H$27*VLOOKUP(E3,Team_26_27!$A$2:$U$21,20,FALSE)*VLOOKUP(D3,Team_26_27!$A$2:$U$21,21,FALSE)*IF(F3="H",Priors!$H$29,Priors!$H$28)</f>
        <v>0.66827515159294693</v>
      </c>
      <c r="J3" s="15">
        <v>2.6529358272146251</v>
      </c>
      <c r="K3" s="15">
        <v>0.52865868671275384</v>
      </c>
      <c r="L3" s="47" t="b">
        <v>1</v>
      </c>
      <c r="M3" s="45">
        <v>1</v>
      </c>
      <c r="N3" s="45"/>
      <c r="O3" s="45"/>
      <c r="P3" s="38">
        <f t="shared" si="0"/>
        <v>2.6529358272146251</v>
      </c>
      <c r="Q3" s="38">
        <f t="shared" si="1"/>
        <v>0.52865868671275384</v>
      </c>
      <c r="R3" s="17">
        <f t="shared" si="2"/>
        <v>0.58939500306781811</v>
      </c>
      <c r="S3" s="17">
        <f t="shared" si="3"/>
        <v>7.0444097482917162E-2</v>
      </c>
      <c r="T3" s="38">
        <f t="shared" si="4"/>
        <v>0.40347987007825825</v>
      </c>
      <c r="U3" s="31" t="s">
        <v>1876</v>
      </c>
      <c r="V3" s="31" t="s">
        <v>1843</v>
      </c>
    </row>
    <row r="4" spans="1:22" ht="30">
      <c r="A4" s="7">
        <v>1</v>
      </c>
      <c r="B4" s="7">
        <v>2</v>
      </c>
      <c r="C4" s="7">
        <v>46256.6875</v>
      </c>
      <c r="D4" s="7" t="s">
        <v>57</v>
      </c>
      <c r="E4" s="7" t="s">
        <v>42</v>
      </c>
      <c r="F4" s="7" t="s">
        <v>1742</v>
      </c>
      <c r="G4" s="7">
        <v>3</v>
      </c>
      <c r="H4" s="37">
        <f>Priors!$H$27*VLOOKUP(D4,Team_26_27!$A$2:$U$21,20,FALSE)*VLOOKUP(E4,Team_26_27!$A$2:$U$21,21,FALSE)*IF(F4="H",Priors!$H$28,Priors!$H$29)</f>
        <v>1.0581395510486182</v>
      </c>
      <c r="I4" s="37">
        <f>Priors!$H$27*VLOOKUP(E4,Team_26_27!$A$2:$U$21,20,FALSE)*VLOOKUP(D4,Team_26_27!$A$2:$U$21,21,FALSE)*IF(F4="H",Priors!$H$29,Priors!$H$28)</f>
        <v>1.6650090666478392</v>
      </c>
      <c r="J4" s="15">
        <v>1.2818599603231151</v>
      </c>
      <c r="K4" s="15">
        <v>1.3720338233100562</v>
      </c>
      <c r="L4" s="47" t="b">
        <v>1</v>
      </c>
      <c r="M4" s="45">
        <v>1</v>
      </c>
      <c r="N4" s="45"/>
      <c r="O4" s="45"/>
      <c r="P4" s="38">
        <f t="shared" si="0"/>
        <v>1.2818599603231151</v>
      </c>
      <c r="Q4" s="38">
        <f t="shared" si="1"/>
        <v>1.3720338233100562</v>
      </c>
      <c r="R4" s="17">
        <f t="shared" si="2"/>
        <v>0.25359067608785163</v>
      </c>
      <c r="S4" s="17">
        <f t="shared" si="3"/>
        <v>0.27752064273637816</v>
      </c>
      <c r="T4" s="38">
        <f t="shared" si="4"/>
        <v>0.22372040927449688</v>
      </c>
      <c r="U4" s="31" t="s">
        <v>1876</v>
      </c>
      <c r="V4" s="31" t="s">
        <v>1843</v>
      </c>
    </row>
    <row r="5" spans="1:22" ht="30">
      <c r="A5" s="7">
        <v>1</v>
      </c>
      <c r="B5" s="7">
        <v>2</v>
      </c>
      <c r="C5" s="7">
        <v>46256.6875</v>
      </c>
      <c r="D5" s="7" t="s">
        <v>42</v>
      </c>
      <c r="E5" s="7" t="s">
        <v>57</v>
      </c>
      <c r="F5" s="7" t="s">
        <v>1743</v>
      </c>
      <c r="G5" s="7">
        <v>3</v>
      </c>
      <c r="H5" s="37">
        <f>Priors!$H$27*VLOOKUP(D5,Team_26_27!$A$2:$U$21,20,FALSE)*VLOOKUP(E5,Team_26_27!$A$2:$U$21,21,FALSE)*IF(F5="H",Priors!$H$28,Priors!$H$29)</f>
        <v>1.6650090666478392</v>
      </c>
      <c r="I5" s="37">
        <f>Priors!$H$27*VLOOKUP(E5,Team_26_27!$A$2:$U$21,20,FALSE)*VLOOKUP(D5,Team_26_27!$A$2:$U$21,21,FALSE)*IF(F5="H",Priors!$H$29,Priors!$H$28)</f>
        <v>1.0581395510486182</v>
      </c>
      <c r="J5" s="15">
        <v>1.3720338233100562</v>
      </c>
      <c r="K5" s="15">
        <v>1.2818599603231151</v>
      </c>
      <c r="L5" s="47" t="b">
        <v>1</v>
      </c>
      <c r="M5" s="45">
        <v>1</v>
      </c>
      <c r="N5" s="45"/>
      <c r="O5" s="45"/>
      <c r="P5" s="38">
        <f t="shared" si="0"/>
        <v>1.3720338233100562</v>
      </c>
      <c r="Q5" s="38">
        <f t="shared" si="1"/>
        <v>1.2818599603231151</v>
      </c>
      <c r="R5" s="17">
        <f t="shared" si="2"/>
        <v>0.27752064273637816</v>
      </c>
      <c r="S5" s="17">
        <f t="shared" si="3"/>
        <v>0.25359067608785163</v>
      </c>
      <c r="T5" s="38">
        <f t="shared" si="4"/>
        <v>-0.29297524333778302</v>
      </c>
      <c r="U5" s="31" t="s">
        <v>1876</v>
      </c>
      <c r="V5" s="31" t="s">
        <v>1843</v>
      </c>
    </row>
    <row r="6" spans="1:22" ht="30">
      <c r="A6" s="7">
        <v>1</v>
      </c>
      <c r="B6" s="7">
        <v>3</v>
      </c>
      <c r="C6" s="7">
        <v>46256.583333333336</v>
      </c>
      <c r="D6" s="7" t="s">
        <v>46</v>
      </c>
      <c r="E6" s="7" t="s">
        <v>47</v>
      </c>
      <c r="F6" s="7" t="s">
        <v>1742</v>
      </c>
      <c r="G6" s="7">
        <v>3</v>
      </c>
      <c r="H6" s="37">
        <f>Priors!$H$27*VLOOKUP(D6,Team_26_27!$A$2:$U$21,20,FALSE)*VLOOKUP(E6,Team_26_27!$A$2:$U$21,21,FALSE)*IF(F6="H",Priors!$H$28,Priors!$H$29)</f>
        <v>1.3832446912483833</v>
      </c>
      <c r="I6" s="37">
        <f>Priors!$H$27*VLOOKUP(E6,Team_26_27!$A$2:$U$21,20,FALSE)*VLOOKUP(D6,Team_26_27!$A$2:$U$21,21,FALSE)*IF(F6="H",Priors!$H$29,Priors!$H$28)</f>
        <v>1.3897997680182523</v>
      </c>
      <c r="J6" s="15">
        <v>1.0054212185228999</v>
      </c>
      <c r="K6" s="15">
        <v>1.3042477689012788</v>
      </c>
      <c r="L6" s="47" t="b">
        <v>1</v>
      </c>
      <c r="M6" s="45">
        <v>1</v>
      </c>
      <c r="N6" s="45"/>
      <c r="O6" s="45"/>
      <c r="P6" s="38">
        <f t="shared" si="0"/>
        <v>1.0054212185228999</v>
      </c>
      <c r="Q6" s="38">
        <f t="shared" si="1"/>
        <v>1.3042477689012788</v>
      </c>
      <c r="R6" s="17">
        <f t="shared" si="2"/>
        <v>0.27137659620053128</v>
      </c>
      <c r="S6" s="17">
        <f t="shared" si="3"/>
        <v>0.36589048249181161</v>
      </c>
      <c r="T6" s="38">
        <f t="shared" si="4"/>
        <v>-0.37782347272548344</v>
      </c>
      <c r="U6" s="31" t="s">
        <v>1876</v>
      </c>
      <c r="V6" s="31" t="s">
        <v>1843</v>
      </c>
    </row>
    <row r="7" spans="1:22" ht="30">
      <c r="A7" s="7">
        <v>1</v>
      </c>
      <c r="B7" s="7">
        <v>3</v>
      </c>
      <c r="C7" s="7">
        <v>46256.583333333336</v>
      </c>
      <c r="D7" s="7" t="s">
        <v>47</v>
      </c>
      <c r="E7" s="7" t="s">
        <v>46</v>
      </c>
      <c r="F7" s="7" t="s">
        <v>1743</v>
      </c>
      <c r="G7" s="7">
        <v>3</v>
      </c>
      <c r="H7" s="37">
        <f>Priors!$H$27*VLOOKUP(D7,Team_26_27!$A$2:$U$21,20,FALSE)*VLOOKUP(E7,Team_26_27!$A$2:$U$21,21,FALSE)*IF(F7="H",Priors!$H$28,Priors!$H$29)</f>
        <v>1.3897997680182523</v>
      </c>
      <c r="I7" s="37">
        <f>Priors!$H$27*VLOOKUP(E7,Team_26_27!$A$2:$U$21,20,FALSE)*VLOOKUP(D7,Team_26_27!$A$2:$U$21,21,FALSE)*IF(F7="H",Priors!$H$29,Priors!$H$28)</f>
        <v>1.3832446912483833</v>
      </c>
      <c r="J7" s="15">
        <v>1.3042477689012788</v>
      </c>
      <c r="K7" s="15">
        <v>1.0054212185228999</v>
      </c>
      <c r="L7" s="47" t="b">
        <v>1</v>
      </c>
      <c r="M7" s="45">
        <v>1</v>
      </c>
      <c r="N7" s="45"/>
      <c r="O7" s="45"/>
      <c r="P7" s="38">
        <f t="shared" si="0"/>
        <v>1.3042477689012788</v>
      </c>
      <c r="Q7" s="38">
        <f t="shared" si="1"/>
        <v>1.0054212185228999</v>
      </c>
      <c r="R7" s="17">
        <f t="shared" si="2"/>
        <v>0.36589048249181161</v>
      </c>
      <c r="S7" s="17">
        <f t="shared" si="3"/>
        <v>0.27137659620053128</v>
      </c>
      <c r="T7" s="38">
        <f t="shared" si="4"/>
        <v>-8.5551999116973532E-2</v>
      </c>
      <c r="U7" s="31" t="s">
        <v>1876</v>
      </c>
      <c r="V7" s="31" t="s">
        <v>1843</v>
      </c>
    </row>
    <row r="8" spans="1:22" ht="30">
      <c r="A8" s="7">
        <v>1</v>
      </c>
      <c r="B8" s="7">
        <v>4</v>
      </c>
      <c r="C8" s="7">
        <v>46256.479166666664</v>
      </c>
      <c r="D8" s="7" t="s">
        <v>54</v>
      </c>
      <c r="E8" s="7" t="s">
        <v>49</v>
      </c>
      <c r="F8" s="7" t="s">
        <v>1742</v>
      </c>
      <c r="G8" s="7">
        <v>2</v>
      </c>
      <c r="H8" s="37">
        <f>Priors!$H$27*VLOOKUP(D8,Team_26_27!$A$2:$U$21,20,FALSE)*VLOOKUP(E8,Team_26_27!$A$2:$U$21,21,FALSE)*IF(F8="H",Priors!$H$28,Priors!$H$29)</f>
        <v>1.99425372757737</v>
      </c>
      <c r="I8" s="37">
        <f>Priors!$H$27*VLOOKUP(E8,Team_26_27!$A$2:$U$21,20,FALSE)*VLOOKUP(D8,Team_26_27!$A$2:$U$21,21,FALSE)*IF(F8="H",Priors!$H$29,Priors!$H$28)</f>
        <v>1.0091682617756208</v>
      </c>
      <c r="J8" s="15">
        <v>1.9843123696263989</v>
      </c>
      <c r="K8" s="15">
        <v>0.60545882999044243</v>
      </c>
      <c r="L8" s="47" t="b">
        <v>1</v>
      </c>
      <c r="M8" s="45">
        <v>1</v>
      </c>
      <c r="N8" s="45"/>
      <c r="O8" s="45"/>
      <c r="P8" s="38">
        <f t="shared" si="0"/>
        <v>1.9843123696263989</v>
      </c>
      <c r="Q8" s="38">
        <f t="shared" si="1"/>
        <v>0.60545882999044243</v>
      </c>
      <c r="R8" s="17">
        <f t="shared" si="2"/>
        <v>0.54582392878811159</v>
      </c>
      <c r="S8" s="17">
        <f t="shared" si="3"/>
        <v>0.13747511368662868</v>
      </c>
      <c r="T8" s="38">
        <f t="shared" si="4"/>
        <v>-9.9413579509710637E-3</v>
      </c>
      <c r="U8" s="31" t="s">
        <v>1876</v>
      </c>
      <c r="V8" s="31" t="s">
        <v>1843</v>
      </c>
    </row>
    <row r="9" spans="1:22" ht="30">
      <c r="A9" s="7">
        <v>1</v>
      </c>
      <c r="B9" s="7">
        <v>4</v>
      </c>
      <c r="C9" s="7">
        <v>46256.479166666664</v>
      </c>
      <c r="D9" s="7" t="s">
        <v>49</v>
      </c>
      <c r="E9" s="7" t="s">
        <v>54</v>
      </c>
      <c r="F9" s="7" t="s">
        <v>1743</v>
      </c>
      <c r="G9" s="7">
        <v>4</v>
      </c>
      <c r="H9" s="37">
        <f>Priors!$H$27*VLOOKUP(D9,Team_26_27!$A$2:$U$21,20,FALSE)*VLOOKUP(E9,Team_26_27!$A$2:$U$21,21,FALSE)*IF(F9="H",Priors!$H$28,Priors!$H$29)</f>
        <v>1.0091682617756208</v>
      </c>
      <c r="I9" s="37">
        <f>Priors!$H$27*VLOOKUP(E9,Team_26_27!$A$2:$U$21,20,FALSE)*VLOOKUP(D9,Team_26_27!$A$2:$U$21,21,FALSE)*IF(F9="H",Priors!$H$29,Priors!$H$28)</f>
        <v>1.99425372757737</v>
      </c>
      <c r="J9" s="15">
        <v>0.60545882999044243</v>
      </c>
      <c r="K9" s="15">
        <v>1.9843123696263989</v>
      </c>
      <c r="L9" s="47" t="b">
        <v>1</v>
      </c>
      <c r="M9" s="45">
        <v>1</v>
      </c>
      <c r="N9" s="45"/>
      <c r="O9" s="45"/>
      <c r="P9" s="38">
        <f t="shared" si="0"/>
        <v>0.60545882999044243</v>
      </c>
      <c r="Q9" s="38">
        <f t="shared" si="1"/>
        <v>1.9843123696263989</v>
      </c>
      <c r="R9" s="17">
        <f t="shared" si="2"/>
        <v>0.13747511368662868</v>
      </c>
      <c r="S9" s="17">
        <f t="shared" si="3"/>
        <v>0.54582392878811159</v>
      </c>
      <c r="T9" s="38">
        <f t="shared" si="4"/>
        <v>-0.40370943178517837</v>
      </c>
      <c r="U9" s="31" t="s">
        <v>1876</v>
      </c>
      <c r="V9" s="31" t="s">
        <v>1843</v>
      </c>
    </row>
    <row r="10" spans="1:22" ht="30">
      <c r="A10" s="7">
        <v>1</v>
      </c>
      <c r="B10" s="7">
        <v>5</v>
      </c>
      <c r="C10" s="7">
        <v>46256.583333333336</v>
      </c>
      <c r="D10" s="7" t="s">
        <v>58</v>
      </c>
      <c r="E10" s="7" t="s">
        <v>50</v>
      </c>
      <c r="F10" s="7" t="s">
        <v>1742</v>
      </c>
      <c r="G10" s="7">
        <v>2</v>
      </c>
      <c r="H10" s="37">
        <f>Priors!$H$27*VLOOKUP(D10,Team_26_27!$A$2:$U$21,20,FALSE)*VLOOKUP(E10,Team_26_27!$A$2:$U$21,21,FALSE)*IF(F10="H",Priors!$H$28,Priors!$H$29)</f>
        <v>1.261143007962503</v>
      </c>
      <c r="I10" s="37">
        <f>Priors!$H$27*VLOOKUP(E10,Team_26_27!$A$2:$U$21,20,FALSE)*VLOOKUP(D10,Team_26_27!$A$2:$U$21,21,FALSE)*IF(F10="H",Priors!$H$29,Priors!$H$28)</f>
        <v>1.1922712269025841</v>
      </c>
      <c r="J10" s="15">
        <v>1.1347601803060365</v>
      </c>
      <c r="K10" s="15">
        <v>1.1088256638526099</v>
      </c>
      <c r="L10" s="47" t="b">
        <v>1</v>
      </c>
      <c r="M10" s="45">
        <v>1</v>
      </c>
      <c r="N10" s="45"/>
      <c r="O10" s="45"/>
      <c r="P10" s="38">
        <f t="shared" si="0"/>
        <v>1.1347601803060365</v>
      </c>
      <c r="Q10" s="38">
        <f t="shared" si="1"/>
        <v>1.1088256638526099</v>
      </c>
      <c r="R10" s="17">
        <f t="shared" si="2"/>
        <v>0.32994620140653291</v>
      </c>
      <c r="S10" s="17">
        <f t="shared" si="3"/>
        <v>0.32149921393295505</v>
      </c>
      <c r="T10" s="38">
        <f t="shared" si="4"/>
        <v>-0.12638282765646647</v>
      </c>
      <c r="U10" s="31" t="s">
        <v>1876</v>
      </c>
      <c r="V10" s="31" t="s">
        <v>1843</v>
      </c>
    </row>
    <row r="11" spans="1:22" ht="30">
      <c r="A11" s="7">
        <v>1</v>
      </c>
      <c r="B11" s="7">
        <v>5</v>
      </c>
      <c r="C11" s="7">
        <v>46256.583333333336</v>
      </c>
      <c r="D11" s="7" t="s">
        <v>50</v>
      </c>
      <c r="E11" s="7" t="s">
        <v>58</v>
      </c>
      <c r="F11" s="7" t="s">
        <v>1743</v>
      </c>
      <c r="G11" s="7">
        <v>2</v>
      </c>
      <c r="H11" s="37">
        <f>Priors!$H$27*VLOOKUP(D11,Team_26_27!$A$2:$U$21,20,FALSE)*VLOOKUP(E11,Team_26_27!$A$2:$U$21,21,FALSE)*IF(F11="H",Priors!$H$28,Priors!$H$29)</f>
        <v>1.1922712269025841</v>
      </c>
      <c r="I11" s="37">
        <f>Priors!$H$27*VLOOKUP(E11,Team_26_27!$A$2:$U$21,20,FALSE)*VLOOKUP(D11,Team_26_27!$A$2:$U$21,21,FALSE)*IF(F11="H",Priors!$H$29,Priors!$H$28)</f>
        <v>1.261143007962503</v>
      </c>
      <c r="J11" s="15">
        <v>1.1088256638526099</v>
      </c>
      <c r="K11" s="15">
        <v>1.1347601803060365</v>
      </c>
      <c r="L11" s="47" t="b">
        <v>1</v>
      </c>
      <c r="M11" s="45">
        <v>1</v>
      </c>
      <c r="N11" s="45"/>
      <c r="O11" s="45"/>
      <c r="P11" s="38">
        <f t="shared" si="0"/>
        <v>1.1088256638526099</v>
      </c>
      <c r="Q11" s="38">
        <f t="shared" si="1"/>
        <v>1.1347601803060365</v>
      </c>
      <c r="R11" s="17">
        <f t="shared" si="2"/>
        <v>0.32149921393295505</v>
      </c>
      <c r="S11" s="17">
        <f t="shared" si="3"/>
        <v>0.32994620140653291</v>
      </c>
      <c r="T11" s="38">
        <f t="shared" si="4"/>
        <v>-8.3445563049974192E-2</v>
      </c>
      <c r="U11" s="31" t="s">
        <v>1876</v>
      </c>
      <c r="V11" s="31" t="s">
        <v>1843</v>
      </c>
    </row>
    <row r="12" spans="1:22" ht="30">
      <c r="A12" s="7">
        <v>1</v>
      </c>
      <c r="B12" s="7">
        <v>6</v>
      </c>
      <c r="C12" s="7">
        <v>46256.583333333336</v>
      </c>
      <c r="D12" s="7" t="s">
        <v>51</v>
      </c>
      <c r="E12" s="7" t="s">
        <v>56</v>
      </c>
      <c r="F12" s="7" t="s">
        <v>1742</v>
      </c>
      <c r="G12" s="7">
        <v>3</v>
      </c>
      <c r="H12" s="37">
        <f>Priors!$H$27*VLOOKUP(D12,Team_26_27!$A$2:$U$21,20,FALSE)*VLOOKUP(E12,Team_26_27!$A$2:$U$21,21,FALSE)*IF(F12="H",Priors!$H$28,Priors!$H$29)</f>
        <v>1.3312325864311296</v>
      </c>
      <c r="I12" s="37">
        <f>Priors!$H$27*VLOOKUP(E12,Team_26_27!$A$2:$U$21,20,FALSE)*VLOOKUP(D12,Team_26_27!$A$2:$U$21,21,FALSE)*IF(F12="H",Priors!$H$29,Priors!$H$28)</f>
        <v>1.4727149786832938</v>
      </c>
      <c r="J12" s="15">
        <v>1.0502506804949732</v>
      </c>
      <c r="K12" s="15">
        <v>1.2669809751991843</v>
      </c>
      <c r="L12" s="47" t="b">
        <v>1</v>
      </c>
      <c r="M12" s="45">
        <v>1</v>
      </c>
      <c r="N12" s="45"/>
      <c r="O12" s="45"/>
      <c r="P12" s="38">
        <f t="shared" si="0"/>
        <v>1.0502506804949732</v>
      </c>
      <c r="Q12" s="38">
        <f t="shared" si="1"/>
        <v>1.2669809751991843</v>
      </c>
      <c r="R12" s="17">
        <f t="shared" si="2"/>
        <v>0.2816807405197097</v>
      </c>
      <c r="S12" s="17">
        <f t="shared" si="3"/>
        <v>0.34985003753724808</v>
      </c>
      <c r="T12" s="38">
        <f t="shared" si="4"/>
        <v>-0.28098190593615646</v>
      </c>
      <c r="U12" s="31" t="s">
        <v>1876</v>
      </c>
      <c r="V12" s="31" t="s">
        <v>1843</v>
      </c>
    </row>
    <row r="13" spans="1:22" ht="30">
      <c r="A13" s="7">
        <v>1</v>
      </c>
      <c r="B13" s="7">
        <v>6</v>
      </c>
      <c r="C13" s="7">
        <v>46256.583333333336</v>
      </c>
      <c r="D13" s="7" t="s">
        <v>56</v>
      </c>
      <c r="E13" s="7" t="s">
        <v>51</v>
      </c>
      <c r="F13" s="7" t="s">
        <v>1743</v>
      </c>
      <c r="G13" s="7">
        <v>2</v>
      </c>
      <c r="H13" s="37">
        <f>Priors!$H$27*VLOOKUP(D13,Team_26_27!$A$2:$U$21,20,FALSE)*VLOOKUP(E13,Team_26_27!$A$2:$U$21,21,FALSE)*IF(F13="H",Priors!$H$28,Priors!$H$29)</f>
        <v>1.4727149786832938</v>
      </c>
      <c r="I13" s="37">
        <f>Priors!$H$27*VLOOKUP(E13,Team_26_27!$A$2:$U$21,20,FALSE)*VLOOKUP(D13,Team_26_27!$A$2:$U$21,21,FALSE)*IF(F13="H",Priors!$H$29,Priors!$H$28)</f>
        <v>1.3312325864311296</v>
      </c>
      <c r="J13" s="15">
        <v>1.2669809751991843</v>
      </c>
      <c r="K13" s="15">
        <v>1.0502506804949732</v>
      </c>
      <c r="L13" s="47" t="b">
        <v>1</v>
      </c>
      <c r="M13" s="45">
        <v>1</v>
      </c>
      <c r="N13" s="45"/>
      <c r="O13" s="45"/>
      <c r="P13" s="38">
        <f t="shared" si="0"/>
        <v>1.2669809751991843</v>
      </c>
      <c r="Q13" s="38">
        <f t="shared" si="1"/>
        <v>1.0502506804949732</v>
      </c>
      <c r="R13" s="17">
        <f t="shared" si="2"/>
        <v>0.34985003753724808</v>
      </c>
      <c r="S13" s="17">
        <f t="shared" si="3"/>
        <v>0.2816807405197097</v>
      </c>
      <c r="T13" s="38">
        <f t="shared" si="4"/>
        <v>-0.20573400348410953</v>
      </c>
      <c r="U13" s="31" t="s">
        <v>1876</v>
      </c>
      <c r="V13" s="31" t="s">
        <v>1843</v>
      </c>
    </row>
    <row r="14" spans="1:22" ht="30">
      <c r="A14" s="7">
        <v>1</v>
      </c>
      <c r="B14" s="7">
        <v>7</v>
      </c>
      <c r="C14" s="7">
        <v>46257.541666666664</v>
      </c>
      <c r="D14" s="7" t="s">
        <v>40</v>
      </c>
      <c r="E14" s="7" t="s">
        <v>43</v>
      </c>
      <c r="F14" s="7" t="s">
        <v>1742</v>
      </c>
      <c r="G14" s="7">
        <v>3</v>
      </c>
      <c r="H14" s="37">
        <f>Priors!$H$27*VLOOKUP(D14,Team_26_27!$A$2:$U$21,20,FALSE)*VLOOKUP(E14,Team_26_27!$A$2:$U$21,21,FALSE)*IF(F14="H",Priors!$H$28,Priors!$H$29)</f>
        <v>1.1142148791599162</v>
      </c>
      <c r="I14" s="37">
        <f>Priors!$H$27*VLOOKUP(E14,Team_26_27!$A$2:$U$21,20,FALSE)*VLOOKUP(D14,Team_26_27!$A$2:$U$21,21,FALSE)*IF(F14="H",Priors!$H$29,Priors!$H$28)</f>
        <v>1.6513644821563938</v>
      </c>
      <c r="J14" s="15">
        <v>1.2147039153583923</v>
      </c>
      <c r="K14" s="15">
        <v>1.452548189055803</v>
      </c>
      <c r="L14" s="47" t="b">
        <v>1</v>
      </c>
      <c r="M14" s="45">
        <v>1</v>
      </c>
      <c r="N14" s="45"/>
      <c r="O14" s="45"/>
      <c r="P14" s="38">
        <f t="shared" si="0"/>
        <v>1.2147039153583923</v>
      </c>
      <c r="Q14" s="38">
        <f t="shared" si="1"/>
        <v>1.452548189055803</v>
      </c>
      <c r="R14" s="17">
        <f t="shared" si="2"/>
        <v>0.2339733195702127</v>
      </c>
      <c r="S14" s="17">
        <f t="shared" si="3"/>
        <v>0.29679787857927975</v>
      </c>
      <c r="T14" s="38">
        <f t="shared" si="4"/>
        <v>0.10048903619847604</v>
      </c>
      <c r="U14" s="31" t="s">
        <v>1876</v>
      </c>
      <c r="V14" s="31" t="s">
        <v>1843</v>
      </c>
    </row>
    <row r="15" spans="1:22" ht="30">
      <c r="A15" s="7">
        <v>1</v>
      </c>
      <c r="B15" s="7">
        <v>7</v>
      </c>
      <c r="C15" s="7">
        <v>46257.541666666664</v>
      </c>
      <c r="D15" s="7" t="s">
        <v>43</v>
      </c>
      <c r="E15" s="7" t="s">
        <v>40</v>
      </c>
      <c r="F15" s="7" t="s">
        <v>1743</v>
      </c>
      <c r="G15" s="7">
        <v>3</v>
      </c>
      <c r="H15" s="37">
        <f>Priors!$H$27*VLOOKUP(D15,Team_26_27!$A$2:$U$21,20,FALSE)*VLOOKUP(E15,Team_26_27!$A$2:$U$21,21,FALSE)*IF(F15="H",Priors!$H$28,Priors!$H$29)</f>
        <v>1.6513644821563938</v>
      </c>
      <c r="I15" s="37">
        <f>Priors!$H$27*VLOOKUP(E15,Team_26_27!$A$2:$U$21,20,FALSE)*VLOOKUP(D15,Team_26_27!$A$2:$U$21,21,FALSE)*IF(F15="H",Priors!$H$29,Priors!$H$28)</f>
        <v>1.1142148791599162</v>
      </c>
      <c r="J15" s="15">
        <v>1.452548189055803</v>
      </c>
      <c r="K15" s="15">
        <v>1.2147039153583923</v>
      </c>
      <c r="L15" s="47" t="b">
        <v>1</v>
      </c>
      <c r="M15" s="45">
        <v>1</v>
      </c>
      <c r="N15" s="45"/>
      <c r="O15" s="45"/>
      <c r="P15" s="38">
        <f t="shared" si="0"/>
        <v>1.452548189055803</v>
      </c>
      <c r="Q15" s="38">
        <f t="shared" si="1"/>
        <v>1.2147039153583923</v>
      </c>
      <c r="R15" s="17">
        <f t="shared" si="2"/>
        <v>0.29679787857927975</v>
      </c>
      <c r="S15" s="17">
        <f t="shared" si="3"/>
        <v>0.2339733195702127</v>
      </c>
      <c r="T15" s="38">
        <f t="shared" si="4"/>
        <v>-0.19881629310059079</v>
      </c>
      <c r="U15" s="31" t="s">
        <v>1876</v>
      </c>
      <c r="V15" s="31" t="s">
        <v>1843</v>
      </c>
    </row>
    <row r="16" spans="1:22" ht="30">
      <c r="A16" s="7">
        <v>1</v>
      </c>
      <c r="B16" s="7">
        <v>8</v>
      </c>
      <c r="C16" s="7">
        <v>46257.541666666664</v>
      </c>
      <c r="D16" s="7" t="s">
        <v>41</v>
      </c>
      <c r="E16" s="7" t="s">
        <v>53</v>
      </c>
      <c r="F16" s="7" t="s">
        <v>1742</v>
      </c>
      <c r="G16" s="7">
        <v>5</v>
      </c>
      <c r="H16" s="37">
        <f>Priors!$H$27*VLOOKUP(D16,Team_26_27!$A$2:$U$21,20,FALSE)*VLOOKUP(E16,Team_26_27!$A$2:$U$21,21,FALSE)*IF(F16="H",Priors!$H$28,Priors!$H$29)</f>
        <v>1.2456810064990564</v>
      </c>
      <c r="I16" s="37">
        <f>Priors!$H$27*VLOOKUP(E16,Team_26_27!$A$2:$U$21,20,FALSE)*VLOOKUP(D16,Team_26_27!$A$2:$U$21,21,FALSE)*IF(F16="H",Priors!$H$29,Priors!$H$28)</f>
        <v>1.9016714507436692</v>
      </c>
      <c r="J16" s="15">
        <v>0.9191782076853533</v>
      </c>
      <c r="K16" s="15">
        <v>2.1387927682342065</v>
      </c>
      <c r="L16" s="47" t="b">
        <v>1</v>
      </c>
      <c r="M16" s="45">
        <v>1</v>
      </c>
      <c r="N16" s="45"/>
      <c r="O16" s="45"/>
      <c r="P16" s="38">
        <f t="shared" si="0"/>
        <v>0.9191782076853533</v>
      </c>
      <c r="Q16" s="38">
        <f t="shared" si="1"/>
        <v>2.1387927682342065</v>
      </c>
      <c r="R16" s="17">
        <f t="shared" si="2"/>
        <v>0.11779696545577215</v>
      </c>
      <c r="S16" s="17">
        <f t="shared" si="3"/>
        <v>0.39884667557503217</v>
      </c>
      <c r="T16" s="38">
        <f t="shared" si="4"/>
        <v>-0.32650279881370314</v>
      </c>
      <c r="U16" s="31" t="s">
        <v>1876</v>
      </c>
      <c r="V16" s="31" t="s">
        <v>1843</v>
      </c>
    </row>
    <row r="17" spans="1:22" ht="30">
      <c r="A17" s="7">
        <v>1</v>
      </c>
      <c r="B17" s="7">
        <v>8</v>
      </c>
      <c r="C17" s="7">
        <v>46257.541666666664</v>
      </c>
      <c r="D17" s="7" t="s">
        <v>53</v>
      </c>
      <c r="E17" s="7" t="s">
        <v>41</v>
      </c>
      <c r="F17" s="7" t="s">
        <v>1743</v>
      </c>
      <c r="G17" s="7">
        <v>3</v>
      </c>
      <c r="H17" s="37">
        <f>Priors!$H$27*VLOOKUP(D17,Team_26_27!$A$2:$U$21,20,FALSE)*VLOOKUP(E17,Team_26_27!$A$2:$U$21,21,FALSE)*IF(F17="H",Priors!$H$28,Priors!$H$29)</f>
        <v>1.9016714507436692</v>
      </c>
      <c r="I17" s="37">
        <f>Priors!$H$27*VLOOKUP(E17,Team_26_27!$A$2:$U$21,20,FALSE)*VLOOKUP(D17,Team_26_27!$A$2:$U$21,21,FALSE)*IF(F17="H",Priors!$H$29,Priors!$H$28)</f>
        <v>1.2456810064990564</v>
      </c>
      <c r="J17" s="15">
        <v>2.1387927682342065</v>
      </c>
      <c r="K17" s="15">
        <v>0.9191782076853533</v>
      </c>
      <c r="L17" s="47" t="b">
        <v>1</v>
      </c>
      <c r="M17" s="45">
        <v>1</v>
      </c>
      <c r="N17" s="45"/>
      <c r="O17" s="45"/>
      <c r="P17" s="38">
        <f t="shared" si="0"/>
        <v>2.1387927682342065</v>
      </c>
      <c r="Q17" s="38">
        <f t="shared" si="1"/>
        <v>0.9191782076853533</v>
      </c>
      <c r="R17" s="17">
        <f t="shared" si="2"/>
        <v>0.39884667557503217</v>
      </c>
      <c r="S17" s="17">
        <f t="shared" si="3"/>
        <v>0.11779696545577215</v>
      </c>
      <c r="T17" s="38">
        <f t="shared" si="4"/>
        <v>0.23712131749053733</v>
      </c>
      <c r="U17" s="31" t="s">
        <v>1876</v>
      </c>
      <c r="V17" s="31" t="s">
        <v>1843</v>
      </c>
    </row>
    <row r="18" spans="1:22" ht="30">
      <c r="A18" s="7">
        <v>1</v>
      </c>
      <c r="B18" s="7">
        <v>9</v>
      </c>
      <c r="C18" s="7">
        <v>46257.645833333336</v>
      </c>
      <c r="D18" s="7" t="s">
        <v>52</v>
      </c>
      <c r="E18" s="7" t="s">
        <v>55</v>
      </c>
      <c r="F18" s="7" t="s">
        <v>1742</v>
      </c>
      <c r="G18" s="7">
        <v>3</v>
      </c>
      <c r="H18" s="37">
        <f>Priors!$H$27*VLOOKUP(D18,Team_26_27!$A$2:$U$21,20,FALSE)*VLOOKUP(E18,Team_26_27!$A$2:$U$21,21,FALSE)*IF(F18="H",Priors!$H$28,Priors!$H$29)</f>
        <v>1.3389083486117508</v>
      </c>
      <c r="I18" s="37">
        <f>Priors!$H$27*VLOOKUP(E18,Team_26_27!$A$2:$U$21,20,FALSE)*VLOOKUP(D18,Team_26_27!$A$2:$U$21,21,FALSE)*IF(F18="H",Priors!$H$29,Priors!$H$28)</f>
        <v>1.5061801912743946</v>
      </c>
      <c r="J18" s="15">
        <v>1.5903534900875227</v>
      </c>
      <c r="K18" s="15">
        <v>1.1006915106715305</v>
      </c>
      <c r="L18" s="47" t="b">
        <v>1</v>
      </c>
      <c r="M18" s="45">
        <v>1</v>
      </c>
      <c r="N18" s="45"/>
      <c r="O18" s="45"/>
      <c r="P18" s="38">
        <f t="shared" si="0"/>
        <v>1.5903534900875227</v>
      </c>
      <c r="Q18" s="38">
        <f t="shared" si="1"/>
        <v>1.1006915106715305</v>
      </c>
      <c r="R18" s="17">
        <f t="shared" si="2"/>
        <v>0.33264097936043036</v>
      </c>
      <c r="S18" s="17">
        <f t="shared" si="3"/>
        <v>0.20385353879115936</v>
      </c>
      <c r="T18" s="38">
        <f t="shared" si="4"/>
        <v>0.2514451414757719</v>
      </c>
      <c r="U18" s="31" t="s">
        <v>1876</v>
      </c>
      <c r="V18" s="31" t="s">
        <v>1843</v>
      </c>
    </row>
    <row r="19" spans="1:22" ht="30">
      <c r="A19" s="7">
        <v>1</v>
      </c>
      <c r="B19" s="7">
        <v>9</v>
      </c>
      <c r="C19" s="7">
        <v>46257.645833333336</v>
      </c>
      <c r="D19" s="7" t="s">
        <v>55</v>
      </c>
      <c r="E19" s="7" t="s">
        <v>52</v>
      </c>
      <c r="F19" s="7" t="s">
        <v>1743</v>
      </c>
      <c r="G19" s="7">
        <v>4</v>
      </c>
      <c r="H19" s="37">
        <f>Priors!$H$27*VLOOKUP(D19,Team_26_27!$A$2:$U$21,20,FALSE)*VLOOKUP(E19,Team_26_27!$A$2:$U$21,21,FALSE)*IF(F19="H",Priors!$H$28,Priors!$H$29)</f>
        <v>1.5061801912743946</v>
      </c>
      <c r="I19" s="37">
        <f>Priors!$H$27*VLOOKUP(E19,Team_26_27!$A$2:$U$21,20,FALSE)*VLOOKUP(D19,Team_26_27!$A$2:$U$21,21,FALSE)*IF(F19="H",Priors!$H$29,Priors!$H$28)</f>
        <v>1.3389083486117508</v>
      </c>
      <c r="J19" s="15">
        <v>1.1006915106715305</v>
      </c>
      <c r="K19" s="15">
        <v>1.5903534900875227</v>
      </c>
      <c r="L19" s="47" t="b">
        <v>1</v>
      </c>
      <c r="M19" s="45">
        <v>1</v>
      </c>
      <c r="N19" s="45"/>
      <c r="O19" s="45"/>
      <c r="P19" s="38">
        <f t="shared" si="0"/>
        <v>1.1006915106715305</v>
      </c>
      <c r="Q19" s="38">
        <f t="shared" si="1"/>
        <v>1.5903534900875227</v>
      </c>
      <c r="R19" s="17">
        <f t="shared" si="2"/>
        <v>0.20385353879115936</v>
      </c>
      <c r="S19" s="17">
        <f t="shared" si="3"/>
        <v>0.33264097936043036</v>
      </c>
      <c r="T19" s="38">
        <f t="shared" si="4"/>
        <v>-0.40548868060286414</v>
      </c>
      <c r="U19" s="31" t="s">
        <v>1876</v>
      </c>
      <c r="V19" s="31" t="s">
        <v>1843</v>
      </c>
    </row>
    <row r="20" spans="1:22" ht="30">
      <c r="A20" s="7">
        <v>1</v>
      </c>
      <c r="B20" s="7">
        <v>10</v>
      </c>
      <c r="C20" s="7">
        <v>46258.791666666664</v>
      </c>
      <c r="D20" s="7" t="s">
        <v>44</v>
      </c>
      <c r="E20" s="7" t="s">
        <v>48</v>
      </c>
      <c r="F20" s="7" t="s">
        <v>1742</v>
      </c>
      <c r="G20" s="7">
        <v>3</v>
      </c>
      <c r="H20" s="37">
        <f>Priors!$H$27*VLOOKUP(D20,Team_26_27!$A$2:$U$21,20,FALSE)*VLOOKUP(E20,Team_26_27!$A$2:$U$21,21,FALSE)*IF(F20="H",Priors!$H$28,Priors!$H$29)</f>
        <v>1.4365176854776378</v>
      </c>
      <c r="I20" s="37">
        <f>Priors!$H$27*VLOOKUP(E20,Team_26_27!$A$2:$U$21,20,FALSE)*VLOOKUP(D20,Team_26_27!$A$2:$U$21,21,FALSE)*IF(F20="H",Priors!$H$29,Priors!$H$28)</f>
        <v>1.4500649852541898</v>
      </c>
      <c r="J20" s="15">
        <v>1.529190937318446</v>
      </c>
      <c r="K20" s="15">
        <v>1.0345389928276891</v>
      </c>
      <c r="L20" s="47" t="b">
        <v>1</v>
      </c>
      <c r="M20" s="45">
        <v>1</v>
      </c>
      <c r="N20" s="45"/>
      <c r="O20" s="45"/>
      <c r="P20" s="38">
        <f t="shared" si="0"/>
        <v>1.529190937318446</v>
      </c>
      <c r="Q20" s="38">
        <f t="shared" si="1"/>
        <v>1.0345389928276891</v>
      </c>
      <c r="R20" s="17">
        <f t="shared" si="2"/>
        <v>0.35539018058786065</v>
      </c>
      <c r="S20" s="17">
        <f t="shared" si="3"/>
        <v>0.21671092913299536</v>
      </c>
      <c r="T20" s="38">
        <f t="shared" si="4"/>
        <v>9.2673251840808213E-2</v>
      </c>
      <c r="U20" s="31" t="s">
        <v>1876</v>
      </c>
      <c r="V20" s="31" t="s">
        <v>1843</v>
      </c>
    </row>
    <row r="21" spans="1:22" ht="30">
      <c r="A21" s="7">
        <v>1</v>
      </c>
      <c r="B21" s="7">
        <v>10</v>
      </c>
      <c r="C21" s="7">
        <v>46258.791666666664</v>
      </c>
      <c r="D21" s="7" t="s">
        <v>48</v>
      </c>
      <c r="E21" s="7" t="s">
        <v>44</v>
      </c>
      <c r="F21" s="7" t="s">
        <v>1743</v>
      </c>
      <c r="G21" s="7">
        <v>4</v>
      </c>
      <c r="H21" s="37">
        <f>Priors!$H$27*VLOOKUP(D21,Team_26_27!$A$2:$U$21,20,FALSE)*VLOOKUP(E21,Team_26_27!$A$2:$U$21,21,FALSE)*IF(F21="H",Priors!$H$28,Priors!$H$29)</f>
        <v>1.4500649852541898</v>
      </c>
      <c r="I21" s="37">
        <f>Priors!$H$27*VLOOKUP(E21,Team_26_27!$A$2:$U$21,20,FALSE)*VLOOKUP(D21,Team_26_27!$A$2:$U$21,21,FALSE)*IF(F21="H",Priors!$H$29,Priors!$H$28)</f>
        <v>1.4365176854776378</v>
      </c>
      <c r="J21" s="15">
        <v>1.0345389928276891</v>
      </c>
      <c r="K21" s="15">
        <v>1.529190937318446</v>
      </c>
      <c r="L21" s="47" t="b">
        <v>1</v>
      </c>
      <c r="M21" s="45">
        <v>1</v>
      </c>
      <c r="N21" s="45"/>
      <c r="O21" s="45"/>
      <c r="P21" s="38">
        <f t="shared" si="0"/>
        <v>1.0345389928276891</v>
      </c>
      <c r="Q21" s="38">
        <f t="shared" si="1"/>
        <v>1.529190937318446</v>
      </c>
      <c r="R21" s="17">
        <f t="shared" si="2"/>
        <v>0.21671092913299536</v>
      </c>
      <c r="S21" s="17">
        <f t="shared" si="3"/>
        <v>0.35539018058786065</v>
      </c>
      <c r="T21" s="38">
        <f t="shared" si="4"/>
        <v>-0.41552599242650068</v>
      </c>
      <c r="U21" s="31" t="s">
        <v>1876</v>
      </c>
      <c r="V21" s="31" t="s">
        <v>1843</v>
      </c>
    </row>
    <row r="22" spans="1:22" ht="30">
      <c r="A22" s="7">
        <v>2</v>
      </c>
      <c r="B22" s="7">
        <v>11</v>
      </c>
      <c r="C22" s="7">
        <v>46262.791666666664</v>
      </c>
      <c r="D22" s="7" t="s">
        <v>53</v>
      </c>
      <c r="E22" s="7" t="s">
        <v>46</v>
      </c>
      <c r="F22" s="7" t="s">
        <v>1742</v>
      </c>
      <c r="G22" s="7">
        <v>3</v>
      </c>
      <c r="H22" s="37">
        <f>Priors!$H$27*VLOOKUP(D22,Team_26_27!$A$2:$U$21,20,FALSE)*VLOOKUP(E22,Team_26_27!$A$2:$U$21,21,FALSE)*IF(F22="H",Priors!$H$28,Priors!$H$29)</f>
        <v>1.4798692533888729</v>
      </c>
      <c r="I22" s="37">
        <f>Priors!$H$27*VLOOKUP(E22,Team_26_27!$A$2:$U$21,20,FALSE)*VLOOKUP(D22,Team_26_27!$A$2:$U$21,21,FALSE)*IF(F22="H",Priors!$H$29,Priors!$H$28)</f>
        <v>1.4690291276066825</v>
      </c>
      <c r="J22" s="15"/>
      <c r="K22" s="15"/>
      <c r="L22" s="47" t="b">
        <v>0</v>
      </c>
      <c r="M22" s="45">
        <v>0</v>
      </c>
      <c r="N22" s="45"/>
      <c r="O22" s="45"/>
      <c r="P22" s="38">
        <f t="shared" si="0"/>
        <v>1.4798692533888729</v>
      </c>
      <c r="Q22" s="38">
        <f t="shared" si="1"/>
        <v>1.4690291276066825</v>
      </c>
      <c r="R22" s="17">
        <f t="shared" si="2"/>
        <v>0.23014882189098909</v>
      </c>
      <c r="S22" s="17">
        <f t="shared" si="3"/>
        <v>0.22766745318591483</v>
      </c>
      <c r="T22" s="38" t="str">
        <f t="shared" si="4"/>
        <v/>
      </c>
      <c r="U22" s="31" t="s">
        <v>1876</v>
      </c>
      <c r="V22" s="31"/>
    </row>
    <row r="23" spans="1:22" ht="30">
      <c r="A23" s="7">
        <v>2</v>
      </c>
      <c r="B23" s="7">
        <v>11</v>
      </c>
      <c r="C23" s="7">
        <v>46262.791666666664</v>
      </c>
      <c r="D23" s="7" t="s">
        <v>46</v>
      </c>
      <c r="E23" s="7" t="s">
        <v>53</v>
      </c>
      <c r="F23" s="7" t="s">
        <v>1743</v>
      </c>
      <c r="G23" s="7">
        <v>4</v>
      </c>
      <c r="H23" s="37">
        <f>Priors!$H$27*VLOOKUP(D23,Team_26_27!$A$2:$U$21,20,FALSE)*VLOOKUP(E23,Team_26_27!$A$2:$U$21,21,FALSE)*IF(F23="H",Priors!$H$28,Priors!$H$29)</f>
        <v>1.4690291276066825</v>
      </c>
      <c r="I23" s="37">
        <f>Priors!$H$27*VLOOKUP(E23,Team_26_27!$A$2:$U$21,20,FALSE)*VLOOKUP(D23,Team_26_27!$A$2:$U$21,21,FALSE)*IF(F23="H",Priors!$H$29,Priors!$H$28)</f>
        <v>1.4798692533888729</v>
      </c>
      <c r="J23" s="15"/>
      <c r="K23" s="15"/>
      <c r="L23" s="47" t="b">
        <v>0</v>
      </c>
      <c r="M23" s="45">
        <v>0</v>
      </c>
      <c r="N23" s="45"/>
      <c r="O23" s="45"/>
      <c r="P23" s="38">
        <f t="shared" si="0"/>
        <v>1.4690291276066825</v>
      </c>
      <c r="Q23" s="38">
        <f t="shared" si="1"/>
        <v>1.4798692533888729</v>
      </c>
      <c r="R23" s="17">
        <f t="shared" si="2"/>
        <v>0.22766745318591483</v>
      </c>
      <c r="S23" s="17">
        <f t="shared" si="3"/>
        <v>0.23014882189098909</v>
      </c>
      <c r="T23" s="38" t="str">
        <f t="shared" si="4"/>
        <v/>
      </c>
      <c r="U23" s="31" t="s">
        <v>1876</v>
      </c>
      <c r="V23" s="31"/>
    </row>
    <row r="24" spans="1:22" ht="30">
      <c r="A24" s="7">
        <v>2</v>
      </c>
      <c r="B24" s="7">
        <v>12</v>
      </c>
      <c r="C24" s="7">
        <v>46263.583333333336</v>
      </c>
      <c r="D24" s="7" t="s">
        <v>47</v>
      </c>
      <c r="E24" s="7" t="s">
        <v>41</v>
      </c>
      <c r="F24" s="7" t="s">
        <v>1742</v>
      </c>
      <c r="G24" s="7">
        <v>3</v>
      </c>
      <c r="H24" s="37">
        <f>Priors!$H$27*VLOOKUP(D24,Team_26_27!$A$2:$U$21,20,FALSE)*VLOOKUP(E24,Team_26_27!$A$2:$U$21,21,FALSE)*IF(F24="H",Priors!$H$28,Priors!$H$29)</f>
        <v>1.1955397569449606</v>
      </c>
      <c r="I24" s="37">
        <f>Priors!$H$27*VLOOKUP(E24,Team_26_27!$A$2:$U$21,20,FALSE)*VLOOKUP(D24,Team_26_27!$A$2:$U$21,21,FALSE)*IF(F24="H",Priors!$H$29,Priors!$H$28)</f>
        <v>1.7521682205319145</v>
      </c>
      <c r="J24" s="15"/>
      <c r="K24" s="15"/>
      <c r="L24" s="47" t="b">
        <v>0</v>
      </c>
      <c r="M24" s="45">
        <v>0</v>
      </c>
      <c r="N24" s="45"/>
      <c r="O24" s="45"/>
      <c r="P24" s="38">
        <f t="shared" si="0"/>
        <v>1.1955397569449606</v>
      </c>
      <c r="Q24" s="38">
        <f t="shared" si="1"/>
        <v>1.7521682205319145</v>
      </c>
      <c r="R24" s="17">
        <f t="shared" si="2"/>
        <v>0.17339757139460307</v>
      </c>
      <c r="S24" s="17">
        <f t="shared" si="3"/>
        <v>0.30254061170718932</v>
      </c>
      <c r="T24" s="38" t="str">
        <f t="shared" si="4"/>
        <v/>
      </c>
      <c r="U24" s="31" t="s">
        <v>1876</v>
      </c>
      <c r="V24" s="31"/>
    </row>
    <row r="25" spans="1:22" ht="30">
      <c r="A25" s="7">
        <v>2</v>
      </c>
      <c r="B25" s="7">
        <v>12</v>
      </c>
      <c r="C25" s="7">
        <v>46263.583333333336</v>
      </c>
      <c r="D25" s="7" t="s">
        <v>41</v>
      </c>
      <c r="E25" s="7" t="s">
        <v>47</v>
      </c>
      <c r="F25" s="7" t="s">
        <v>1743</v>
      </c>
      <c r="G25" s="7">
        <v>3</v>
      </c>
      <c r="H25" s="37">
        <f>Priors!$H$27*VLOOKUP(D25,Team_26_27!$A$2:$U$21,20,FALSE)*VLOOKUP(E25,Team_26_27!$A$2:$U$21,21,FALSE)*IF(F25="H",Priors!$H$28,Priors!$H$29)</f>
        <v>1.7521682205319145</v>
      </c>
      <c r="I25" s="37">
        <f>Priors!$H$27*VLOOKUP(E25,Team_26_27!$A$2:$U$21,20,FALSE)*VLOOKUP(D25,Team_26_27!$A$2:$U$21,21,FALSE)*IF(F25="H",Priors!$H$29,Priors!$H$28)</f>
        <v>1.1955397569449606</v>
      </c>
      <c r="J25" s="15"/>
      <c r="K25" s="15"/>
      <c r="L25" s="47" t="b">
        <v>0</v>
      </c>
      <c r="M25" s="45">
        <v>0</v>
      </c>
      <c r="N25" s="45"/>
      <c r="O25" s="45"/>
      <c r="P25" s="38">
        <f t="shared" si="0"/>
        <v>1.7521682205319145</v>
      </c>
      <c r="Q25" s="38">
        <f t="shared" si="1"/>
        <v>1.1955397569449606</v>
      </c>
      <c r="R25" s="17">
        <f t="shared" si="2"/>
        <v>0.30254061170718932</v>
      </c>
      <c r="S25" s="17">
        <f t="shared" si="3"/>
        <v>0.17339757139460307</v>
      </c>
      <c r="T25" s="38" t="str">
        <f t="shared" si="4"/>
        <v/>
      </c>
      <c r="U25" s="31" t="s">
        <v>1876</v>
      </c>
      <c r="V25" s="31"/>
    </row>
    <row r="26" spans="1:22" ht="30">
      <c r="A26" s="7">
        <v>2</v>
      </c>
      <c r="B26" s="7">
        <v>13</v>
      </c>
      <c r="C26" s="7">
        <v>46263.583333333336</v>
      </c>
      <c r="D26" s="7" t="s">
        <v>49</v>
      </c>
      <c r="E26" s="7" t="s">
        <v>45</v>
      </c>
      <c r="F26" s="7" t="s">
        <v>1742</v>
      </c>
      <c r="G26" s="7">
        <v>2</v>
      </c>
      <c r="H26" s="37">
        <f>Priors!$H$27*VLOOKUP(D26,Team_26_27!$A$2:$U$21,20,FALSE)*VLOOKUP(E26,Team_26_27!$A$2:$U$21,21,FALSE)*IF(F26="H",Priors!$H$28,Priors!$H$29)</f>
        <v>1.1029697823297413</v>
      </c>
      <c r="I26" s="37">
        <f>Priors!$H$27*VLOOKUP(E26,Team_26_27!$A$2:$U$21,20,FALSE)*VLOOKUP(D26,Team_26_27!$A$2:$U$21,21,FALSE)*IF(F26="H",Priors!$H$29,Priors!$H$28)</f>
        <v>1.6578727045582475</v>
      </c>
      <c r="J26" s="15"/>
      <c r="K26" s="15"/>
      <c r="L26" s="47" t="b">
        <v>0</v>
      </c>
      <c r="M26" s="45">
        <v>0</v>
      </c>
      <c r="N26" s="45"/>
      <c r="O26" s="45"/>
      <c r="P26" s="38">
        <f t="shared" si="0"/>
        <v>1.1029697823297413</v>
      </c>
      <c r="Q26" s="38">
        <f t="shared" si="1"/>
        <v>1.6578727045582475</v>
      </c>
      <c r="R26" s="17">
        <f t="shared" si="2"/>
        <v>0.19054389241855443</v>
      </c>
      <c r="S26" s="17">
        <f t="shared" si="3"/>
        <v>0.331883995479683</v>
      </c>
      <c r="T26" s="38" t="str">
        <f t="shared" si="4"/>
        <v/>
      </c>
      <c r="U26" s="31" t="s">
        <v>1876</v>
      </c>
      <c r="V26" s="31"/>
    </row>
    <row r="27" spans="1:22" ht="30">
      <c r="A27" s="7">
        <v>2</v>
      </c>
      <c r="B27" s="7">
        <v>13</v>
      </c>
      <c r="C27" s="7">
        <v>46263.583333333336</v>
      </c>
      <c r="D27" s="7" t="s">
        <v>45</v>
      </c>
      <c r="E27" s="7" t="s">
        <v>49</v>
      </c>
      <c r="F27" s="7" t="s">
        <v>1743</v>
      </c>
      <c r="G27" s="7">
        <v>2</v>
      </c>
      <c r="H27" s="37">
        <f>Priors!$H$27*VLOOKUP(D27,Team_26_27!$A$2:$U$21,20,FALSE)*VLOOKUP(E27,Team_26_27!$A$2:$U$21,21,FALSE)*IF(F27="H",Priors!$H$28,Priors!$H$29)</f>
        <v>1.6578727045582475</v>
      </c>
      <c r="I27" s="37">
        <f>Priors!$H$27*VLOOKUP(E27,Team_26_27!$A$2:$U$21,20,FALSE)*VLOOKUP(D27,Team_26_27!$A$2:$U$21,21,FALSE)*IF(F27="H",Priors!$H$29,Priors!$H$28)</f>
        <v>1.1029697823297413</v>
      </c>
      <c r="J27" s="15"/>
      <c r="K27" s="15"/>
      <c r="L27" s="47" t="b">
        <v>0</v>
      </c>
      <c r="M27" s="45">
        <v>0</v>
      </c>
      <c r="N27" s="45"/>
      <c r="O27" s="45"/>
      <c r="P27" s="38">
        <f t="shared" si="0"/>
        <v>1.6578727045582475</v>
      </c>
      <c r="Q27" s="38">
        <f t="shared" si="1"/>
        <v>1.1029697823297413</v>
      </c>
      <c r="R27" s="17">
        <f t="shared" si="2"/>
        <v>0.331883995479683</v>
      </c>
      <c r="S27" s="17">
        <f t="shared" si="3"/>
        <v>0.19054389241855443</v>
      </c>
      <c r="T27" s="38" t="str">
        <f t="shared" si="4"/>
        <v/>
      </c>
      <c r="U27" s="31" t="s">
        <v>1876</v>
      </c>
      <c r="V27" s="31"/>
    </row>
    <row r="28" spans="1:22" ht="30">
      <c r="A28" s="7">
        <v>2</v>
      </c>
      <c r="B28" s="7">
        <v>14</v>
      </c>
      <c r="C28" s="7">
        <v>46263.479166666664</v>
      </c>
      <c r="D28" s="7" t="s">
        <v>56</v>
      </c>
      <c r="E28" s="7" t="s">
        <v>52</v>
      </c>
      <c r="F28" s="7" t="s">
        <v>1742</v>
      </c>
      <c r="G28" s="7">
        <v>4</v>
      </c>
      <c r="H28" s="37">
        <f>Priors!$H$27*VLOOKUP(D28,Team_26_27!$A$2:$U$21,20,FALSE)*VLOOKUP(E28,Team_26_27!$A$2:$U$21,21,FALSE)*IF(F28="H",Priors!$H$28,Priors!$H$29)</f>
        <v>1.0962938424136803</v>
      </c>
      <c r="I28" s="37">
        <f>Priors!$H$27*VLOOKUP(E28,Team_26_27!$A$2:$U$21,20,FALSE)*VLOOKUP(D28,Team_26_27!$A$2:$U$21,21,FALSE)*IF(F28="H",Priors!$H$29,Priors!$H$28)</f>
        <v>1.7400621180271703</v>
      </c>
      <c r="J28" s="15"/>
      <c r="K28" s="15"/>
      <c r="L28" s="47" t="b">
        <v>0</v>
      </c>
      <c r="M28" s="45">
        <v>0</v>
      </c>
      <c r="N28" s="45"/>
      <c r="O28" s="45"/>
      <c r="P28" s="38">
        <f t="shared" si="0"/>
        <v>1.0962938424136803</v>
      </c>
      <c r="Q28" s="38">
        <f t="shared" si="1"/>
        <v>1.7400621180271703</v>
      </c>
      <c r="R28" s="17">
        <f t="shared" si="2"/>
        <v>0.17550949797461124</v>
      </c>
      <c r="S28" s="17">
        <f t="shared" si="3"/>
        <v>0.33410704530972241</v>
      </c>
      <c r="T28" s="38" t="str">
        <f t="shared" si="4"/>
        <v/>
      </c>
      <c r="U28" s="31" t="s">
        <v>1876</v>
      </c>
      <c r="V28" s="31"/>
    </row>
    <row r="29" spans="1:22" ht="30">
      <c r="A29" s="7">
        <v>2</v>
      </c>
      <c r="B29" s="7">
        <v>14</v>
      </c>
      <c r="C29" s="7">
        <v>46263.479166666664</v>
      </c>
      <c r="D29" s="7" t="s">
        <v>52</v>
      </c>
      <c r="E29" s="7" t="s">
        <v>56</v>
      </c>
      <c r="F29" s="7" t="s">
        <v>1743</v>
      </c>
      <c r="G29" s="7">
        <v>3</v>
      </c>
      <c r="H29" s="37">
        <f>Priors!$H$27*VLOOKUP(D29,Team_26_27!$A$2:$U$21,20,FALSE)*VLOOKUP(E29,Team_26_27!$A$2:$U$21,21,FALSE)*IF(F29="H",Priors!$H$28,Priors!$H$29)</f>
        <v>1.7400621180271703</v>
      </c>
      <c r="I29" s="37">
        <f>Priors!$H$27*VLOOKUP(E29,Team_26_27!$A$2:$U$21,20,FALSE)*VLOOKUP(D29,Team_26_27!$A$2:$U$21,21,FALSE)*IF(F29="H",Priors!$H$29,Priors!$H$28)</f>
        <v>1.0962938424136803</v>
      </c>
      <c r="J29" s="15"/>
      <c r="K29" s="15"/>
      <c r="L29" s="47" t="b">
        <v>0</v>
      </c>
      <c r="M29" s="45">
        <v>0</v>
      </c>
      <c r="N29" s="45"/>
      <c r="O29" s="45"/>
      <c r="P29" s="38">
        <f t="shared" si="0"/>
        <v>1.7400621180271703</v>
      </c>
      <c r="Q29" s="38">
        <f t="shared" si="1"/>
        <v>1.0962938424136803</v>
      </c>
      <c r="R29" s="17">
        <f t="shared" si="2"/>
        <v>0.33410704530972241</v>
      </c>
      <c r="S29" s="17">
        <f t="shared" si="3"/>
        <v>0.17550949797461124</v>
      </c>
      <c r="T29" s="38" t="str">
        <f t="shared" si="4"/>
        <v/>
      </c>
      <c r="U29" s="31" t="s">
        <v>1876</v>
      </c>
      <c r="V29" s="31"/>
    </row>
    <row r="30" spans="1:22" ht="30">
      <c r="A30" s="7">
        <v>2</v>
      </c>
      <c r="B30" s="7">
        <v>15</v>
      </c>
      <c r="C30" s="7">
        <v>46263.6875</v>
      </c>
      <c r="D30" s="7" t="s">
        <v>55</v>
      </c>
      <c r="E30" s="7" t="s">
        <v>57</v>
      </c>
      <c r="F30" s="7" t="s">
        <v>1742</v>
      </c>
      <c r="G30" s="7">
        <v>3</v>
      </c>
      <c r="H30" s="37">
        <f>Priors!$H$27*VLOOKUP(D30,Team_26_27!$A$2:$U$21,20,FALSE)*VLOOKUP(E30,Team_26_27!$A$2:$U$21,21,FALSE)*IF(F30="H",Priors!$H$28,Priors!$H$29)</f>
        <v>1.2957745954532616</v>
      </c>
      <c r="I30" s="37">
        <f>Priors!$H$27*VLOOKUP(E30,Team_26_27!$A$2:$U$21,20,FALSE)*VLOOKUP(D30,Team_26_27!$A$2:$U$21,21,FALSE)*IF(F30="H",Priors!$H$29,Priors!$H$28)</f>
        <v>1.2478434060776762</v>
      </c>
      <c r="J30" s="15"/>
      <c r="K30" s="15"/>
      <c r="L30" s="47" t="b">
        <v>0</v>
      </c>
      <c r="M30" s="45">
        <v>0</v>
      </c>
      <c r="N30" s="45"/>
      <c r="O30" s="45"/>
      <c r="P30" s="38">
        <f t="shared" si="0"/>
        <v>1.2957745954532616</v>
      </c>
      <c r="Q30" s="38">
        <f t="shared" si="1"/>
        <v>1.2478434060776762</v>
      </c>
      <c r="R30" s="17">
        <f t="shared" si="2"/>
        <v>0.28712333809521851</v>
      </c>
      <c r="S30" s="17">
        <f t="shared" si="3"/>
        <v>0.27368578643896585</v>
      </c>
      <c r="T30" s="38" t="str">
        <f t="shared" si="4"/>
        <v/>
      </c>
      <c r="U30" s="31" t="s">
        <v>1876</v>
      </c>
      <c r="V30" s="31"/>
    </row>
    <row r="31" spans="1:22" ht="30">
      <c r="A31" s="7">
        <v>2</v>
      </c>
      <c r="B31" s="7">
        <v>15</v>
      </c>
      <c r="C31" s="7">
        <v>46263.6875</v>
      </c>
      <c r="D31" s="7" t="s">
        <v>57</v>
      </c>
      <c r="E31" s="7" t="s">
        <v>55</v>
      </c>
      <c r="F31" s="7" t="s">
        <v>1743</v>
      </c>
      <c r="G31" s="7">
        <v>2</v>
      </c>
      <c r="H31" s="37">
        <f>Priors!$H$27*VLOOKUP(D31,Team_26_27!$A$2:$U$21,20,FALSE)*VLOOKUP(E31,Team_26_27!$A$2:$U$21,21,FALSE)*IF(F31="H",Priors!$H$28,Priors!$H$29)</f>
        <v>1.2478434060776762</v>
      </c>
      <c r="I31" s="37">
        <f>Priors!$H$27*VLOOKUP(E31,Team_26_27!$A$2:$U$21,20,FALSE)*VLOOKUP(D31,Team_26_27!$A$2:$U$21,21,FALSE)*IF(F31="H",Priors!$H$29,Priors!$H$28)</f>
        <v>1.2957745954532616</v>
      </c>
      <c r="J31" s="15"/>
      <c r="K31" s="15"/>
      <c r="L31" s="47" t="b">
        <v>0</v>
      </c>
      <c r="M31" s="45">
        <v>0</v>
      </c>
      <c r="N31" s="45"/>
      <c r="O31" s="45"/>
      <c r="P31" s="38">
        <f t="shared" si="0"/>
        <v>1.2478434060776762</v>
      </c>
      <c r="Q31" s="38">
        <f t="shared" si="1"/>
        <v>1.2957745954532616</v>
      </c>
      <c r="R31" s="17">
        <f t="shared" si="2"/>
        <v>0.27368578643896585</v>
      </c>
      <c r="S31" s="17">
        <f t="shared" si="3"/>
        <v>0.28712333809521851</v>
      </c>
      <c r="T31" s="38" t="str">
        <f t="shared" si="4"/>
        <v/>
      </c>
      <c r="U31" s="31" t="s">
        <v>1876</v>
      </c>
      <c r="V31" s="31"/>
    </row>
    <row r="32" spans="1:22" ht="30">
      <c r="A32" s="7">
        <v>2</v>
      </c>
      <c r="B32" s="7">
        <v>16</v>
      </c>
      <c r="C32" s="7">
        <v>46264.541666666664</v>
      </c>
      <c r="D32" s="7" t="s">
        <v>43</v>
      </c>
      <c r="E32" s="7" t="s">
        <v>44</v>
      </c>
      <c r="F32" s="7" t="s">
        <v>1742</v>
      </c>
      <c r="G32" s="7">
        <v>4</v>
      </c>
      <c r="H32" s="37">
        <f>Priors!$H$27*VLOOKUP(D32,Team_26_27!$A$2:$U$21,20,FALSE)*VLOOKUP(E32,Team_26_27!$A$2:$U$21,21,FALSE)*IF(F32="H",Priors!$H$28,Priors!$H$29)</f>
        <v>1.3259959446112457</v>
      </c>
      <c r="I32" s="37">
        <f>Priors!$H$27*VLOOKUP(E32,Team_26_27!$A$2:$U$21,20,FALSE)*VLOOKUP(D32,Team_26_27!$A$2:$U$21,21,FALSE)*IF(F32="H",Priors!$H$29,Priors!$H$28)</f>
        <v>1.65794846027983</v>
      </c>
      <c r="J32" s="15"/>
      <c r="K32" s="15"/>
      <c r="L32" s="47" t="b">
        <v>0</v>
      </c>
      <c r="M32" s="45">
        <v>0</v>
      </c>
      <c r="N32" s="45"/>
      <c r="O32" s="45"/>
      <c r="P32" s="38">
        <f t="shared" si="0"/>
        <v>1.3259959446112457</v>
      </c>
      <c r="Q32" s="38">
        <f t="shared" si="1"/>
        <v>1.65794846027983</v>
      </c>
      <c r="R32" s="17">
        <f t="shared" si="2"/>
        <v>0.19052945817523628</v>
      </c>
      <c r="S32" s="17">
        <f t="shared" si="3"/>
        <v>0.26553836584614693</v>
      </c>
      <c r="T32" s="38" t="str">
        <f t="shared" si="4"/>
        <v/>
      </c>
      <c r="U32" s="31" t="s">
        <v>1876</v>
      </c>
      <c r="V32" s="31"/>
    </row>
    <row r="33" spans="1:22" ht="30">
      <c r="A33" s="7">
        <v>2</v>
      </c>
      <c r="B33" s="7">
        <v>16</v>
      </c>
      <c r="C33" s="7">
        <v>46264.541666666664</v>
      </c>
      <c r="D33" s="7" t="s">
        <v>44</v>
      </c>
      <c r="E33" s="7" t="s">
        <v>43</v>
      </c>
      <c r="F33" s="7" t="s">
        <v>1743</v>
      </c>
      <c r="G33" s="7">
        <v>2</v>
      </c>
      <c r="H33" s="37">
        <f>Priors!$H$27*VLOOKUP(D33,Team_26_27!$A$2:$U$21,20,FALSE)*VLOOKUP(E33,Team_26_27!$A$2:$U$21,21,FALSE)*IF(F33="H",Priors!$H$28,Priors!$H$29)</f>
        <v>1.65794846027983</v>
      </c>
      <c r="I33" s="37">
        <f>Priors!$H$27*VLOOKUP(E33,Team_26_27!$A$2:$U$21,20,FALSE)*VLOOKUP(D33,Team_26_27!$A$2:$U$21,21,FALSE)*IF(F33="H",Priors!$H$29,Priors!$H$28)</f>
        <v>1.3259959446112457</v>
      </c>
      <c r="J33" s="15"/>
      <c r="K33" s="15"/>
      <c r="L33" s="47" t="b">
        <v>0</v>
      </c>
      <c r="M33" s="45">
        <v>0</v>
      </c>
      <c r="N33" s="45"/>
      <c r="O33" s="45"/>
      <c r="P33" s="38">
        <f t="shared" si="0"/>
        <v>1.65794846027983</v>
      </c>
      <c r="Q33" s="38">
        <f t="shared" si="1"/>
        <v>1.3259959446112457</v>
      </c>
      <c r="R33" s="17">
        <f t="shared" si="2"/>
        <v>0.26553836584614693</v>
      </c>
      <c r="S33" s="17">
        <f t="shared" si="3"/>
        <v>0.19052945817523628</v>
      </c>
      <c r="T33" s="38" t="str">
        <f t="shared" si="4"/>
        <v/>
      </c>
      <c r="U33" s="31" t="s">
        <v>1876</v>
      </c>
      <c r="V33" s="31"/>
    </row>
    <row r="34" spans="1:22" ht="30">
      <c r="A34" s="7">
        <v>2</v>
      </c>
      <c r="B34" s="7">
        <v>17</v>
      </c>
      <c r="C34" s="7">
        <v>46264.541666666664</v>
      </c>
      <c r="D34" s="7" t="s">
        <v>42</v>
      </c>
      <c r="E34" s="7" t="s">
        <v>51</v>
      </c>
      <c r="F34" s="7" t="s">
        <v>1742</v>
      </c>
      <c r="G34" s="7">
        <v>3</v>
      </c>
      <c r="H34" s="37">
        <f>Priors!$H$27*VLOOKUP(D34,Team_26_27!$A$2:$U$21,20,FALSE)*VLOOKUP(E34,Team_26_27!$A$2:$U$21,21,FALSE)*IF(F34="H",Priors!$H$28,Priors!$H$29)</f>
        <v>1.4239845435425613</v>
      </c>
      <c r="I34" s="37">
        <f>Priors!$H$27*VLOOKUP(E34,Team_26_27!$A$2:$U$21,20,FALSE)*VLOOKUP(D34,Team_26_27!$A$2:$U$21,21,FALSE)*IF(F34="H",Priors!$H$29,Priors!$H$28)</f>
        <v>1.5858913253516449</v>
      </c>
      <c r="J34" s="15"/>
      <c r="K34" s="15"/>
      <c r="L34" s="47" t="b">
        <v>0</v>
      </c>
      <c r="M34" s="45">
        <v>0</v>
      </c>
      <c r="N34" s="45"/>
      <c r="O34" s="45"/>
      <c r="P34" s="38">
        <f t="shared" si="0"/>
        <v>1.4239845435425613</v>
      </c>
      <c r="Q34" s="38">
        <f t="shared" si="1"/>
        <v>1.5858913253516449</v>
      </c>
      <c r="R34" s="17">
        <f t="shared" si="2"/>
        <v>0.20476519934034826</v>
      </c>
      <c r="S34" s="17">
        <f t="shared" si="3"/>
        <v>0.24075281312272809</v>
      </c>
      <c r="T34" s="38" t="str">
        <f t="shared" si="4"/>
        <v/>
      </c>
      <c r="U34" s="31" t="s">
        <v>1876</v>
      </c>
      <c r="V34" s="31"/>
    </row>
    <row r="35" spans="1:22" ht="30">
      <c r="A35" s="7">
        <v>2</v>
      </c>
      <c r="B35" s="7">
        <v>17</v>
      </c>
      <c r="C35" s="7">
        <v>46264.541666666664</v>
      </c>
      <c r="D35" s="7" t="s">
        <v>51</v>
      </c>
      <c r="E35" s="7" t="s">
        <v>42</v>
      </c>
      <c r="F35" s="7" t="s">
        <v>1743</v>
      </c>
      <c r="G35" s="7">
        <v>3</v>
      </c>
      <c r="H35" s="37">
        <f>Priors!$H$27*VLOOKUP(D35,Team_26_27!$A$2:$U$21,20,FALSE)*VLOOKUP(E35,Team_26_27!$A$2:$U$21,21,FALSE)*IF(F35="H",Priors!$H$28,Priors!$H$29)</f>
        <v>1.5858913253516449</v>
      </c>
      <c r="I35" s="37">
        <f>Priors!$H$27*VLOOKUP(E35,Team_26_27!$A$2:$U$21,20,FALSE)*VLOOKUP(D35,Team_26_27!$A$2:$U$21,21,FALSE)*IF(F35="H",Priors!$H$29,Priors!$H$28)</f>
        <v>1.4239845435425613</v>
      </c>
      <c r="J35" s="15"/>
      <c r="K35" s="15"/>
      <c r="L35" s="47" t="b">
        <v>0</v>
      </c>
      <c r="M35" s="45">
        <v>0</v>
      </c>
      <c r="N35" s="45"/>
      <c r="O35" s="45"/>
      <c r="P35" s="38">
        <f t="shared" si="0"/>
        <v>1.5858913253516449</v>
      </c>
      <c r="Q35" s="38">
        <f t="shared" si="1"/>
        <v>1.4239845435425613</v>
      </c>
      <c r="R35" s="17">
        <f t="shared" si="2"/>
        <v>0.24075281312272809</v>
      </c>
      <c r="S35" s="17">
        <f t="shared" si="3"/>
        <v>0.20476519934034826</v>
      </c>
      <c r="T35" s="38" t="str">
        <f t="shared" si="4"/>
        <v/>
      </c>
      <c r="U35" s="31" t="s">
        <v>1876</v>
      </c>
      <c r="V35" s="31"/>
    </row>
    <row r="36" spans="1:22" ht="30">
      <c r="A36" s="7">
        <v>2</v>
      </c>
      <c r="B36" s="7">
        <v>18</v>
      </c>
      <c r="C36" s="7">
        <v>46264.645833333336</v>
      </c>
      <c r="D36" s="7" t="s">
        <v>50</v>
      </c>
      <c r="E36" s="7" t="s">
        <v>54</v>
      </c>
      <c r="F36" s="7" t="s">
        <v>1742</v>
      </c>
      <c r="G36" s="7">
        <v>4</v>
      </c>
      <c r="H36" s="37">
        <f>Priors!$H$27*VLOOKUP(D36,Team_26_27!$A$2:$U$21,20,FALSE)*VLOOKUP(E36,Team_26_27!$A$2:$U$21,21,FALSE)*IF(F36="H",Priors!$H$28,Priors!$H$29)</f>
        <v>0.9021715836214792</v>
      </c>
      <c r="I36" s="37">
        <f>Priors!$H$27*VLOOKUP(E36,Team_26_27!$A$2:$U$21,20,FALSE)*VLOOKUP(D36,Team_26_27!$A$2:$U$21,21,FALSE)*IF(F36="H",Priors!$H$29,Priors!$H$28)</f>
        <v>2.201337624143513</v>
      </c>
      <c r="J36" s="15"/>
      <c r="K36" s="15"/>
      <c r="L36" s="47" t="b">
        <v>0</v>
      </c>
      <c r="M36" s="45">
        <v>0</v>
      </c>
      <c r="N36" s="45"/>
      <c r="O36" s="45"/>
      <c r="P36" s="38">
        <f t="shared" si="0"/>
        <v>0.9021715836214792</v>
      </c>
      <c r="Q36" s="38">
        <f t="shared" si="1"/>
        <v>2.201337624143513</v>
      </c>
      <c r="R36" s="17">
        <f t="shared" si="2"/>
        <v>0.11065504446497773</v>
      </c>
      <c r="S36" s="17">
        <f t="shared" si="3"/>
        <v>0.40568771767857126</v>
      </c>
      <c r="T36" s="38" t="str">
        <f t="shared" si="4"/>
        <v/>
      </c>
      <c r="U36" s="31" t="s">
        <v>1876</v>
      </c>
      <c r="V36" s="31"/>
    </row>
    <row r="37" spans="1:22" ht="30">
      <c r="A37" s="7">
        <v>2</v>
      </c>
      <c r="B37" s="7">
        <v>18</v>
      </c>
      <c r="C37" s="7">
        <v>46264.645833333336</v>
      </c>
      <c r="D37" s="7" t="s">
        <v>54</v>
      </c>
      <c r="E37" s="7" t="s">
        <v>50</v>
      </c>
      <c r="F37" s="7" t="s">
        <v>1743</v>
      </c>
      <c r="G37" s="7">
        <v>2</v>
      </c>
      <c r="H37" s="37">
        <f>Priors!$H$27*VLOOKUP(D37,Team_26_27!$A$2:$U$21,20,FALSE)*VLOOKUP(E37,Team_26_27!$A$2:$U$21,21,FALSE)*IF(F37="H",Priors!$H$28,Priors!$H$29)</f>
        <v>2.201337624143513</v>
      </c>
      <c r="I37" s="37">
        <f>Priors!$H$27*VLOOKUP(E37,Team_26_27!$A$2:$U$21,20,FALSE)*VLOOKUP(D37,Team_26_27!$A$2:$U$21,21,FALSE)*IF(F37="H",Priors!$H$29,Priors!$H$28)</f>
        <v>0.9021715836214792</v>
      </c>
      <c r="J37" s="15"/>
      <c r="K37" s="15"/>
      <c r="L37" s="47" t="b">
        <v>0</v>
      </c>
      <c r="M37" s="45">
        <v>0</v>
      </c>
      <c r="N37" s="45"/>
      <c r="O37" s="45"/>
      <c r="P37" s="38">
        <f t="shared" si="0"/>
        <v>2.201337624143513</v>
      </c>
      <c r="Q37" s="38">
        <f t="shared" si="1"/>
        <v>0.9021715836214792</v>
      </c>
      <c r="R37" s="17">
        <f t="shared" si="2"/>
        <v>0.40568771767857126</v>
      </c>
      <c r="S37" s="17">
        <f t="shared" si="3"/>
        <v>0.11065504446497773</v>
      </c>
      <c r="T37" s="38" t="str">
        <f t="shared" si="4"/>
        <v/>
      </c>
      <c r="U37" s="31" t="s">
        <v>1876</v>
      </c>
      <c r="V37" s="31"/>
    </row>
    <row r="38" spans="1:22" ht="30">
      <c r="A38" s="7">
        <v>2</v>
      </c>
      <c r="B38" s="7">
        <v>19</v>
      </c>
      <c r="C38" s="7">
        <v>46264.541666666664</v>
      </c>
      <c r="D38" s="7" t="s">
        <v>48</v>
      </c>
      <c r="E38" s="7" t="s">
        <v>58</v>
      </c>
      <c r="F38" s="7" t="s">
        <v>1742</v>
      </c>
      <c r="G38" s="7">
        <v>3</v>
      </c>
      <c r="H38" s="37">
        <f>Priors!$H$27*VLOOKUP(D38,Team_26_27!$A$2:$U$21,20,FALSE)*VLOOKUP(E38,Team_26_27!$A$2:$U$21,21,FALSE)*IF(F38="H",Priors!$H$28,Priors!$H$29)</f>
        <v>1.2167773894157163</v>
      </c>
      <c r="I38" s="37">
        <f>Priors!$H$27*VLOOKUP(E38,Team_26_27!$A$2:$U$21,20,FALSE)*VLOOKUP(D38,Team_26_27!$A$2:$U$21,21,FALSE)*IF(F38="H",Priors!$H$29,Priors!$H$28)</f>
        <v>1.2531425852420519</v>
      </c>
      <c r="J38" s="15"/>
      <c r="K38" s="15"/>
      <c r="L38" s="47" t="b">
        <v>0</v>
      </c>
      <c r="M38" s="45">
        <v>0</v>
      </c>
      <c r="N38" s="45"/>
      <c r="O38" s="45"/>
      <c r="P38" s="38">
        <f t="shared" si="0"/>
        <v>1.2167773894157163</v>
      </c>
      <c r="Q38" s="38">
        <f t="shared" si="1"/>
        <v>1.2531425852420519</v>
      </c>
      <c r="R38" s="17">
        <f t="shared" si="2"/>
        <v>0.28560584437103897</v>
      </c>
      <c r="S38" s="17">
        <f t="shared" si="3"/>
        <v>0.29618311344780723</v>
      </c>
      <c r="T38" s="38" t="str">
        <f t="shared" si="4"/>
        <v/>
      </c>
      <c r="U38" s="31" t="s">
        <v>1876</v>
      </c>
      <c r="V38" s="31"/>
    </row>
    <row r="39" spans="1:22" ht="30">
      <c r="A39" s="7">
        <v>2</v>
      </c>
      <c r="B39" s="7">
        <v>19</v>
      </c>
      <c r="C39" s="7">
        <v>46264.541666666664</v>
      </c>
      <c r="D39" s="7" t="s">
        <v>58</v>
      </c>
      <c r="E39" s="7" t="s">
        <v>48</v>
      </c>
      <c r="F39" s="7" t="s">
        <v>1743</v>
      </c>
      <c r="G39" s="7">
        <v>2</v>
      </c>
      <c r="H39" s="37">
        <f>Priors!$H$27*VLOOKUP(D39,Team_26_27!$A$2:$U$21,20,FALSE)*VLOOKUP(E39,Team_26_27!$A$2:$U$21,21,FALSE)*IF(F39="H",Priors!$H$28,Priors!$H$29)</f>
        <v>1.2531425852420519</v>
      </c>
      <c r="I39" s="37">
        <f>Priors!$H$27*VLOOKUP(E39,Team_26_27!$A$2:$U$21,20,FALSE)*VLOOKUP(D39,Team_26_27!$A$2:$U$21,21,FALSE)*IF(F39="H",Priors!$H$29,Priors!$H$28)</f>
        <v>1.2167773894157163</v>
      </c>
      <c r="J39" s="15"/>
      <c r="K39" s="15"/>
      <c r="L39" s="47" t="b">
        <v>0</v>
      </c>
      <c r="M39" s="45">
        <v>0</v>
      </c>
      <c r="N39" s="45"/>
      <c r="O39" s="45"/>
      <c r="P39" s="38">
        <f t="shared" si="0"/>
        <v>1.2531425852420519</v>
      </c>
      <c r="Q39" s="38">
        <f t="shared" si="1"/>
        <v>1.2167773894157163</v>
      </c>
      <c r="R39" s="17">
        <f t="shared" si="2"/>
        <v>0.29618311344780723</v>
      </c>
      <c r="S39" s="17">
        <f t="shared" si="3"/>
        <v>0.28560584437103897</v>
      </c>
      <c r="T39" s="38" t="str">
        <f t="shared" si="4"/>
        <v/>
      </c>
      <c r="U39" s="31" t="s">
        <v>1876</v>
      </c>
      <c r="V39" s="31"/>
    </row>
    <row r="40" spans="1:22" ht="30">
      <c r="A40" s="7">
        <v>2</v>
      </c>
      <c r="B40" s="7">
        <v>20</v>
      </c>
      <c r="C40" s="7">
        <v>46265.791666666664</v>
      </c>
      <c r="D40" s="7" t="s">
        <v>39</v>
      </c>
      <c r="E40" s="7" t="s">
        <v>40</v>
      </c>
      <c r="F40" s="7" t="s">
        <v>1742</v>
      </c>
      <c r="G40" s="7">
        <v>4</v>
      </c>
      <c r="H40" s="37">
        <f>Priors!$H$27*VLOOKUP(D40,Team_26_27!$A$2:$U$21,20,FALSE)*VLOOKUP(E40,Team_26_27!$A$2:$U$21,21,FALSE)*IF(F40="H",Priors!$H$28,Priors!$H$29)</f>
        <v>1.4800949710162161</v>
      </c>
      <c r="I40" s="37">
        <f>Priors!$H$27*VLOOKUP(E40,Team_26_27!$A$2:$U$21,20,FALSE)*VLOOKUP(D40,Team_26_27!$A$2:$U$21,21,FALSE)*IF(F40="H",Priors!$H$29,Priors!$H$28)</f>
        <v>0.96765717056337552</v>
      </c>
      <c r="J40" s="15"/>
      <c r="K40" s="15"/>
      <c r="L40" s="47" t="b">
        <v>0</v>
      </c>
      <c r="M40" s="45">
        <v>0</v>
      </c>
      <c r="N40" s="45"/>
      <c r="O40" s="45"/>
      <c r="P40" s="38">
        <f t="shared" si="0"/>
        <v>1.4800949710162161</v>
      </c>
      <c r="Q40" s="38">
        <f t="shared" si="1"/>
        <v>0.96765717056337552</v>
      </c>
      <c r="R40" s="17">
        <f t="shared" si="2"/>
        <v>0.37997220618185751</v>
      </c>
      <c r="S40" s="17">
        <f t="shared" si="3"/>
        <v>0.22761607042777371</v>
      </c>
      <c r="T40" s="38" t="str">
        <f t="shared" si="4"/>
        <v/>
      </c>
      <c r="U40" s="31" t="s">
        <v>1876</v>
      </c>
      <c r="V40" s="31"/>
    </row>
    <row r="41" spans="1:22" ht="30">
      <c r="A41" s="7">
        <v>2</v>
      </c>
      <c r="B41" s="7">
        <v>20</v>
      </c>
      <c r="C41" s="7">
        <v>46265.791666666664</v>
      </c>
      <c r="D41" s="7" t="s">
        <v>40</v>
      </c>
      <c r="E41" s="7" t="s">
        <v>39</v>
      </c>
      <c r="F41" s="7" t="s">
        <v>1743</v>
      </c>
      <c r="G41" s="7">
        <v>4</v>
      </c>
      <c r="H41" s="37">
        <f>Priors!$H$27*VLOOKUP(D41,Team_26_27!$A$2:$U$21,20,FALSE)*VLOOKUP(E41,Team_26_27!$A$2:$U$21,21,FALSE)*IF(F41="H",Priors!$H$28,Priors!$H$29)</f>
        <v>0.96765717056337552</v>
      </c>
      <c r="I41" s="37">
        <f>Priors!$H$27*VLOOKUP(E41,Team_26_27!$A$2:$U$21,20,FALSE)*VLOOKUP(D41,Team_26_27!$A$2:$U$21,21,FALSE)*IF(F41="H",Priors!$H$29,Priors!$H$28)</f>
        <v>1.4800949710162161</v>
      </c>
      <c r="J41" s="15"/>
      <c r="K41" s="15"/>
      <c r="L41" s="47" t="b">
        <v>0</v>
      </c>
      <c r="M41" s="45">
        <v>0</v>
      </c>
      <c r="N41" s="45"/>
      <c r="O41" s="45"/>
      <c r="P41" s="38">
        <f t="shared" si="0"/>
        <v>0.96765717056337552</v>
      </c>
      <c r="Q41" s="38">
        <f t="shared" si="1"/>
        <v>1.4800949710162161</v>
      </c>
      <c r="R41" s="17">
        <f t="shared" si="2"/>
        <v>0.22761607042777371</v>
      </c>
      <c r="S41" s="17">
        <f t="shared" si="3"/>
        <v>0.37997220618185751</v>
      </c>
      <c r="T41" s="38" t="str">
        <f t="shared" si="4"/>
        <v/>
      </c>
      <c r="U41" s="31" t="s">
        <v>1876</v>
      </c>
      <c r="V41" s="31"/>
    </row>
    <row r="42" spans="1:22" ht="30">
      <c r="A42" s="7">
        <v>3</v>
      </c>
      <c r="B42" s="7">
        <v>21</v>
      </c>
      <c r="C42" s="7">
        <v>46269.791666666664</v>
      </c>
      <c r="D42" s="7" t="s">
        <v>52</v>
      </c>
      <c r="E42" s="7" t="s">
        <v>50</v>
      </c>
      <c r="F42" s="7" t="s">
        <v>1742</v>
      </c>
      <c r="G42" s="7">
        <v>2</v>
      </c>
      <c r="H42" s="37">
        <f>Priors!$H$27*VLOOKUP(D42,Team_26_27!$A$2:$U$21,20,FALSE)*VLOOKUP(E42,Team_26_27!$A$2:$U$21,21,FALSE)*IF(F42="H",Priors!$H$28,Priors!$H$29)</f>
        <v>1.6833891025242826</v>
      </c>
      <c r="I42" s="37">
        <f>Priors!$H$27*VLOOKUP(E42,Team_26_27!$A$2:$U$21,20,FALSE)*VLOOKUP(D42,Team_26_27!$A$2:$U$21,21,FALSE)*IF(F42="H",Priors!$H$29,Priors!$H$28)</f>
        <v>1.1030349199375948</v>
      </c>
      <c r="J42" s="15"/>
      <c r="K42" s="15"/>
      <c r="L42" s="47" t="b">
        <v>0</v>
      </c>
      <c r="M42" s="45">
        <v>0</v>
      </c>
      <c r="N42" s="45"/>
      <c r="O42" s="45"/>
      <c r="P42" s="38">
        <f t="shared" si="0"/>
        <v>1.6833891025242826</v>
      </c>
      <c r="Q42" s="38">
        <f t="shared" si="1"/>
        <v>1.1030349199375948</v>
      </c>
      <c r="R42" s="17">
        <f t="shared" si="2"/>
        <v>0.33186237805419394</v>
      </c>
      <c r="S42" s="17">
        <f t="shared" si="3"/>
        <v>0.18574340466583381</v>
      </c>
      <c r="T42" s="38" t="str">
        <f t="shared" si="4"/>
        <v/>
      </c>
      <c r="U42" s="31" t="s">
        <v>1876</v>
      </c>
      <c r="V42" s="31"/>
    </row>
    <row r="43" spans="1:22" ht="30">
      <c r="A43" s="7">
        <v>3</v>
      </c>
      <c r="B43" s="7">
        <v>21</v>
      </c>
      <c r="C43" s="7">
        <v>46269.791666666664</v>
      </c>
      <c r="D43" s="7" t="s">
        <v>50</v>
      </c>
      <c r="E43" s="7" t="s">
        <v>52</v>
      </c>
      <c r="F43" s="7" t="s">
        <v>1743</v>
      </c>
      <c r="G43" s="7">
        <v>4</v>
      </c>
      <c r="H43" s="37">
        <f>Priors!$H$27*VLOOKUP(D43,Team_26_27!$A$2:$U$21,20,FALSE)*VLOOKUP(E43,Team_26_27!$A$2:$U$21,21,FALSE)*IF(F43="H",Priors!$H$28,Priors!$H$29)</f>
        <v>1.1030349199375948</v>
      </c>
      <c r="I43" s="37">
        <f>Priors!$H$27*VLOOKUP(E43,Team_26_27!$A$2:$U$21,20,FALSE)*VLOOKUP(D43,Team_26_27!$A$2:$U$21,21,FALSE)*IF(F43="H",Priors!$H$29,Priors!$H$28)</f>
        <v>1.6833891025242826</v>
      </c>
      <c r="J43" s="15"/>
      <c r="K43" s="15"/>
      <c r="L43" s="47" t="b">
        <v>0</v>
      </c>
      <c r="M43" s="45">
        <v>0</v>
      </c>
      <c r="N43" s="45"/>
      <c r="O43" s="45"/>
      <c r="P43" s="38">
        <f t="shared" si="0"/>
        <v>1.1030349199375948</v>
      </c>
      <c r="Q43" s="38">
        <f t="shared" si="1"/>
        <v>1.6833891025242826</v>
      </c>
      <c r="R43" s="17">
        <f t="shared" si="2"/>
        <v>0.18574340466583381</v>
      </c>
      <c r="S43" s="17">
        <f t="shared" si="3"/>
        <v>0.33186237805419394</v>
      </c>
      <c r="T43" s="38" t="str">
        <f t="shared" si="4"/>
        <v/>
      </c>
      <c r="U43" s="31" t="s">
        <v>1876</v>
      </c>
      <c r="V43" s="31"/>
    </row>
    <row r="44" spans="1:22" ht="30">
      <c r="A44" s="7">
        <v>3</v>
      </c>
      <c r="B44" s="7">
        <v>22</v>
      </c>
      <c r="C44" s="7">
        <v>46270.583333333336</v>
      </c>
      <c r="D44" s="7" t="s">
        <v>58</v>
      </c>
      <c r="E44" s="7" t="s">
        <v>42</v>
      </c>
      <c r="F44" s="7" t="s">
        <v>1742</v>
      </c>
      <c r="G44" s="7">
        <v>3</v>
      </c>
      <c r="H44" s="37">
        <f>Priors!$H$27*VLOOKUP(D44,Team_26_27!$A$2:$U$21,20,FALSE)*VLOOKUP(E44,Team_26_27!$A$2:$U$21,21,FALSE)*IF(F44="H",Priors!$H$28,Priors!$H$29)</f>
        <v>1.0395938688892523</v>
      </c>
      <c r="I44" s="37">
        <f>Priors!$H$27*VLOOKUP(E44,Team_26_27!$A$2:$U$21,20,FALSE)*VLOOKUP(D44,Team_26_27!$A$2:$U$21,21,FALSE)*IF(F44="H",Priors!$H$29,Priors!$H$28)</f>
        <v>1.7115898377651271</v>
      </c>
      <c r="J44" s="15"/>
      <c r="K44" s="15"/>
      <c r="L44" s="47" t="b">
        <v>0</v>
      </c>
      <c r="M44" s="45">
        <v>0</v>
      </c>
      <c r="N44" s="45"/>
      <c r="O44" s="45"/>
      <c r="P44" s="38">
        <f t="shared" si="0"/>
        <v>1.0395938688892523</v>
      </c>
      <c r="Q44" s="38">
        <f t="shared" si="1"/>
        <v>1.7115898377651271</v>
      </c>
      <c r="R44" s="17">
        <f t="shared" si="2"/>
        <v>0.18057847380526715</v>
      </c>
      <c r="S44" s="17">
        <f t="shared" si="3"/>
        <v>0.35359826005515543</v>
      </c>
      <c r="T44" s="38" t="str">
        <f t="shared" si="4"/>
        <v/>
      </c>
      <c r="U44" s="31" t="s">
        <v>1876</v>
      </c>
      <c r="V44" s="31"/>
    </row>
    <row r="45" spans="1:22" ht="30">
      <c r="A45" s="7">
        <v>3</v>
      </c>
      <c r="B45" s="7">
        <v>22</v>
      </c>
      <c r="C45" s="7">
        <v>46270.583333333336</v>
      </c>
      <c r="D45" s="7" t="s">
        <v>42</v>
      </c>
      <c r="E45" s="7" t="s">
        <v>58</v>
      </c>
      <c r="F45" s="7" t="s">
        <v>1743</v>
      </c>
      <c r="G45" s="7">
        <v>2</v>
      </c>
      <c r="H45" s="37">
        <f>Priors!$H$27*VLOOKUP(D45,Team_26_27!$A$2:$U$21,20,FALSE)*VLOOKUP(E45,Team_26_27!$A$2:$U$21,21,FALSE)*IF(F45="H",Priors!$H$28,Priors!$H$29)</f>
        <v>1.7115898377651271</v>
      </c>
      <c r="I45" s="37">
        <f>Priors!$H$27*VLOOKUP(E45,Team_26_27!$A$2:$U$21,20,FALSE)*VLOOKUP(D45,Team_26_27!$A$2:$U$21,21,FALSE)*IF(F45="H",Priors!$H$29,Priors!$H$28)</f>
        <v>1.0395938688892523</v>
      </c>
      <c r="J45" s="15"/>
      <c r="K45" s="15"/>
      <c r="L45" s="47" t="b">
        <v>0</v>
      </c>
      <c r="M45" s="45">
        <v>0</v>
      </c>
      <c r="N45" s="45"/>
      <c r="O45" s="45"/>
      <c r="P45" s="38">
        <f t="shared" si="0"/>
        <v>1.7115898377651271</v>
      </c>
      <c r="Q45" s="38">
        <f t="shared" si="1"/>
        <v>1.0395938688892523</v>
      </c>
      <c r="R45" s="17">
        <f t="shared" si="2"/>
        <v>0.35359826005515543</v>
      </c>
      <c r="S45" s="17">
        <f t="shared" si="3"/>
        <v>0.18057847380526715</v>
      </c>
      <c r="T45" s="38" t="str">
        <f t="shared" si="4"/>
        <v/>
      </c>
      <c r="U45" s="31" t="s">
        <v>1876</v>
      </c>
      <c r="V45" s="31"/>
    </row>
    <row r="46" spans="1:22" ht="30">
      <c r="A46" s="7">
        <v>3</v>
      </c>
      <c r="B46" s="7">
        <v>23</v>
      </c>
      <c r="C46" s="7">
        <v>46270.583333333336</v>
      </c>
      <c r="D46" s="7" t="s">
        <v>51</v>
      </c>
      <c r="E46" s="7" t="s">
        <v>43</v>
      </c>
      <c r="F46" s="7" t="s">
        <v>1742</v>
      </c>
      <c r="G46" s="7">
        <v>3</v>
      </c>
      <c r="H46" s="37">
        <f>Priors!$H$27*VLOOKUP(D46,Team_26_27!$A$2:$U$21,20,FALSE)*VLOOKUP(E46,Team_26_27!$A$2:$U$21,21,FALSE)*IF(F46="H",Priors!$H$28,Priors!$H$29)</f>
        <v>1.2084250636156897</v>
      </c>
      <c r="I46" s="37">
        <f>Priors!$H$27*VLOOKUP(E46,Team_26_27!$A$2:$U$21,20,FALSE)*VLOOKUP(D46,Team_26_27!$A$2:$U$21,21,FALSE)*IF(F46="H",Priors!$H$29,Priors!$H$28)</f>
        <v>1.6901372136179194</v>
      </c>
      <c r="J46" s="15"/>
      <c r="K46" s="15"/>
      <c r="L46" s="47" t="b">
        <v>0</v>
      </c>
      <c r="M46" s="45">
        <v>0</v>
      </c>
      <c r="N46" s="45"/>
      <c r="O46" s="45"/>
      <c r="P46" s="38">
        <f t="shared" si="0"/>
        <v>1.2084250636156897</v>
      </c>
      <c r="Q46" s="38">
        <f t="shared" si="1"/>
        <v>1.6901372136179194</v>
      </c>
      <c r="R46" s="17">
        <f t="shared" si="2"/>
        <v>0.18449420713847375</v>
      </c>
      <c r="S46" s="17">
        <f t="shared" si="3"/>
        <v>0.29866729119712809</v>
      </c>
      <c r="T46" s="38" t="str">
        <f t="shared" si="4"/>
        <v/>
      </c>
      <c r="U46" s="31" t="s">
        <v>1876</v>
      </c>
      <c r="V46" s="31"/>
    </row>
    <row r="47" spans="1:22" ht="30">
      <c r="A47" s="7">
        <v>3</v>
      </c>
      <c r="B47" s="7">
        <v>23</v>
      </c>
      <c r="C47" s="7">
        <v>46270.583333333336</v>
      </c>
      <c r="D47" s="7" t="s">
        <v>43</v>
      </c>
      <c r="E47" s="7" t="s">
        <v>51</v>
      </c>
      <c r="F47" s="7" t="s">
        <v>1743</v>
      </c>
      <c r="G47" s="7">
        <v>2</v>
      </c>
      <c r="H47" s="37">
        <f>Priors!$H$27*VLOOKUP(D47,Team_26_27!$A$2:$U$21,20,FALSE)*VLOOKUP(E47,Team_26_27!$A$2:$U$21,21,FALSE)*IF(F47="H",Priors!$H$28,Priors!$H$29)</f>
        <v>1.6901372136179194</v>
      </c>
      <c r="I47" s="37">
        <f>Priors!$H$27*VLOOKUP(E47,Team_26_27!$A$2:$U$21,20,FALSE)*VLOOKUP(D47,Team_26_27!$A$2:$U$21,21,FALSE)*IF(F47="H",Priors!$H$29,Priors!$H$28)</f>
        <v>1.2084250636156897</v>
      </c>
      <c r="J47" s="15"/>
      <c r="K47" s="15"/>
      <c r="L47" s="47" t="b">
        <v>0</v>
      </c>
      <c r="M47" s="45">
        <v>0</v>
      </c>
      <c r="N47" s="45"/>
      <c r="O47" s="45"/>
      <c r="P47" s="38">
        <f t="shared" si="0"/>
        <v>1.6901372136179194</v>
      </c>
      <c r="Q47" s="38">
        <f t="shared" si="1"/>
        <v>1.2084250636156897</v>
      </c>
      <c r="R47" s="17">
        <f t="shared" si="2"/>
        <v>0.29866729119712809</v>
      </c>
      <c r="S47" s="17">
        <f t="shared" si="3"/>
        <v>0.18449420713847375</v>
      </c>
      <c r="T47" s="38" t="str">
        <f t="shared" si="4"/>
        <v/>
      </c>
      <c r="U47" s="31" t="s">
        <v>1876</v>
      </c>
      <c r="V47" s="31"/>
    </row>
    <row r="48" spans="1:22" ht="30">
      <c r="A48" s="7">
        <v>3</v>
      </c>
      <c r="B48" s="7">
        <v>24</v>
      </c>
      <c r="C48" s="7">
        <v>46270.583333333336</v>
      </c>
      <c r="D48" s="7" t="s">
        <v>46</v>
      </c>
      <c r="E48" s="7" t="s">
        <v>48</v>
      </c>
      <c r="F48" s="7" t="s">
        <v>1742</v>
      </c>
      <c r="G48" s="7">
        <v>3</v>
      </c>
      <c r="H48" s="37">
        <f>Priors!$H$27*VLOOKUP(D48,Team_26_27!$A$2:$U$21,20,FALSE)*VLOOKUP(E48,Team_26_27!$A$2:$U$21,21,FALSE)*IF(F48="H",Priors!$H$28,Priors!$H$29)</f>
        <v>1.3280801914230291</v>
      </c>
      <c r="I48" s="37">
        <f>Priors!$H$27*VLOOKUP(E48,Team_26_27!$A$2:$U$21,20,FALSE)*VLOOKUP(D48,Team_26_27!$A$2:$U$21,21,FALSE)*IF(F48="H",Priors!$H$29,Priors!$H$28)</f>
        <v>1.4440077613556976</v>
      </c>
      <c r="J48" s="15"/>
      <c r="K48" s="15"/>
      <c r="L48" s="47" t="b">
        <v>0</v>
      </c>
      <c r="M48" s="45">
        <v>0</v>
      </c>
      <c r="N48" s="45"/>
      <c r="O48" s="45"/>
      <c r="P48" s="38">
        <f t="shared" si="0"/>
        <v>1.3280801914230291</v>
      </c>
      <c r="Q48" s="38">
        <f t="shared" si="1"/>
        <v>1.4440077613556976</v>
      </c>
      <c r="R48" s="17">
        <f t="shared" si="2"/>
        <v>0.23598010901208732</v>
      </c>
      <c r="S48" s="17">
        <f t="shared" si="3"/>
        <v>0.26498549471381661</v>
      </c>
      <c r="T48" s="38" t="str">
        <f t="shared" si="4"/>
        <v/>
      </c>
      <c r="U48" s="31" t="s">
        <v>1876</v>
      </c>
      <c r="V48" s="31"/>
    </row>
    <row r="49" spans="1:22" ht="30">
      <c r="A49" s="7">
        <v>3</v>
      </c>
      <c r="B49" s="7">
        <v>24</v>
      </c>
      <c r="C49" s="7">
        <v>46270.583333333336</v>
      </c>
      <c r="D49" s="7" t="s">
        <v>48</v>
      </c>
      <c r="E49" s="7" t="s">
        <v>46</v>
      </c>
      <c r="F49" s="7" t="s">
        <v>1743</v>
      </c>
      <c r="G49" s="7">
        <v>3</v>
      </c>
      <c r="H49" s="37">
        <f>Priors!$H$27*VLOOKUP(D49,Team_26_27!$A$2:$U$21,20,FALSE)*VLOOKUP(E49,Team_26_27!$A$2:$U$21,21,FALSE)*IF(F49="H",Priors!$H$28,Priors!$H$29)</f>
        <v>1.4440077613556976</v>
      </c>
      <c r="I49" s="37">
        <f>Priors!$H$27*VLOOKUP(E49,Team_26_27!$A$2:$U$21,20,FALSE)*VLOOKUP(D49,Team_26_27!$A$2:$U$21,21,FALSE)*IF(F49="H",Priors!$H$29,Priors!$H$28)</f>
        <v>1.3280801914230291</v>
      </c>
      <c r="J49" s="15"/>
      <c r="K49" s="15"/>
      <c r="L49" s="47" t="b">
        <v>0</v>
      </c>
      <c r="M49" s="45">
        <v>0</v>
      </c>
      <c r="N49" s="45"/>
      <c r="O49" s="45"/>
      <c r="P49" s="38">
        <f t="shared" si="0"/>
        <v>1.4440077613556976</v>
      </c>
      <c r="Q49" s="38">
        <f t="shared" si="1"/>
        <v>1.3280801914230291</v>
      </c>
      <c r="R49" s="17">
        <f t="shared" si="2"/>
        <v>0.26498549471381661</v>
      </c>
      <c r="S49" s="17">
        <f t="shared" si="3"/>
        <v>0.23598010901208732</v>
      </c>
      <c r="T49" s="38" t="str">
        <f t="shared" si="4"/>
        <v/>
      </c>
      <c r="U49" s="31" t="s">
        <v>1876</v>
      </c>
      <c r="V49" s="31"/>
    </row>
    <row r="50" spans="1:22" ht="30">
      <c r="A50" s="7">
        <v>3</v>
      </c>
      <c r="B50" s="7">
        <v>25</v>
      </c>
      <c r="C50" s="7">
        <v>46270.6875</v>
      </c>
      <c r="D50" s="7" t="s">
        <v>40</v>
      </c>
      <c r="E50" s="7" t="s">
        <v>49</v>
      </c>
      <c r="F50" s="7" t="s">
        <v>1742</v>
      </c>
      <c r="G50" s="7">
        <v>2</v>
      </c>
      <c r="H50" s="37">
        <f>Priors!$H$27*VLOOKUP(D50,Team_26_27!$A$2:$U$21,20,FALSE)*VLOOKUP(E50,Team_26_27!$A$2:$U$21,21,FALSE)*IF(F50="H",Priors!$H$28,Priors!$H$29)</f>
        <v>1.6070042893751233</v>
      </c>
      <c r="I50" s="37">
        <f>Priors!$H$27*VLOOKUP(E50,Team_26_27!$A$2:$U$21,20,FALSE)*VLOOKUP(D50,Team_26_27!$A$2:$U$21,21,FALSE)*IF(F50="H",Priors!$H$29,Priors!$H$28)</f>
        <v>1.0841167499235864</v>
      </c>
      <c r="J50" s="15"/>
      <c r="K50" s="15"/>
      <c r="L50" s="47" t="b">
        <v>0</v>
      </c>
      <c r="M50" s="45">
        <v>0</v>
      </c>
      <c r="N50" s="45"/>
      <c r="O50" s="45"/>
      <c r="P50" s="38">
        <f t="shared" si="0"/>
        <v>1.6070042893751233</v>
      </c>
      <c r="Q50" s="38">
        <f t="shared" si="1"/>
        <v>1.0841167499235864</v>
      </c>
      <c r="R50" s="17">
        <f t="shared" si="2"/>
        <v>0.33820036951551657</v>
      </c>
      <c r="S50" s="17">
        <f t="shared" si="3"/>
        <v>0.20048731734464664</v>
      </c>
      <c r="T50" s="38" t="str">
        <f t="shared" si="4"/>
        <v/>
      </c>
      <c r="U50" s="31" t="s">
        <v>1876</v>
      </c>
      <c r="V50" s="31"/>
    </row>
    <row r="51" spans="1:22" ht="30">
      <c r="A51" s="7">
        <v>3</v>
      </c>
      <c r="B51" s="7">
        <v>25</v>
      </c>
      <c r="C51" s="7">
        <v>46270.6875</v>
      </c>
      <c r="D51" s="7" t="s">
        <v>49</v>
      </c>
      <c r="E51" s="7" t="s">
        <v>40</v>
      </c>
      <c r="F51" s="7" t="s">
        <v>1743</v>
      </c>
      <c r="G51" s="7">
        <v>3</v>
      </c>
      <c r="H51" s="37">
        <f>Priors!$H$27*VLOOKUP(D51,Team_26_27!$A$2:$U$21,20,FALSE)*VLOOKUP(E51,Team_26_27!$A$2:$U$21,21,FALSE)*IF(F51="H",Priors!$H$28,Priors!$H$29)</f>
        <v>1.0841167499235864</v>
      </c>
      <c r="I51" s="37">
        <f>Priors!$H$27*VLOOKUP(E51,Team_26_27!$A$2:$U$21,20,FALSE)*VLOOKUP(D51,Team_26_27!$A$2:$U$21,21,FALSE)*IF(F51="H",Priors!$H$29,Priors!$H$28)</f>
        <v>1.6070042893751233</v>
      </c>
      <c r="J51" s="15"/>
      <c r="K51" s="15"/>
      <c r="L51" s="47" t="b">
        <v>0</v>
      </c>
      <c r="M51" s="45">
        <v>0</v>
      </c>
      <c r="N51" s="45"/>
      <c r="O51" s="45"/>
      <c r="P51" s="38">
        <f t="shared" si="0"/>
        <v>1.0841167499235864</v>
      </c>
      <c r="Q51" s="38">
        <f t="shared" si="1"/>
        <v>1.6070042893751233</v>
      </c>
      <c r="R51" s="17">
        <f t="shared" si="2"/>
        <v>0.20048731734464664</v>
      </c>
      <c r="S51" s="17">
        <f t="shared" si="3"/>
        <v>0.33820036951551657</v>
      </c>
      <c r="T51" s="38" t="str">
        <f t="shared" si="4"/>
        <v/>
      </c>
      <c r="U51" s="31" t="s">
        <v>1876</v>
      </c>
      <c r="V51" s="31"/>
    </row>
    <row r="52" spans="1:22" ht="30">
      <c r="A52" s="7">
        <v>3</v>
      </c>
      <c r="B52" s="7">
        <v>26</v>
      </c>
      <c r="C52" s="7">
        <v>46270.583333333336</v>
      </c>
      <c r="D52" s="7" t="s">
        <v>45</v>
      </c>
      <c r="E52" s="7" t="s">
        <v>53</v>
      </c>
      <c r="F52" s="7" t="s">
        <v>1742</v>
      </c>
      <c r="G52" s="7">
        <v>5</v>
      </c>
      <c r="H52" s="37">
        <f>Priors!$H$27*VLOOKUP(D52,Team_26_27!$A$2:$U$21,20,FALSE)*VLOOKUP(E52,Team_26_27!$A$2:$U$21,21,FALSE)*IF(F52="H",Priors!$H$28,Priors!$H$29)</f>
        <v>0.90136145532351164</v>
      </c>
      <c r="I52" s="37">
        <f>Priors!$H$27*VLOOKUP(E52,Team_26_27!$A$2:$U$21,20,FALSE)*VLOOKUP(D52,Team_26_27!$A$2:$U$21,21,FALSE)*IF(F52="H",Priors!$H$29,Priors!$H$28)</f>
        <v>2.3013345874833995</v>
      </c>
      <c r="J52" s="15"/>
      <c r="K52" s="15"/>
      <c r="L52" s="47" t="b">
        <v>0</v>
      </c>
      <c r="M52" s="45">
        <v>0</v>
      </c>
      <c r="N52" s="45"/>
      <c r="O52" s="45"/>
      <c r="P52" s="38">
        <f t="shared" si="0"/>
        <v>0.90136145532351164</v>
      </c>
      <c r="Q52" s="38">
        <f t="shared" si="1"/>
        <v>2.3013345874833995</v>
      </c>
      <c r="R52" s="17">
        <f t="shared" si="2"/>
        <v>0.10012512877186801</v>
      </c>
      <c r="S52" s="17">
        <f t="shared" si="3"/>
        <v>0.40601650994277683</v>
      </c>
      <c r="T52" s="38" t="str">
        <f t="shared" si="4"/>
        <v/>
      </c>
      <c r="U52" s="31" t="s">
        <v>1876</v>
      </c>
      <c r="V52" s="31"/>
    </row>
    <row r="53" spans="1:22" ht="30">
      <c r="A53" s="7">
        <v>3</v>
      </c>
      <c r="B53" s="7">
        <v>26</v>
      </c>
      <c r="C53" s="7">
        <v>46270.583333333336</v>
      </c>
      <c r="D53" s="7" t="s">
        <v>53</v>
      </c>
      <c r="E53" s="7" t="s">
        <v>45</v>
      </c>
      <c r="F53" s="7" t="s">
        <v>1743</v>
      </c>
      <c r="G53" s="7">
        <v>2</v>
      </c>
      <c r="H53" s="37">
        <f>Priors!$H$27*VLOOKUP(D53,Team_26_27!$A$2:$U$21,20,FALSE)*VLOOKUP(E53,Team_26_27!$A$2:$U$21,21,FALSE)*IF(F53="H",Priors!$H$28,Priors!$H$29)</f>
        <v>2.3013345874833995</v>
      </c>
      <c r="I53" s="37">
        <f>Priors!$H$27*VLOOKUP(E53,Team_26_27!$A$2:$U$21,20,FALSE)*VLOOKUP(D53,Team_26_27!$A$2:$U$21,21,FALSE)*IF(F53="H",Priors!$H$29,Priors!$H$28)</f>
        <v>0.90136145532351164</v>
      </c>
      <c r="J53" s="15"/>
      <c r="K53" s="15"/>
      <c r="L53" s="47" t="b">
        <v>0</v>
      </c>
      <c r="M53" s="45">
        <v>0</v>
      </c>
      <c r="N53" s="45"/>
      <c r="O53" s="45"/>
      <c r="P53" s="38">
        <f t="shared" si="0"/>
        <v>2.3013345874833995</v>
      </c>
      <c r="Q53" s="38">
        <f t="shared" si="1"/>
        <v>0.90136145532351164</v>
      </c>
      <c r="R53" s="17">
        <f t="shared" si="2"/>
        <v>0.40601650994277683</v>
      </c>
      <c r="S53" s="17">
        <f t="shared" si="3"/>
        <v>0.10012512877186801</v>
      </c>
      <c r="T53" s="38" t="str">
        <f t="shared" si="4"/>
        <v/>
      </c>
      <c r="U53" s="31" t="s">
        <v>1876</v>
      </c>
      <c r="V53" s="31"/>
    </row>
    <row r="54" spans="1:22" ht="30">
      <c r="A54" s="7">
        <v>3</v>
      </c>
      <c r="B54" s="7">
        <v>27</v>
      </c>
      <c r="C54" s="7">
        <v>46270.479166666664</v>
      </c>
      <c r="D54" s="7" t="s">
        <v>41</v>
      </c>
      <c r="E54" s="7" t="s">
        <v>55</v>
      </c>
      <c r="F54" s="7" t="s">
        <v>1742</v>
      </c>
      <c r="G54" s="7">
        <v>3</v>
      </c>
      <c r="H54" s="37">
        <f>Priors!$H$27*VLOOKUP(D54,Team_26_27!$A$2:$U$21,20,FALSE)*VLOOKUP(E54,Team_26_27!$A$2:$U$21,21,FALSE)*IF(F54="H",Priors!$H$28,Priors!$H$29)</f>
        <v>1.3465772471536437</v>
      </c>
      <c r="I54" s="37">
        <f>Priors!$H$27*VLOOKUP(E54,Team_26_27!$A$2:$U$21,20,FALSE)*VLOOKUP(D54,Team_26_27!$A$2:$U$21,21,FALSE)*IF(F54="H",Priors!$H$29,Priors!$H$28)</f>
        <v>1.6620072653490192</v>
      </c>
      <c r="J54" s="15"/>
      <c r="K54" s="15"/>
      <c r="L54" s="47" t="b">
        <v>0</v>
      </c>
      <c r="M54" s="45">
        <v>0</v>
      </c>
      <c r="N54" s="45"/>
      <c r="O54" s="45"/>
      <c r="P54" s="38">
        <f t="shared" si="0"/>
        <v>1.3465772471536437</v>
      </c>
      <c r="Q54" s="38">
        <f t="shared" si="1"/>
        <v>1.6620072653490192</v>
      </c>
      <c r="R54" s="17">
        <f t="shared" si="2"/>
        <v>0.18975770350493248</v>
      </c>
      <c r="S54" s="17">
        <f t="shared" si="3"/>
        <v>0.26012909625046199</v>
      </c>
      <c r="T54" s="38" t="str">
        <f t="shared" si="4"/>
        <v/>
      </c>
      <c r="U54" s="31" t="s">
        <v>1876</v>
      </c>
      <c r="V54" s="31"/>
    </row>
    <row r="55" spans="1:22" ht="30">
      <c r="A55" s="7">
        <v>3</v>
      </c>
      <c r="B55" s="7">
        <v>27</v>
      </c>
      <c r="C55" s="7">
        <v>46270.479166666664</v>
      </c>
      <c r="D55" s="7" t="s">
        <v>55</v>
      </c>
      <c r="E55" s="7" t="s">
        <v>41</v>
      </c>
      <c r="F55" s="7" t="s">
        <v>1743</v>
      </c>
      <c r="G55" s="7">
        <v>3</v>
      </c>
      <c r="H55" s="37">
        <f>Priors!$H$27*VLOOKUP(D55,Team_26_27!$A$2:$U$21,20,FALSE)*VLOOKUP(E55,Team_26_27!$A$2:$U$21,21,FALSE)*IF(F55="H",Priors!$H$28,Priors!$H$29)</f>
        <v>1.6620072653490192</v>
      </c>
      <c r="I55" s="37">
        <f>Priors!$H$27*VLOOKUP(E55,Team_26_27!$A$2:$U$21,20,FALSE)*VLOOKUP(D55,Team_26_27!$A$2:$U$21,21,FALSE)*IF(F55="H",Priors!$H$29,Priors!$H$28)</f>
        <v>1.3465772471536437</v>
      </c>
      <c r="J55" s="15"/>
      <c r="K55" s="15"/>
      <c r="L55" s="47" t="b">
        <v>0</v>
      </c>
      <c r="M55" s="45">
        <v>0</v>
      </c>
      <c r="N55" s="45"/>
      <c r="O55" s="45"/>
      <c r="P55" s="38">
        <f t="shared" si="0"/>
        <v>1.6620072653490192</v>
      </c>
      <c r="Q55" s="38">
        <f t="shared" si="1"/>
        <v>1.3465772471536437</v>
      </c>
      <c r="R55" s="17">
        <f t="shared" si="2"/>
        <v>0.26012909625046199</v>
      </c>
      <c r="S55" s="17">
        <f t="shared" si="3"/>
        <v>0.18975770350493248</v>
      </c>
      <c r="T55" s="38" t="str">
        <f t="shared" si="4"/>
        <v/>
      </c>
      <c r="U55" s="31" t="s">
        <v>1876</v>
      </c>
      <c r="V55" s="31"/>
    </row>
    <row r="56" spans="1:22" ht="30">
      <c r="A56" s="7">
        <v>3</v>
      </c>
      <c r="B56" s="7">
        <v>28</v>
      </c>
      <c r="C56" s="7">
        <v>46270.583333333336</v>
      </c>
      <c r="D56" s="7" t="s">
        <v>57</v>
      </c>
      <c r="E56" s="7" t="s">
        <v>56</v>
      </c>
      <c r="F56" s="7" t="s">
        <v>1742</v>
      </c>
      <c r="G56" s="7">
        <v>3</v>
      </c>
      <c r="H56" s="37">
        <f>Priors!$H$27*VLOOKUP(D56,Team_26_27!$A$2:$U$21,20,FALSE)*VLOOKUP(E56,Team_26_27!$A$2:$U$21,21,FALSE)*IF(F56="H",Priors!$H$28,Priors!$H$29)</f>
        <v>1.0856095116232403</v>
      </c>
      <c r="I56" s="37">
        <f>Priors!$H$27*VLOOKUP(E56,Team_26_27!$A$2:$U$21,20,FALSE)*VLOOKUP(D56,Team_26_27!$A$2:$U$21,21,FALSE)*IF(F56="H",Priors!$H$29,Priors!$H$28)</f>
        <v>1.4088989831027017</v>
      </c>
      <c r="J56" s="15"/>
      <c r="K56" s="15"/>
      <c r="L56" s="47" t="b">
        <v>0</v>
      </c>
      <c r="M56" s="45">
        <v>0</v>
      </c>
      <c r="N56" s="45"/>
      <c r="O56" s="45"/>
      <c r="P56" s="38">
        <f t="shared" si="0"/>
        <v>1.0856095116232403</v>
      </c>
      <c r="Q56" s="38">
        <f t="shared" si="1"/>
        <v>1.4088989831027017</v>
      </c>
      <c r="R56" s="17">
        <f t="shared" si="2"/>
        <v>0.24441223706778337</v>
      </c>
      <c r="S56" s="17">
        <f t="shared" si="3"/>
        <v>0.33769589358194962</v>
      </c>
      <c r="T56" s="38" t="str">
        <f t="shared" si="4"/>
        <v/>
      </c>
      <c r="U56" s="31" t="s">
        <v>1876</v>
      </c>
      <c r="V56" s="31"/>
    </row>
    <row r="57" spans="1:22" ht="30">
      <c r="A57" s="7">
        <v>3</v>
      </c>
      <c r="B57" s="7">
        <v>28</v>
      </c>
      <c r="C57" s="7">
        <v>46270.583333333336</v>
      </c>
      <c r="D57" s="7" t="s">
        <v>56</v>
      </c>
      <c r="E57" s="7" t="s">
        <v>57</v>
      </c>
      <c r="F57" s="7" t="s">
        <v>1743</v>
      </c>
      <c r="G57" s="7">
        <v>3</v>
      </c>
      <c r="H57" s="37">
        <f>Priors!$H$27*VLOOKUP(D57,Team_26_27!$A$2:$U$21,20,FALSE)*VLOOKUP(E57,Team_26_27!$A$2:$U$21,21,FALSE)*IF(F57="H",Priors!$H$28,Priors!$H$29)</f>
        <v>1.4088989831027017</v>
      </c>
      <c r="I57" s="37">
        <f>Priors!$H$27*VLOOKUP(E57,Team_26_27!$A$2:$U$21,20,FALSE)*VLOOKUP(D57,Team_26_27!$A$2:$U$21,21,FALSE)*IF(F57="H",Priors!$H$29,Priors!$H$28)</f>
        <v>1.0856095116232403</v>
      </c>
      <c r="J57" s="15"/>
      <c r="K57" s="15"/>
      <c r="L57" s="47" t="b">
        <v>0</v>
      </c>
      <c r="M57" s="45">
        <v>0</v>
      </c>
      <c r="N57" s="45"/>
      <c r="O57" s="45"/>
      <c r="P57" s="38">
        <f t="shared" si="0"/>
        <v>1.4088989831027017</v>
      </c>
      <c r="Q57" s="38">
        <f t="shared" si="1"/>
        <v>1.0856095116232403</v>
      </c>
      <c r="R57" s="17">
        <f t="shared" si="2"/>
        <v>0.33769589358194962</v>
      </c>
      <c r="S57" s="17">
        <f t="shared" si="3"/>
        <v>0.24441223706778337</v>
      </c>
      <c r="T57" s="38" t="str">
        <f t="shared" si="4"/>
        <v/>
      </c>
      <c r="U57" s="31" t="s">
        <v>1876</v>
      </c>
      <c r="V57" s="31"/>
    </row>
    <row r="58" spans="1:22" ht="30">
      <c r="A58" s="7">
        <v>3</v>
      </c>
      <c r="B58" s="7">
        <v>29</v>
      </c>
      <c r="C58" s="7">
        <v>46271.645833333336</v>
      </c>
      <c r="D58" s="7" t="s">
        <v>44</v>
      </c>
      <c r="E58" s="7" t="s">
        <v>39</v>
      </c>
      <c r="F58" s="7" t="s">
        <v>1742</v>
      </c>
      <c r="G58" s="7">
        <v>5</v>
      </c>
      <c r="H58" s="37">
        <f>Priors!$H$27*VLOOKUP(D58,Team_26_27!$A$2:$U$21,20,FALSE)*VLOOKUP(E58,Team_26_27!$A$2:$U$21,21,FALSE)*IF(F58="H",Priors!$H$28,Priors!$H$29)</f>
        <v>0.96388060104192985</v>
      </c>
      <c r="I58" s="37">
        <f>Priors!$H$27*VLOOKUP(E58,Team_26_27!$A$2:$U$21,20,FALSE)*VLOOKUP(D58,Team_26_27!$A$2:$U$21,21,FALSE)*IF(F58="H",Priors!$H$29,Priors!$H$28)</f>
        <v>1.7753712830278887</v>
      </c>
      <c r="J58" s="15"/>
      <c r="K58" s="15"/>
      <c r="L58" s="47" t="b">
        <v>0</v>
      </c>
      <c r="M58" s="45">
        <v>0</v>
      </c>
      <c r="N58" s="45"/>
      <c r="O58" s="45"/>
      <c r="P58" s="38">
        <f t="shared" si="0"/>
        <v>0.96388060104192985</v>
      </c>
      <c r="Q58" s="38">
        <f t="shared" si="1"/>
        <v>1.7753712830278887</v>
      </c>
      <c r="R58" s="17">
        <f t="shared" si="2"/>
        <v>0.16942053485145614</v>
      </c>
      <c r="S58" s="17">
        <f t="shared" si="3"/>
        <v>0.38140991072152447</v>
      </c>
      <c r="T58" s="38" t="str">
        <f t="shared" si="4"/>
        <v/>
      </c>
      <c r="U58" s="31" t="s">
        <v>1876</v>
      </c>
      <c r="V58" s="31"/>
    </row>
    <row r="59" spans="1:22" ht="30">
      <c r="A59" s="7">
        <v>3</v>
      </c>
      <c r="B59" s="7">
        <v>29</v>
      </c>
      <c r="C59" s="7">
        <v>46271.645833333336</v>
      </c>
      <c r="D59" s="7" t="s">
        <v>39</v>
      </c>
      <c r="E59" s="7" t="s">
        <v>44</v>
      </c>
      <c r="F59" s="7" t="s">
        <v>1743</v>
      </c>
      <c r="G59" s="7">
        <v>4</v>
      </c>
      <c r="H59" s="37">
        <f>Priors!$H$27*VLOOKUP(D59,Team_26_27!$A$2:$U$21,20,FALSE)*VLOOKUP(E59,Team_26_27!$A$2:$U$21,21,FALSE)*IF(F59="H",Priors!$H$28,Priors!$H$29)</f>
        <v>1.7753712830278887</v>
      </c>
      <c r="I59" s="37">
        <f>Priors!$H$27*VLOOKUP(E59,Team_26_27!$A$2:$U$21,20,FALSE)*VLOOKUP(D59,Team_26_27!$A$2:$U$21,21,FALSE)*IF(F59="H",Priors!$H$29,Priors!$H$28)</f>
        <v>0.96388060104192985</v>
      </c>
      <c r="J59" s="15"/>
      <c r="K59" s="15"/>
      <c r="L59" s="47" t="b">
        <v>0</v>
      </c>
      <c r="M59" s="45">
        <v>0</v>
      </c>
      <c r="N59" s="45"/>
      <c r="O59" s="45"/>
      <c r="P59" s="38">
        <f t="shared" si="0"/>
        <v>1.7753712830278887</v>
      </c>
      <c r="Q59" s="38">
        <f t="shared" si="1"/>
        <v>0.96388060104192985</v>
      </c>
      <c r="R59" s="17">
        <f t="shared" si="2"/>
        <v>0.38140991072152447</v>
      </c>
      <c r="S59" s="17">
        <f t="shared" si="3"/>
        <v>0.16942053485145614</v>
      </c>
      <c r="T59" s="38" t="str">
        <f t="shared" si="4"/>
        <v/>
      </c>
      <c r="U59" s="31" t="s">
        <v>1876</v>
      </c>
      <c r="V59" s="31"/>
    </row>
    <row r="60" spans="1:22" ht="30">
      <c r="A60" s="7">
        <v>3</v>
      </c>
      <c r="B60" s="7">
        <v>30</v>
      </c>
      <c r="C60" s="7">
        <v>46271.541666666664</v>
      </c>
      <c r="D60" s="7" t="s">
        <v>54</v>
      </c>
      <c r="E60" s="7" t="s">
        <v>47</v>
      </c>
      <c r="F60" s="7" t="s">
        <v>1742</v>
      </c>
      <c r="G60" s="7">
        <v>3</v>
      </c>
      <c r="H60" s="37">
        <f>Priors!$H$27*VLOOKUP(D60,Team_26_27!$A$2:$U$21,20,FALSE)*VLOOKUP(E60,Team_26_27!$A$2:$U$21,21,FALSE)*IF(F60="H",Priors!$H$28,Priors!$H$29)</f>
        <v>1.5250959586943917</v>
      </c>
      <c r="I60" s="37">
        <f>Priors!$H$27*VLOOKUP(E60,Team_26_27!$A$2:$U$21,20,FALSE)*VLOOKUP(D60,Team_26_27!$A$2:$U$21,21,FALSE)*IF(F60="H",Priors!$H$29,Priors!$H$28)</f>
        <v>1.3237570013674402</v>
      </c>
      <c r="J60" s="15"/>
      <c r="K60" s="15"/>
      <c r="L60" s="47" t="b">
        <v>0</v>
      </c>
      <c r="M60" s="45">
        <v>0</v>
      </c>
      <c r="N60" s="45"/>
      <c r="O60" s="45"/>
      <c r="P60" s="38">
        <f t="shared" si="0"/>
        <v>1.5250959586943917</v>
      </c>
      <c r="Q60" s="38">
        <f t="shared" si="1"/>
        <v>1.3237570013674402</v>
      </c>
      <c r="R60" s="17">
        <f t="shared" si="2"/>
        <v>0.26613355722755583</v>
      </c>
      <c r="S60" s="17">
        <f t="shared" si="3"/>
        <v>0.21760017523464698</v>
      </c>
      <c r="T60" s="38" t="str">
        <f t="shared" si="4"/>
        <v/>
      </c>
      <c r="U60" s="31" t="s">
        <v>1876</v>
      </c>
      <c r="V60" s="31"/>
    </row>
    <row r="61" spans="1:22" ht="30">
      <c r="A61" s="7">
        <v>3</v>
      </c>
      <c r="B61" s="7">
        <v>30</v>
      </c>
      <c r="C61" s="7">
        <v>46271.541666666664</v>
      </c>
      <c r="D61" s="7" t="s">
        <v>47</v>
      </c>
      <c r="E61" s="7" t="s">
        <v>54</v>
      </c>
      <c r="F61" s="7" t="s">
        <v>1743</v>
      </c>
      <c r="G61" s="7">
        <v>4</v>
      </c>
      <c r="H61" s="37">
        <f>Priors!$H$27*VLOOKUP(D61,Team_26_27!$A$2:$U$21,20,FALSE)*VLOOKUP(E61,Team_26_27!$A$2:$U$21,21,FALSE)*IF(F61="H",Priors!$H$28,Priors!$H$29)</f>
        <v>1.3237570013674402</v>
      </c>
      <c r="I61" s="37">
        <f>Priors!$H$27*VLOOKUP(E61,Team_26_27!$A$2:$U$21,20,FALSE)*VLOOKUP(D61,Team_26_27!$A$2:$U$21,21,FALSE)*IF(F61="H",Priors!$H$29,Priors!$H$28)</f>
        <v>1.5250959586943917</v>
      </c>
      <c r="J61" s="15"/>
      <c r="K61" s="15"/>
      <c r="L61" s="47" t="b">
        <v>0</v>
      </c>
      <c r="M61" s="45">
        <v>0</v>
      </c>
      <c r="N61" s="45"/>
      <c r="O61" s="45"/>
      <c r="P61" s="38">
        <f t="shared" si="0"/>
        <v>1.3237570013674402</v>
      </c>
      <c r="Q61" s="38">
        <f t="shared" si="1"/>
        <v>1.5250959586943917</v>
      </c>
      <c r="R61" s="17">
        <f t="shared" si="2"/>
        <v>0.21760017523464698</v>
      </c>
      <c r="S61" s="17">
        <f t="shared" si="3"/>
        <v>0.26613355722755583</v>
      </c>
      <c r="T61" s="38" t="str">
        <f t="shared" si="4"/>
        <v/>
      </c>
      <c r="U61" s="31" t="s">
        <v>1876</v>
      </c>
      <c r="V61" s="31"/>
    </row>
    <row r="62" spans="1:22" ht="30">
      <c r="A62" s="7">
        <v>4</v>
      </c>
      <c r="B62" s="7">
        <v>31</v>
      </c>
      <c r="C62" s="7">
        <v>46277.583333333336</v>
      </c>
      <c r="D62" s="7" t="s">
        <v>56</v>
      </c>
      <c r="E62" s="7" t="s">
        <v>40</v>
      </c>
      <c r="F62" s="7" t="s">
        <v>1742</v>
      </c>
      <c r="G62" s="7">
        <v>4</v>
      </c>
      <c r="H62" s="37">
        <f>Priors!$H$27*VLOOKUP(D62,Team_26_27!$A$2:$U$21,20,FALSE)*VLOOKUP(E62,Team_26_27!$A$2:$U$21,21,FALSE)*IF(F62="H",Priors!$H$28,Priors!$H$29)</f>
        <v>1.1773063962380534</v>
      </c>
      <c r="I62" s="37">
        <f>Priors!$H$27*VLOOKUP(E62,Team_26_27!$A$2:$U$21,20,FALSE)*VLOOKUP(D62,Team_26_27!$A$2:$U$21,21,FALSE)*IF(F62="H",Priors!$H$29,Priors!$H$28)</f>
        <v>1.5002144527638639</v>
      </c>
      <c r="J62" s="15"/>
      <c r="K62" s="15"/>
      <c r="L62" s="47" t="b">
        <v>0</v>
      </c>
      <c r="M62" s="45">
        <v>0</v>
      </c>
      <c r="N62" s="45"/>
      <c r="O62" s="45"/>
      <c r="P62" s="38">
        <f t="shared" si="0"/>
        <v>1.1773063962380534</v>
      </c>
      <c r="Q62" s="38">
        <f t="shared" si="1"/>
        <v>1.5002144527638639</v>
      </c>
      <c r="R62" s="17">
        <f t="shared" si="2"/>
        <v>0.22308231439939452</v>
      </c>
      <c r="S62" s="17">
        <f t="shared" si="3"/>
        <v>0.30810754149958103</v>
      </c>
      <c r="T62" s="38" t="str">
        <f t="shared" si="4"/>
        <v/>
      </c>
      <c r="U62" s="31" t="s">
        <v>1876</v>
      </c>
      <c r="V62" s="31"/>
    </row>
    <row r="63" spans="1:22" ht="30">
      <c r="A63" s="7">
        <v>4</v>
      </c>
      <c r="B63" s="7">
        <v>31</v>
      </c>
      <c r="C63" s="7">
        <v>46277.583333333336</v>
      </c>
      <c r="D63" s="7" t="s">
        <v>40</v>
      </c>
      <c r="E63" s="7" t="s">
        <v>56</v>
      </c>
      <c r="F63" s="7" t="s">
        <v>1743</v>
      </c>
      <c r="G63" s="7">
        <v>3</v>
      </c>
      <c r="H63" s="37">
        <f>Priors!$H$27*VLOOKUP(D63,Team_26_27!$A$2:$U$21,20,FALSE)*VLOOKUP(E63,Team_26_27!$A$2:$U$21,21,FALSE)*IF(F63="H",Priors!$H$28,Priors!$H$29)</f>
        <v>1.5002144527638639</v>
      </c>
      <c r="I63" s="37">
        <f>Priors!$H$27*VLOOKUP(E63,Team_26_27!$A$2:$U$21,20,FALSE)*VLOOKUP(D63,Team_26_27!$A$2:$U$21,21,FALSE)*IF(F63="H",Priors!$H$29,Priors!$H$28)</f>
        <v>1.1773063962380534</v>
      </c>
      <c r="J63" s="15"/>
      <c r="K63" s="15"/>
      <c r="L63" s="47" t="b">
        <v>0</v>
      </c>
      <c r="M63" s="45">
        <v>0</v>
      </c>
      <c r="N63" s="45"/>
      <c r="O63" s="45"/>
      <c r="P63" s="38">
        <f t="shared" si="0"/>
        <v>1.5002144527638639</v>
      </c>
      <c r="Q63" s="38">
        <f t="shared" si="1"/>
        <v>1.1773063962380534</v>
      </c>
      <c r="R63" s="17">
        <f t="shared" si="2"/>
        <v>0.30810754149958103</v>
      </c>
      <c r="S63" s="17">
        <f t="shared" si="3"/>
        <v>0.22308231439939452</v>
      </c>
      <c r="T63" s="38" t="str">
        <f t="shared" si="4"/>
        <v/>
      </c>
      <c r="U63" s="31" t="s">
        <v>1876</v>
      </c>
      <c r="V63" s="31"/>
    </row>
    <row r="64" spans="1:22" ht="30">
      <c r="A64" s="7">
        <v>4</v>
      </c>
      <c r="B64" s="7">
        <v>32</v>
      </c>
      <c r="C64" s="7">
        <v>46277.583333333336</v>
      </c>
      <c r="D64" s="7" t="s">
        <v>42</v>
      </c>
      <c r="E64" s="7" t="s">
        <v>41</v>
      </c>
      <c r="F64" s="7" t="s">
        <v>1742</v>
      </c>
      <c r="G64" s="7">
        <v>3</v>
      </c>
      <c r="H64" s="37">
        <f>Priors!$H$27*VLOOKUP(D64,Team_26_27!$A$2:$U$21,20,FALSE)*VLOOKUP(E64,Team_26_27!$A$2:$U$21,21,FALSE)*IF(F64="H",Priors!$H$28,Priors!$H$29)</f>
        <v>1.4296170143358253</v>
      </c>
      <c r="I64" s="37">
        <f>Priors!$H$27*VLOOKUP(E64,Team_26_27!$A$2:$U$21,20,FALSE)*VLOOKUP(D64,Team_26_27!$A$2:$U$21,21,FALSE)*IF(F64="H",Priors!$H$29,Priors!$H$28)</f>
        <v>1.7057464760053906</v>
      </c>
      <c r="J64" s="15"/>
      <c r="K64" s="15"/>
      <c r="L64" s="47" t="b">
        <v>0</v>
      </c>
      <c r="M64" s="45">
        <v>0</v>
      </c>
      <c r="N64" s="45"/>
      <c r="O64" s="45"/>
      <c r="P64" s="38">
        <f t="shared" si="0"/>
        <v>1.4296170143358253</v>
      </c>
      <c r="Q64" s="38">
        <f t="shared" si="1"/>
        <v>1.7057464760053906</v>
      </c>
      <c r="R64" s="17">
        <f t="shared" si="2"/>
        <v>0.1816367480822344</v>
      </c>
      <c r="S64" s="17">
        <f t="shared" si="3"/>
        <v>0.23940059168320307</v>
      </c>
      <c r="T64" s="38" t="str">
        <f t="shared" si="4"/>
        <v/>
      </c>
      <c r="U64" s="31" t="s">
        <v>1876</v>
      </c>
      <c r="V64" s="31"/>
    </row>
    <row r="65" spans="1:22" ht="30">
      <c r="A65" s="7">
        <v>4</v>
      </c>
      <c r="B65" s="7">
        <v>32</v>
      </c>
      <c r="C65" s="7">
        <v>46277.583333333336</v>
      </c>
      <c r="D65" s="7" t="s">
        <v>41</v>
      </c>
      <c r="E65" s="7" t="s">
        <v>42</v>
      </c>
      <c r="F65" s="7" t="s">
        <v>1743</v>
      </c>
      <c r="G65" s="7">
        <v>3</v>
      </c>
      <c r="H65" s="37">
        <f>Priors!$H$27*VLOOKUP(D65,Team_26_27!$A$2:$U$21,20,FALSE)*VLOOKUP(E65,Team_26_27!$A$2:$U$21,21,FALSE)*IF(F65="H",Priors!$H$28,Priors!$H$29)</f>
        <v>1.7057464760053906</v>
      </c>
      <c r="I65" s="37">
        <f>Priors!$H$27*VLOOKUP(E65,Team_26_27!$A$2:$U$21,20,FALSE)*VLOOKUP(D65,Team_26_27!$A$2:$U$21,21,FALSE)*IF(F65="H",Priors!$H$29,Priors!$H$28)</f>
        <v>1.4296170143358253</v>
      </c>
      <c r="J65" s="15"/>
      <c r="K65" s="15"/>
      <c r="L65" s="47" t="b">
        <v>0</v>
      </c>
      <c r="M65" s="45">
        <v>0</v>
      </c>
      <c r="N65" s="45"/>
      <c r="O65" s="45"/>
      <c r="P65" s="38">
        <f t="shared" si="0"/>
        <v>1.7057464760053906</v>
      </c>
      <c r="Q65" s="38">
        <f t="shared" si="1"/>
        <v>1.4296170143358253</v>
      </c>
      <c r="R65" s="17">
        <f t="shared" si="2"/>
        <v>0.23940059168320307</v>
      </c>
      <c r="S65" s="17">
        <f t="shared" si="3"/>
        <v>0.1816367480822344</v>
      </c>
      <c r="T65" s="38" t="str">
        <f t="shared" si="4"/>
        <v/>
      </c>
      <c r="U65" s="31" t="s">
        <v>1876</v>
      </c>
      <c r="V65" s="31"/>
    </row>
    <row r="66" spans="1:22" ht="30">
      <c r="A66" s="7">
        <v>4</v>
      </c>
      <c r="B66" s="7">
        <v>33</v>
      </c>
      <c r="C66" s="7">
        <v>46277.583333333336</v>
      </c>
      <c r="D66" s="7" t="s">
        <v>49</v>
      </c>
      <c r="E66" s="7" t="s">
        <v>44</v>
      </c>
      <c r="F66" s="7" t="s">
        <v>1742</v>
      </c>
      <c r="G66" s="7">
        <v>4</v>
      </c>
      <c r="H66" s="37">
        <f>Priors!$H$27*VLOOKUP(D66,Team_26_27!$A$2:$U$21,20,FALSE)*VLOOKUP(E66,Team_26_27!$A$2:$U$21,21,FALSE)*IF(F66="H",Priors!$H$28,Priors!$H$29)</f>
        <v>0.87051309957122891</v>
      </c>
      <c r="I66" s="37">
        <f>Priors!$H$27*VLOOKUP(E66,Team_26_27!$A$2:$U$21,20,FALSE)*VLOOKUP(D66,Team_26_27!$A$2:$U$21,21,FALSE)*IF(F66="H",Priors!$H$29,Priors!$H$28)</f>
        <v>2.3912176520577351</v>
      </c>
      <c r="J66" s="15"/>
      <c r="K66" s="15"/>
      <c r="L66" s="47" t="b">
        <v>0</v>
      </c>
      <c r="M66" s="45">
        <v>0</v>
      </c>
      <c r="N66" s="45"/>
      <c r="O66" s="45"/>
      <c r="P66" s="38">
        <f t="shared" ref="P66:P129" si="5">IF(N66&lt;&gt;"",N66,IF(L66=TRUE,M66*J66+(1-M66)*H66,H66))</f>
        <v>0.87051309957122891</v>
      </c>
      <c r="Q66" s="38">
        <f t="shared" ref="Q66:Q129" si="6">IF(O66&lt;&gt;"",O66,IF(L66=TRUE,M66*K66+(1-M66)*I66,I66))</f>
        <v>2.3912176520577351</v>
      </c>
      <c r="R66" s="17">
        <f t="shared" ref="R66:R129" si="7">EXP(-Q66)</f>
        <v>9.1518178705410097E-2</v>
      </c>
      <c r="S66" s="17">
        <f t="shared" ref="S66:S129" si="8">EXP(-P66)</f>
        <v>0.4187366405268555</v>
      </c>
      <c r="T66" s="38" t="str">
        <f t="shared" ref="T66:T129" si="9">IF(L66=TRUE,J66-H66,"")</f>
        <v/>
      </c>
      <c r="U66" s="31" t="s">
        <v>1876</v>
      </c>
      <c r="V66" s="31"/>
    </row>
    <row r="67" spans="1:22" ht="30">
      <c r="A67" s="7">
        <v>4</v>
      </c>
      <c r="B67" s="7">
        <v>33</v>
      </c>
      <c r="C67" s="7">
        <v>46277.583333333336</v>
      </c>
      <c r="D67" s="7" t="s">
        <v>44</v>
      </c>
      <c r="E67" s="7" t="s">
        <v>49</v>
      </c>
      <c r="F67" s="7" t="s">
        <v>1743</v>
      </c>
      <c r="G67" s="7">
        <v>2</v>
      </c>
      <c r="H67" s="37">
        <f>Priors!$H$27*VLOOKUP(D67,Team_26_27!$A$2:$U$21,20,FALSE)*VLOOKUP(E67,Team_26_27!$A$2:$U$21,21,FALSE)*IF(F67="H",Priors!$H$28,Priors!$H$29)</f>
        <v>2.3912176520577351</v>
      </c>
      <c r="I67" s="37">
        <f>Priors!$H$27*VLOOKUP(E67,Team_26_27!$A$2:$U$21,20,FALSE)*VLOOKUP(D67,Team_26_27!$A$2:$U$21,21,FALSE)*IF(F67="H",Priors!$H$29,Priors!$H$28)</f>
        <v>0.87051309957122891</v>
      </c>
      <c r="J67" s="15"/>
      <c r="K67" s="15"/>
      <c r="L67" s="47" t="b">
        <v>0</v>
      </c>
      <c r="M67" s="45">
        <v>0</v>
      </c>
      <c r="N67" s="45"/>
      <c r="O67" s="45"/>
      <c r="P67" s="38">
        <f t="shared" si="5"/>
        <v>2.3912176520577351</v>
      </c>
      <c r="Q67" s="38">
        <f t="shared" si="6"/>
        <v>0.87051309957122891</v>
      </c>
      <c r="R67" s="17">
        <f t="shared" si="7"/>
        <v>0.4187366405268555</v>
      </c>
      <c r="S67" s="17">
        <f t="shared" si="8"/>
        <v>9.1518178705410097E-2</v>
      </c>
      <c r="T67" s="38" t="str">
        <f t="shared" si="9"/>
        <v/>
      </c>
      <c r="U67" s="31" t="s">
        <v>1876</v>
      </c>
      <c r="V67" s="31"/>
    </row>
    <row r="68" spans="1:22" ht="30">
      <c r="A68" s="7">
        <v>4</v>
      </c>
      <c r="B68" s="7">
        <v>34</v>
      </c>
      <c r="C68" s="7">
        <v>46277.583333333336</v>
      </c>
      <c r="D68" s="7" t="s">
        <v>50</v>
      </c>
      <c r="E68" s="7" t="s">
        <v>46</v>
      </c>
      <c r="F68" s="7" t="s">
        <v>1742</v>
      </c>
      <c r="G68" s="7">
        <v>3</v>
      </c>
      <c r="H68" s="37">
        <f>Priors!$H$27*VLOOKUP(D68,Team_26_27!$A$2:$U$21,20,FALSE)*VLOOKUP(E68,Team_26_27!$A$2:$U$21,21,FALSE)*IF(F68="H",Priors!$H$28,Priors!$H$29)</f>
        <v>0.94718128503537846</v>
      </c>
      <c r="I68" s="37">
        <f>Priors!$H$27*VLOOKUP(E68,Team_26_27!$A$2:$U$21,20,FALSE)*VLOOKUP(D68,Team_26_27!$A$2:$U$21,21,FALSE)*IF(F68="H",Priors!$H$29,Priors!$H$28)</f>
        <v>1.9965881916365482</v>
      </c>
      <c r="J68" s="15"/>
      <c r="K68" s="15"/>
      <c r="L68" s="47" t="b">
        <v>0</v>
      </c>
      <c r="M68" s="45">
        <v>0</v>
      </c>
      <c r="N68" s="45"/>
      <c r="O68" s="45"/>
      <c r="P68" s="38">
        <f t="shared" si="5"/>
        <v>0.94718128503537846</v>
      </c>
      <c r="Q68" s="38">
        <f t="shared" si="6"/>
        <v>1.9965881916365482</v>
      </c>
      <c r="R68" s="17">
        <f t="shared" si="7"/>
        <v>0.1357978098652719</v>
      </c>
      <c r="S68" s="17">
        <f t="shared" si="8"/>
        <v>0.38783267396778692</v>
      </c>
      <c r="T68" s="38" t="str">
        <f t="shared" si="9"/>
        <v/>
      </c>
      <c r="U68" s="31" t="s">
        <v>1876</v>
      </c>
      <c r="V68" s="31"/>
    </row>
    <row r="69" spans="1:22" ht="30">
      <c r="A69" s="7">
        <v>4</v>
      </c>
      <c r="B69" s="7">
        <v>34</v>
      </c>
      <c r="C69" s="7">
        <v>46277.583333333336</v>
      </c>
      <c r="D69" s="7" t="s">
        <v>46</v>
      </c>
      <c r="E69" s="7" t="s">
        <v>50</v>
      </c>
      <c r="F69" s="7" t="s">
        <v>1743</v>
      </c>
      <c r="G69" s="7">
        <v>2</v>
      </c>
      <c r="H69" s="37">
        <f>Priors!$H$27*VLOOKUP(D69,Team_26_27!$A$2:$U$21,20,FALSE)*VLOOKUP(E69,Team_26_27!$A$2:$U$21,21,FALSE)*IF(F69="H",Priors!$H$28,Priors!$H$29)</f>
        <v>1.9965881916365482</v>
      </c>
      <c r="I69" s="37">
        <f>Priors!$H$27*VLOOKUP(E69,Team_26_27!$A$2:$U$21,20,FALSE)*VLOOKUP(D69,Team_26_27!$A$2:$U$21,21,FALSE)*IF(F69="H",Priors!$H$29,Priors!$H$28)</f>
        <v>0.94718128503537846</v>
      </c>
      <c r="J69" s="15"/>
      <c r="K69" s="15"/>
      <c r="L69" s="47" t="b">
        <v>0</v>
      </c>
      <c r="M69" s="45">
        <v>0</v>
      </c>
      <c r="N69" s="45"/>
      <c r="O69" s="45"/>
      <c r="P69" s="38">
        <f t="shared" si="5"/>
        <v>1.9965881916365482</v>
      </c>
      <c r="Q69" s="38">
        <f t="shared" si="6"/>
        <v>0.94718128503537846</v>
      </c>
      <c r="R69" s="17">
        <f t="shared" si="7"/>
        <v>0.38783267396778692</v>
      </c>
      <c r="S69" s="17">
        <f t="shared" si="8"/>
        <v>0.1357978098652719</v>
      </c>
      <c r="T69" s="38" t="str">
        <f t="shared" si="9"/>
        <v/>
      </c>
      <c r="U69" s="31" t="s">
        <v>1876</v>
      </c>
      <c r="V69" s="31"/>
    </row>
    <row r="70" spans="1:22" ht="30">
      <c r="A70" s="7">
        <v>4</v>
      </c>
      <c r="B70" s="7">
        <v>35</v>
      </c>
      <c r="C70" s="7">
        <v>46277.583333333336</v>
      </c>
      <c r="D70" s="7" t="s">
        <v>48</v>
      </c>
      <c r="E70" s="7" t="s">
        <v>52</v>
      </c>
      <c r="F70" s="7" t="s">
        <v>1742</v>
      </c>
      <c r="G70" s="7">
        <v>4</v>
      </c>
      <c r="H70" s="37">
        <f>Priors!$H$27*VLOOKUP(D70,Team_26_27!$A$2:$U$21,20,FALSE)*VLOOKUP(E70,Team_26_27!$A$2:$U$21,21,FALSE)*IF(F70="H",Priors!$H$28,Priors!$H$29)</f>
        <v>1.1257069029526299</v>
      </c>
      <c r="I70" s="37">
        <f>Priors!$H$27*VLOOKUP(E70,Team_26_27!$A$2:$U$21,20,FALSE)*VLOOKUP(D70,Team_26_27!$A$2:$U$21,21,FALSE)*IF(F70="H",Priors!$H$29,Priors!$H$28)</f>
        <v>1.6727100404844006</v>
      </c>
      <c r="J70" s="15"/>
      <c r="K70" s="15"/>
      <c r="L70" s="47" t="b">
        <v>0</v>
      </c>
      <c r="M70" s="45">
        <v>0</v>
      </c>
      <c r="N70" s="45"/>
      <c r="O70" s="45"/>
      <c r="P70" s="38">
        <f t="shared" si="5"/>
        <v>1.1257069029526299</v>
      </c>
      <c r="Q70" s="38">
        <f t="shared" si="6"/>
        <v>1.6727100404844006</v>
      </c>
      <c r="R70" s="17">
        <f t="shared" si="7"/>
        <v>0.18773759911905008</v>
      </c>
      <c r="S70" s="17">
        <f t="shared" si="8"/>
        <v>0.32442305066781701</v>
      </c>
      <c r="T70" s="38" t="str">
        <f t="shared" si="9"/>
        <v/>
      </c>
      <c r="U70" s="31" t="s">
        <v>1876</v>
      </c>
      <c r="V70" s="31"/>
    </row>
    <row r="71" spans="1:22" ht="30">
      <c r="A71" s="7">
        <v>4</v>
      </c>
      <c r="B71" s="7">
        <v>35</v>
      </c>
      <c r="C71" s="7">
        <v>46277.583333333336</v>
      </c>
      <c r="D71" s="7" t="s">
        <v>52</v>
      </c>
      <c r="E71" s="7" t="s">
        <v>48</v>
      </c>
      <c r="F71" s="7" t="s">
        <v>1743</v>
      </c>
      <c r="G71" s="7">
        <v>2</v>
      </c>
      <c r="H71" s="37">
        <f>Priors!$H$27*VLOOKUP(D71,Team_26_27!$A$2:$U$21,20,FALSE)*VLOOKUP(E71,Team_26_27!$A$2:$U$21,21,FALSE)*IF(F71="H",Priors!$H$28,Priors!$H$29)</f>
        <v>1.6727100404844006</v>
      </c>
      <c r="I71" s="37">
        <f>Priors!$H$27*VLOOKUP(E71,Team_26_27!$A$2:$U$21,20,FALSE)*VLOOKUP(D71,Team_26_27!$A$2:$U$21,21,FALSE)*IF(F71="H",Priors!$H$29,Priors!$H$28)</f>
        <v>1.1257069029526299</v>
      </c>
      <c r="J71" s="15"/>
      <c r="K71" s="15"/>
      <c r="L71" s="47" t="b">
        <v>0</v>
      </c>
      <c r="M71" s="45">
        <v>0</v>
      </c>
      <c r="N71" s="45"/>
      <c r="O71" s="45"/>
      <c r="P71" s="38">
        <f t="shared" si="5"/>
        <v>1.6727100404844006</v>
      </c>
      <c r="Q71" s="38">
        <f t="shared" si="6"/>
        <v>1.1257069029526299</v>
      </c>
      <c r="R71" s="17">
        <f t="shared" si="7"/>
        <v>0.32442305066781701</v>
      </c>
      <c r="S71" s="17">
        <f t="shared" si="8"/>
        <v>0.18773759911905008</v>
      </c>
      <c r="T71" s="38" t="str">
        <f t="shared" si="9"/>
        <v/>
      </c>
      <c r="U71" s="31" t="s">
        <v>1876</v>
      </c>
      <c r="V71" s="31"/>
    </row>
    <row r="72" spans="1:22" ht="30">
      <c r="A72" s="7">
        <v>4</v>
      </c>
      <c r="B72" s="7">
        <v>36</v>
      </c>
      <c r="C72" s="7">
        <v>46277.791666666664</v>
      </c>
      <c r="D72" s="7" t="s">
        <v>39</v>
      </c>
      <c r="E72" s="7" t="s">
        <v>58</v>
      </c>
      <c r="F72" s="7" t="s">
        <v>1742</v>
      </c>
      <c r="G72" s="7">
        <v>3</v>
      </c>
      <c r="H72" s="37">
        <f>Priors!$H$27*VLOOKUP(D72,Team_26_27!$A$2:$U$21,20,FALSE)*VLOOKUP(E72,Team_26_27!$A$2:$U$21,21,FALSE)*IF(F72="H",Priors!$H$28,Priors!$H$29)</f>
        <v>1.4897481540302322</v>
      </c>
      <c r="I72" s="37">
        <f>Priors!$H$27*VLOOKUP(E72,Team_26_27!$A$2:$U$21,20,FALSE)*VLOOKUP(D72,Team_26_27!$A$2:$U$21,21,FALSE)*IF(F72="H",Priors!$H$29,Priors!$H$28)</f>
        <v>0.8408388149100513</v>
      </c>
      <c r="J72" s="15"/>
      <c r="K72" s="15"/>
      <c r="L72" s="47" t="b">
        <v>0</v>
      </c>
      <c r="M72" s="45">
        <v>0</v>
      </c>
      <c r="N72" s="45"/>
      <c r="O72" s="45"/>
      <c r="P72" s="38">
        <f t="shared" si="5"/>
        <v>1.4897481540302322</v>
      </c>
      <c r="Q72" s="38">
        <f t="shared" si="6"/>
        <v>0.8408388149100513</v>
      </c>
      <c r="R72" s="17">
        <f t="shared" si="7"/>
        <v>0.43134855004076295</v>
      </c>
      <c r="S72" s="17">
        <f t="shared" si="8"/>
        <v>0.22542942188231949</v>
      </c>
      <c r="T72" s="38" t="str">
        <f t="shared" si="9"/>
        <v/>
      </c>
      <c r="U72" s="31" t="s">
        <v>1876</v>
      </c>
      <c r="V72" s="31"/>
    </row>
    <row r="73" spans="1:22" ht="30">
      <c r="A73" s="7">
        <v>4</v>
      </c>
      <c r="B73" s="7">
        <v>36</v>
      </c>
      <c r="C73" s="7">
        <v>46277.791666666664</v>
      </c>
      <c r="D73" s="7" t="s">
        <v>58</v>
      </c>
      <c r="E73" s="7" t="s">
        <v>39</v>
      </c>
      <c r="F73" s="7" t="s">
        <v>1743</v>
      </c>
      <c r="G73" s="7">
        <v>4</v>
      </c>
      <c r="H73" s="37">
        <f>Priors!$H$27*VLOOKUP(D73,Team_26_27!$A$2:$U$21,20,FALSE)*VLOOKUP(E73,Team_26_27!$A$2:$U$21,21,FALSE)*IF(F73="H",Priors!$H$28,Priors!$H$29)</f>
        <v>0.8408388149100513</v>
      </c>
      <c r="I73" s="37">
        <f>Priors!$H$27*VLOOKUP(E73,Team_26_27!$A$2:$U$21,20,FALSE)*VLOOKUP(D73,Team_26_27!$A$2:$U$21,21,FALSE)*IF(F73="H",Priors!$H$29,Priors!$H$28)</f>
        <v>1.4897481540302322</v>
      </c>
      <c r="J73" s="15"/>
      <c r="K73" s="15"/>
      <c r="L73" s="47" t="b">
        <v>0</v>
      </c>
      <c r="M73" s="45">
        <v>0</v>
      </c>
      <c r="N73" s="45"/>
      <c r="O73" s="45"/>
      <c r="P73" s="38">
        <f t="shared" si="5"/>
        <v>0.8408388149100513</v>
      </c>
      <c r="Q73" s="38">
        <f t="shared" si="6"/>
        <v>1.4897481540302322</v>
      </c>
      <c r="R73" s="17">
        <f t="shared" si="7"/>
        <v>0.22542942188231949</v>
      </c>
      <c r="S73" s="17">
        <f t="shared" si="8"/>
        <v>0.43134855004076295</v>
      </c>
      <c r="T73" s="38" t="str">
        <f t="shared" si="9"/>
        <v/>
      </c>
      <c r="U73" s="31" t="s">
        <v>1876</v>
      </c>
      <c r="V73" s="31"/>
    </row>
    <row r="74" spans="1:22" ht="30">
      <c r="A74" s="7">
        <v>4</v>
      </c>
      <c r="B74" s="7">
        <v>37</v>
      </c>
      <c r="C74" s="7">
        <v>46277.6875</v>
      </c>
      <c r="D74" s="7" t="s">
        <v>47</v>
      </c>
      <c r="E74" s="7" t="s">
        <v>57</v>
      </c>
      <c r="F74" s="7" t="s">
        <v>1742</v>
      </c>
      <c r="G74" s="7">
        <v>3</v>
      </c>
      <c r="H74" s="37">
        <f>Priors!$H$27*VLOOKUP(D74,Team_26_27!$A$2:$U$21,20,FALSE)*VLOOKUP(E74,Team_26_27!$A$2:$U$21,21,FALSE)*IF(F74="H",Priors!$H$28,Priors!$H$29)</f>
        <v>1.1392282391979665</v>
      </c>
      <c r="I74" s="37">
        <f>Priors!$H$27*VLOOKUP(E74,Team_26_27!$A$2:$U$21,20,FALSE)*VLOOKUP(D74,Team_26_27!$A$2:$U$21,21,FALSE)*IF(F74="H",Priors!$H$29,Priors!$H$28)</f>
        <v>1.3284782236904034</v>
      </c>
      <c r="J74" s="15"/>
      <c r="K74" s="15"/>
      <c r="L74" s="47" t="b">
        <v>0</v>
      </c>
      <c r="M74" s="45">
        <v>0</v>
      </c>
      <c r="N74" s="45"/>
      <c r="O74" s="45"/>
      <c r="P74" s="38">
        <f t="shared" si="5"/>
        <v>1.1392282391979665</v>
      </c>
      <c r="Q74" s="38">
        <f t="shared" si="6"/>
        <v>1.3284782236904034</v>
      </c>
      <c r="R74" s="17">
        <f t="shared" si="7"/>
        <v>0.26488004292453399</v>
      </c>
      <c r="S74" s="17">
        <f t="shared" si="8"/>
        <v>0.32006594087005419</v>
      </c>
      <c r="T74" s="38" t="str">
        <f t="shared" si="9"/>
        <v/>
      </c>
      <c r="U74" s="31" t="s">
        <v>1876</v>
      </c>
      <c r="V74" s="31"/>
    </row>
    <row r="75" spans="1:22" ht="30">
      <c r="A75" s="7">
        <v>4</v>
      </c>
      <c r="B75" s="7">
        <v>37</v>
      </c>
      <c r="C75" s="7">
        <v>46277.6875</v>
      </c>
      <c r="D75" s="7" t="s">
        <v>57</v>
      </c>
      <c r="E75" s="7" t="s">
        <v>47</v>
      </c>
      <c r="F75" s="7" t="s">
        <v>1743</v>
      </c>
      <c r="G75" s="7">
        <v>3</v>
      </c>
      <c r="H75" s="37">
        <f>Priors!$H$27*VLOOKUP(D75,Team_26_27!$A$2:$U$21,20,FALSE)*VLOOKUP(E75,Team_26_27!$A$2:$U$21,21,FALSE)*IF(F75="H",Priors!$H$28,Priors!$H$29)</f>
        <v>1.3284782236904034</v>
      </c>
      <c r="I75" s="37">
        <f>Priors!$H$27*VLOOKUP(E75,Team_26_27!$A$2:$U$21,20,FALSE)*VLOOKUP(D75,Team_26_27!$A$2:$U$21,21,FALSE)*IF(F75="H",Priors!$H$29,Priors!$H$28)</f>
        <v>1.1392282391979665</v>
      </c>
      <c r="J75" s="15"/>
      <c r="K75" s="15"/>
      <c r="L75" s="47" t="b">
        <v>0</v>
      </c>
      <c r="M75" s="45">
        <v>0</v>
      </c>
      <c r="N75" s="45"/>
      <c r="O75" s="45"/>
      <c r="P75" s="38">
        <f t="shared" si="5"/>
        <v>1.3284782236904034</v>
      </c>
      <c r="Q75" s="38">
        <f t="shared" si="6"/>
        <v>1.1392282391979665</v>
      </c>
      <c r="R75" s="17">
        <f t="shared" si="7"/>
        <v>0.32006594087005419</v>
      </c>
      <c r="S75" s="17">
        <f t="shared" si="8"/>
        <v>0.26488004292453399</v>
      </c>
      <c r="T75" s="38" t="str">
        <f t="shared" si="9"/>
        <v/>
      </c>
      <c r="U75" s="31" t="s">
        <v>1876</v>
      </c>
      <c r="V75" s="31"/>
    </row>
    <row r="76" spans="1:22" ht="30">
      <c r="A76" s="7">
        <v>4</v>
      </c>
      <c r="B76" s="7">
        <v>38</v>
      </c>
      <c r="C76" s="7">
        <v>46278.541666666664</v>
      </c>
      <c r="D76" s="7" t="s">
        <v>43</v>
      </c>
      <c r="E76" s="7" t="s">
        <v>45</v>
      </c>
      <c r="F76" s="7" t="s">
        <v>1742</v>
      </c>
      <c r="G76" s="7">
        <v>2</v>
      </c>
      <c r="H76" s="37">
        <f>Priors!$H$27*VLOOKUP(D76,Team_26_27!$A$2:$U$21,20,FALSE)*VLOOKUP(E76,Team_26_27!$A$2:$U$21,21,FALSE)*IF(F76="H",Priors!$H$28,Priors!$H$29)</f>
        <v>1.6800820793143216</v>
      </c>
      <c r="I76" s="37">
        <f>Priors!$H$27*VLOOKUP(E76,Team_26_27!$A$2:$U$21,20,FALSE)*VLOOKUP(D76,Team_26_27!$A$2:$U$21,21,FALSE)*IF(F76="H",Priors!$H$29,Priors!$H$28)</f>
        <v>1.1494844459252671</v>
      </c>
      <c r="J76" s="15"/>
      <c r="K76" s="15"/>
      <c r="L76" s="47" t="b">
        <v>0</v>
      </c>
      <c r="M76" s="45">
        <v>0</v>
      </c>
      <c r="N76" s="45"/>
      <c r="O76" s="45"/>
      <c r="P76" s="38">
        <f t="shared" si="5"/>
        <v>1.6800820793143216</v>
      </c>
      <c r="Q76" s="38">
        <f t="shared" si="6"/>
        <v>1.1494844459252671</v>
      </c>
      <c r="R76" s="17">
        <f t="shared" si="7"/>
        <v>0.31680005484334334</v>
      </c>
      <c r="S76" s="17">
        <f t="shared" si="8"/>
        <v>0.1863586792190341</v>
      </c>
      <c r="T76" s="38" t="str">
        <f t="shared" si="9"/>
        <v/>
      </c>
      <c r="U76" s="31" t="s">
        <v>1876</v>
      </c>
      <c r="V76" s="31"/>
    </row>
    <row r="77" spans="1:22" ht="30">
      <c r="A77" s="7">
        <v>4</v>
      </c>
      <c r="B77" s="7">
        <v>38</v>
      </c>
      <c r="C77" s="7">
        <v>46278.541666666664</v>
      </c>
      <c r="D77" s="7" t="s">
        <v>45</v>
      </c>
      <c r="E77" s="7" t="s">
        <v>43</v>
      </c>
      <c r="F77" s="7" t="s">
        <v>1743</v>
      </c>
      <c r="G77" s="7">
        <v>2</v>
      </c>
      <c r="H77" s="37">
        <f>Priors!$H$27*VLOOKUP(D77,Team_26_27!$A$2:$U$21,20,FALSE)*VLOOKUP(E77,Team_26_27!$A$2:$U$21,21,FALSE)*IF(F77="H",Priors!$H$28,Priors!$H$29)</f>
        <v>1.1494844459252671</v>
      </c>
      <c r="I77" s="37">
        <f>Priors!$H$27*VLOOKUP(E77,Team_26_27!$A$2:$U$21,20,FALSE)*VLOOKUP(D77,Team_26_27!$A$2:$U$21,21,FALSE)*IF(F77="H",Priors!$H$29,Priors!$H$28)</f>
        <v>1.6800820793143216</v>
      </c>
      <c r="J77" s="15"/>
      <c r="K77" s="15"/>
      <c r="L77" s="47" t="b">
        <v>0</v>
      </c>
      <c r="M77" s="45">
        <v>0</v>
      </c>
      <c r="N77" s="45"/>
      <c r="O77" s="45"/>
      <c r="P77" s="38">
        <f t="shared" si="5"/>
        <v>1.1494844459252671</v>
      </c>
      <c r="Q77" s="38">
        <f t="shared" si="6"/>
        <v>1.6800820793143216</v>
      </c>
      <c r="R77" s="17">
        <f t="shared" si="7"/>
        <v>0.1863586792190341</v>
      </c>
      <c r="S77" s="17">
        <f t="shared" si="8"/>
        <v>0.31680005484334334</v>
      </c>
      <c r="T77" s="38" t="str">
        <f t="shared" si="9"/>
        <v/>
      </c>
      <c r="U77" s="31" t="s">
        <v>1876</v>
      </c>
      <c r="V77" s="31"/>
    </row>
    <row r="78" spans="1:22" ht="30">
      <c r="A78" s="7">
        <v>4</v>
      </c>
      <c r="B78" s="7">
        <v>39</v>
      </c>
      <c r="C78" s="7">
        <v>46278.645833333336</v>
      </c>
      <c r="D78" s="7" t="s">
        <v>53</v>
      </c>
      <c r="E78" s="7" t="s">
        <v>54</v>
      </c>
      <c r="F78" s="7" t="s">
        <v>1742</v>
      </c>
      <c r="G78" s="7">
        <v>4</v>
      </c>
      <c r="H78" s="37">
        <f>Priors!$H$27*VLOOKUP(D78,Team_26_27!$A$2:$U$21,20,FALSE)*VLOOKUP(E78,Team_26_27!$A$2:$U$21,21,FALSE)*IF(F78="H",Priors!$H$28,Priors!$H$29)</f>
        <v>1.4095464183846367</v>
      </c>
      <c r="I78" s="37">
        <f>Priors!$H$27*VLOOKUP(E78,Team_26_27!$A$2:$U$21,20,FALSE)*VLOOKUP(D78,Team_26_27!$A$2:$U$21,21,FALSE)*IF(F78="H",Priors!$H$29,Priors!$H$28)</f>
        <v>1.6196775595034607</v>
      </c>
      <c r="J78" s="15"/>
      <c r="K78" s="15"/>
      <c r="L78" s="47" t="b">
        <v>0</v>
      </c>
      <c r="M78" s="45">
        <v>0</v>
      </c>
      <c r="N78" s="45"/>
      <c r="O78" s="45"/>
      <c r="P78" s="38">
        <f t="shared" si="5"/>
        <v>1.4095464183846367</v>
      </c>
      <c r="Q78" s="38">
        <f t="shared" si="6"/>
        <v>1.6196775595034607</v>
      </c>
      <c r="R78" s="17">
        <f t="shared" si="7"/>
        <v>0.19796251992707095</v>
      </c>
      <c r="S78" s="17">
        <f t="shared" si="8"/>
        <v>0.24425404717655316</v>
      </c>
      <c r="T78" s="38" t="str">
        <f t="shared" si="9"/>
        <v/>
      </c>
      <c r="U78" s="31" t="s">
        <v>1876</v>
      </c>
      <c r="V78" s="31"/>
    </row>
    <row r="79" spans="1:22" ht="30">
      <c r="A79" s="7">
        <v>4</v>
      </c>
      <c r="B79" s="7">
        <v>39</v>
      </c>
      <c r="C79" s="7">
        <v>46278.645833333336</v>
      </c>
      <c r="D79" s="7" t="s">
        <v>54</v>
      </c>
      <c r="E79" s="7" t="s">
        <v>53</v>
      </c>
      <c r="F79" s="7" t="s">
        <v>1743</v>
      </c>
      <c r="G79" s="7">
        <v>4</v>
      </c>
      <c r="H79" s="37">
        <f>Priors!$H$27*VLOOKUP(D79,Team_26_27!$A$2:$U$21,20,FALSE)*VLOOKUP(E79,Team_26_27!$A$2:$U$21,21,FALSE)*IF(F79="H",Priors!$H$28,Priors!$H$29)</f>
        <v>1.6196775595034607</v>
      </c>
      <c r="I79" s="37">
        <f>Priors!$H$27*VLOOKUP(E79,Team_26_27!$A$2:$U$21,20,FALSE)*VLOOKUP(D79,Team_26_27!$A$2:$U$21,21,FALSE)*IF(F79="H",Priors!$H$29,Priors!$H$28)</f>
        <v>1.4095464183846367</v>
      </c>
      <c r="J79" s="15"/>
      <c r="K79" s="15"/>
      <c r="L79" s="47" t="b">
        <v>0</v>
      </c>
      <c r="M79" s="45">
        <v>0</v>
      </c>
      <c r="N79" s="45"/>
      <c r="O79" s="45"/>
      <c r="P79" s="38">
        <f t="shared" si="5"/>
        <v>1.6196775595034607</v>
      </c>
      <c r="Q79" s="38">
        <f t="shared" si="6"/>
        <v>1.4095464183846367</v>
      </c>
      <c r="R79" s="17">
        <f t="shared" si="7"/>
        <v>0.24425404717655316</v>
      </c>
      <c r="S79" s="17">
        <f t="shared" si="8"/>
        <v>0.19796251992707095</v>
      </c>
      <c r="T79" s="38" t="str">
        <f t="shared" si="9"/>
        <v/>
      </c>
      <c r="U79" s="31" t="s">
        <v>1876</v>
      </c>
      <c r="V79" s="31"/>
    </row>
    <row r="80" spans="1:22" ht="30">
      <c r="A80" s="7">
        <v>4</v>
      </c>
      <c r="B80" s="7">
        <v>40</v>
      </c>
      <c r="C80" s="7">
        <v>46279.791666666664</v>
      </c>
      <c r="D80" s="7" t="s">
        <v>55</v>
      </c>
      <c r="E80" s="7" t="s">
        <v>51</v>
      </c>
      <c r="F80" s="7" t="s">
        <v>1742</v>
      </c>
      <c r="G80" s="7">
        <v>3</v>
      </c>
      <c r="H80" s="37">
        <f>Priors!$H$27*VLOOKUP(D80,Team_26_27!$A$2:$U$21,20,FALSE)*VLOOKUP(E80,Team_26_27!$A$2:$U$21,21,FALSE)*IF(F80="H",Priors!$H$28,Priors!$H$29)</f>
        <v>1.3544666286285465</v>
      </c>
      <c r="I80" s="37">
        <f>Priors!$H$27*VLOOKUP(E80,Team_26_27!$A$2:$U$21,20,FALSE)*VLOOKUP(D80,Team_26_27!$A$2:$U$21,21,FALSE)*IF(F80="H",Priors!$H$29,Priors!$H$28)</f>
        <v>1.5301724857310599</v>
      </c>
      <c r="J80" s="15"/>
      <c r="K80" s="15"/>
      <c r="L80" s="47" t="b">
        <v>0</v>
      </c>
      <c r="M80" s="45">
        <v>0</v>
      </c>
      <c r="N80" s="45"/>
      <c r="O80" s="45"/>
      <c r="P80" s="38">
        <f t="shared" si="5"/>
        <v>1.3544666286285465</v>
      </c>
      <c r="Q80" s="38">
        <f t="shared" si="6"/>
        <v>1.5301724857310599</v>
      </c>
      <c r="R80" s="17">
        <f t="shared" si="7"/>
        <v>0.2164983212240561</v>
      </c>
      <c r="S80" s="17">
        <f t="shared" si="8"/>
        <v>0.25808491285162494</v>
      </c>
      <c r="T80" s="38" t="str">
        <f t="shared" si="9"/>
        <v/>
      </c>
      <c r="U80" s="31" t="s">
        <v>1876</v>
      </c>
      <c r="V80" s="31"/>
    </row>
    <row r="81" spans="1:22" ht="30">
      <c r="A81" s="7">
        <v>4</v>
      </c>
      <c r="B81" s="7">
        <v>40</v>
      </c>
      <c r="C81" s="7">
        <v>46279.791666666664</v>
      </c>
      <c r="D81" s="7" t="s">
        <v>51</v>
      </c>
      <c r="E81" s="7" t="s">
        <v>55</v>
      </c>
      <c r="F81" s="7" t="s">
        <v>1743</v>
      </c>
      <c r="G81" s="7">
        <v>2</v>
      </c>
      <c r="H81" s="37">
        <f>Priors!$H$27*VLOOKUP(D81,Team_26_27!$A$2:$U$21,20,FALSE)*VLOOKUP(E81,Team_26_27!$A$2:$U$21,21,FALSE)*IF(F81="H",Priors!$H$28,Priors!$H$29)</f>
        <v>1.5301724857310599</v>
      </c>
      <c r="I81" s="37">
        <f>Priors!$H$27*VLOOKUP(E81,Team_26_27!$A$2:$U$21,20,FALSE)*VLOOKUP(D81,Team_26_27!$A$2:$U$21,21,FALSE)*IF(F81="H",Priors!$H$29,Priors!$H$28)</f>
        <v>1.3544666286285465</v>
      </c>
      <c r="J81" s="15"/>
      <c r="K81" s="15"/>
      <c r="L81" s="47" t="b">
        <v>0</v>
      </c>
      <c r="M81" s="45">
        <v>0</v>
      </c>
      <c r="N81" s="45"/>
      <c r="O81" s="45"/>
      <c r="P81" s="38">
        <f t="shared" si="5"/>
        <v>1.5301724857310599</v>
      </c>
      <c r="Q81" s="38">
        <f t="shared" si="6"/>
        <v>1.3544666286285465</v>
      </c>
      <c r="R81" s="17">
        <f t="shared" si="7"/>
        <v>0.25808491285162494</v>
      </c>
      <c r="S81" s="17">
        <f t="shared" si="8"/>
        <v>0.2164983212240561</v>
      </c>
      <c r="T81" s="38" t="str">
        <f t="shared" si="9"/>
        <v/>
      </c>
      <c r="U81" s="31" t="s">
        <v>1876</v>
      </c>
      <c r="V81" s="31"/>
    </row>
    <row r="82" spans="1:22" ht="30">
      <c r="A82" s="7">
        <v>5</v>
      </c>
      <c r="B82" s="7">
        <v>41</v>
      </c>
      <c r="C82" s="7">
        <v>46283.791666666664</v>
      </c>
      <c r="D82" s="7" t="s">
        <v>44</v>
      </c>
      <c r="E82" s="7" t="s">
        <v>42</v>
      </c>
      <c r="F82" s="7" t="s">
        <v>1742</v>
      </c>
      <c r="G82" s="7">
        <v>3</v>
      </c>
      <c r="H82" s="37">
        <f>Priors!$H$27*VLOOKUP(D82,Team_26_27!$A$2:$U$21,20,FALSE)*VLOOKUP(E82,Team_26_27!$A$2:$U$21,21,FALSE)*IF(F82="H",Priors!$H$28,Priors!$H$29)</f>
        <v>1.4565465659046655</v>
      </c>
      <c r="I82" s="37">
        <f>Priors!$H$27*VLOOKUP(E82,Team_26_27!$A$2:$U$21,20,FALSE)*VLOOKUP(D82,Team_26_27!$A$2:$U$21,21,FALSE)*IF(F82="H",Priors!$H$29,Priors!$H$28)</f>
        <v>1.6688828756744303</v>
      </c>
      <c r="J82" s="15"/>
      <c r="K82" s="15"/>
      <c r="L82" s="47" t="b">
        <v>0</v>
      </c>
      <c r="M82" s="45">
        <v>0</v>
      </c>
      <c r="N82" s="45"/>
      <c r="O82" s="45"/>
      <c r="P82" s="38">
        <f t="shared" si="5"/>
        <v>1.4565465659046655</v>
      </c>
      <c r="Q82" s="38">
        <f t="shared" si="6"/>
        <v>1.6688828756744303</v>
      </c>
      <c r="R82" s="17">
        <f t="shared" si="7"/>
        <v>0.1884574785217816</v>
      </c>
      <c r="S82" s="17">
        <f t="shared" si="8"/>
        <v>0.23303967384357144</v>
      </c>
      <c r="T82" s="38" t="str">
        <f t="shared" si="9"/>
        <v/>
      </c>
      <c r="U82" s="31" t="s">
        <v>1876</v>
      </c>
      <c r="V82" s="31"/>
    </row>
    <row r="83" spans="1:22" ht="30">
      <c r="A83" s="7">
        <v>5</v>
      </c>
      <c r="B83" s="7">
        <v>41</v>
      </c>
      <c r="C83" s="7">
        <v>46283.791666666664</v>
      </c>
      <c r="D83" s="7" t="s">
        <v>42</v>
      </c>
      <c r="E83" s="7" t="s">
        <v>44</v>
      </c>
      <c r="F83" s="7" t="s">
        <v>1743</v>
      </c>
      <c r="G83" s="7">
        <v>4</v>
      </c>
      <c r="H83" s="37">
        <f>Priors!$H$27*VLOOKUP(D83,Team_26_27!$A$2:$U$21,20,FALSE)*VLOOKUP(E83,Team_26_27!$A$2:$U$21,21,FALSE)*IF(F83="H",Priors!$H$28,Priors!$H$29)</f>
        <v>1.6688828756744303</v>
      </c>
      <c r="I83" s="37">
        <f>Priors!$H$27*VLOOKUP(E83,Team_26_27!$A$2:$U$21,20,FALSE)*VLOOKUP(D83,Team_26_27!$A$2:$U$21,21,FALSE)*IF(F83="H",Priors!$H$29,Priors!$H$28)</f>
        <v>1.4565465659046655</v>
      </c>
      <c r="J83" s="15"/>
      <c r="K83" s="15"/>
      <c r="L83" s="47" t="b">
        <v>0</v>
      </c>
      <c r="M83" s="45">
        <v>0</v>
      </c>
      <c r="N83" s="45"/>
      <c r="O83" s="45"/>
      <c r="P83" s="38">
        <f t="shared" si="5"/>
        <v>1.6688828756744303</v>
      </c>
      <c r="Q83" s="38">
        <f t="shared" si="6"/>
        <v>1.4565465659046655</v>
      </c>
      <c r="R83" s="17">
        <f t="shared" si="7"/>
        <v>0.23303967384357144</v>
      </c>
      <c r="S83" s="17">
        <f t="shared" si="8"/>
        <v>0.1884574785217816</v>
      </c>
      <c r="T83" s="38" t="str">
        <f t="shared" si="9"/>
        <v/>
      </c>
      <c r="U83" s="31" t="s">
        <v>1876</v>
      </c>
      <c r="V83" s="31"/>
    </row>
    <row r="84" spans="1:22" ht="30">
      <c r="A84" s="7">
        <v>5</v>
      </c>
      <c r="B84" s="7">
        <v>42</v>
      </c>
      <c r="C84" s="7">
        <v>46284.583333333336</v>
      </c>
      <c r="D84" s="7" t="s">
        <v>39</v>
      </c>
      <c r="E84" s="7" t="s">
        <v>43</v>
      </c>
      <c r="F84" s="7" t="s">
        <v>1742</v>
      </c>
      <c r="G84" s="7">
        <v>3</v>
      </c>
      <c r="H84" s="37">
        <f>Priors!$H$27*VLOOKUP(D84,Team_26_27!$A$2:$U$21,20,FALSE)*VLOOKUP(E84,Team_26_27!$A$2:$U$21,21,FALSE)*IF(F84="H",Priors!$H$28,Priors!$H$29)</f>
        <v>1.3874244140816601</v>
      </c>
      <c r="I84" s="37">
        <f>Priors!$H$27*VLOOKUP(E84,Team_26_27!$A$2:$U$21,20,FALSE)*VLOOKUP(D84,Team_26_27!$A$2:$U$21,21,FALSE)*IF(F84="H",Priors!$H$29,Priors!$H$28)</f>
        <v>1.0999300791480255</v>
      </c>
      <c r="J84" s="15"/>
      <c r="K84" s="15"/>
      <c r="L84" s="47" t="b">
        <v>0</v>
      </c>
      <c r="M84" s="45">
        <v>0</v>
      </c>
      <c r="N84" s="45"/>
      <c r="O84" s="45"/>
      <c r="P84" s="38">
        <f t="shared" si="5"/>
        <v>1.3874244140816601</v>
      </c>
      <c r="Q84" s="38">
        <f t="shared" si="6"/>
        <v>1.0999300791480255</v>
      </c>
      <c r="R84" s="17">
        <f t="shared" si="7"/>
        <v>0.33289435914155929</v>
      </c>
      <c r="S84" s="17">
        <f t="shared" si="8"/>
        <v>0.24971764632690752</v>
      </c>
      <c r="T84" s="38" t="str">
        <f t="shared" si="9"/>
        <v/>
      </c>
      <c r="U84" s="31" t="s">
        <v>1876</v>
      </c>
      <c r="V84" s="31"/>
    </row>
    <row r="85" spans="1:22" ht="30">
      <c r="A85" s="7">
        <v>5</v>
      </c>
      <c r="B85" s="7">
        <v>42</v>
      </c>
      <c r="C85" s="7">
        <v>46284.583333333336</v>
      </c>
      <c r="D85" s="7" t="s">
        <v>43</v>
      </c>
      <c r="E85" s="7" t="s">
        <v>39</v>
      </c>
      <c r="F85" s="7" t="s">
        <v>1743</v>
      </c>
      <c r="G85" s="7">
        <v>4</v>
      </c>
      <c r="H85" s="37">
        <f>Priors!$H$27*VLOOKUP(D85,Team_26_27!$A$2:$U$21,20,FALSE)*VLOOKUP(E85,Team_26_27!$A$2:$U$21,21,FALSE)*IF(F85="H",Priors!$H$28,Priors!$H$29)</f>
        <v>1.0999300791480255</v>
      </c>
      <c r="I85" s="37">
        <f>Priors!$H$27*VLOOKUP(E85,Team_26_27!$A$2:$U$21,20,FALSE)*VLOOKUP(D85,Team_26_27!$A$2:$U$21,21,FALSE)*IF(F85="H",Priors!$H$29,Priors!$H$28)</f>
        <v>1.3874244140816601</v>
      </c>
      <c r="J85" s="15"/>
      <c r="K85" s="15"/>
      <c r="L85" s="47" t="b">
        <v>0</v>
      </c>
      <c r="M85" s="45">
        <v>0</v>
      </c>
      <c r="N85" s="45"/>
      <c r="O85" s="45"/>
      <c r="P85" s="38">
        <f t="shared" si="5"/>
        <v>1.0999300791480255</v>
      </c>
      <c r="Q85" s="38">
        <f t="shared" si="6"/>
        <v>1.3874244140816601</v>
      </c>
      <c r="R85" s="17">
        <f t="shared" si="7"/>
        <v>0.24971764632690752</v>
      </c>
      <c r="S85" s="17">
        <f t="shared" si="8"/>
        <v>0.33289435914155929</v>
      </c>
      <c r="T85" s="38" t="str">
        <f t="shared" si="9"/>
        <v/>
      </c>
      <c r="U85" s="31" t="s">
        <v>1876</v>
      </c>
      <c r="V85" s="31"/>
    </row>
    <row r="86" spans="1:22" ht="30">
      <c r="A86" s="7">
        <v>5</v>
      </c>
      <c r="B86" s="7">
        <v>43</v>
      </c>
      <c r="C86" s="7">
        <v>46284.583333333336</v>
      </c>
      <c r="D86" s="7" t="s">
        <v>50</v>
      </c>
      <c r="E86" s="7" t="s">
        <v>47</v>
      </c>
      <c r="F86" s="7" t="s">
        <v>1742</v>
      </c>
      <c r="G86" s="7">
        <v>3</v>
      </c>
      <c r="H86" s="37">
        <f>Priors!$H$27*VLOOKUP(D86,Team_26_27!$A$2:$U$21,20,FALSE)*VLOOKUP(E86,Team_26_27!$A$2:$U$21,21,FALSE)*IF(F86="H",Priors!$H$28,Priors!$H$29)</f>
        <v>1.0020426434344445</v>
      </c>
      <c r="I86" s="37">
        <f>Priors!$H$27*VLOOKUP(E86,Team_26_27!$A$2:$U$21,20,FALSE)*VLOOKUP(D86,Team_26_27!$A$2:$U$21,21,FALSE)*IF(F86="H",Priors!$H$29,Priors!$H$28)</f>
        <v>1.7363794639899106</v>
      </c>
      <c r="J86" s="15"/>
      <c r="K86" s="15"/>
      <c r="L86" s="47" t="b">
        <v>0</v>
      </c>
      <c r="M86" s="45">
        <v>0</v>
      </c>
      <c r="N86" s="45"/>
      <c r="O86" s="45"/>
      <c r="P86" s="38">
        <f t="shared" si="5"/>
        <v>1.0020426434344445</v>
      </c>
      <c r="Q86" s="38">
        <f t="shared" si="6"/>
        <v>1.7363794639899106</v>
      </c>
      <c r="R86" s="17">
        <f t="shared" si="7"/>
        <v>0.17615703032289706</v>
      </c>
      <c r="S86" s="17">
        <f t="shared" si="8"/>
        <v>0.36712876159263369</v>
      </c>
      <c r="T86" s="38" t="str">
        <f t="shared" si="9"/>
        <v/>
      </c>
      <c r="U86" s="31" t="s">
        <v>1876</v>
      </c>
      <c r="V86" s="31"/>
    </row>
    <row r="87" spans="1:22" ht="30">
      <c r="A87" s="7">
        <v>5</v>
      </c>
      <c r="B87" s="7">
        <v>43</v>
      </c>
      <c r="C87" s="7">
        <v>46284.583333333336</v>
      </c>
      <c r="D87" s="7" t="s">
        <v>47</v>
      </c>
      <c r="E87" s="7" t="s">
        <v>50</v>
      </c>
      <c r="F87" s="7" t="s">
        <v>1743</v>
      </c>
      <c r="G87" s="7">
        <v>2</v>
      </c>
      <c r="H87" s="37">
        <f>Priors!$H$27*VLOOKUP(D87,Team_26_27!$A$2:$U$21,20,FALSE)*VLOOKUP(E87,Team_26_27!$A$2:$U$21,21,FALSE)*IF(F87="H",Priors!$H$28,Priors!$H$29)</f>
        <v>1.7363794639899106</v>
      </c>
      <c r="I87" s="37">
        <f>Priors!$H$27*VLOOKUP(E87,Team_26_27!$A$2:$U$21,20,FALSE)*VLOOKUP(D87,Team_26_27!$A$2:$U$21,21,FALSE)*IF(F87="H",Priors!$H$29,Priors!$H$28)</f>
        <v>1.0020426434344445</v>
      </c>
      <c r="J87" s="15"/>
      <c r="K87" s="15"/>
      <c r="L87" s="47" t="b">
        <v>0</v>
      </c>
      <c r="M87" s="45">
        <v>0</v>
      </c>
      <c r="N87" s="45"/>
      <c r="O87" s="45"/>
      <c r="P87" s="38">
        <f t="shared" si="5"/>
        <v>1.7363794639899106</v>
      </c>
      <c r="Q87" s="38">
        <f t="shared" si="6"/>
        <v>1.0020426434344445</v>
      </c>
      <c r="R87" s="17">
        <f t="shared" si="7"/>
        <v>0.36712876159263369</v>
      </c>
      <c r="S87" s="17">
        <f t="shared" si="8"/>
        <v>0.17615703032289706</v>
      </c>
      <c r="T87" s="38" t="str">
        <f t="shared" si="9"/>
        <v/>
      </c>
      <c r="U87" s="31" t="s">
        <v>1876</v>
      </c>
      <c r="V87" s="31"/>
    </row>
    <row r="88" spans="1:22" ht="30">
      <c r="A88" s="7">
        <v>5</v>
      </c>
      <c r="B88" s="7">
        <v>44</v>
      </c>
      <c r="C88" s="7">
        <v>46284.583333333336</v>
      </c>
      <c r="D88" s="7" t="s">
        <v>46</v>
      </c>
      <c r="E88" s="7" t="s">
        <v>51</v>
      </c>
      <c r="F88" s="7" t="s">
        <v>1742</v>
      </c>
      <c r="G88" s="7">
        <v>3</v>
      </c>
      <c r="H88" s="37">
        <f>Priors!$H$27*VLOOKUP(D88,Team_26_27!$A$2:$U$21,20,FALSE)*VLOOKUP(E88,Team_26_27!$A$2:$U$21,21,FALSE)*IF(F88="H",Priors!$H$28,Priors!$H$29)</f>
        <v>1.3692837286894868</v>
      </c>
      <c r="I88" s="37">
        <f>Priors!$H$27*VLOOKUP(E88,Team_26_27!$A$2:$U$21,20,FALSE)*VLOOKUP(D88,Team_26_27!$A$2:$U$21,21,FALSE)*IF(F88="H",Priors!$H$29,Priors!$H$28)</f>
        <v>1.5398614421662031</v>
      </c>
      <c r="J88" s="15"/>
      <c r="K88" s="15"/>
      <c r="L88" s="47" t="b">
        <v>0</v>
      </c>
      <c r="M88" s="45">
        <v>0</v>
      </c>
      <c r="N88" s="45"/>
      <c r="O88" s="45"/>
      <c r="P88" s="38">
        <f t="shared" si="5"/>
        <v>1.3692837286894868</v>
      </c>
      <c r="Q88" s="38">
        <f t="shared" si="6"/>
        <v>1.5398614421662031</v>
      </c>
      <c r="R88" s="17">
        <f t="shared" si="7"/>
        <v>0.21441080766596721</v>
      </c>
      <c r="S88" s="17">
        <f t="shared" si="8"/>
        <v>0.25428903427739613</v>
      </c>
      <c r="T88" s="38" t="str">
        <f t="shared" si="9"/>
        <v/>
      </c>
      <c r="U88" s="31" t="s">
        <v>1876</v>
      </c>
      <c r="V88" s="31"/>
    </row>
    <row r="89" spans="1:22" ht="30">
      <c r="A89" s="7">
        <v>5</v>
      </c>
      <c r="B89" s="7">
        <v>44</v>
      </c>
      <c r="C89" s="7">
        <v>46284.583333333336</v>
      </c>
      <c r="D89" s="7" t="s">
        <v>51</v>
      </c>
      <c r="E89" s="7" t="s">
        <v>46</v>
      </c>
      <c r="F89" s="7" t="s">
        <v>1743</v>
      </c>
      <c r="G89" s="7">
        <v>3</v>
      </c>
      <c r="H89" s="37">
        <f>Priors!$H$27*VLOOKUP(D89,Team_26_27!$A$2:$U$21,20,FALSE)*VLOOKUP(E89,Team_26_27!$A$2:$U$21,21,FALSE)*IF(F89="H",Priors!$H$28,Priors!$H$29)</f>
        <v>1.5398614421662031</v>
      </c>
      <c r="I89" s="37">
        <f>Priors!$H$27*VLOOKUP(E89,Team_26_27!$A$2:$U$21,20,FALSE)*VLOOKUP(D89,Team_26_27!$A$2:$U$21,21,FALSE)*IF(F89="H",Priors!$H$29,Priors!$H$28)</f>
        <v>1.3692837286894868</v>
      </c>
      <c r="J89" s="15"/>
      <c r="K89" s="15"/>
      <c r="L89" s="47" t="b">
        <v>0</v>
      </c>
      <c r="M89" s="45">
        <v>0</v>
      </c>
      <c r="N89" s="45"/>
      <c r="O89" s="45"/>
      <c r="P89" s="38">
        <f t="shared" si="5"/>
        <v>1.5398614421662031</v>
      </c>
      <c r="Q89" s="38">
        <f t="shared" si="6"/>
        <v>1.3692837286894868</v>
      </c>
      <c r="R89" s="17">
        <f t="shared" si="7"/>
        <v>0.25428903427739613</v>
      </c>
      <c r="S89" s="17">
        <f t="shared" si="8"/>
        <v>0.21441080766596721</v>
      </c>
      <c r="T89" s="38" t="str">
        <f t="shared" si="9"/>
        <v/>
      </c>
      <c r="U89" s="31" t="s">
        <v>1876</v>
      </c>
      <c r="V89" s="31"/>
    </row>
    <row r="90" spans="1:22" ht="30">
      <c r="A90" s="7">
        <v>5</v>
      </c>
      <c r="B90" s="7">
        <v>45</v>
      </c>
      <c r="C90" s="7">
        <v>46284.583333333336</v>
      </c>
      <c r="D90" s="7" t="s">
        <v>58</v>
      </c>
      <c r="E90" s="7" t="s">
        <v>53</v>
      </c>
      <c r="F90" s="7" t="s">
        <v>1742</v>
      </c>
      <c r="G90" s="7">
        <v>5</v>
      </c>
      <c r="H90" s="37">
        <f>Priors!$H$27*VLOOKUP(D90,Team_26_27!$A$2:$U$21,20,FALSE)*VLOOKUP(E90,Team_26_27!$A$2:$U$21,21,FALSE)*IF(F90="H",Priors!$H$28,Priors!$H$29)</f>
        <v>0.92791083335810598</v>
      </c>
      <c r="I90" s="37">
        <f>Priors!$H$27*VLOOKUP(E90,Team_26_27!$A$2:$U$21,20,FALSE)*VLOOKUP(D90,Team_26_27!$A$2:$U$21,21,FALSE)*IF(F90="H",Priors!$H$29,Priors!$H$28)</f>
        <v>1.8627960225454199</v>
      </c>
      <c r="J90" s="15"/>
      <c r="K90" s="15"/>
      <c r="L90" s="47" t="b">
        <v>0</v>
      </c>
      <c r="M90" s="45">
        <v>0</v>
      </c>
      <c r="N90" s="45"/>
      <c r="O90" s="45"/>
      <c r="P90" s="38">
        <f t="shared" si="5"/>
        <v>0.92791083335810598</v>
      </c>
      <c r="Q90" s="38">
        <f t="shared" si="6"/>
        <v>1.8627960225454199</v>
      </c>
      <c r="R90" s="17">
        <f t="shared" si="7"/>
        <v>0.1552379741212854</v>
      </c>
      <c r="S90" s="17">
        <f t="shared" si="8"/>
        <v>0.39537886045964221</v>
      </c>
      <c r="T90" s="38" t="str">
        <f t="shared" si="9"/>
        <v/>
      </c>
      <c r="U90" s="31" t="s">
        <v>1876</v>
      </c>
      <c r="V90" s="31"/>
    </row>
    <row r="91" spans="1:22" ht="30">
      <c r="A91" s="7">
        <v>5</v>
      </c>
      <c r="B91" s="7">
        <v>45</v>
      </c>
      <c r="C91" s="7">
        <v>46284.583333333336</v>
      </c>
      <c r="D91" s="7" t="s">
        <v>53</v>
      </c>
      <c r="E91" s="7" t="s">
        <v>58</v>
      </c>
      <c r="F91" s="7" t="s">
        <v>1743</v>
      </c>
      <c r="G91" s="7">
        <v>2</v>
      </c>
      <c r="H91" s="37">
        <f>Priors!$H$27*VLOOKUP(D91,Team_26_27!$A$2:$U$21,20,FALSE)*VLOOKUP(E91,Team_26_27!$A$2:$U$21,21,FALSE)*IF(F91="H",Priors!$H$28,Priors!$H$29)</f>
        <v>1.8627960225454199</v>
      </c>
      <c r="I91" s="37">
        <f>Priors!$H$27*VLOOKUP(E91,Team_26_27!$A$2:$U$21,20,FALSE)*VLOOKUP(D91,Team_26_27!$A$2:$U$21,21,FALSE)*IF(F91="H",Priors!$H$29,Priors!$H$28)</f>
        <v>0.92791083335810598</v>
      </c>
      <c r="J91" s="15"/>
      <c r="K91" s="15"/>
      <c r="L91" s="47" t="b">
        <v>0</v>
      </c>
      <c r="M91" s="45">
        <v>0</v>
      </c>
      <c r="N91" s="45"/>
      <c r="O91" s="45"/>
      <c r="P91" s="38">
        <f t="shared" si="5"/>
        <v>1.8627960225454199</v>
      </c>
      <c r="Q91" s="38">
        <f t="shared" si="6"/>
        <v>0.92791083335810598</v>
      </c>
      <c r="R91" s="17">
        <f t="shared" si="7"/>
        <v>0.39537886045964221</v>
      </c>
      <c r="S91" s="17">
        <f t="shared" si="8"/>
        <v>0.1552379741212854</v>
      </c>
      <c r="T91" s="38" t="str">
        <f t="shared" si="9"/>
        <v/>
      </c>
      <c r="U91" s="31" t="s">
        <v>1876</v>
      </c>
      <c r="V91" s="31"/>
    </row>
    <row r="92" spans="1:22" ht="30">
      <c r="A92" s="7">
        <v>5</v>
      </c>
      <c r="B92" s="7">
        <v>46</v>
      </c>
      <c r="C92" s="7">
        <v>46284.583333333336</v>
      </c>
      <c r="D92" s="7" t="s">
        <v>49</v>
      </c>
      <c r="E92" s="7" t="s">
        <v>55</v>
      </c>
      <c r="F92" s="7" t="s">
        <v>1742</v>
      </c>
      <c r="G92" s="7">
        <v>3</v>
      </c>
      <c r="H92" s="37">
        <f>Priors!$H$27*VLOOKUP(D92,Team_26_27!$A$2:$U$21,20,FALSE)*VLOOKUP(E92,Team_26_27!$A$2:$U$21,21,FALSE)*IF(F92="H",Priors!$H$28,Priors!$H$29)</f>
        <v>0.86142231259910373</v>
      </c>
      <c r="I92" s="37">
        <f>Priors!$H$27*VLOOKUP(E92,Team_26_27!$A$2:$U$21,20,FALSE)*VLOOKUP(D92,Team_26_27!$A$2:$U$21,21,FALSE)*IF(F92="H",Priors!$H$29,Priors!$H$28)</f>
        <v>2.1867910712486585</v>
      </c>
      <c r="J92" s="15"/>
      <c r="K92" s="15"/>
      <c r="L92" s="47" t="b">
        <v>0</v>
      </c>
      <c r="M92" s="45">
        <v>0</v>
      </c>
      <c r="N92" s="45"/>
      <c r="O92" s="45"/>
      <c r="P92" s="38">
        <f t="shared" si="5"/>
        <v>0.86142231259910373</v>
      </c>
      <c r="Q92" s="38">
        <f t="shared" si="6"/>
        <v>2.1867910712486585</v>
      </c>
      <c r="R92" s="17">
        <f t="shared" si="7"/>
        <v>0.11227645832246359</v>
      </c>
      <c r="S92" s="17">
        <f t="shared" si="8"/>
        <v>0.42256064137651106</v>
      </c>
      <c r="T92" s="38" t="str">
        <f t="shared" si="9"/>
        <v/>
      </c>
      <c r="U92" s="31" t="s">
        <v>1876</v>
      </c>
      <c r="V92" s="31"/>
    </row>
    <row r="93" spans="1:22" ht="30">
      <c r="A93" s="7">
        <v>5</v>
      </c>
      <c r="B93" s="7">
        <v>46</v>
      </c>
      <c r="C93" s="7">
        <v>46284.583333333336</v>
      </c>
      <c r="D93" s="7" t="s">
        <v>55</v>
      </c>
      <c r="E93" s="7" t="s">
        <v>49</v>
      </c>
      <c r="F93" s="7" t="s">
        <v>1743</v>
      </c>
      <c r="G93" s="7">
        <v>2</v>
      </c>
      <c r="H93" s="37">
        <f>Priors!$H$27*VLOOKUP(D93,Team_26_27!$A$2:$U$21,20,FALSE)*VLOOKUP(E93,Team_26_27!$A$2:$U$21,21,FALSE)*IF(F93="H",Priors!$H$28,Priors!$H$29)</f>
        <v>2.1867910712486585</v>
      </c>
      <c r="I93" s="37">
        <f>Priors!$H$27*VLOOKUP(E93,Team_26_27!$A$2:$U$21,20,FALSE)*VLOOKUP(D93,Team_26_27!$A$2:$U$21,21,FALSE)*IF(F93="H",Priors!$H$29,Priors!$H$28)</f>
        <v>0.86142231259910373</v>
      </c>
      <c r="J93" s="15"/>
      <c r="K93" s="15"/>
      <c r="L93" s="47" t="b">
        <v>0</v>
      </c>
      <c r="M93" s="45">
        <v>0</v>
      </c>
      <c r="N93" s="45"/>
      <c r="O93" s="45"/>
      <c r="P93" s="38">
        <f t="shared" si="5"/>
        <v>2.1867910712486585</v>
      </c>
      <c r="Q93" s="38">
        <f t="shared" si="6"/>
        <v>0.86142231259910373</v>
      </c>
      <c r="R93" s="17">
        <f t="shared" si="7"/>
        <v>0.42256064137651106</v>
      </c>
      <c r="S93" s="17">
        <f t="shared" si="8"/>
        <v>0.11227645832246359</v>
      </c>
      <c r="T93" s="38" t="str">
        <f t="shared" si="9"/>
        <v/>
      </c>
      <c r="U93" s="31" t="s">
        <v>1876</v>
      </c>
      <c r="V93" s="31"/>
    </row>
    <row r="94" spans="1:22" ht="30">
      <c r="A94" s="7">
        <v>5</v>
      </c>
      <c r="B94" s="7">
        <v>47</v>
      </c>
      <c r="C94" s="7">
        <v>46284.6875</v>
      </c>
      <c r="D94" s="7" t="s">
        <v>45</v>
      </c>
      <c r="E94" s="7" t="s">
        <v>56</v>
      </c>
      <c r="F94" s="7" t="s">
        <v>1742</v>
      </c>
      <c r="G94" s="7">
        <v>3</v>
      </c>
      <c r="H94" s="37">
        <f>Priors!$H$27*VLOOKUP(D94,Team_26_27!$A$2:$U$21,20,FALSE)*VLOOKUP(E94,Team_26_27!$A$2:$U$21,21,FALSE)*IF(F94="H",Priors!$H$28,Priors!$H$29)</f>
        <v>1.0360653249321836</v>
      </c>
      <c r="I94" s="37">
        <f>Priors!$H$27*VLOOKUP(E94,Team_26_27!$A$2:$U$21,20,FALSE)*VLOOKUP(D94,Team_26_27!$A$2:$U$21,21,FALSE)*IF(F94="H",Priors!$H$29,Priors!$H$28)</f>
        <v>1.7892763222985253</v>
      </c>
      <c r="J94" s="15"/>
      <c r="K94" s="15"/>
      <c r="L94" s="47" t="b">
        <v>0</v>
      </c>
      <c r="M94" s="45">
        <v>0</v>
      </c>
      <c r="N94" s="45"/>
      <c r="O94" s="45"/>
      <c r="P94" s="38">
        <f t="shared" si="5"/>
        <v>1.0360653249321836</v>
      </c>
      <c r="Q94" s="38">
        <f t="shared" si="6"/>
        <v>1.7892763222985253</v>
      </c>
      <c r="R94" s="17">
        <f t="shared" si="7"/>
        <v>0.16708103874871774</v>
      </c>
      <c r="S94" s="17">
        <f t="shared" si="8"/>
        <v>0.35484815090948724</v>
      </c>
      <c r="T94" s="38" t="str">
        <f t="shared" si="9"/>
        <v/>
      </c>
      <c r="U94" s="31" t="s">
        <v>1876</v>
      </c>
      <c r="V94" s="31"/>
    </row>
    <row r="95" spans="1:22" ht="30">
      <c r="A95" s="7">
        <v>5</v>
      </c>
      <c r="B95" s="7">
        <v>47</v>
      </c>
      <c r="C95" s="7">
        <v>46284.6875</v>
      </c>
      <c r="D95" s="7" t="s">
        <v>56</v>
      </c>
      <c r="E95" s="7" t="s">
        <v>45</v>
      </c>
      <c r="F95" s="7" t="s">
        <v>1743</v>
      </c>
      <c r="G95" s="7">
        <v>2</v>
      </c>
      <c r="H95" s="37">
        <f>Priors!$H$27*VLOOKUP(D95,Team_26_27!$A$2:$U$21,20,FALSE)*VLOOKUP(E95,Team_26_27!$A$2:$U$21,21,FALSE)*IF(F95="H",Priors!$H$28,Priors!$H$29)</f>
        <v>1.7892763222985253</v>
      </c>
      <c r="I95" s="37">
        <f>Priors!$H$27*VLOOKUP(E95,Team_26_27!$A$2:$U$21,20,FALSE)*VLOOKUP(D95,Team_26_27!$A$2:$U$21,21,FALSE)*IF(F95="H",Priors!$H$29,Priors!$H$28)</f>
        <v>1.0360653249321836</v>
      </c>
      <c r="J95" s="15"/>
      <c r="K95" s="15"/>
      <c r="L95" s="47" t="b">
        <v>0</v>
      </c>
      <c r="M95" s="45">
        <v>0</v>
      </c>
      <c r="N95" s="45"/>
      <c r="O95" s="45"/>
      <c r="P95" s="38">
        <f t="shared" si="5"/>
        <v>1.7892763222985253</v>
      </c>
      <c r="Q95" s="38">
        <f t="shared" si="6"/>
        <v>1.0360653249321836</v>
      </c>
      <c r="R95" s="17">
        <f t="shared" si="7"/>
        <v>0.35484815090948724</v>
      </c>
      <c r="S95" s="17">
        <f t="shared" si="8"/>
        <v>0.16708103874871774</v>
      </c>
      <c r="T95" s="38" t="str">
        <f t="shared" si="9"/>
        <v/>
      </c>
      <c r="U95" s="31" t="s">
        <v>1876</v>
      </c>
      <c r="V95" s="31"/>
    </row>
    <row r="96" spans="1:22" ht="30">
      <c r="A96" s="7">
        <v>5</v>
      </c>
      <c r="B96" s="7">
        <v>48</v>
      </c>
      <c r="C96" s="7">
        <v>46284.479166666664</v>
      </c>
      <c r="D96" s="7" t="s">
        <v>40</v>
      </c>
      <c r="E96" s="7" t="s">
        <v>57</v>
      </c>
      <c r="F96" s="7" t="s">
        <v>1742</v>
      </c>
      <c r="G96" s="7">
        <v>3</v>
      </c>
      <c r="H96" s="37">
        <f>Priors!$H$27*VLOOKUP(D96,Team_26_27!$A$2:$U$21,20,FALSE)*VLOOKUP(E96,Team_26_27!$A$2:$U$21,21,FALSE)*IF(F96="H",Priors!$H$28,Priors!$H$29)</f>
        <v>1.1638295523863316</v>
      </c>
      <c r="I96" s="37">
        <f>Priors!$H$27*VLOOKUP(E96,Team_26_27!$A$2:$U$21,20,FALSE)*VLOOKUP(D96,Team_26_27!$A$2:$U$21,21,FALSE)*IF(F96="H",Priors!$H$29,Priors!$H$28)</f>
        <v>1.2849015425070724</v>
      </c>
      <c r="J96" s="15"/>
      <c r="K96" s="15"/>
      <c r="L96" s="47" t="b">
        <v>0</v>
      </c>
      <c r="M96" s="45">
        <v>0</v>
      </c>
      <c r="N96" s="45"/>
      <c r="O96" s="45"/>
      <c r="P96" s="38">
        <f t="shared" si="5"/>
        <v>1.1638295523863316</v>
      </c>
      <c r="Q96" s="38">
        <f t="shared" si="6"/>
        <v>1.2849015425070724</v>
      </c>
      <c r="R96" s="17">
        <f t="shared" si="7"/>
        <v>0.27667782329580726</v>
      </c>
      <c r="S96" s="17">
        <f t="shared" si="8"/>
        <v>0.31228796491030886</v>
      </c>
      <c r="T96" s="38" t="str">
        <f t="shared" si="9"/>
        <v/>
      </c>
      <c r="U96" s="31" t="s">
        <v>1876</v>
      </c>
      <c r="V96" s="31"/>
    </row>
    <row r="97" spans="1:22" ht="30">
      <c r="A97" s="7">
        <v>5</v>
      </c>
      <c r="B97" s="7">
        <v>48</v>
      </c>
      <c r="C97" s="7">
        <v>46284.479166666664</v>
      </c>
      <c r="D97" s="7" t="s">
        <v>57</v>
      </c>
      <c r="E97" s="7" t="s">
        <v>40</v>
      </c>
      <c r="F97" s="7" t="s">
        <v>1743</v>
      </c>
      <c r="G97" s="7">
        <v>3</v>
      </c>
      <c r="H97" s="37">
        <f>Priors!$H$27*VLOOKUP(D97,Team_26_27!$A$2:$U$21,20,FALSE)*VLOOKUP(E97,Team_26_27!$A$2:$U$21,21,FALSE)*IF(F97="H",Priors!$H$28,Priors!$H$29)</f>
        <v>1.2849015425070724</v>
      </c>
      <c r="I97" s="37">
        <f>Priors!$H$27*VLOOKUP(E97,Team_26_27!$A$2:$U$21,20,FALSE)*VLOOKUP(D97,Team_26_27!$A$2:$U$21,21,FALSE)*IF(F97="H",Priors!$H$29,Priors!$H$28)</f>
        <v>1.1638295523863316</v>
      </c>
      <c r="J97" s="15"/>
      <c r="K97" s="15"/>
      <c r="L97" s="47" t="b">
        <v>0</v>
      </c>
      <c r="M97" s="45">
        <v>0</v>
      </c>
      <c r="N97" s="45"/>
      <c r="O97" s="45"/>
      <c r="P97" s="38">
        <f t="shared" si="5"/>
        <v>1.2849015425070724</v>
      </c>
      <c r="Q97" s="38">
        <f t="shared" si="6"/>
        <v>1.1638295523863316</v>
      </c>
      <c r="R97" s="17">
        <f t="shared" si="7"/>
        <v>0.31228796491030886</v>
      </c>
      <c r="S97" s="17">
        <f t="shared" si="8"/>
        <v>0.27667782329580726</v>
      </c>
      <c r="T97" s="38" t="str">
        <f t="shared" si="9"/>
        <v/>
      </c>
      <c r="U97" s="31" t="s">
        <v>1876</v>
      </c>
      <c r="V97" s="31"/>
    </row>
    <row r="98" spans="1:22" ht="30">
      <c r="A98" s="7">
        <v>5</v>
      </c>
      <c r="B98" s="7">
        <v>49</v>
      </c>
      <c r="C98" s="7">
        <v>46285.541666666664</v>
      </c>
      <c r="D98" s="7" t="s">
        <v>52</v>
      </c>
      <c r="E98" s="7" t="s">
        <v>41</v>
      </c>
      <c r="F98" s="7" t="s">
        <v>1742</v>
      </c>
      <c r="G98" s="7">
        <v>3</v>
      </c>
      <c r="H98" s="37">
        <f>Priors!$H$27*VLOOKUP(D98,Team_26_27!$A$2:$U$21,20,FALSE)*VLOOKUP(E98,Team_26_27!$A$2:$U$21,21,FALSE)*IF(F98="H",Priors!$H$28,Priors!$H$29)</f>
        <v>1.4166222842380236</v>
      </c>
      <c r="I98" s="37">
        <f>Priors!$H$27*VLOOKUP(E98,Team_26_27!$A$2:$U$21,20,FALSE)*VLOOKUP(D98,Team_26_27!$A$2:$U$21,21,FALSE)*IF(F98="H",Priors!$H$29,Priors!$H$28)</f>
        <v>1.5780787837029389</v>
      </c>
      <c r="J98" s="15"/>
      <c r="K98" s="15"/>
      <c r="L98" s="47" t="b">
        <v>0</v>
      </c>
      <c r="M98" s="45">
        <v>0</v>
      </c>
      <c r="N98" s="45"/>
      <c r="O98" s="45"/>
      <c r="P98" s="38">
        <f t="shared" si="5"/>
        <v>1.4166222842380236</v>
      </c>
      <c r="Q98" s="38">
        <f t="shared" si="6"/>
        <v>1.5780787837029389</v>
      </c>
      <c r="R98" s="17">
        <f t="shared" si="7"/>
        <v>0.20637120129836564</v>
      </c>
      <c r="S98" s="17">
        <f t="shared" si="8"/>
        <v>0.2425318385488007</v>
      </c>
      <c r="T98" s="38" t="str">
        <f t="shared" si="9"/>
        <v/>
      </c>
      <c r="U98" s="31" t="s">
        <v>1876</v>
      </c>
      <c r="V98" s="31"/>
    </row>
    <row r="99" spans="1:22" ht="30">
      <c r="A99" s="7">
        <v>5</v>
      </c>
      <c r="B99" s="7">
        <v>49</v>
      </c>
      <c r="C99" s="7">
        <v>46285.541666666664</v>
      </c>
      <c r="D99" s="7" t="s">
        <v>41</v>
      </c>
      <c r="E99" s="7" t="s">
        <v>52</v>
      </c>
      <c r="F99" s="7" t="s">
        <v>1743</v>
      </c>
      <c r="G99" s="7">
        <v>4</v>
      </c>
      <c r="H99" s="37">
        <f>Priors!$H$27*VLOOKUP(D99,Team_26_27!$A$2:$U$21,20,FALSE)*VLOOKUP(E99,Team_26_27!$A$2:$U$21,21,FALSE)*IF(F99="H",Priors!$H$28,Priors!$H$29)</f>
        <v>1.5780787837029389</v>
      </c>
      <c r="I99" s="37">
        <f>Priors!$H$27*VLOOKUP(E99,Team_26_27!$A$2:$U$21,20,FALSE)*VLOOKUP(D99,Team_26_27!$A$2:$U$21,21,FALSE)*IF(F99="H",Priors!$H$29,Priors!$H$28)</f>
        <v>1.4166222842380236</v>
      </c>
      <c r="J99" s="15"/>
      <c r="K99" s="15"/>
      <c r="L99" s="47" t="b">
        <v>0</v>
      </c>
      <c r="M99" s="45">
        <v>0</v>
      </c>
      <c r="N99" s="45"/>
      <c r="O99" s="45"/>
      <c r="P99" s="38">
        <f t="shared" si="5"/>
        <v>1.5780787837029389</v>
      </c>
      <c r="Q99" s="38">
        <f t="shared" si="6"/>
        <v>1.4166222842380236</v>
      </c>
      <c r="R99" s="17">
        <f t="shared" si="7"/>
        <v>0.2425318385488007</v>
      </c>
      <c r="S99" s="17">
        <f t="shared" si="8"/>
        <v>0.20637120129836564</v>
      </c>
      <c r="T99" s="38" t="str">
        <f t="shared" si="9"/>
        <v/>
      </c>
      <c r="U99" s="31" t="s">
        <v>1876</v>
      </c>
      <c r="V99" s="31"/>
    </row>
    <row r="100" spans="1:22" ht="30">
      <c r="A100" s="7">
        <v>5</v>
      </c>
      <c r="B100" s="7">
        <v>50</v>
      </c>
      <c r="C100" s="7">
        <v>46285.645833333336</v>
      </c>
      <c r="D100" s="7" t="s">
        <v>54</v>
      </c>
      <c r="E100" s="7" t="s">
        <v>48</v>
      </c>
      <c r="F100" s="7" t="s">
        <v>1742</v>
      </c>
      <c r="G100" s="7">
        <v>3</v>
      </c>
      <c r="H100" s="37">
        <f>Priors!$H$27*VLOOKUP(D100,Team_26_27!$A$2:$U$21,20,FALSE)*VLOOKUP(E100,Team_26_27!$A$2:$U$21,21,FALSE)*IF(F100="H",Priors!$H$28,Priors!$H$29)</f>
        <v>1.464274358380772</v>
      </c>
      <c r="I100" s="37">
        <f>Priors!$H$27*VLOOKUP(E100,Team_26_27!$A$2:$U$21,20,FALSE)*VLOOKUP(D100,Team_26_27!$A$2:$U$21,21,FALSE)*IF(F100="H",Priors!$H$29,Priors!$H$28)</f>
        <v>1.3753890510783453</v>
      </c>
      <c r="J100" s="15"/>
      <c r="K100" s="15"/>
      <c r="L100" s="47" t="b">
        <v>0</v>
      </c>
      <c r="M100" s="45">
        <v>0</v>
      </c>
      <c r="N100" s="45"/>
      <c r="O100" s="45"/>
      <c r="P100" s="38">
        <f t="shared" si="5"/>
        <v>1.464274358380772</v>
      </c>
      <c r="Q100" s="38">
        <f t="shared" si="6"/>
        <v>1.3753890510783453</v>
      </c>
      <c r="R100" s="17">
        <f t="shared" si="7"/>
        <v>0.25274124741986337</v>
      </c>
      <c r="S100" s="17">
        <f t="shared" si="8"/>
        <v>0.23124573213767555</v>
      </c>
      <c r="T100" s="38" t="str">
        <f t="shared" si="9"/>
        <v/>
      </c>
      <c r="U100" s="31" t="s">
        <v>1876</v>
      </c>
      <c r="V100" s="31"/>
    </row>
    <row r="101" spans="1:22" ht="30">
      <c r="A101" s="7">
        <v>5</v>
      </c>
      <c r="B101" s="7">
        <v>50</v>
      </c>
      <c r="C101" s="7">
        <v>46285.645833333336</v>
      </c>
      <c r="D101" s="7" t="s">
        <v>48</v>
      </c>
      <c r="E101" s="7" t="s">
        <v>54</v>
      </c>
      <c r="F101" s="7" t="s">
        <v>1743</v>
      </c>
      <c r="G101" s="7">
        <v>4</v>
      </c>
      <c r="H101" s="37">
        <f>Priors!$H$27*VLOOKUP(D101,Team_26_27!$A$2:$U$21,20,FALSE)*VLOOKUP(E101,Team_26_27!$A$2:$U$21,21,FALSE)*IF(F101="H",Priors!$H$28,Priors!$H$29)</f>
        <v>1.3753890510783453</v>
      </c>
      <c r="I101" s="37">
        <f>Priors!$H$27*VLOOKUP(E101,Team_26_27!$A$2:$U$21,20,FALSE)*VLOOKUP(D101,Team_26_27!$A$2:$U$21,21,FALSE)*IF(F101="H",Priors!$H$29,Priors!$H$28)</f>
        <v>1.464274358380772</v>
      </c>
      <c r="J101" s="15"/>
      <c r="K101" s="15"/>
      <c r="L101" s="47" t="b">
        <v>0</v>
      </c>
      <c r="M101" s="45">
        <v>0</v>
      </c>
      <c r="N101" s="45"/>
      <c r="O101" s="45"/>
      <c r="P101" s="38">
        <f t="shared" si="5"/>
        <v>1.3753890510783453</v>
      </c>
      <c r="Q101" s="38">
        <f t="shared" si="6"/>
        <v>1.464274358380772</v>
      </c>
      <c r="R101" s="17">
        <f t="shared" si="7"/>
        <v>0.23124573213767555</v>
      </c>
      <c r="S101" s="17">
        <f t="shared" si="8"/>
        <v>0.25274124741986337</v>
      </c>
      <c r="T101" s="38" t="str">
        <f t="shared" si="9"/>
        <v/>
      </c>
      <c r="U101" s="31" t="s">
        <v>1876</v>
      </c>
      <c r="V101" s="31"/>
    </row>
    <row r="102" spans="1:22" ht="30">
      <c r="A102" s="7">
        <v>6</v>
      </c>
      <c r="B102" s="7">
        <v>51</v>
      </c>
      <c r="C102" s="7">
        <v>46305.583333333336</v>
      </c>
      <c r="D102" s="7" t="s">
        <v>51</v>
      </c>
      <c r="E102" s="7" t="s">
        <v>39</v>
      </c>
      <c r="F102" s="7" t="s">
        <v>1742</v>
      </c>
      <c r="G102" s="7">
        <v>5</v>
      </c>
      <c r="H102" s="37">
        <f>Priors!$H$27*VLOOKUP(D102,Team_26_27!$A$2:$U$21,20,FALSE)*VLOOKUP(E102,Team_26_27!$A$2:$U$21,21,FALSE)*IF(F102="H",Priors!$H$28,Priors!$H$29)</f>
        <v>0.85866174370903237</v>
      </c>
      <c r="I102" s="37">
        <f>Priors!$H$27*VLOOKUP(E102,Team_26_27!$A$2:$U$21,20,FALSE)*VLOOKUP(D102,Team_26_27!$A$2:$U$21,21,FALSE)*IF(F102="H",Priors!$H$29,Priors!$H$28)</f>
        <v>1.8514789698370466</v>
      </c>
      <c r="J102" s="15"/>
      <c r="K102" s="15"/>
      <c r="L102" s="47" t="b">
        <v>0</v>
      </c>
      <c r="M102" s="45">
        <v>0</v>
      </c>
      <c r="N102" s="45"/>
      <c r="O102" s="45"/>
      <c r="P102" s="38">
        <f t="shared" si="5"/>
        <v>0.85866174370903237</v>
      </c>
      <c r="Q102" s="38">
        <f t="shared" si="6"/>
        <v>1.8514789698370466</v>
      </c>
      <c r="R102" s="17">
        <f t="shared" si="7"/>
        <v>0.15700478916913838</v>
      </c>
      <c r="S102" s="17">
        <f t="shared" si="8"/>
        <v>0.42372876073241278</v>
      </c>
      <c r="T102" s="38" t="str">
        <f t="shared" si="9"/>
        <v/>
      </c>
      <c r="U102" s="31" t="s">
        <v>1876</v>
      </c>
      <c r="V102" s="31"/>
    </row>
    <row r="103" spans="1:22" ht="30">
      <c r="A103" s="7">
        <v>6</v>
      </c>
      <c r="B103" s="7">
        <v>51</v>
      </c>
      <c r="C103" s="7">
        <v>46305.583333333336</v>
      </c>
      <c r="D103" s="7" t="s">
        <v>39</v>
      </c>
      <c r="E103" s="7" t="s">
        <v>51</v>
      </c>
      <c r="F103" s="7" t="s">
        <v>1743</v>
      </c>
      <c r="G103" s="7">
        <v>2</v>
      </c>
      <c r="H103" s="37">
        <f>Priors!$H$27*VLOOKUP(D103,Team_26_27!$A$2:$U$21,20,FALSE)*VLOOKUP(E103,Team_26_27!$A$2:$U$21,21,FALSE)*IF(F103="H",Priors!$H$28,Priors!$H$29)</f>
        <v>1.8514789698370466</v>
      </c>
      <c r="I103" s="37">
        <f>Priors!$H$27*VLOOKUP(E103,Team_26_27!$A$2:$U$21,20,FALSE)*VLOOKUP(D103,Team_26_27!$A$2:$U$21,21,FALSE)*IF(F103="H",Priors!$H$29,Priors!$H$28)</f>
        <v>0.85866174370903237</v>
      </c>
      <c r="J103" s="15"/>
      <c r="K103" s="15"/>
      <c r="L103" s="47" t="b">
        <v>0</v>
      </c>
      <c r="M103" s="45">
        <v>0</v>
      </c>
      <c r="N103" s="45"/>
      <c r="O103" s="45"/>
      <c r="P103" s="38">
        <f t="shared" si="5"/>
        <v>1.8514789698370466</v>
      </c>
      <c r="Q103" s="38">
        <f t="shared" si="6"/>
        <v>0.85866174370903237</v>
      </c>
      <c r="R103" s="17">
        <f t="shared" si="7"/>
        <v>0.42372876073241278</v>
      </c>
      <c r="S103" s="17">
        <f t="shared" si="8"/>
        <v>0.15700478916913838</v>
      </c>
      <c r="T103" s="38" t="str">
        <f t="shared" si="9"/>
        <v/>
      </c>
      <c r="U103" s="31" t="s">
        <v>1876</v>
      </c>
      <c r="V103" s="31"/>
    </row>
    <row r="104" spans="1:22" ht="30">
      <c r="A104" s="7">
        <v>6</v>
      </c>
      <c r="B104" s="7">
        <v>52</v>
      </c>
      <c r="C104" s="7">
        <v>46305.583333333336</v>
      </c>
      <c r="D104" s="7" t="s">
        <v>42</v>
      </c>
      <c r="E104" s="7" t="s">
        <v>40</v>
      </c>
      <c r="F104" s="7" t="s">
        <v>1742</v>
      </c>
      <c r="G104" s="7">
        <v>4</v>
      </c>
      <c r="H104" s="37">
        <f>Priors!$H$27*VLOOKUP(D104,Team_26_27!$A$2:$U$21,20,FALSE)*VLOOKUP(E104,Team_26_27!$A$2:$U$21,21,FALSE)*IF(F104="H",Priors!$H$28,Priors!$H$29)</f>
        <v>1.3913175092525154</v>
      </c>
      <c r="I104" s="37">
        <f>Priors!$H$27*VLOOKUP(E104,Team_26_27!$A$2:$U$21,20,FALSE)*VLOOKUP(D104,Team_26_27!$A$2:$U$21,21,FALSE)*IF(F104="H",Priors!$H$29,Priors!$H$28)</f>
        <v>1.4622534442892037</v>
      </c>
      <c r="J104" s="15"/>
      <c r="K104" s="15"/>
      <c r="L104" s="47" t="b">
        <v>0</v>
      </c>
      <c r="M104" s="45">
        <v>0</v>
      </c>
      <c r="N104" s="45"/>
      <c r="O104" s="45"/>
      <c r="P104" s="38">
        <f t="shared" si="5"/>
        <v>1.3913175092525154</v>
      </c>
      <c r="Q104" s="38">
        <f t="shared" si="6"/>
        <v>1.4622534442892037</v>
      </c>
      <c r="R104" s="17">
        <f t="shared" si="7"/>
        <v>0.2317135324292566</v>
      </c>
      <c r="S104" s="17">
        <f t="shared" si="8"/>
        <v>0.24874736169460759</v>
      </c>
      <c r="T104" s="38" t="str">
        <f t="shared" si="9"/>
        <v/>
      </c>
      <c r="U104" s="31" t="s">
        <v>1876</v>
      </c>
      <c r="V104" s="31"/>
    </row>
    <row r="105" spans="1:22" ht="30">
      <c r="A105" s="7">
        <v>6</v>
      </c>
      <c r="B105" s="7">
        <v>52</v>
      </c>
      <c r="C105" s="7">
        <v>46305.583333333336</v>
      </c>
      <c r="D105" s="7" t="s">
        <v>40</v>
      </c>
      <c r="E105" s="7" t="s">
        <v>42</v>
      </c>
      <c r="F105" s="7" t="s">
        <v>1743</v>
      </c>
      <c r="G105" s="7">
        <v>3</v>
      </c>
      <c r="H105" s="37">
        <f>Priors!$H$27*VLOOKUP(D105,Team_26_27!$A$2:$U$21,20,FALSE)*VLOOKUP(E105,Team_26_27!$A$2:$U$21,21,FALSE)*IF(F105="H",Priors!$H$28,Priors!$H$29)</f>
        <v>1.4622534442892037</v>
      </c>
      <c r="I105" s="37">
        <f>Priors!$H$27*VLOOKUP(E105,Team_26_27!$A$2:$U$21,20,FALSE)*VLOOKUP(D105,Team_26_27!$A$2:$U$21,21,FALSE)*IF(F105="H",Priors!$H$29,Priors!$H$28)</f>
        <v>1.3913175092525154</v>
      </c>
      <c r="J105" s="15"/>
      <c r="K105" s="15"/>
      <c r="L105" s="47" t="b">
        <v>0</v>
      </c>
      <c r="M105" s="45">
        <v>0</v>
      </c>
      <c r="N105" s="45"/>
      <c r="O105" s="45"/>
      <c r="P105" s="38">
        <f t="shared" si="5"/>
        <v>1.4622534442892037</v>
      </c>
      <c r="Q105" s="38">
        <f t="shared" si="6"/>
        <v>1.3913175092525154</v>
      </c>
      <c r="R105" s="17">
        <f t="shared" si="7"/>
        <v>0.24874736169460759</v>
      </c>
      <c r="S105" s="17">
        <f t="shared" si="8"/>
        <v>0.2317135324292566</v>
      </c>
      <c r="T105" s="38" t="str">
        <f t="shared" si="9"/>
        <v/>
      </c>
      <c r="U105" s="31" t="s">
        <v>1876</v>
      </c>
      <c r="V105" s="31"/>
    </row>
    <row r="106" spans="1:22" ht="30">
      <c r="A106" s="7">
        <v>6</v>
      </c>
      <c r="B106" s="7">
        <v>53</v>
      </c>
      <c r="C106" s="7">
        <v>46305.583333333336</v>
      </c>
      <c r="D106" s="7" t="s">
        <v>41</v>
      </c>
      <c r="E106" s="7" t="s">
        <v>44</v>
      </c>
      <c r="F106" s="7" t="s">
        <v>1742</v>
      </c>
      <c r="G106" s="7">
        <v>4</v>
      </c>
      <c r="H106" s="37">
        <f>Priors!$H$27*VLOOKUP(D106,Team_26_27!$A$2:$U$21,20,FALSE)*VLOOKUP(E106,Team_26_27!$A$2:$U$21,21,FALSE)*IF(F106="H",Priors!$H$28,Priors!$H$29)</f>
        <v>1.3607879852740083</v>
      </c>
      <c r="I106" s="37">
        <f>Priors!$H$27*VLOOKUP(E106,Team_26_27!$A$2:$U$21,20,FALSE)*VLOOKUP(D106,Team_26_27!$A$2:$U$21,21,FALSE)*IF(F106="H",Priors!$H$29,Priors!$H$28)</f>
        <v>1.8173757717427925</v>
      </c>
      <c r="J106" s="15"/>
      <c r="K106" s="15"/>
      <c r="L106" s="47" t="b">
        <v>0</v>
      </c>
      <c r="M106" s="45">
        <v>0</v>
      </c>
      <c r="N106" s="45"/>
      <c r="O106" s="45"/>
      <c r="P106" s="38">
        <f t="shared" si="5"/>
        <v>1.3607879852740083</v>
      </c>
      <c r="Q106" s="38">
        <f t="shared" si="6"/>
        <v>1.8173757717427925</v>
      </c>
      <c r="R106" s="17">
        <f t="shared" si="7"/>
        <v>0.16245150187737453</v>
      </c>
      <c r="S106" s="17">
        <f t="shared" si="8"/>
        <v>0.25645861170298184</v>
      </c>
      <c r="T106" s="38" t="str">
        <f t="shared" si="9"/>
        <v/>
      </c>
      <c r="U106" s="31" t="s">
        <v>1876</v>
      </c>
      <c r="V106" s="31"/>
    </row>
    <row r="107" spans="1:22" ht="30">
      <c r="A107" s="7">
        <v>6</v>
      </c>
      <c r="B107" s="7">
        <v>53</v>
      </c>
      <c r="C107" s="7">
        <v>46305.583333333336</v>
      </c>
      <c r="D107" s="7" t="s">
        <v>44</v>
      </c>
      <c r="E107" s="7" t="s">
        <v>41</v>
      </c>
      <c r="F107" s="7" t="s">
        <v>1743</v>
      </c>
      <c r="G107" s="7">
        <v>3</v>
      </c>
      <c r="H107" s="37">
        <f>Priors!$H$27*VLOOKUP(D107,Team_26_27!$A$2:$U$21,20,FALSE)*VLOOKUP(E107,Team_26_27!$A$2:$U$21,21,FALSE)*IF(F107="H",Priors!$H$28,Priors!$H$29)</f>
        <v>1.8173757717427925</v>
      </c>
      <c r="I107" s="37">
        <f>Priors!$H$27*VLOOKUP(E107,Team_26_27!$A$2:$U$21,20,FALSE)*VLOOKUP(D107,Team_26_27!$A$2:$U$21,21,FALSE)*IF(F107="H",Priors!$H$29,Priors!$H$28)</f>
        <v>1.3607879852740083</v>
      </c>
      <c r="J107" s="15"/>
      <c r="K107" s="15"/>
      <c r="L107" s="47" t="b">
        <v>0</v>
      </c>
      <c r="M107" s="45">
        <v>0</v>
      </c>
      <c r="N107" s="45"/>
      <c r="O107" s="45"/>
      <c r="P107" s="38">
        <f t="shared" si="5"/>
        <v>1.8173757717427925</v>
      </c>
      <c r="Q107" s="38">
        <f t="shared" si="6"/>
        <v>1.3607879852740083</v>
      </c>
      <c r="R107" s="17">
        <f t="shared" si="7"/>
        <v>0.25645861170298184</v>
      </c>
      <c r="S107" s="17">
        <f t="shared" si="8"/>
        <v>0.16245150187737453</v>
      </c>
      <c r="T107" s="38" t="str">
        <f t="shared" si="9"/>
        <v/>
      </c>
      <c r="U107" s="31" t="s">
        <v>1876</v>
      </c>
      <c r="V107" s="31"/>
    </row>
    <row r="108" spans="1:22" ht="30">
      <c r="A108" s="7">
        <v>6</v>
      </c>
      <c r="B108" s="7">
        <v>54</v>
      </c>
      <c r="C108" s="7">
        <v>46305.583333333336</v>
      </c>
      <c r="D108" s="7" t="s">
        <v>55</v>
      </c>
      <c r="E108" s="7" t="s">
        <v>45</v>
      </c>
      <c r="F108" s="7" t="s">
        <v>1742</v>
      </c>
      <c r="G108" s="7">
        <v>2</v>
      </c>
      <c r="H108" s="37">
        <f>Priors!$H$27*VLOOKUP(D108,Team_26_27!$A$2:$U$21,20,FALSE)*VLOOKUP(E108,Team_26_27!$A$2:$U$21,21,FALSE)*IF(F108="H",Priors!$H$28,Priors!$H$29)</f>
        <v>1.6456103883151603</v>
      </c>
      <c r="I108" s="37">
        <f>Priors!$H$27*VLOOKUP(E108,Team_26_27!$A$2:$U$21,20,FALSE)*VLOOKUP(D108,Team_26_27!$A$2:$U$21,21,FALSE)*IF(F108="H",Priors!$H$29,Priors!$H$28)</f>
        <v>1.1908953174601808</v>
      </c>
      <c r="J108" s="15"/>
      <c r="K108" s="15"/>
      <c r="L108" s="47" t="b">
        <v>0</v>
      </c>
      <c r="M108" s="45">
        <v>0</v>
      </c>
      <c r="N108" s="45"/>
      <c r="O108" s="45"/>
      <c r="P108" s="38">
        <f t="shared" si="5"/>
        <v>1.6456103883151603</v>
      </c>
      <c r="Q108" s="38">
        <f t="shared" si="6"/>
        <v>1.1908953174601808</v>
      </c>
      <c r="R108" s="17">
        <f t="shared" si="7"/>
        <v>0.30394901135171781</v>
      </c>
      <c r="S108" s="17">
        <f t="shared" si="8"/>
        <v>0.19289478612915992</v>
      </c>
      <c r="T108" s="38" t="str">
        <f t="shared" si="9"/>
        <v/>
      </c>
      <c r="U108" s="31" t="s">
        <v>1876</v>
      </c>
      <c r="V108" s="31"/>
    </row>
    <row r="109" spans="1:22" ht="30">
      <c r="A109" s="7">
        <v>6</v>
      </c>
      <c r="B109" s="7">
        <v>54</v>
      </c>
      <c r="C109" s="7">
        <v>46305.583333333336</v>
      </c>
      <c r="D109" s="7" t="s">
        <v>45</v>
      </c>
      <c r="E109" s="7" t="s">
        <v>55</v>
      </c>
      <c r="F109" s="7" t="s">
        <v>1743</v>
      </c>
      <c r="G109" s="7">
        <v>2</v>
      </c>
      <c r="H109" s="37">
        <f>Priors!$H$27*VLOOKUP(D109,Team_26_27!$A$2:$U$21,20,FALSE)*VLOOKUP(E109,Team_26_27!$A$2:$U$21,21,FALSE)*IF(F109="H",Priors!$H$28,Priors!$H$29)</f>
        <v>1.1908953174601808</v>
      </c>
      <c r="I109" s="37">
        <f>Priors!$H$27*VLOOKUP(E109,Team_26_27!$A$2:$U$21,20,FALSE)*VLOOKUP(D109,Team_26_27!$A$2:$U$21,21,FALSE)*IF(F109="H",Priors!$H$29,Priors!$H$28)</f>
        <v>1.6456103883151603</v>
      </c>
      <c r="J109" s="15"/>
      <c r="K109" s="15"/>
      <c r="L109" s="47" t="b">
        <v>0</v>
      </c>
      <c r="M109" s="45">
        <v>0</v>
      </c>
      <c r="N109" s="45"/>
      <c r="O109" s="45"/>
      <c r="P109" s="38">
        <f t="shared" si="5"/>
        <v>1.1908953174601808</v>
      </c>
      <c r="Q109" s="38">
        <f t="shared" si="6"/>
        <v>1.6456103883151603</v>
      </c>
      <c r="R109" s="17">
        <f t="shared" si="7"/>
        <v>0.19289478612915992</v>
      </c>
      <c r="S109" s="17">
        <f t="shared" si="8"/>
        <v>0.30394901135171781</v>
      </c>
      <c r="T109" s="38" t="str">
        <f t="shared" si="9"/>
        <v/>
      </c>
      <c r="U109" s="31" t="s">
        <v>1876</v>
      </c>
      <c r="V109" s="31"/>
    </row>
    <row r="110" spans="1:22" ht="30">
      <c r="A110" s="7">
        <v>6</v>
      </c>
      <c r="B110" s="7">
        <v>55</v>
      </c>
      <c r="C110" s="7">
        <v>46305.583333333336</v>
      </c>
      <c r="D110" s="7" t="s">
        <v>56</v>
      </c>
      <c r="E110" s="7" t="s">
        <v>46</v>
      </c>
      <c r="F110" s="7" t="s">
        <v>1742</v>
      </c>
      <c r="G110" s="7">
        <v>3</v>
      </c>
      <c r="H110" s="37">
        <f>Priors!$H$27*VLOOKUP(D110,Team_26_27!$A$2:$U$21,20,FALSE)*VLOOKUP(E110,Team_26_27!$A$2:$U$21,21,FALSE)*IF(F110="H",Priors!$H$28,Priors!$H$29)</f>
        <v>1.1505910655442262</v>
      </c>
      <c r="I110" s="37">
        <f>Priors!$H$27*VLOOKUP(E110,Team_26_27!$A$2:$U$21,20,FALSE)*VLOOKUP(D110,Team_26_27!$A$2:$U$21,21,FALSE)*IF(F110="H",Priors!$H$29,Priors!$H$28)</f>
        <v>1.6885680338775844</v>
      </c>
      <c r="J110" s="15"/>
      <c r="K110" s="15"/>
      <c r="L110" s="47" t="b">
        <v>0</v>
      </c>
      <c r="M110" s="45">
        <v>0</v>
      </c>
      <c r="N110" s="45"/>
      <c r="O110" s="45"/>
      <c r="P110" s="38">
        <f t="shared" si="5"/>
        <v>1.1505910655442262</v>
      </c>
      <c r="Q110" s="38">
        <f t="shared" si="6"/>
        <v>1.6885680338775844</v>
      </c>
      <c r="R110" s="17">
        <f t="shared" si="7"/>
        <v>0.1847839389717349</v>
      </c>
      <c r="S110" s="17">
        <f t="shared" si="8"/>
        <v>0.31644967159361237</v>
      </c>
      <c r="T110" s="38" t="str">
        <f t="shared" si="9"/>
        <v/>
      </c>
      <c r="U110" s="31" t="s">
        <v>1876</v>
      </c>
      <c r="V110" s="31"/>
    </row>
    <row r="111" spans="1:22" ht="30">
      <c r="A111" s="7">
        <v>6</v>
      </c>
      <c r="B111" s="7">
        <v>55</v>
      </c>
      <c r="C111" s="7">
        <v>46305.583333333336</v>
      </c>
      <c r="D111" s="7" t="s">
        <v>46</v>
      </c>
      <c r="E111" s="7" t="s">
        <v>56</v>
      </c>
      <c r="F111" s="7" t="s">
        <v>1743</v>
      </c>
      <c r="G111" s="7">
        <v>3</v>
      </c>
      <c r="H111" s="37">
        <f>Priors!$H$27*VLOOKUP(D111,Team_26_27!$A$2:$U$21,20,FALSE)*VLOOKUP(E111,Team_26_27!$A$2:$U$21,21,FALSE)*IF(F111="H",Priors!$H$28,Priors!$H$29)</f>
        <v>1.6885680338775844</v>
      </c>
      <c r="I111" s="37">
        <f>Priors!$H$27*VLOOKUP(E111,Team_26_27!$A$2:$U$21,20,FALSE)*VLOOKUP(D111,Team_26_27!$A$2:$U$21,21,FALSE)*IF(F111="H",Priors!$H$29,Priors!$H$28)</f>
        <v>1.1505910655442262</v>
      </c>
      <c r="J111" s="15"/>
      <c r="K111" s="15"/>
      <c r="L111" s="47" t="b">
        <v>0</v>
      </c>
      <c r="M111" s="45">
        <v>0</v>
      </c>
      <c r="N111" s="45"/>
      <c r="O111" s="45"/>
      <c r="P111" s="38">
        <f t="shared" si="5"/>
        <v>1.6885680338775844</v>
      </c>
      <c r="Q111" s="38">
        <f t="shared" si="6"/>
        <v>1.1505910655442262</v>
      </c>
      <c r="R111" s="17">
        <f t="shared" si="7"/>
        <v>0.31644967159361237</v>
      </c>
      <c r="S111" s="17">
        <f t="shared" si="8"/>
        <v>0.1847839389717349</v>
      </c>
      <c r="T111" s="38" t="str">
        <f t="shared" si="9"/>
        <v/>
      </c>
      <c r="U111" s="31" t="s">
        <v>1876</v>
      </c>
      <c r="V111" s="31"/>
    </row>
    <row r="112" spans="1:22" ht="30">
      <c r="A112" s="7">
        <v>6</v>
      </c>
      <c r="B112" s="7">
        <v>56</v>
      </c>
      <c r="C112" s="7">
        <v>46305.583333333336</v>
      </c>
      <c r="D112" s="7" t="s">
        <v>47</v>
      </c>
      <c r="E112" s="7" t="s">
        <v>49</v>
      </c>
      <c r="F112" s="7" t="s">
        <v>1742</v>
      </c>
      <c r="G112" s="7">
        <v>2</v>
      </c>
      <c r="H112" s="37">
        <f>Priors!$H$27*VLOOKUP(D112,Team_26_27!$A$2:$U$21,20,FALSE)*VLOOKUP(E112,Team_26_27!$A$2:$U$21,21,FALSE)*IF(F112="H",Priors!$H$28,Priors!$H$29)</f>
        <v>1.573035040410014</v>
      </c>
      <c r="I112" s="37">
        <f>Priors!$H$27*VLOOKUP(E112,Team_26_27!$A$2:$U$21,20,FALSE)*VLOOKUP(D112,Team_26_27!$A$2:$U$21,21,FALSE)*IF(F112="H",Priors!$H$29,Priors!$H$28)</f>
        <v>1.1208839327886262</v>
      </c>
      <c r="J112" s="15"/>
      <c r="K112" s="15"/>
      <c r="L112" s="47" t="b">
        <v>0</v>
      </c>
      <c r="M112" s="45">
        <v>0</v>
      </c>
      <c r="N112" s="45"/>
      <c r="O112" s="45"/>
      <c r="P112" s="38">
        <f t="shared" si="5"/>
        <v>1.573035040410014</v>
      </c>
      <c r="Q112" s="38">
        <f t="shared" si="6"/>
        <v>1.1208839327886262</v>
      </c>
      <c r="R112" s="17">
        <f t="shared" si="7"/>
        <v>0.32599151264402321</v>
      </c>
      <c r="S112" s="17">
        <f t="shared" si="8"/>
        <v>0.20741471405380851</v>
      </c>
      <c r="T112" s="38" t="str">
        <f t="shared" si="9"/>
        <v/>
      </c>
      <c r="U112" s="31" t="s">
        <v>1876</v>
      </c>
      <c r="V112" s="31"/>
    </row>
    <row r="113" spans="1:22" ht="30">
      <c r="A113" s="7">
        <v>6</v>
      </c>
      <c r="B113" s="7">
        <v>56</v>
      </c>
      <c r="C113" s="7">
        <v>46305.583333333336</v>
      </c>
      <c r="D113" s="7" t="s">
        <v>49</v>
      </c>
      <c r="E113" s="7" t="s">
        <v>47</v>
      </c>
      <c r="F113" s="7" t="s">
        <v>1743</v>
      </c>
      <c r="G113" s="7">
        <v>3</v>
      </c>
      <c r="H113" s="37">
        <f>Priors!$H$27*VLOOKUP(D113,Team_26_27!$A$2:$U$21,20,FALSE)*VLOOKUP(E113,Team_26_27!$A$2:$U$21,21,FALSE)*IF(F113="H",Priors!$H$28,Priors!$H$29)</f>
        <v>1.1208839327886262</v>
      </c>
      <c r="I113" s="37">
        <f>Priors!$H$27*VLOOKUP(E113,Team_26_27!$A$2:$U$21,20,FALSE)*VLOOKUP(D113,Team_26_27!$A$2:$U$21,21,FALSE)*IF(F113="H",Priors!$H$29,Priors!$H$28)</f>
        <v>1.573035040410014</v>
      </c>
      <c r="J113" s="15"/>
      <c r="K113" s="15"/>
      <c r="L113" s="47" t="b">
        <v>0</v>
      </c>
      <c r="M113" s="45">
        <v>0</v>
      </c>
      <c r="N113" s="45"/>
      <c r="O113" s="45"/>
      <c r="P113" s="38">
        <f t="shared" si="5"/>
        <v>1.1208839327886262</v>
      </c>
      <c r="Q113" s="38">
        <f t="shared" si="6"/>
        <v>1.573035040410014</v>
      </c>
      <c r="R113" s="17">
        <f t="shared" si="7"/>
        <v>0.20741471405380851</v>
      </c>
      <c r="S113" s="17">
        <f t="shared" si="8"/>
        <v>0.32599151264402321</v>
      </c>
      <c r="T113" s="38" t="str">
        <f t="shared" si="9"/>
        <v/>
      </c>
      <c r="U113" s="31" t="s">
        <v>1876</v>
      </c>
      <c r="V113" s="31"/>
    </row>
    <row r="114" spans="1:22" ht="30">
      <c r="A114" s="7">
        <v>6</v>
      </c>
      <c r="B114" s="7">
        <v>57</v>
      </c>
      <c r="C114" s="7">
        <v>46305.583333333336</v>
      </c>
      <c r="D114" s="7" t="s">
        <v>48</v>
      </c>
      <c r="E114" s="7" t="s">
        <v>50</v>
      </c>
      <c r="F114" s="7" t="s">
        <v>1742</v>
      </c>
      <c r="G114" s="7">
        <v>2</v>
      </c>
      <c r="H114" s="37">
        <f>Priors!$H$27*VLOOKUP(D114,Team_26_27!$A$2:$U$21,20,FALSE)*VLOOKUP(E114,Team_26_27!$A$2:$U$21,21,FALSE)*IF(F114="H",Priors!$H$28,Priors!$H$29)</f>
        <v>1.4760863283544157</v>
      </c>
      <c r="I114" s="37">
        <f>Priors!$H$27*VLOOKUP(E114,Team_26_27!$A$2:$U$21,20,FALSE)*VLOOKUP(D114,Team_26_27!$A$2:$U$21,21,FALSE)*IF(F114="H",Priors!$H$29,Priors!$H$28)</f>
        <v>1.1758763800784555</v>
      </c>
      <c r="J114" s="15"/>
      <c r="K114" s="15"/>
      <c r="L114" s="47" t="b">
        <v>0</v>
      </c>
      <c r="M114" s="45">
        <v>0</v>
      </c>
      <c r="N114" s="45"/>
      <c r="O114" s="45"/>
      <c r="P114" s="38">
        <f t="shared" si="5"/>
        <v>1.4760863283544157</v>
      </c>
      <c r="Q114" s="38">
        <f t="shared" si="6"/>
        <v>1.1758763800784555</v>
      </c>
      <c r="R114" s="17">
        <f t="shared" si="7"/>
        <v>0.3085484554447156</v>
      </c>
      <c r="S114" s="17">
        <f t="shared" si="8"/>
        <v>0.22853033317022847</v>
      </c>
      <c r="T114" s="38" t="str">
        <f t="shared" si="9"/>
        <v/>
      </c>
      <c r="U114" s="31" t="s">
        <v>1876</v>
      </c>
      <c r="V114" s="31"/>
    </row>
    <row r="115" spans="1:22" ht="30">
      <c r="A115" s="7">
        <v>6</v>
      </c>
      <c r="B115" s="7">
        <v>57</v>
      </c>
      <c r="C115" s="7">
        <v>46305.583333333336</v>
      </c>
      <c r="D115" s="7" t="s">
        <v>50</v>
      </c>
      <c r="E115" s="7" t="s">
        <v>48</v>
      </c>
      <c r="F115" s="7" t="s">
        <v>1743</v>
      </c>
      <c r="G115" s="7">
        <v>2</v>
      </c>
      <c r="H115" s="37">
        <f>Priors!$H$27*VLOOKUP(D115,Team_26_27!$A$2:$U$21,20,FALSE)*VLOOKUP(E115,Team_26_27!$A$2:$U$21,21,FALSE)*IF(F115="H",Priors!$H$28,Priors!$H$29)</f>
        <v>1.1758763800784555</v>
      </c>
      <c r="I115" s="37">
        <f>Priors!$H$27*VLOOKUP(E115,Team_26_27!$A$2:$U$21,20,FALSE)*VLOOKUP(D115,Team_26_27!$A$2:$U$21,21,FALSE)*IF(F115="H",Priors!$H$29,Priors!$H$28)</f>
        <v>1.4760863283544157</v>
      </c>
      <c r="J115" s="15"/>
      <c r="K115" s="15"/>
      <c r="L115" s="47" t="b">
        <v>0</v>
      </c>
      <c r="M115" s="45">
        <v>0</v>
      </c>
      <c r="N115" s="45"/>
      <c r="O115" s="45"/>
      <c r="P115" s="38">
        <f t="shared" si="5"/>
        <v>1.1758763800784555</v>
      </c>
      <c r="Q115" s="38">
        <f t="shared" si="6"/>
        <v>1.4760863283544157</v>
      </c>
      <c r="R115" s="17">
        <f t="shared" si="7"/>
        <v>0.22853033317022847</v>
      </c>
      <c r="S115" s="17">
        <f t="shared" si="8"/>
        <v>0.3085484554447156</v>
      </c>
      <c r="T115" s="38" t="str">
        <f t="shared" si="9"/>
        <v/>
      </c>
      <c r="U115" s="31" t="s">
        <v>1876</v>
      </c>
      <c r="V115" s="31"/>
    </row>
    <row r="116" spans="1:22" ht="30">
      <c r="A116" s="7">
        <v>6</v>
      </c>
      <c r="B116" s="7">
        <v>58</v>
      </c>
      <c r="C116" s="7">
        <v>46305.583333333336</v>
      </c>
      <c r="D116" s="7" t="s">
        <v>53</v>
      </c>
      <c r="E116" s="7" t="s">
        <v>52</v>
      </c>
      <c r="F116" s="7" t="s">
        <v>1742</v>
      </c>
      <c r="G116" s="7">
        <v>4</v>
      </c>
      <c r="H116" s="37">
        <f>Priors!$H$27*VLOOKUP(D116,Team_26_27!$A$2:$U$21,20,FALSE)*VLOOKUP(E116,Team_26_27!$A$2:$U$21,21,FALSE)*IF(F116="H",Priors!$H$28,Priors!$H$29)</f>
        <v>1.410033154829144</v>
      </c>
      <c r="I116" s="37">
        <f>Priors!$H$27*VLOOKUP(E116,Team_26_27!$A$2:$U$21,20,FALSE)*VLOOKUP(D116,Team_26_27!$A$2:$U$21,21,FALSE)*IF(F116="H",Priors!$H$29,Priors!$H$28)</f>
        <v>1.5138282165373542</v>
      </c>
      <c r="J116" s="15"/>
      <c r="K116" s="15"/>
      <c r="L116" s="47" t="b">
        <v>0</v>
      </c>
      <c r="M116" s="45">
        <v>0</v>
      </c>
      <c r="N116" s="45"/>
      <c r="O116" s="45"/>
      <c r="P116" s="38">
        <f t="shared" si="5"/>
        <v>1.410033154829144</v>
      </c>
      <c r="Q116" s="38">
        <f t="shared" si="6"/>
        <v>1.5138282165373542</v>
      </c>
      <c r="R116" s="17">
        <f t="shared" si="7"/>
        <v>0.22006590340940582</v>
      </c>
      <c r="S116" s="17">
        <f t="shared" si="8"/>
        <v>0.24413518875878235</v>
      </c>
      <c r="T116" s="38" t="str">
        <f t="shared" si="9"/>
        <v/>
      </c>
      <c r="U116" s="31" t="s">
        <v>1876</v>
      </c>
      <c r="V116" s="31"/>
    </row>
    <row r="117" spans="1:22" ht="30">
      <c r="A117" s="7">
        <v>6</v>
      </c>
      <c r="B117" s="7">
        <v>58</v>
      </c>
      <c r="C117" s="7">
        <v>46305.583333333336</v>
      </c>
      <c r="D117" s="7" t="s">
        <v>52</v>
      </c>
      <c r="E117" s="7" t="s">
        <v>53</v>
      </c>
      <c r="F117" s="7" t="s">
        <v>1743</v>
      </c>
      <c r="G117" s="7">
        <v>4</v>
      </c>
      <c r="H117" s="37">
        <f>Priors!$H$27*VLOOKUP(D117,Team_26_27!$A$2:$U$21,20,FALSE)*VLOOKUP(E117,Team_26_27!$A$2:$U$21,21,FALSE)*IF(F117="H",Priors!$H$28,Priors!$H$29)</f>
        <v>1.5138282165373542</v>
      </c>
      <c r="I117" s="37">
        <f>Priors!$H$27*VLOOKUP(E117,Team_26_27!$A$2:$U$21,20,FALSE)*VLOOKUP(D117,Team_26_27!$A$2:$U$21,21,FALSE)*IF(F117="H",Priors!$H$29,Priors!$H$28)</f>
        <v>1.410033154829144</v>
      </c>
      <c r="J117" s="15"/>
      <c r="K117" s="15"/>
      <c r="L117" s="47" t="b">
        <v>0</v>
      </c>
      <c r="M117" s="45">
        <v>0</v>
      </c>
      <c r="N117" s="45"/>
      <c r="O117" s="45"/>
      <c r="P117" s="38">
        <f t="shared" si="5"/>
        <v>1.5138282165373542</v>
      </c>
      <c r="Q117" s="38">
        <f t="shared" si="6"/>
        <v>1.410033154829144</v>
      </c>
      <c r="R117" s="17">
        <f t="shared" si="7"/>
        <v>0.24413518875878235</v>
      </c>
      <c r="S117" s="17">
        <f t="shared" si="8"/>
        <v>0.22006590340940582</v>
      </c>
      <c r="T117" s="38" t="str">
        <f t="shared" si="9"/>
        <v/>
      </c>
      <c r="U117" s="31" t="s">
        <v>1876</v>
      </c>
      <c r="V117" s="31"/>
    </row>
    <row r="118" spans="1:22" ht="30">
      <c r="A118" s="7">
        <v>6</v>
      </c>
      <c r="B118" s="7">
        <v>59</v>
      </c>
      <c r="C118" s="7">
        <v>46305.583333333336</v>
      </c>
      <c r="D118" s="7" t="s">
        <v>57</v>
      </c>
      <c r="E118" s="7" t="s">
        <v>54</v>
      </c>
      <c r="F118" s="7" t="s">
        <v>1742</v>
      </c>
      <c r="G118" s="7">
        <v>4</v>
      </c>
      <c r="H118" s="37">
        <f>Priors!$H$27*VLOOKUP(D118,Team_26_27!$A$2:$U$21,20,FALSE)*VLOOKUP(E118,Team_26_27!$A$2:$U$21,21,FALSE)*IF(F118="H",Priors!$H$28,Priors!$H$29)</f>
        <v>0.97860448958813284</v>
      </c>
      <c r="I118" s="37">
        <f>Priors!$H$27*VLOOKUP(E118,Team_26_27!$A$2:$U$21,20,FALSE)*VLOOKUP(D118,Team_26_27!$A$2:$U$21,21,FALSE)*IF(F118="H",Priors!$H$29,Priors!$H$28)</f>
        <v>1.7652366388967333</v>
      </c>
      <c r="J118" s="15"/>
      <c r="K118" s="15"/>
      <c r="L118" s="47" t="b">
        <v>0</v>
      </c>
      <c r="M118" s="45">
        <v>0</v>
      </c>
      <c r="N118" s="45"/>
      <c r="O118" s="45"/>
      <c r="P118" s="38">
        <f t="shared" si="5"/>
        <v>0.97860448958813284</v>
      </c>
      <c r="Q118" s="38">
        <f t="shared" si="6"/>
        <v>1.7652366388967333</v>
      </c>
      <c r="R118" s="17">
        <f t="shared" si="7"/>
        <v>0.17114628182532982</v>
      </c>
      <c r="S118" s="17">
        <f t="shared" si="8"/>
        <v>0.37583521501726175</v>
      </c>
      <c r="T118" s="38" t="str">
        <f t="shared" si="9"/>
        <v/>
      </c>
      <c r="U118" s="31" t="s">
        <v>1876</v>
      </c>
      <c r="V118" s="31"/>
    </row>
    <row r="119" spans="1:22" ht="30">
      <c r="A119" s="7">
        <v>6</v>
      </c>
      <c r="B119" s="7">
        <v>59</v>
      </c>
      <c r="C119" s="7">
        <v>46305.583333333336</v>
      </c>
      <c r="D119" s="7" t="s">
        <v>54</v>
      </c>
      <c r="E119" s="7" t="s">
        <v>57</v>
      </c>
      <c r="F119" s="7" t="s">
        <v>1743</v>
      </c>
      <c r="G119" s="7">
        <v>3</v>
      </c>
      <c r="H119" s="37">
        <f>Priors!$H$27*VLOOKUP(D119,Team_26_27!$A$2:$U$21,20,FALSE)*VLOOKUP(E119,Team_26_27!$A$2:$U$21,21,FALSE)*IF(F119="H",Priors!$H$28,Priors!$H$29)</f>
        <v>1.7652366388967333</v>
      </c>
      <c r="I119" s="37">
        <f>Priors!$H$27*VLOOKUP(E119,Team_26_27!$A$2:$U$21,20,FALSE)*VLOOKUP(D119,Team_26_27!$A$2:$U$21,21,FALSE)*IF(F119="H",Priors!$H$29,Priors!$H$28)</f>
        <v>0.97860448958813284</v>
      </c>
      <c r="J119" s="15"/>
      <c r="K119" s="15"/>
      <c r="L119" s="47" t="b">
        <v>0</v>
      </c>
      <c r="M119" s="45">
        <v>0</v>
      </c>
      <c r="N119" s="45"/>
      <c r="O119" s="45"/>
      <c r="P119" s="38">
        <f t="shared" si="5"/>
        <v>1.7652366388967333</v>
      </c>
      <c r="Q119" s="38">
        <f t="shared" si="6"/>
        <v>0.97860448958813284</v>
      </c>
      <c r="R119" s="17">
        <f t="shared" si="7"/>
        <v>0.37583521501726175</v>
      </c>
      <c r="S119" s="17">
        <f t="shared" si="8"/>
        <v>0.17114628182532982</v>
      </c>
      <c r="T119" s="38" t="str">
        <f t="shared" si="9"/>
        <v/>
      </c>
      <c r="U119" s="31" t="s">
        <v>1876</v>
      </c>
      <c r="V119" s="31"/>
    </row>
    <row r="120" spans="1:22" ht="30">
      <c r="A120" s="7">
        <v>6</v>
      </c>
      <c r="B120" s="7">
        <v>60</v>
      </c>
      <c r="C120" s="7">
        <v>46305.583333333336</v>
      </c>
      <c r="D120" s="7" t="s">
        <v>43</v>
      </c>
      <c r="E120" s="7" t="s">
        <v>58</v>
      </c>
      <c r="F120" s="7" t="s">
        <v>1742</v>
      </c>
      <c r="G120" s="7">
        <v>3</v>
      </c>
      <c r="H120" s="37">
        <f>Priors!$H$27*VLOOKUP(D120,Team_26_27!$A$2:$U$21,20,FALSE)*VLOOKUP(E120,Team_26_27!$A$2:$U$21,21,FALSE)*IF(F120="H",Priors!$H$28,Priors!$H$29)</f>
        <v>1.3599283789146688</v>
      </c>
      <c r="I120" s="37">
        <f>Priors!$H$27*VLOOKUP(E120,Team_26_27!$A$2:$U$21,20,FALSE)*VLOOKUP(D120,Team_26_27!$A$2:$U$21,21,FALSE)*IF(F120="H",Priors!$H$29,Priors!$H$28)</f>
        <v>1.1833422250875709</v>
      </c>
      <c r="J120" s="15"/>
      <c r="K120" s="15"/>
      <c r="L120" s="47" t="b">
        <v>0</v>
      </c>
      <c r="M120" s="45">
        <v>0</v>
      </c>
      <c r="N120" s="45"/>
      <c r="O120" s="45"/>
      <c r="P120" s="38">
        <f t="shared" si="5"/>
        <v>1.3599283789146688</v>
      </c>
      <c r="Q120" s="38">
        <f t="shared" si="6"/>
        <v>1.1833422250875709</v>
      </c>
      <c r="R120" s="17">
        <f t="shared" si="7"/>
        <v>0.30625345820543654</v>
      </c>
      <c r="S120" s="17">
        <f t="shared" si="8"/>
        <v>0.25667915993525992</v>
      </c>
      <c r="T120" s="38" t="str">
        <f t="shared" si="9"/>
        <v/>
      </c>
      <c r="U120" s="31" t="s">
        <v>1876</v>
      </c>
      <c r="V120" s="31"/>
    </row>
    <row r="121" spans="1:22" ht="30">
      <c r="A121" s="7">
        <v>6</v>
      </c>
      <c r="B121" s="7">
        <v>60</v>
      </c>
      <c r="C121" s="7">
        <v>46305.583333333336</v>
      </c>
      <c r="D121" s="7" t="s">
        <v>58</v>
      </c>
      <c r="E121" s="7" t="s">
        <v>43</v>
      </c>
      <c r="F121" s="7" t="s">
        <v>1743</v>
      </c>
      <c r="G121" s="7">
        <v>2</v>
      </c>
      <c r="H121" s="37">
        <f>Priors!$H$27*VLOOKUP(D121,Team_26_27!$A$2:$U$21,20,FALSE)*VLOOKUP(E121,Team_26_27!$A$2:$U$21,21,FALSE)*IF(F121="H",Priors!$H$28,Priors!$H$29)</f>
        <v>1.1833422250875709</v>
      </c>
      <c r="I121" s="37">
        <f>Priors!$H$27*VLOOKUP(E121,Team_26_27!$A$2:$U$21,20,FALSE)*VLOOKUP(D121,Team_26_27!$A$2:$U$21,21,FALSE)*IF(F121="H",Priors!$H$29,Priors!$H$28)</f>
        <v>1.3599283789146688</v>
      </c>
      <c r="J121" s="15"/>
      <c r="K121" s="15"/>
      <c r="L121" s="47" t="b">
        <v>0</v>
      </c>
      <c r="M121" s="45">
        <v>0</v>
      </c>
      <c r="N121" s="45"/>
      <c r="O121" s="45"/>
      <c r="P121" s="38">
        <f t="shared" si="5"/>
        <v>1.1833422250875709</v>
      </c>
      <c r="Q121" s="38">
        <f t="shared" si="6"/>
        <v>1.3599283789146688</v>
      </c>
      <c r="R121" s="17">
        <f t="shared" si="7"/>
        <v>0.25667915993525992</v>
      </c>
      <c r="S121" s="17">
        <f t="shared" si="8"/>
        <v>0.30625345820543654</v>
      </c>
      <c r="T121" s="38" t="str">
        <f t="shared" si="9"/>
        <v/>
      </c>
      <c r="U121" s="31" t="s">
        <v>1876</v>
      </c>
      <c r="V121" s="31"/>
    </row>
    <row r="122" spans="1:22" ht="30">
      <c r="A122" s="7">
        <v>7</v>
      </c>
      <c r="B122" s="7">
        <v>61</v>
      </c>
      <c r="C122" s="7">
        <v>46312.583333333336</v>
      </c>
      <c r="D122" s="7" t="s">
        <v>58</v>
      </c>
      <c r="E122" s="7" t="s">
        <v>41</v>
      </c>
      <c r="F122" s="7" t="s">
        <v>1742</v>
      </c>
      <c r="G122" s="7">
        <v>3</v>
      </c>
      <c r="H122" s="37">
        <f>Priors!$H$27*VLOOKUP(D122,Team_26_27!$A$2:$U$21,20,FALSE)*VLOOKUP(E122,Team_26_27!$A$2:$U$21,21,FALSE)*IF(F122="H",Priors!$H$28,Priors!$H$29)</f>
        <v>1.0612895652060823</v>
      </c>
      <c r="I122" s="37">
        <f>Priors!$H$27*VLOOKUP(E122,Team_26_27!$A$2:$U$21,20,FALSE)*VLOOKUP(D122,Team_26_27!$A$2:$U$21,21,FALSE)*IF(F122="H",Priors!$H$29,Priors!$H$28)</f>
        <v>1.7057464760053906</v>
      </c>
      <c r="J122" s="15"/>
      <c r="K122" s="15"/>
      <c r="L122" s="47" t="b">
        <v>0</v>
      </c>
      <c r="M122" s="45">
        <v>0</v>
      </c>
      <c r="N122" s="45"/>
      <c r="O122" s="45"/>
      <c r="P122" s="38">
        <f t="shared" si="5"/>
        <v>1.0612895652060823</v>
      </c>
      <c r="Q122" s="38">
        <f t="shared" si="6"/>
        <v>1.7057464760053906</v>
      </c>
      <c r="R122" s="17">
        <f t="shared" si="7"/>
        <v>0.1816367480822344</v>
      </c>
      <c r="S122" s="17">
        <f t="shared" si="8"/>
        <v>0.34600932092208864</v>
      </c>
      <c r="T122" s="38" t="str">
        <f t="shared" si="9"/>
        <v/>
      </c>
      <c r="U122" s="31" t="s">
        <v>1876</v>
      </c>
      <c r="V122" s="31"/>
    </row>
    <row r="123" spans="1:22" ht="30">
      <c r="A123" s="7">
        <v>7</v>
      </c>
      <c r="B123" s="7">
        <v>61</v>
      </c>
      <c r="C123" s="7">
        <v>46312.583333333336</v>
      </c>
      <c r="D123" s="7" t="s">
        <v>41</v>
      </c>
      <c r="E123" s="7" t="s">
        <v>58</v>
      </c>
      <c r="F123" s="7" t="s">
        <v>1743</v>
      </c>
      <c r="G123" s="7">
        <v>2</v>
      </c>
      <c r="H123" s="37">
        <f>Priors!$H$27*VLOOKUP(D123,Team_26_27!$A$2:$U$21,20,FALSE)*VLOOKUP(E123,Team_26_27!$A$2:$U$21,21,FALSE)*IF(F123="H",Priors!$H$28,Priors!$H$29)</f>
        <v>1.7057464760053906</v>
      </c>
      <c r="I123" s="37">
        <f>Priors!$H$27*VLOOKUP(E123,Team_26_27!$A$2:$U$21,20,FALSE)*VLOOKUP(D123,Team_26_27!$A$2:$U$21,21,FALSE)*IF(F123="H",Priors!$H$29,Priors!$H$28)</f>
        <v>1.0612895652060823</v>
      </c>
      <c r="J123" s="15"/>
      <c r="K123" s="15"/>
      <c r="L123" s="47" t="b">
        <v>0</v>
      </c>
      <c r="M123" s="45">
        <v>0</v>
      </c>
      <c r="N123" s="45"/>
      <c r="O123" s="45"/>
      <c r="P123" s="38">
        <f t="shared" si="5"/>
        <v>1.7057464760053906</v>
      </c>
      <c r="Q123" s="38">
        <f t="shared" si="6"/>
        <v>1.0612895652060823</v>
      </c>
      <c r="R123" s="17">
        <f t="shared" si="7"/>
        <v>0.34600932092208864</v>
      </c>
      <c r="S123" s="17">
        <f t="shared" si="8"/>
        <v>0.1816367480822344</v>
      </c>
      <c r="T123" s="38" t="str">
        <f t="shared" si="9"/>
        <v/>
      </c>
      <c r="U123" s="31" t="s">
        <v>1876</v>
      </c>
      <c r="V123" s="31"/>
    </row>
    <row r="124" spans="1:22" ht="30">
      <c r="A124" s="7">
        <v>7</v>
      </c>
      <c r="B124" s="7">
        <v>62</v>
      </c>
      <c r="C124" s="7">
        <v>46312.583333333336</v>
      </c>
      <c r="D124" s="7" t="s">
        <v>52</v>
      </c>
      <c r="E124" s="7" t="s">
        <v>42</v>
      </c>
      <c r="F124" s="7" t="s">
        <v>1742</v>
      </c>
      <c r="G124" s="7">
        <v>3</v>
      </c>
      <c r="H124" s="37">
        <f>Priors!$H$27*VLOOKUP(D124,Team_26_27!$A$2:$U$21,20,FALSE)*VLOOKUP(E124,Team_26_27!$A$2:$U$21,21,FALSE)*IF(F124="H",Priors!$H$28,Priors!$H$29)</f>
        <v>1.3876626035984483</v>
      </c>
      <c r="I124" s="37">
        <f>Priors!$H$27*VLOOKUP(E124,Team_26_27!$A$2:$U$21,20,FALSE)*VLOOKUP(D124,Team_26_27!$A$2:$U$21,21,FALSE)*IF(F124="H",Priors!$H$29,Priors!$H$28)</f>
        <v>1.5834847952927362</v>
      </c>
      <c r="J124" s="15"/>
      <c r="K124" s="15"/>
      <c r="L124" s="47" t="b">
        <v>0</v>
      </c>
      <c r="M124" s="45">
        <v>0</v>
      </c>
      <c r="N124" s="45"/>
      <c r="O124" s="45"/>
      <c r="P124" s="38">
        <f t="shared" si="5"/>
        <v>1.3876626035984483</v>
      </c>
      <c r="Q124" s="38">
        <f t="shared" si="6"/>
        <v>1.5834847952927362</v>
      </c>
      <c r="R124" s="17">
        <f t="shared" si="7"/>
        <v>0.20525856636075498</v>
      </c>
      <c r="S124" s="17">
        <f t="shared" si="8"/>
        <v>0.24965817328460418</v>
      </c>
      <c r="T124" s="38" t="str">
        <f t="shared" si="9"/>
        <v/>
      </c>
      <c r="U124" s="31" t="s">
        <v>1876</v>
      </c>
      <c r="V124" s="31"/>
    </row>
    <row r="125" spans="1:22" ht="30">
      <c r="A125" s="7">
        <v>7</v>
      </c>
      <c r="B125" s="7">
        <v>62</v>
      </c>
      <c r="C125" s="7">
        <v>46312.583333333336</v>
      </c>
      <c r="D125" s="7" t="s">
        <v>42</v>
      </c>
      <c r="E125" s="7" t="s">
        <v>52</v>
      </c>
      <c r="F125" s="7" t="s">
        <v>1743</v>
      </c>
      <c r="G125" s="7">
        <v>4</v>
      </c>
      <c r="H125" s="37">
        <f>Priors!$H$27*VLOOKUP(D125,Team_26_27!$A$2:$U$21,20,FALSE)*VLOOKUP(E125,Team_26_27!$A$2:$U$21,21,FALSE)*IF(F125="H",Priors!$H$28,Priors!$H$29)</f>
        <v>1.5834847952927362</v>
      </c>
      <c r="I125" s="37">
        <f>Priors!$H$27*VLOOKUP(E125,Team_26_27!$A$2:$U$21,20,FALSE)*VLOOKUP(D125,Team_26_27!$A$2:$U$21,21,FALSE)*IF(F125="H",Priors!$H$29,Priors!$H$28)</f>
        <v>1.3876626035984483</v>
      </c>
      <c r="J125" s="15"/>
      <c r="K125" s="15"/>
      <c r="L125" s="47" t="b">
        <v>0</v>
      </c>
      <c r="M125" s="45">
        <v>0</v>
      </c>
      <c r="N125" s="45"/>
      <c r="O125" s="45"/>
      <c r="P125" s="38">
        <f t="shared" si="5"/>
        <v>1.5834847952927362</v>
      </c>
      <c r="Q125" s="38">
        <f t="shared" si="6"/>
        <v>1.3876626035984483</v>
      </c>
      <c r="R125" s="17">
        <f t="shared" si="7"/>
        <v>0.24965817328460418</v>
      </c>
      <c r="S125" s="17">
        <f t="shared" si="8"/>
        <v>0.20525856636075498</v>
      </c>
      <c r="T125" s="38" t="str">
        <f t="shared" si="9"/>
        <v/>
      </c>
      <c r="U125" s="31" t="s">
        <v>1876</v>
      </c>
      <c r="V125" s="31"/>
    </row>
    <row r="126" spans="1:22" ht="30">
      <c r="A126" s="7">
        <v>7</v>
      </c>
      <c r="B126" s="7">
        <v>63</v>
      </c>
      <c r="C126" s="7">
        <v>46312.583333333336</v>
      </c>
      <c r="D126" s="7" t="s">
        <v>46</v>
      </c>
      <c r="E126" s="7" t="s">
        <v>43</v>
      </c>
      <c r="F126" s="7" t="s">
        <v>1742</v>
      </c>
      <c r="G126" s="7">
        <v>3</v>
      </c>
      <c r="H126" s="37">
        <f>Priors!$H$27*VLOOKUP(D126,Team_26_27!$A$2:$U$21,20,FALSE)*VLOOKUP(E126,Team_26_27!$A$2:$U$21,21,FALSE)*IF(F126="H",Priors!$H$28,Priors!$H$29)</f>
        <v>1.2541057875785906</v>
      </c>
      <c r="I126" s="37">
        <f>Priors!$H$27*VLOOKUP(E126,Team_26_27!$A$2:$U$21,20,FALSE)*VLOOKUP(D126,Team_26_27!$A$2:$U$21,21,FALSE)*IF(F126="H",Priors!$H$29,Priors!$H$28)</f>
        <v>1.6138918680791927</v>
      </c>
      <c r="J126" s="15"/>
      <c r="K126" s="15"/>
      <c r="L126" s="47" t="b">
        <v>0</v>
      </c>
      <c r="M126" s="45">
        <v>0</v>
      </c>
      <c r="N126" s="45"/>
      <c r="O126" s="45"/>
      <c r="P126" s="38">
        <f t="shared" si="5"/>
        <v>1.2541057875785906</v>
      </c>
      <c r="Q126" s="38">
        <f t="shared" si="6"/>
        <v>1.6138918680791927</v>
      </c>
      <c r="R126" s="17">
        <f t="shared" si="7"/>
        <v>0.19911118970113595</v>
      </c>
      <c r="S126" s="17">
        <f t="shared" si="8"/>
        <v>0.28533088059854411</v>
      </c>
      <c r="T126" s="38" t="str">
        <f t="shared" si="9"/>
        <v/>
      </c>
      <c r="U126" s="31" t="s">
        <v>1876</v>
      </c>
      <c r="V126" s="31"/>
    </row>
    <row r="127" spans="1:22" ht="30">
      <c r="A127" s="7">
        <v>7</v>
      </c>
      <c r="B127" s="7">
        <v>63</v>
      </c>
      <c r="C127" s="7">
        <v>46312.583333333336</v>
      </c>
      <c r="D127" s="7" t="s">
        <v>43</v>
      </c>
      <c r="E127" s="7" t="s">
        <v>46</v>
      </c>
      <c r="F127" s="7" t="s">
        <v>1743</v>
      </c>
      <c r="G127" s="7">
        <v>3</v>
      </c>
      <c r="H127" s="37">
        <f>Priors!$H$27*VLOOKUP(D127,Team_26_27!$A$2:$U$21,20,FALSE)*VLOOKUP(E127,Team_26_27!$A$2:$U$21,21,FALSE)*IF(F127="H",Priors!$H$28,Priors!$H$29)</f>
        <v>1.6138918680791927</v>
      </c>
      <c r="I127" s="37">
        <f>Priors!$H$27*VLOOKUP(E127,Team_26_27!$A$2:$U$21,20,FALSE)*VLOOKUP(D127,Team_26_27!$A$2:$U$21,21,FALSE)*IF(F127="H",Priors!$H$29,Priors!$H$28)</f>
        <v>1.2541057875785906</v>
      </c>
      <c r="J127" s="15"/>
      <c r="K127" s="15"/>
      <c r="L127" s="47" t="b">
        <v>0</v>
      </c>
      <c r="M127" s="45">
        <v>0</v>
      </c>
      <c r="N127" s="45"/>
      <c r="O127" s="45"/>
      <c r="P127" s="38">
        <f t="shared" si="5"/>
        <v>1.6138918680791927</v>
      </c>
      <c r="Q127" s="38">
        <f t="shared" si="6"/>
        <v>1.2541057875785906</v>
      </c>
      <c r="R127" s="17">
        <f t="shared" si="7"/>
        <v>0.28533088059854411</v>
      </c>
      <c r="S127" s="17">
        <f t="shared" si="8"/>
        <v>0.19911118970113595</v>
      </c>
      <c r="T127" s="38" t="str">
        <f t="shared" si="9"/>
        <v/>
      </c>
      <c r="U127" s="31" t="s">
        <v>1876</v>
      </c>
      <c r="V127" s="31"/>
    </row>
    <row r="128" spans="1:22" ht="30">
      <c r="A128" s="7">
        <v>7</v>
      </c>
      <c r="B128" s="7">
        <v>64</v>
      </c>
      <c r="C128" s="7">
        <v>46312.583333333336</v>
      </c>
      <c r="D128" s="7" t="s">
        <v>44</v>
      </c>
      <c r="E128" s="7" t="s">
        <v>47</v>
      </c>
      <c r="F128" s="7" t="s">
        <v>1742</v>
      </c>
      <c r="G128" s="7">
        <v>3</v>
      </c>
      <c r="H128" s="37">
        <f>Priors!$H$27*VLOOKUP(D128,Team_26_27!$A$2:$U$21,20,FALSE)*VLOOKUP(E128,Team_26_27!$A$2:$U$21,21,FALSE)*IF(F128="H",Priors!$H$28,Priors!$H$29)</f>
        <v>1.4961863561809776</v>
      </c>
      <c r="I128" s="37">
        <f>Priors!$H$27*VLOOKUP(E128,Team_26_27!$A$2:$U$21,20,FALSE)*VLOOKUP(D128,Team_26_27!$A$2:$U$21,21,FALSE)*IF(F128="H",Priors!$H$29,Priors!$H$28)</f>
        <v>1.3956296039749898</v>
      </c>
      <c r="J128" s="15"/>
      <c r="K128" s="15"/>
      <c r="L128" s="47" t="b">
        <v>0</v>
      </c>
      <c r="M128" s="45">
        <v>0</v>
      </c>
      <c r="N128" s="45"/>
      <c r="O128" s="45"/>
      <c r="P128" s="38">
        <f t="shared" si="5"/>
        <v>1.4961863561809776</v>
      </c>
      <c r="Q128" s="38">
        <f t="shared" si="6"/>
        <v>1.3956296039749898</v>
      </c>
      <c r="R128" s="17">
        <f t="shared" si="7"/>
        <v>0.24767704881274313</v>
      </c>
      <c r="S128" s="17">
        <f t="shared" si="8"/>
        <v>0.22398272375818945</v>
      </c>
      <c r="T128" s="38" t="str">
        <f t="shared" si="9"/>
        <v/>
      </c>
      <c r="U128" s="31" t="s">
        <v>1876</v>
      </c>
      <c r="V128" s="31"/>
    </row>
    <row r="129" spans="1:22" ht="30">
      <c r="A129" s="7">
        <v>7</v>
      </c>
      <c r="B129" s="7">
        <v>64</v>
      </c>
      <c r="C129" s="7">
        <v>46312.583333333336</v>
      </c>
      <c r="D129" s="7" t="s">
        <v>47</v>
      </c>
      <c r="E129" s="7" t="s">
        <v>44</v>
      </c>
      <c r="F129" s="7" t="s">
        <v>1743</v>
      </c>
      <c r="G129" s="7">
        <v>4</v>
      </c>
      <c r="H129" s="37">
        <f>Priors!$H$27*VLOOKUP(D129,Team_26_27!$A$2:$U$21,20,FALSE)*VLOOKUP(E129,Team_26_27!$A$2:$U$21,21,FALSE)*IF(F129="H",Priors!$H$28,Priors!$H$29)</f>
        <v>1.3956296039749898</v>
      </c>
      <c r="I129" s="37">
        <f>Priors!$H$27*VLOOKUP(E129,Team_26_27!$A$2:$U$21,20,FALSE)*VLOOKUP(D129,Team_26_27!$A$2:$U$21,21,FALSE)*IF(F129="H",Priors!$H$29,Priors!$H$28)</f>
        <v>1.4961863561809776</v>
      </c>
      <c r="J129" s="15"/>
      <c r="K129" s="15"/>
      <c r="L129" s="47" t="b">
        <v>0</v>
      </c>
      <c r="M129" s="45">
        <v>0</v>
      </c>
      <c r="N129" s="45"/>
      <c r="O129" s="45"/>
      <c r="P129" s="38">
        <f t="shared" si="5"/>
        <v>1.3956296039749898</v>
      </c>
      <c r="Q129" s="38">
        <f t="shared" si="6"/>
        <v>1.4961863561809776</v>
      </c>
      <c r="R129" s="17">
        <f t="shared" si="7"/>
        <v>0.22398272375818945</v>
      </c>
      <c r="S129" s="17">
        <f t="shared" si="8"/>
        <v>0.24767704881274313</v>
      </c>
      <c r="T129" s="38" t="str">
        <f t="shared" si="9"/>
        <v/>
      </c>
      <c r="U129" s="31" t="s">
        <v>1876</v>
      </c>
      <c r="V129" s="31"/>
    </row>
    <row r="130" spans="1:22" ht="30">
      <c r="A130" s="7">
        <v>7</v>
      </c>
      <c r="B130" s="7">
        <v>65</v>
      </c>
      <c r="C130" s="7">
        <v>46312.583333333336</v>
      </c>
      <c r="D130" s="7" t="s">
        <v>49</v>
      </c>
      <c r="E130" s="7" t="s">
        <v>48</v>
      </c>
      <c r="F130" s="7" t="s">
        <v>1742</v>
      </c>
      <c r="G130" s="7">
        <v>3</v>
      </c>
      <c r="H130" s="37">
        <f>Priors!$H$27*VLOOKUP(D130,Team_26_27!$A$2:$U$21,20,FALSE)*VLOOKUP(E130,Team_26_27!$A$2:$U$21,21,FALSE)*IF(F130="H",Priors!$H$28,Priors!$H$29)</f>
        <v>0.88051296524056666</v>
      </c>
      <c r="I130" s="37">
        <f>Priors!$H$27*VLOOKUP(E130,Team_26_27!$A$2:$U$21,20,FALSE)*VLOOKUP(D130,Team_26_27!$A$2:$U$21,21,FALSE)*IF(F130="H",Priors!$H$29,Priors!$H$28)</f>
        <v>1.9975877464572791</v>
      </c>
      <c r="J130" s="15"/>
      <c r="K130" s="15"/>
      <c r="L130" s="47" t="b">
        <v>0</v>
      </c>
      <c r="M130" s="45">
        <v>0</v>
      </c>
      <c r="N130" s="45"/>
      <c r="O130" s="45"/>
      <c r="P130" s="38">
        <f t="shared" ref="P130:P193" si="10">IF(N130&lt;&gt;"",N130,IF(L130=TRUE,M130*J130+(1-M130)*H130,H130))</f>
        <v>0.88051296524056666</v>
      </c>
      <c r="Q130" s="38">
        <f t="shared" ref="Q130:Q193" si="11">IF(O130&lt;&gt;"",O130,IF(L130=TRUE,M130*K130+(1-M130)*I130,I130))</f>
        <v>1.9975877464572791</v>
      </c>
      <c r="R130" s="17">
        <f t="shared" ref="R130:R193" si="12">EXP(-Q130)</f>
        <v>0.1356621403256433</v>
      </c>
      <c r="S130" s="17">
        <f t="shared" ref="S130:S193" si="13">EXP(-P130)</f>
        <v>0.4145701970277838</v>
      </c>
      <c r="T130" s="38" t="str">
        <f t="shared" ref="T130:T193" si="14">IF(L130=TRUE,J130-H130,"")</f>
        <v/>
      </c>
      <c r="U130" s="31" t="s">
        <v>1876</v>
      </c>
      <c r="V130" s="31"/>
    </row>
    <row r="131" spans="1:22" ht="30">
      <c r="A131" s="7">
        <v>7</v>
      </c>
      <c r="B131" s="7">
        <v>65</v>
      </c>
      <c r="C131" s="7">
        <v>46312.583333333336</v>
      </c>
      <c r="D131" s="7" t="s">
        <v>48</v>
      </c>
      <c r="E131" s="7" t="s">
        <v>49</v>
      </c>
      <c r="F131" s="7" t="s">
        <v>1743</v>
      </c>
      <c r="G131" s="7">
        <v>2</v>
      </c>
      <c r="H131" s="37">
        <f>Priors!$H$27*VLOOKUP(D131,Team_26_27!$A$2:$U$21,20,FALSE)*VLOOKUP(E131,Team_26_27!$A$2:$U$21,21,FALSE)*IF(F131="H",Priors!$H$28,Priors!$H$29)</f>
        <v>1.9975877464572791</v>
      </c>
      <c r="I131" s="37">
        <f>Priors!$H$27*VLOOKUP(E131,Team_26_27!$A$2:$U$21,20,FALSE)*VLOOKUP(D131,Team_26_27!$A$2:$U$21,21,FALSE)*IF(F131="H",Priors!$H$29,Priors!$H$28)</f>
        <v>0.88051296524056666</v>
      </c>
      <c r="J131" s="15"/>
      <c r="K131" s="15"/>
      <c r="L131" s="47" t="b">
        <v>0</v>
      </c>
      <c r="M131" s="45">
        <v>0</v>
      </c>
      <c r="N131" s="45"/>
      <c r="O131" s="45"/>
      <c r="P131" s="38">
        <f t="shared" si="10"/>
        <v>1.9975877464572791</v>
      </c>
      <c r="Q131" s="38">
        <f t="shared" si="11"/>
        <v>0.88051296524056666</v>
      </c>
      <c r="R131" s="17">
        <f t="shared" si="12"/>
        <v>0.4145701970277838</v>
      </c>
      <c r="S131" s="17">
        <f t="shared" si="13"/>
        <v>0.1356621403256433</v>
      </c>
      <c r="T131" s="38" t="str">
        <f t="shared" si="14"/>
        <v/>
      </c>
      <c r="U131" s="31" t="s">
        <v>1876</v>
      </c>
      <c r="V131" s="31"/>
    </row>
    <row r="132" spans="1:22" ht="30">
      <c r="A132" s="7">
        <v>7</v>
      </c>
      <c r="B132" s="7">
        <v>66</v>
      </c>
      <c r="C132" s="7">
        <v>46312.583333333336</v>
      </c>
      <c r="D132" s="7" t="s">
        <v>54</v>
      </c>
      <c r="E132" s="7" t="s">
        <v>51</v>
      </c>
      <c r="F132" s="7" t="s">
        <v>1742</v>
      </c>
      <c r="G132" s="7">
        <v>3</v>
      </c>
      <c r="H132" s="37">
        <f>Priors!$H$27*VLOOKUP(D132,Team_26_27!$A$2:$U$21,20,FALSE)*VLOOKUP(E132,Team_26_27!$A$2:$U$21,21,FALSE)*IF(F132="H",Priors!$H$28,Priors!$H$29)</f>
        <v>1.5097033042256867</v>
      </c>
      <c r="I132" s="37">
        <f>Priors!$H$27*VLOOKUP(E132,Team_26_27!$A$2:$U$21,20,FALSE)*VLOOKUP(D132,Team_26_27!$A$2:$U$21,21,FALSE)*IF(F132="H",Priors!$H$29,Priors!$H$28)</f>
        <v>1.4666878007253374</v>
      </c>
      <c r="J132" s="15"/>
      <c r="K132" s="15"/>
      <c r="L132" s="47" t="b">
        <v>0</v>
      </c>
      <c r="M132" s="45">
        <v>0</v>
      </c>
      <c r="N132" s="45"/>
      <c r="O132" s="45"/>
      <c r="P132" s="38">
        <f t="shared" si="10"/>
        <v>1.5097033042256867</v>
      </c>
      <c r="Q132" s="38">
        <f t="shared" si="11"/>
        <v>1.4666878007253374</v>
      </c>
      <c r="R132" s="17">
        <f t="shared" si="12"/>
        <v>0.23068830682323313</v>
      </c>
      <c r="S132" s="17">
        <f t="shared" si="13"/>
        <v>0.2209755307404781</v>
      </c>
      <c r="T132" s="38" t="str">
        <f t="shared" si="14"/>
        <v/>
      </c>
      <c r="U132" s="31" t="s">
        <v>1876</v>
      </c>
      <c r="V132" s="31"/>
    </row>
    <row r="133" spans="1:22" ht="30">
      <c r="A133" s="7">
        <v>7</v>
      </c>
      <c r="B133" s="7">
        <v>66</v>
      </c>
      <c r="C133" s="7">
        <v>46312.583333333336</v>
      </c>
      <c r="D133" s="7" t="s">
        <v>51</v>
      </c>
      <c r="E133" s="7" t="s">
        <v>54</v>
      </c>
      <c r="F133" s="7" t="s">
        <v>1743</v>
      </c>
      <c r="G133" s="7">
        <v>4</v>
      </c>
      <c r="H133" s="37">
        <f>Priors!$H$27*VLOOKUP(D133,Team_26_27!$A$2:$U$21,20,FALSE)*VLOOKUP(E133,Team_26_27!$A$2:$U$21,21,FALSE)*IF(F133="H",Priors!$H$28,Priors!$H$29)</f>
        <v>1.4666878007253374</v>
      </c>
      <c r="I133" s="37">
        <f>Priors!$H$27*VLOOKUP(E133,Team_26_27!$A$2:$U$21,20,FALSE)*VLOOKUP(D133,Team_26_27!$A$2:$U$21,21,FALSE)*IF(F133="H",Priors!$H$29,Priors!$H$28)</f>
        <v>1.5097033042256867</v>
      </c>
      <c r="J133" s="15"/>
      <c r="K133" s="15"/>
      <c r="L133" s="47" t="b">
        <v>0</v>
      </c>
      <c r="M133" s="45">
        <v>0</v>
      </c>
      <c r="N133" s="45"/>
      <c r="O133" s="45"/>
      <c r="P133" s="38">
        <f t="shared" si="10"/>
        <v>1.4666878007253374</v>
      </c>
      <c r="Q133" s="38">
        <f t="shared" si="11"/>
        <v>1.5097033042256867</v>
      </c>
      <c r="R133" s="17">
        <f t="shared" si="12"/>
        <v>0.2209755307404781</v>
      </c>
      <c r="S133" s="17">
        <f t="shared" si="13"/>
        <v>0.23068830682323313</v>
      </c>
      <c r="T133" s="38" t="str">
        <f t="shared" si="14"/>
        <v/>
      </c>
      <c r="U133" s="31" t="s">
        <v>1876</v>
      </c>
      <c r="V133" s="31"/>
    </row>
    <row r="134" spans="1:22" ht="30">
      <c r="A134" s="7">
        <v>7</v>
      </c>
      <c r="B134" s="7">
        <v>67</v>
      </c>
      <c r="C134" s="7">
        <v>46312.583333333336</v>
      </c>
      <c r="D134" s="7" t="s">
        <v>50</v>
      </c>
      <c r="E134" s="7" t="s">
        <v>53</v>
      </c>
      <c r="F134" s="7" t="s">
        <v>1742</v>
      </c>
      <c r="G134" s="7">
        <v>5</v>
      </c>
      <c r="H134" s="37">
        <f>Priors!$H$27*VLOOKUP(D134,Team_26_27!$A$2:$U$21,20,FALSE)*VLOOKUP(E134,Team_26_27!$A$2:$U$21,21,FALSE)*IF(F134="H",Priors!$H$28,Priors!$H$29)</f>
        <v>0.87069775188747456</v>
      </c>
      <c r="I134" s="37">
        <f>Priors!$H$27*VLOOKUP(E134,Team_26_27!$A$2:$U$21,20,FALSE)*VLOOKUP(D134,Team_26_27!$A$2:$U$21,21,FALSE)*IF(F134="H",Priors!$H$29,Priors!$H$28)</f>
        <v>2.2597787938125893</v>
      </c>
      <c r="J134" s="15"/>
      <c r="K134" s="15"/>
      <c r="L134" s="47" t="b">
        <v>0</v>
      </c>
      <c r="M134" s="45">
        <v>0</v>
      </c>
      <c r="N134" s="45"/>
      <c r="O134" s="45"/>
      <c r="P134" s="38">
        <f t="shared" si="10"/>
        <v>0.87069775188747456</v>
      </c>
      <c r="Q134" s="38">
        <f t="shared" si="11"/>
        <v>2.2597787938125893</v>
      </c>
      <c r="R134" s="17">
        <f t="shared" si="12"/>
        <v>0.10437357028088855</v>
      </c>
      <c r="S134" s="17">
        <f t="shared" si="13"/>
        <v>0.41865932697456826</v>
      </c>
      <c r="T134" s="38" t="str">
        <f t="shared" si="14"/>
        <v/>
      </c>
      <c r="U134" s="31" t="s">
        <v>1876</v>
      </c>
      <c r="V134" s="31"/>
    </row>
    <row r="135" spans="1:22" ht="30">
      <c r="A135" s="7">
        <v>7</v>
      </c>
      <c r="B135" s="7">
        <v>67</v>
      </c>
      <c r="C135" s="7">
        <v>46312.583333333336</v>
      </c>
      <c r="D135" s="7" t="s">
        <v>53</v>
      </c>
      <c r="E135" s="7" t="s">
        <v>50</v>
      </c>
      <c r="F135" s="7" t="s">
        <v>1743</v>
      </c>
      <c r="G135" s="7">
        <v>2</v>
      </c>
      <c r="H135" s="37">
        <f>Priors!$H$27*VLOOKUP(D135,Team_26_27!$A$2:$U$21,20,FALSE)*VLOOKUP(E135,Team_26_27!$A$2:$U$21,21,FALSE)*IF(F135="H",Priors!$H$28,Priors!$H$29)</f>
        <v>2.2597787938125893</v>
      </c>
      <c r="I135" s="37">
        <f>Priors!$H$27*VLOOKUP(E135,Team_26_27!$A$2:$U$21,20,FALSE)*VLOOKUP(D135,Team_26_27!$A$2:$U$21,21,FALSE)*IF(F135="H",Priors!$H$29,Priors!$H$28)</f>
        <v>0.87069775188747456</v>
      </c>
      <c r="J135" s="15"/>
      <c r="K135" s="15"/>
      <c r="L135" s="47" t="b">
        <v>0</v>
      </c>
      <c r="M135" s="45">
        <v>0</v>
      </c>
      <c r="N135" s="45"/>
      <c r="O135" s="45"/>
      <c r="P135" s="38">
        <f t="shared" si="10"/>
        <v>2.2597787938125893</v>
      </c>
      <c r="Q135" s="38">
        <f t="shared" si="11"/>
        <v>0.87069775188747456</v>
      </c>
      <c r="R135" s="17">
        <f t="shared" si="12"/>
        <v>0.41865932697456826</v>
      </c>
      <c r="S135" s="17">
        <f t="shared" si="13"/>
        <v>0.10437357028088855</v>
      </c>
      <c r="T135" s="38" t="str">
        <f t="shared" si="14"/>
        <v/>
      </c>
      <c r="U135" s="31" t="s">
        <v>1876</v>
      </c>
      <c r="V135" s="31"/>
    </row>
    <row r="136" spans="1:22" ht="30">
      <c r="A136" s="7">
        <v>7</v>
      </c>
      <c r="B136" s="7">
        <v>68</v>
      </c>
      <c r="C136" s="7">
        <v>46312.583333333336</v>
      </c>
      <c r="D136" s="7" t="s">
        <v>40</v>
      </c>
      <c r="E136" s="7" t="s">
        <v>55</v>
      </c>
      <c r="F136" s="7" t="s">
        <v>1742</v>
      </c>
      <c r="G136" s="7">
        <v>3</v>
      </c>
      <c r="H136" s="37">
        <f>Priors!$H$27*VLOOKUP(D136,Team_26_27!$A$2:$U$21,20,FALSE)*VLOOKUP(E136,Team_26_27!$A$2:$U$21,21,FALSE)*IF(F136="H",Priors!$H$28,Priors!$H$29)</f>
        <v>1.1543551432467782</v>
      </c>
      <c r="I136" s="37">
        <f>Priors!$H$27*VLOOKUP(E136,Team_26_27!$A$2:$U$21,20,FALSE)*VLOOKUP(D136,Team_26_27!$A$2:$U$21,21,FALSE)*IF(F136="H",Priors!$H$29,Priors!$H$28)</f>
        <v>1.6174820148312747</v>
      </c>
      <c r="J136" s="15"/>
      <c r="K136" s="15"/>
      <c r="L136" s="47" t="b">
        <v>0</v>
      </c>
      <c r="M136" s="45">
        <v>0</v>
      </c>
      <c r="N136" s="45"/>
      <c r="O136" s="45"/>
      <c r="P136" s="38">
        <f t="shared" si="10"/>
        <v>1.1543551432467782</v>
      </c>
      <c r="Q136" s="38">
        <f t="shared" si="11"/>
        <v>1.6174820148312747</v>
      </c>
      <c r="R136" s="17">
        <f t="shared" si="12"/>
        <v>0.19839763296325807</v>
      </c>
      <c r="S136" s="17">
        <f t="shared" si="13"/>
        <v>0.31526076940462167</v>
      </c>
      <c r="T136" s="38" t="str">
        <f t="shared" si="14"/>
        <v/>
      </c>
      <c r="U136" s="31" t="s">
        <v>1876</v>
      </c>
      <c r="V136" s="31"/>
    </row>
    <row r="137" spans="1:22" ht="30">
      <c r="A137" s="7">
        <v>7</v>
      </c>
      <c r="B137" s="7">
        <v>68</v>
      </c>
      <c r="C137" s="7">
        <v>46312.583333333336</v>
      </c>
      <c r="D137" s="7" t="s">
        <v>55</v>
      </c>
      <c r="E137" s="7" t="s">
        <v>40</v>
      </c>
      <c r="F137" s="7" t="s">
        <v>1743</v>
      </c>
      <c r="G137" s="7">
        <v>3</v>
      </c>
      <c r="H137" s="37">
        <f>Priors!$H$27*VLOOKUP(D137,Team_26_27!$A$2:$U$21,20,FALSE)*VLOOKUP(E137,Team_26_27!$A$2:$U$21,21,FALSE)*IF(F137="H",Priors!$H$28,Priors!$H$29)</f>
        <v>1.6174820148312747</v>
      </c>
      <c r="I137" s="37">
        <f>Priors!$H$27*VLOOKUP(E137,Team_26_27!$A$2:$U$21,20,FALSE)*VLOOKUP(D137,Team_26_27!$A$2:$U$21,21,FALSE)*IF(F137="H",Priors!$H$29,Priors!$H$28)</f>
        <v>1.1543551432467782</v>
      </c>
      <c r="J137" s="15"/>
      <c r="K137" s="15"/>
      <c r="L137" s="47" t="b">
        <v>0</v>
      </c>
      <c r="M137" s="45">
        <v>0</v>
      </c>
      <c r="N137" s="45"/>
      <c r="O137" s="45"/>
      <c r="P137" s="38">
        <f t="shared" si="10"/>
        <v>1.6174820148312747</v>
      </c>
      <c r="Q137" s="38">
        <f t="shared" si="11"/>
        <v>1.1543551432467782</v>
      </c>
      <c r="R137" s="17">
        <f t="shared" si="12"/>
        <v>0.31526076940462167</v>
      </c>
      <c r="S137" s="17">
        <f t="shared" si="13"/>
        <v>0.19839763296325807</v>
      </c>
      <c r="T137" s="38" t="str">
        <f t="shared" si="14"/>
        <v/>
      </c>
      <c r="U137" s="31" t="s">
        <v>1876</v>
      </c>
      <c r="V137" s="31"/>
    </row>
    <row r="138" spans="1:22" ht="30">
      <c r="A138" s="7">
        <v>7</v>
      </c>
      <c r="B138" s="7">
        <v>69</v>
      </c>
      <c r="C138" s="7">
        <v>46312.583333333336</v>
      </c>
      <c r="D138" s="7" t="s">
        <v>39</v>
      </c>
      <c r="E138" s="7" t="s">
        <v>56</v>
      </c>
      <c r="F138" s="7" t="s">
        <v>1742</v>
      </c>
      <c r="G138" s="7">
        <v>3</v>
      </c>
      <c r="H138" s="37">
        <f>Priors!$H$27*VLOOKUP(D138,Team_26_27!$A$2:$U$21,20,FALSE)*VLOOKUP(E138,Team_26_27!$A$2:$U$21,21,FALSE)*IF(F138="H",Priors!$H$28,Priors!$H$29)</f>
        <v>1.5284229422628157</v>
      </c>
      <c r="I138" s="37">
        <f>Priors!$H$27*VLOOKUP(E138,Team_26_27!$A$2:$U$21,20,FALSE)*VLOOKUP(D138,Team_26_27!$A$2:$U$21,21,FALSE)*IF(F138="H",Priors!$H$29,Priors!$H$28)</f>
        <v>0.95843313194557989</v>
      </c>
      <c r="J138" s="15"/>
      <c r="K138" s="15"/>
      <c r="L138" s="47" t="b">
        <v>0</v>
      </c>
      <c r="M138" s="45">
        <v>0</v>
      </c>
      <c r="N138" s="45"/>
      <c r="O138" s="45"/>
      <c r="P138" s="38">
        <f t="shared" si="10"/>
        <v>1.5284229422628157</v>
      </c>
      <c r="Q138" s="38">
        <f t="shared" si="11"/>
        <v>0.95843313194557989</v>
      </c>
      <c r="R138" s="17">
        <f t="shared" si="12"/>
        <v>0.38349329886746314</v>
      </c>
      <c r="S138" s="17">
        <f t="shared" si="13"/>
        <v>0.21687742598126514</v>
      </c>
      <c r="T138" s="38" t="str">
        <f t="shared" si="14"/>
        <v/>
      </c>
      <c r="U138" s="31" t="s">
        <v>1876</v>
      </c>
      <c r="V138" s="31"/>
    </row>
    <row r="139" spans="1:22" ht="30">
      <c r="A139" s="7">
        <v>7</v>
      </c>
      <c r="B139" s="7">
        <v>69</v>
      </c>
      <c r="C139" s="7">
        <v>46312.583333333336</v>
      </c>
      <c r="D139" s="7" t="s">
        <v>56</v>
      </c>
      <c r="E139" s="7" t="s">
        <v>39</v>
      </c>
      <c r="F139" s="7" t="s">
        <v>1743</v>
      </c>
      <c r="G139" s="7">
        <v>4</v>
      </c>
      <c r="H139" s="37">
        <f>Priors!$H$27*VLOOKUP(D139,Team_26_27!$A$2:$U$21,20,FALSE)*VLOOKUP(E139,Team_26_27!$A$2:$U$21,21,FALSE)*IF(F139="H",Priors!$H$28,Priors!$H$29)</f>
        <v>0.95843313194557989</v>
      </c>
      <c r="I139" s="37">
        <f>Priors!$H$27*VLOOKUP(E139,Team_26_27!$A$2:$U$21,20,FALSE)*VLOOKUP(D139,Team_26_27!$A$2:$U$21,21,FALSE)*IF(F139="H",Priors!$H$29,Priors!$H$28)</f>
        <v>1.5284229422628157</v>
      </c>
      <c r="J139" s="15"/>
      <c r="K139" s="15"/>
      <c r="L139" s="47" t="b">
        <v>0</v>
      </c>
      <c r="M139" s="45">
        <v>0</v>
      </c>
      <c r="N139" s="45"/>
      <c r="O139" s="45"/>
      <c r="P139" s="38">
        <f t="shared" si="10"/>
        <v>0.95843313194557989</v>
      </c>
      <c r="Q139" s="38">
        <f t="shared" si="11"/>
        <v>1.5284229422628157</v>
      </c>
      <c r="R139" s="17">
        <f t="shared" si="12"/>
        <v>0.21687742598126514</v>
      </c>
      <c r="S139" s="17">
        <f t="shared" si="13"/>
        <v>0.38349329886746314</v>
      </c>
      <c r="T139" s="38" t="str">
        <f t="shared" si="14"/>
        <v/>
      </c>
      <c r="U139" s="31" t="s">
        <v>1876</v>
      </c>
      <c r="V139" s="31"/>
    </row>
    <row r="140" spans="1:22" ht="30">
      <c r="A140" s="7">
        <v>7</v>
      </c>
      <c r="B140" s="7">
        <v>70</v>
      </c>
      <c r="C140" s="7">
        <v>46312.583333333336</v>
      </c>
      <c r="D140" s="7" t="s">
        <v>45</v>
      </c>
      <c r="E140" s="7" t="s">
        <v>57</v>
      </c>
      <c r="F140" s="7" t="s">
        <v>1742</v>
      </c>
      <c r="G140" s="7">
        <v>3</v>
      </c>
      <c r="H140" s="37">
        <f>Priors!$H$27*VLOOKUP(D140,Team_26_27!$A$2:$U$21,20,FALSE)*VLOOKUP(E140,Team_26_27!$A$2:$U$21,21,FALSE)*IF(F140="H",Priors!$H$28,Priors!$H$29)</f>
        <v>0.98236606199207133</v>
      </c>
      <c r="I140" s="37">
        <f>Priors!$H$27*VLOOKUP(E140,Team_26_27!$A$2:$U$21,20,FALSE)*VLOOKUP(D140,Team_26_27!$A$2:$U$21,21,FALSE)*IF(F140="H",Priors!$H$29,Priors!$H$28)</f>
        <v>1.5977454378101628</v>
      </c>
      <c r="J140" s="15"/>
      <c r="K140" s="15"/>
      <c r="L140" s="47" t="b">
        <v>0</v>
      </c>
      <c r="M140" s="45">
        <v>0</v>
      </c>
      <c r="N140" s="45"/>
      <c r="O140" s="45"/>
      <c r="P140" s="38">
        <f t="shared" si="10"/>
        <v>0.98236606199207133</v>
      </c>
      <c r="Q140" s="38">
        <f t="shared" si="11"/>
        <v>1.5977454378101628</v>
      </c>
      <c r="R140" s="17">
        <f t="shared" si="12"/>
        <v>0.20235221976134288</v>
      </c>
      <c r="S140" s="17">
        <f t="shared" si="13"/>
        <v>0.37442413923970264</v>
      </c>
      <c r="T140" s="38" t="str">
        <f t="shared" si="14"/>
        <v/>
      </c>
      <c r="U140" s="31" t="s">
        <v>1876</v>
      </c>
      <c r="V140" s="31"/>
    </row>
    <row r="141" spans="1:22" ht="30">
      <c r="A141" s="7">
        <v>7</v>
      </c>
      <c r="B141" s="7">
        <v>70</v>
      </c>
      <c r="C141" s="7">
        <v>46312.583333333336</v>
      </c>
      <c r="D141" s="7" t="s">
        <v>57</v>
      </c>
      <c r="E141" s="7" t="s">
        <v>45</v>
      </c>
      <c r="F141" s="7" t="s">
        <v>1743</v>
      </c>
      <c r="G141" s="7">
        <v>2</v>
      </c>
      <c r="H141" s="37">
        <f>Priors!$H$27*VLOOKUP(D141,Team_26_27!$A$2:$U$21,20,FALSE)*VLOOKUP(E141,Team_26_27!$A$2:$U$21,21,FALSE)*IF(F141="H",Priors!$H$28,Priors!$H$29)</f>
        <v>1.5977454378101628</v>
      </c>
      <c r="I141" s="37">
        <f>Priors!$H$27*VLOOKUP(E141,Team_26_27!$A$2:$U$21,20,FALSE)*VLOOKUP(D141,Team_26_27!$A$2:$U$21,21,FALSE)*IF(F141="H",Priors!$H$29,Priors!$H$28)</f>
        <v>0.98236606199207133</v>
      </c>
      <c r="J141" s="15"/>
      <c r="K141" s="15"/>
      <c r="L141" s="47" t="b">
        <v>0</v>
      </c>
      <c r="M141" s="45">
        <v>0</v>
      </c>
      <c r="N141" s="45"/>
      <c r="O141" s="45"/>
      <c r="P141" s="38">
        <f t="shared" si="10"/>
        <v>1.5977454378101628</v>
      </c>
      <c r="Q141" s="38">
        <f t="shared" si="11"/>
        <v>0.98236606199207133</v>
      </c>
      <c r="R141" s="17">
        <f t="shared" si="12"/>
        <v>0.37442413923970264</v>
      </c>
      <c r="S141" s="17">
        <f t="shared" si="13"/>
        <v>0.20235221976134288</v>
      </c>
      <c r="T141" s="38" t="str">
        <f t="shared" si="14"/>
        <v/>
      </c>
      <c r="U141" s="31" t="s">
        <v>1876</v>
      </c>
      <c r="V141" s="31"/>
    </row>
    <row r="142" spans="1:22" ht="30">
      <c r="A142" s="7">
        <v>8</v>
      </c>
      <c r="B142" s="7">
        <v>71</v>
      </c>
      <c r="C142" s="7">
        <v>46319.583333333336</v>
      </c>
      <c r="D142" s="7" t="s">
        <v>47</v>
      </c>
      <c r="E142" s="7" t="s">
        <v>39</v>
      </c>
      <c r="F142" s="7" t="s">
        <v>1742</v>
      </c>
      <c r="G142" s="7">
        <v>5</v>
      </c>
      <c r="H142" s="37">
        <f>Priors!$H$27*VLOOKUP(D142,Team_26_27!$A$2:$U$21,20,FALSE)*VLOOKUP(E142,Team_26_27!$A$2:$U$21,21,FALSE)*IF(F142="H",Priors!$H$28,Priors!$H$29)</f>
        <v>0.77498394305801221</v>
      </c>
      <c r="I142" s="37">
        <f>Priors!$H$27*VLOOKUP(E142,Team_26_27!$A$2:$U$21,20,FALSE)*VLOOKUP(D142,Team_26_27!$A$2:$U$21,21,FALSE)*IF(F142="H",Priors!$H$29,Priors!$H$28)</f>
        <v>1.8703563055089008</v>
      </c>
      <c r="J142" s="15"/>
      <c r="K142" s="15"/>
      <c r="L142" s="47" t="b">
        <v>0</v>
      </c>
      <c r="M142" s="45">
        <v>0</v>
      </c>
      <c r="N142" s="45"/>
      <c r="O142" s="45"/>
      <c r="P142" s="38">
        <f t="shared" si="10"/>
        <v>0.77498394305801221</v>
      </c>
      <c r="Q142" s="38">
        <f t="shared" si="11"/>
        <v>1.8703563055089008</v>
      </c>
      <c r="R142" s="17">
        <f t="shared" si="12"/>
        <v>0.15406875648749097</v>
      </c>
      <c r="S142" s="17">
        <f t="shared" si="13"/>
        <v>0.46071117855224175</v>
      </c>
      <c r="T142" s="38" t="str">
        <f t="shared" si="14"/>
        <v/>
      </c>
      <c r="U142" s="31" t="s">
        <v>1876</v>
      </c>
      <c r="V142" s="31"/>
    </row>
    <row r="143" spans="1:22" ht="30">
      <c r="A143" s="7">
        <v>8</v>
      </c>
      <c r="B143" s="7">
        <v>71</v>
      </c>
      <c r="C143" s="7">
        <v>46319.583333333336</v>
      </c>
      <c r="D143" s="7" t="s">
        <v>39</v>
      </c>
      <c r="E143" s="7" t="s">
        <v>47</v>
      </c>
      <c r="F143" s="7" t="s">
        <v>1743</v>
      </c>
      <c r="G143" s="7">
        <v>3</v>
      </c>
      <c r="H143" s="37">
        <f>Priors!$H$27*VLOOKUP(D143,Team_26_27!$A$2:$U$21,20,FALSE)*VLOOKUP(E143,Team_26_27!$A$2:$U$21,21,FALSE)*IF(F143="H",Priors!$H$28,Priors!$H$29)</f>
        <v>1.8703563055089008</v>
      </c>
      <c r="I143" s="37">
        <f>Priors!$H$27*VLOOKUP(E143,Team_26_27!$A$2:$U$21,20,FALSE)*VLOOKUP(D143,Team_26_27!$A$2:$U$21,21,FALSE)*IF(F143="H",Priors!$H$29,Priors!$H$28)</f>
        <v>0.77498394305801221</v>
      </c>
      <c r="J143" s="15"/>
      <c r="K143" s="15"/>
      <c r="L143" s="47" t="b">
        <v>0</v>
      </c>
      <c r="M143" s="45">
        <v>0</v>
      </c>
      <c r="N143" s="45"/>
      <c r="O143" s="45"/>
      <c r="P143" s="38">
        <f t="shared" si="10"/>
        <v>1.8703563055089008</v>
      </c>
      <c r="Q143" s="38">
        <f t="shared" si="11"/>
        <v>0.77498394305801221</v>
      </c>
      <c r="R143" s="17">
        <f t="shared" si="12"/>
        <v>0.46071117855224175</v>
      </c>
      <c r="S143" s="17">
        <f t="shared" si="13"/>
        <v>0.15406875648749097</v>
      </c>
      <c r="T143" s="38" t="str">
        <f t="shared" si="14"/>
        <v/>
      </c>
      <c r="U143" s="31" t="s">
        <v>1876</v>
      </c>
      <c r="V143" s="31"/>
    </row>
    <row r="144" spans="1:22" ht="30">
      <c r="A144" s="7">
        <v>8</v>
      </c>
      <c r="B144" s="7">
        <v>72</v>
      </c>
      <c r="C144" s="7">
        <v>46319.583333333336</v>
      </c>
      <c r="D144" s="7" t="s">
        <v>53</v>
      </c>
      <c r="E144" s="7" t="s">
        <v>40</v>
      </c>
      <c r="F144" s="7" t="s">
        <v>1742</v>
      </c>
      <c r="G144" s="7">
        <v>4</v>
      </c>
      <c r="H144" s="37">
        <f>Priors!$H$27*VLOOKUP(D144,Team_26_27!$A$2:$U$21,20,FALSE)*VLOOKUP(E144,Team_26_27!$A$2:$U$21,21,FALSE)*IF(F144="H",Priors!$H$28,Priors!$H$29)</f>
        <v>1.5142300247105334</v>
      </c>
      <c r="I144" s="37">
        <f>Priors!$H$27*VLOOKUP(E144,Team_26_27!$A$2:$U$21,20,FALSE)*VLOOKUP(D144,Team_26_27!$A$2:$U$21,21,FALSE)*IF(F144="H",Priors!$H$29,Priors!$H$28)</f>
        <v>1.3051643075972197</v>
      </c>
      <c r="J144" s="15"/>
      <c r="K144" s="15"/>
      <c r="L144" s="47" t="b">
        <v>0</v>
      </c>
      <c r="M144" s="45">
        <v>0</v>
      </c>
      <c r="N144" s="45"/>
      <c r="O144" s="45"/>
      <c r="P144" s="38">
        <f t="shared" si="10"/>
        <v>1.5142300247105334</v>
      </c>
      <c r="Q144" s="38">
        <f t="shared" si="11"/>
        <v>1.3051643075972197</v>
      </c>
      <c r="R144" s="17">
        <f t="shared" si="12"/>
        <v>0.27112798299815472</v>
      </c>
      <c r="S144" s="17">
        <f t="shared" si="13"/>
        <v>0.2199774968931977</v>
      </c>
      <c r="T144" s="38" t="str">
        <f t="shared" si="14"/>
        <v/>
      </c>
      <c r="U144" s="31" t="s">
        <v>1876</v>
      </c>
      <c r="V144" s="31"/>
    </row>
    <row r="145" spans="1:22" ht="30">
      <c r="A145" s="7">
        <v>8</v>
      </c>
      <c r="B145" s="7">
        <v>72</v>
      </c>
      <c r="C145" s="7">
        <v>46319.583333333336</v>
      </c>
      <c r="D145" s="7" t="s">
        <v>40</v>
      </c>
      <c r="E145" s="7" t="s">
        <v>53</v>
      </c>
      <c r="F145" s="7" t="s">
        <v>1743</v>
      </c>
      <c r="G145" s="7">
        <v>4</v>
      </c>
      <c r="H145" s="37">
        <f>Priors!$H$27*VLOOKUP(D145,Team_26_27!$A$2:$U$21,20,FALSE)*VLOOKUP(E145,Team_26_27!$A$2:$U$21,21,FALSE)*IF(F145="H",Priors!$H$28,Priors!$H$29)</f>
        <v>1.3051643075972197</v>
      </c>
      <c r="I145" s="37">
        <f>Priors!$H$27*VLOOKUP(E145,Team_26_27!$A$2:$U$21,20,FALSE)*VLOOKUP(D145,Team_26_27!$A$2:$U$21,21,FALSE)*IF(F145="H",Priors!$H$29,Priors!$H$28)</f>
        <v>1.5142300247105334</v>
      </c>
      <c r="J145" s="15"/>
      <c r="K145" s="15"/>
      <c r="L145" s="47" t="b">
        <v>0</v>
      </c>
      <c r="M145" s="45">
        <v>0</v>
      </c>
      <c r="N145" s="45"/>
      <c r="O145" s="45"/>
      <c r="P145" s="38">
        <f t="shared" si="10"/>
        <v>1.3051643075972197</v>
      </c>
      <c r="Q145" s="38">
        <f t="shared" si="11"/>
        <v>1.5142300247105334</v>
      </c>
      <c r="R145" s="17">
        <f t="shared" si="12"/>
        <v>0.2199774968931977</v>
      </c>
      <c r="S145" s="17">
        <f t="shared" si="13"/>
        <v>0.27112798299815472</v>
      </c>
      <c r="T145" s="38" t="str">
        <f t="shared" si="14"/>
        <v/>
      </c>
      <c r="U145" s="31" t="s">
        <v>1876</v>
      </c>
      <c r="V145" s="31"/>
    </row>
    <row r="146" spans="1:22" ht="30">
      <c r="A146" s="7">
        <v>8</v>
      </c>
      <c r="B146" s="7">
        <v>73</v>
      </c>
      <c r="C146" s="7">
        <v>46319.583333333336</v>
      </c>
      <c r="D146" s="7" t="s">
        <v>57</v>
      </c>
      <c r="E146" s="7" t="s">
        <v>44</v>
      </c>
      <c r="F146" s="7" t="s">
        <v>1742</v>
      </c>
      <c r="G146" s="7">
        <v>4</v>
      </c>
      <c r="H146" s="37">
        <f>Priors!$H$27*VLOOKUP(D146,Team_26_27!$A$2:$U$21,20,FALSE)*VLOOKUP(E146,Team_26_27!$A$2:$U$21,21,FALSE)*IF(F146="H",Priors!$H$28,Priors!$H$29)</f>
        <v>1.0317372409295618</v>
      </c>
      <c r="I146" s="37">
        <f>Priors!$H$27*VLOOKUP(E146,Team_26_27!$A$2:$U$21,20,FALSE)*VLOOKUP(D146,Team_26_27!$A$2:$U$21,21,FALSE)*IF(F146="H",Priors!$H$29,Priors!$H$28)</f>
        <v>1.7317749479902098</v>
      </c>
      <c r="J146" s="15"/>
      <c r="K146" s="15"/>
      <c r="L146" s="47" t="b">
        <v>0</v>
      </c>
      <c r="M146" s="45">
        <v>0</v>
      </c>
      <c r="N146" s="45"/>
      <c r="O146" s="45"/>
      <c r="P146" s="38">
        <f t="shared" si="10"/>
        <v>1.0317372409295618</v>
      </c>
      <c r="Q146" s="38">
        <f t="shared" si="11"/>
        <v>1.7317749479902098</v>
      </c>
      <c r="R146" s="17">
        <f t="shared" si="12"/>
        <v>0.17697001845953525</v>
      </c>
      <c r="S146" s="17">
        <f t="shared" si="13"/>
        <v>0.35638729187786183</v>
      </c>
      <c r="T146" s="38" t="str">
        <f t="shared" si="14"/>
        <v/>
      </c>
      <c r="U146" s="31" t="s">
        <v>1876</v>
      </c>
      <c r="V146" s="31"/>
    </row>
    <row r="147" spans="1:22" ht="30">
      <c r="A147" s="7">
        <v>8</v>
      </c>
      <c r="B147" s="7">
        <v>73</v>
      </c>
      <c r="C147" s="7">
        <v>46319.583333333336</v>
      </c>
      <c r="D147" s="7" t="s">
        <v>44</v>
      </c>
      <c r="E147" s="7" t="s">
        <v>57</v>
      </c>
      <c r="F147" s="7" t="s">
        <v>1743</v>
      </c>
      <c r="G147" s="7">
        <v>3</v>
      </c>
      <c r="H147" s="37">
        <f>Priors!$H$27*VLOOKUP(D147,Team_26_27!$A$2:$U$21,20,FALSE)*VLOOKUP(E147,Team_26_27!$A$2:$U$21,21,FALSE)*IF(F147="H",Priors!$H$28,Priors!$H$29)</f>
        <v>1.7317749479902098</v>
      </c>
      <c r="I147" s="37">
        <f>Priors!$H$27*VLOOKUP(E147,Team_26_27!$A$2:$U$21,20,FALSE)*VLOOKUP(D147,Team_26_27!$A$2:$U$21,21,FALSE)*IF(F147="H",Priors!$H$29,Priors!$H$28)</f>
        <v>1.0317372409295618</v>
      </c>
      <c r="J147" s="15"/>
      <c r="K147" s="15"/>
      <c r="L147" s="47" t="b">
        <v>0</v>
      </c>
      <c r="M147" s="45">
        <v>0</v>
      </c>
      <c r="N147" s="45"/>
      <c r="O147" s="45"/>
      <c r="P147" s="38">
        <f t="shared" si="10"/>
        <v>1.7317749479902098</v>
      </c>
      <c r="Q147" s="38">
        <f t="shared" si="11"/>
        <v>1.0317372409295618</v>
      </c>
      <c r="R147" s="17">
        <f t="shared" si="12"/>
        <v>0.35638729187786183</v>
      </c>
      <c r="S147" s="17">
        <f t="shared" si="13"/>
        <v>0.17697001845953525</v>
      </c>
      <c r="T147" s="38" t="str">
        <f t="shared" si="14"/>
        <v/>
      </c>
      <c r="U147" s="31" t="s">
        <v>1876</v>
      </c>
      <c r="V147" s="31"/>
    </row>
    <row r="148" spans="1:22" ht="30">
      <c r="A148" s="7">
        <v>8</v>
      </c>
      <c r="B148" s="7">
        <v>74</v>
      </c>
      <c r="C148" s="7">
        <v>46319.583333333336</v>
      </c>
      <c r="D148" s="7" t="s">
        <v>48</v>
      </c>
      <c r="E148" s="7" t="s">
        <v>45</v>
      </c>
      <c r="F148" s="7" t="s">
        <v>1742</v>
      </c>
      <c r="G148" s="7">
        <v>2</v>
      </c>
      <c r="H148" s="37">
        <f>Priors!$H$27*VLOOKUP(D148,Team_26_27!$A$2:$U$21,20,FALSE)*VLOOKUP(E148,Team_26_27!$A$2:$U$21,21,FALSE)*IF(F148="H",Priors!$H$28,Priors!$H$29)</f>
        <v>1.5032305510851329</v>
      </c>
      <c r="I148" s="37">
        <f>Priors!$H$27*VLOOKUP(E148,Team_26_27!$A$2:$U$21,20,FALSE)*VLOOKUP(D148,Team_26_27!$A$2:$U$21,21,FALSE)*IF(F148="H",Priors!$H$29,Priors!$H$28)</f>
        <v>1.2172876786812181</v>
      </c>
      <c r="J148" s="15"/>
      <c r="K148" s="15"/>
      <c r="L148" s="47" t="b">
        <v>0</v>
      </c>
      <c r="M148" s="45">
        <v>0</v>
      </c>
      <c r="N148" s="45"/>
      <c r="O148" s="45"/>
      <c r="P148" s="38">
        <f t="shared" si="10"/>
        <v>1.5032305510851329</v>
      </c>
      <c r="Q148" s="38">
        <f t="shared" si="11"/>
        <v>1.2172876786812181</v>
      </c>
      <c r="R148" s="17">
        <f t="shared" si="12"/>
        <v>0.2960320129401543</v>
      </c>
      <c r="S148" s="17">
        <f t="shared" si="13"/>
        <v>0.22241048985915418</v>
      </c>
      <c r="T148" s="38" t="str">
        <f t="shared" si="14"/>
        <v/>
      </c>
      <c r="U148" s="31" t="s">
        <v>1876</v>
      </c>
      <c r="V148" s="31"/>
    </row>
    <row r="149" spans="1:22" ht="30">
      <c r="A149" s="7">
        <v>8</v>
      </c>
      <c r="B149" s="7">
        <v>74</v>
      </c>
      <c r="C149" s="7">
        <v>46319.583333333336</v>
      </c>
      <c r="D149" s="7" t="s">
        <v>45</v>
      </c>
      <c r="E149" s="7" t="s">
        <v>48</v>
      </c>
      <c r="F149" s="7" t="s">
        <v>1743</v>
      </c>
      <c r="G149" s="7">
        <v>2</v>
      </c>
      <c r="H149" s="37">
        <f>Priors!$H$27*VLOOKUP(D149,Team_26_27!$A$2:$U$21,20,FALSE)*VLOOKUP(E149,Team_26_27!$A$2:$U$21,21,FALSE)*IF(F149="H",Priors!$H$28,Priors!$H$29)</f>
        <v>1.2172876786812181</v>
      </c>
      <c r="I149" s="37">
        <f>Priors!$H$27*VLOOKUP(E149,Team_26_27!$A$2:$U$21,20,FALSE)*VLOOKUP(D149,Team_26_27!$A$2:$U$21,21,FALSE)*IF(F149="H",Priors!$H$29,Priors!$H$28)</f>
        <v>1.5032305510851329</v>
      </c>
      <c r="J149" s="15"/>
      <c r="K149" s="15"/>
      <c r="L149" s="47" t="b">
        <v>0</v>
      </c>
      <c r="M149" s="45">
        <v>0</v>
      </c>
      <c r="N149" s="45"/>
      <c r="O149" s="45"/>
      <c r="P149" s="38">
        <f t="shared" si="10"/>
        <v>1.2172876786812181</v>
      </c>
      <c r="Q149" s="38">
        <f t="shared" si="11"/>
        <v>1.5032305510851329</v>
      </c>
      <c r="R149" s="17">
        <f t="shared" si="12"/>
        <v>0.22241048985915418</v>
      </c>
      <c r="S149" s="17">
        <f t="shared" si="13"/>
        <v>0.2960320129401543</v>
      </c>
      <c r="T149" s="38" t="str">
        <f t="shared" si="14"/>
        <v/>
      </c>
      <c r="U149" s="31" t="s">
        <v>1876</v>
      </c>
      <c r="V149" s="31"/>
    </row>
    <row r="150" spans="1:22" ht="30">
      <c r="A150" s="7">
        <v>8</v>
      </c>
      <c r="B150" s="7">
        <v>75</v>
      </c>
      <c r="C150" s="7">
        <v>46319.583333333336</v>
      </c>
      <c r="D150" s="7" t="s">
        <v>55</v>
      </c>
      <c r="E150" s="7" t="s">
        <v>46</v>
      </c>
      <c r="F150" s="7" t="s">
        <v>1742</v>
      </c>
      <c r="G150" s="7">
        <v>3</v>
      </c>
      <c r="H150" s="37">
        <f>Priors!$H$27*VLOOKUP(D150,Team_26_27!$A$2:$U$21,20,FALSE)*VLOOKUP(E150,Team_26_27!$A$2:$U$21,21,FALSE)*IF(F150="H",Priors!$H$28,Priors!$H$29)</f>
        <v>1.2933640298049909</v>
      </c>
      <c r="I150" s="37">
        <f>Priors!$H$27*VLOOKUP(E150,Team_26_27!$A$2:$U$21,20,FALSE)*VLOOKUP(D150,Team_26_27!$A$2:$U$21,21,FALSE)*IF(F150="H",Priors!$H$29,Priors!$H$28)</f>
        <v>1.5880158630664842</v>
      </c>
      <c r="J150" s="15"/>
      <c r="K150" s="15"/>
      <c r="L150" s="47" t="b">
        <v>0</v>
      </c>
      <c r="M150" s="45">
        <v>0</v>
      </c>
      <c r="N150" s="45"/>
      <c r="O150" s="45"/>
      <c r="P150" s="38">
        <f t="shared" si="10"/>
        <v>1.2933640298049909</v>
      </c>
      <c r="Q150" s="38">
        <f t="shared" si="11"/>
        <v>1.5880158630664842</v>
      </c>
      <c r="R150" s="17">
        <f t="shared" si="12"/>
        <v>0.20433062974486904</v>
      </c>
      <c r="S150" s="17">
        <f t="shared" si="13"/>
        <v>0.27434631980384133</v>
      </c>
      <c r="T150" s="38" t="str">
        <f t="shared" si="14"/>
        <v/>
      </c>
      <c r="U150" s="31" t="s">
        <v>1876</v>
      </c>
      <c r="V150" s="31"/>
    </row>
    <row r="151" spans="1:22" ht="30">
      <c r="A151" s="7">
        <v>8</v>
      </c>
      <c r="B151" s="7">
        <v>75</v>
      </c>
      <c r="C151" s="7">
        <v>46319.583333333336</v>
      </c>
      <c r="D151" s="7" t="s">
        <v>46</v>
      </c>
      <c r="E151" s="7" t="s">
        <v>55</v>
      </c>
      <c r="F151" s="7" t="s">
        <v>1743</v>
      </c>
      <c r="G151" s="7">
        <v>2</v>
      </c>
      <c r="H151" s="37">
        <f>Priors!$H$27*VLOOKUP(D151,Team_26_27!$A$2:$U$21,20,FALSE)*VLOOKUP(E151,Team_26_27!$A$2:$U$21,21,FALSE)*IF(F151="H",Priors!$H$28,Priors!$H$29)</f>
        <v>1.5880158630664842</v>
      </c>
      <c r="I151" s="37">
        <f>Priors!$H$27*VLOOKUP(E151,Team_26_27!$A$2:$U$21,20,FALSE)*VLOOKUP(D151,Team_26_27!$A$2:$U$21,21,FALSE)*IF(F151="H",Priors!$H$29,Priors!$H$28)</f>
        <v>1.2933640298049909</v>
      </c>
      <c r="J151" s="15"/>
      <c r="K151" s="15"/>
      <c r="L151" s="47" t="b">
        <v>0</v>
      </c>
      <c r="M151" s="45">
        <v>0</v>
      </c>
      <c r="N151" s="45"/>
      <c r="O151" s="45"/>
      <c r="P151" s="38">
        <f t="shared" si="10"/>
        <v>1.5880158630664842</v>
      </c>
      <c r="Q151" s="38">
        <f t="shared" si="11"/>
        <v>1.2933640298049909</v>
      </c>
      <c r="R151" s="17">
        <f t="shared" si="12"/>
        <v>0.27434631980384133</v>
      </c>
      <c r="S151" s="17">
        <f t="shared" si="13"/>
        <v>0.20433062974486904</v>
      </c>
      <c r="T151" s="38" t="str">
        <f t="shared" si="14"/>
        <v/>
      </c>
      <c r="U151" s="31" t="s">
        <v>1876</v>
      </c>
      <c r="V151" s="31"/>
    </row>
    <row r="152" spans="1:22" ht="30">
      <c r="A152" s="7">
        <v>8</v>
      </c>
      <c r="B152" s="7">
        <v>76</v>
      </c>
      <c r="C152" s="7">
        <v>46319.583333333336</v>
      </c>
      <c r="D152" s="7" t="s">
        <v>42</v>
      </c>
      <c r="E152" s="7" t="s">
        <v>49</v>
      </c>
      <c r="F152" s="7" t="s">
        <v>1742</v>
      </c>
      <c r="G152" s="7">
        <v>2</v>
      </c>
      <c r="H152" s="37">
        <f>Priors!$H$27*VLOOKUP(D152,Team_26_27!$A$2:$U$21,20,FALSE)*VLOOKUP(E152,Team_26_27!$A$2:$U$21,21,FALSE)*IF(F152="H",Priors!$H$28,Priors!$H$29)</f>
        <v>1.8810228976936723</v>
      </c>
      <c r="I152" s="37">
        <f>Priors!$H$27*VLOOKUP(E152,Team_26_27!$A$2:$U$21,20,FALSE)*VLOOKUP(D152,Team_26_27!$A$2:$U$21,21,FALSE)*IF(F152="H",Priors!$H$29,Priors!$H$28)</f>
        <v>1.0911873620130172</v>
      </c>
      <c r="J152" s="15"/>
      <c r="K152" s="15"/>
      <c r="L152" s="47" t="b">
        <v>0</v>
      </c>
      <c r="M152" s="45">
        <v>0</v>
      </c>
      <c r="N152" s="45"/>
      <c r="O152" s="45"/>
      <c r="P152" s="38">
        <f t="shared" si="10"/>
        <v>1.8810228976936723</v>
      </c>
      <c r="Q152" s="38">
        <f t="shared" si="11"/>
        <v>1.0911873620130172</v>
      </c>
      <c r="R152" s="17">
        <f t="shared" si="12"/>
        <v>0.33581751992398673</v>
      </c>
      <c r="S152" s="17">
        <f t="shared" si="13"/>
        <v>0.15243410149143213</v>
      </c>
      <c r="T152" s="38" t="str">
        <f t="shared" si="14"/>
        <v/>
      </c>
      <c r="U152" s="31" t="s">
        <v>1876</v>
      </c>
      <c r="V152" s="31"/>
    </row>
    <row r="153" spans="1:22" ht="30">
      <c r="A153" s="7">
        <v>8</v>
      </c>
      <c r="B153" s="7">
        <v>76</v>
      </c>
      <c r="C153" s="7">
        <v>46319.583333333336</v>
      </c>
      <c r="D153" s="7" t="s">
        <v>49</v>
      </c>
      <c r="E153" s="7" t="s">
        <v>42</v>
      </c>
      <c r="F153" s="7" t="s">
        <v>1743</v>
      </c>
      <c r="G153" s="7">
        <v>3</v>
      </c>
      <c r="H153" s="37">
        <f>Priors!$H$27*VLOOKUP(D153,Team_26_27!$A$2:$U$21,20,FALSE)*VLOOKUP(E153,Team_26_27!$A$2:$U$21,21,FALSE)*IF(F153="H",Priors!$H$28,Priors!$H$29)</f>
        <v>1.0911873620130172</v>
      </c>
      <c r="I153" s="37">
        <f>Priors!$H$27*VLOOKUP(E153,Team_26_27!$A$2:$U$21,20,FALSE)*VLOOKUP(D153,Team_26_27!$A$2:$U$21,21,FALSE)*IF(F153="H",Priors!$H$29,Priors!$H$28)</f>
        <v>1.8810228976936723</v>
      </c>
      <c r="J153" s="15"/>
      <c r="K153" s="15"/>
      <c r="L153" s="47" t="b">
        <v>0</v>
      </c>
      <c r="M153" s="45">
        <v>0</v>
      </c>
      <c r="N153" s="45"/>
      <c r="O153" s="45"/>
      <c r="P153" s="38">
        <f t="shared" si="10"/>
        <v>1.0911873620130172</v>
      </c>
      <c r="Q153" s="38">
        <f t="shared" si="11"/>
        <v>1.8810228976936723</v>
      </c>
      <c r="R153" s="17">
        <f t="shared" si="12"/>
        <v>0.15243410149143213</v>
      </c>
      <c r="S153" s="17">
        <f t="shared" si="13"/>
        <v>0.33581751992398673</v>
      </c>
      <c r="T153" s="38" t="str">
        <f t="shared" si="14"/>
        <v/>
      </c>
      <c r="U153" s="31" t="s">
        <v>1876</v>
      </c>
      <c r="V153" s="31"/>
    </row>
    <row r="154" spans="1:22" ht="30">
      <c r="A154" s="7">
        <v>8</v>
      </c>
      <c r="B154" s="7">
        <v>77</v>
      </c>
      <c r="C154" s="7">
        <v>46319.583333333336</v>
      </c>
      <c r="D154" s="7" t="s">
        <v>56</v>
      </c>
      <c r="E154" s="7" t="s">
        <v>50</v>
      </c>
      <c r="F154" s="7" t="s">
        <v>1742</v>
      </c>
      <c r="G154" s="7">
        <v>2</v>
      </c>
      <c r="H154" s="37">
        <f>Priors!$H$27*VLOOKUP(D154,Team_26_27!$A$2:$U$21,20,FALSE)*VLOOKUP(E154,Team_26_27!$A$2:$U$21,21,FALSE)*IF(F154="H",Priors!$H$28,Priors!$H$29)</f>
        <v>1.4375183703693246</v>
      </c>
      <c r="I154" s="37">
        <f>Priors!$H$27*VLOOKUP(E154,Team_26_27!$A$2:$U$21,20,FALSE)*VLOOKUP(D154,Team_26_27!$A$2:$U$21,21,FALSE)*IF(F154="H",Priors!$H$29,Priors!$H$28)</f>
        <v>1.223223329170015</v>
      </c>
      <c r="J154" s="15"/>
      <c r="K154" s="15"/>
      <c r="L154" s="47" t="b">
        <v>0</v>
      </c>
      <c r="M154" s="45">
        <v>0</v>
      </c>
      <c r="N154" s="45"/>
      <c r="O154" s="45"/>
      <c r="P154" s="38">
        <f t="shared" si="10"/>
        <v>1.4375183703693246</v>
      </c>
      <c r="Q154" s="38">
        <f t="shared" si="11"/>
        <v>1.223223329170015</v>
      </c>
      <c r="R154" s="17">
        <f t="shared" si="12"/>
        <v>0.29428007496726816</v>
      </c>
      <c r="S154" s="17">
        <f t="shared" si="13"/>
        <v>0.23751645579036695</v>
      </c>
      <c r="T154" s="38" t="str">
        <f t="shared" si="14"/>
        <v/>
      </c>
      <c r="U154" s="31" t="s">
        <v>1876</v>
      </c>
      <c r="V154" s="31"/>
    </row>
    <row r="155" spans="1:22" ht="30">
      <c r="A155" s="7">
        <v>8</v>
      </c>
      <c r="B155" s="7">
        <v>77</v>
      </c>
      <c r="C155" s="7">
        <v>46319.583333333336</v>
      </c>
      <c r="D155" s="7" t="s">
        <v>50</v>
      </c>
      <c r="E155" s="7" t="s">
        <v>56</v>
      </c>
      <c r="F155" s="7" t="s">
        <v>1743</v>
      </c>
      <c r="G155" s="7">
        <v>3</v>
      </c>
      <c r="H155" s="37">
        <f>Priors!$H$27*VLOOKUP(D155,Team_26_27!$A$2:$U$21,20,FALSE)*VLOOKUP(E155,Team_26_27!$A$2:$U$21,21,FALSE)*IF(F155="H",Priors!$H$28,Priors!$H$29)</f>
        <v>1.223223329170015</v>
      </c>
      <c r="I155" s="37">
        <f>Priors!$H$27*VLOOKUP(E155,Team_26_27!$A$2:$U$21,20,FALSE)*VLOOKUP(D155,Team_26_27!$A$2:$U$21,21,FALSE)*IF(F155="H",Priors!$H$29,Priors!$H$28)</f>
        <v>1.4375183703693246</v>
      </c>
      <c r="J155" s="15"/>
      <c r="K155" s="15"/>
      <c r="L155" s="47" t="b">
        <v>0</v>
      </c>
      <c r="M155" s="45">
        <v>0</v>
      </c>
      <c r="N155" s="45"/>
      <c r="O155" s="45"/>
      <c r="P155" s="38">
        <f t="shared" si="10"/>
        <v>1.223223329170015</v>
      </c>
      <c r="Q155" s="38">
        <f t="shared" si="11"/>
        <v>1.4375183703693246</v>
      </c>
      <c r="R155" s="17">
        <f t="shared" si="12"/>
        <v>0.23751645579036695</v>
      </c>
      <c r="S155" s="17">
        <f t="shared" si="13"/>
        <v>0.29428007496726816</v>
      </c>
      <c r="T155" s="38" t="str">
        <f t="shared" si="14"/>
        <v/>
      </c>
      <c r="U155" s="31" t="s">
        <v>1876</v>
      </c>
      <c r="V155" s="31"/>
    </row>
    <row r="156" spans="1:22" ht="30">
      <c r="A156" s="7">
        <v>8</v>
      </c>
      <c r="B156" s="7">
        <v>78</v>
      </c>
      <c r="C156" s="7">
        <v>46319.583333333336</v>
      </c>
      <c r="D156" s="7" t="s">
        <v>43</v>
      </c>
      <c r="E156" s="7" t="s">
        <v>52</v>
      </c>
      <c r="F156" s="7" t="s">
        <v>1742</v>
      </c>
      <c r="G156" s="7">
        <v>4</v>
      </c>
      <c r="H156" s="37">
        <f>Priors!$H$27*VLOOKUP(D156,Team_26_27!$A$2:$U$21,20,FALSE)*VLOOKUP(E156,Team_26_27!$A$2:$U$21,21,FALSE)*IF(F156="H",Priors!$H$28,Priors!$H$29)</f>
        <v>1.2581436645535753</v>
      </c>
      <c r="I156" s="37">
        <f>Priors!$H$27*VLOOKUP(E156,Team_26_27!$A$2:$U$21,20,FALSE)*VLOOKUP(D156,Team_26_27!$A$2:$U$21,21,FALSE)*IF(F156="H",Priors!$H$29,Priors!$H$28)</f>
        <v>1.5795396665502359</v>
      </c>
      <c r="J156" s="15"/>
      <c r="K156" s="15"/>
      <c r="L156" s="47" t="b">
        <v>0</v>
      </c>
      <c r="M156" s="45">
        <v>0</v>
      </c>
      <c r="N156" s="45"/>
      <c r="O156" s="45"/>
      <c r="P156" s="38">
        <f t="shared" si="10"/>
        <v>1.2581436645535753</v>
      </c>
      <c r="Q156" s="38">
        <f t="shared" si="11"/>
        <v>1.5795396665502359</v>
      </c>
      <c r="R156" s="17">
        <f t="shared" si="12"/>
        <v>0.20606993725952547</v>
      </c>
      <c r="S156" s="17">
        <f t="shared" si="13"/>
        <v>0.284181072559475</v>
      </c>
      <c r="T156" s="38" t="str">
        <f t="shared" si="14"/>
        <v/>
      </c>
      <c r="U156" s="31" t="s">
        <v>1876</v>
      </c>
      <c r="V156" s="31"/>
    </row>
    <row r="157" spans="1:22" ht="30">
      <c r="A157" s="7">
        <v>8</v>
      </c>
      <c r="B157" s="7">
        <v>78</v>
      </c>
      <c r="C157" s="7">
        <v>46319.583333333336</v>
      </c>
      <c r="D157" s="7" t="s">
        <v>52</v>
      </c>
      <c r="E157" s="7" t="s">
        <v>43</v>
      </c>
      <c r="F157" s="7" t="s">
        <v>1743</v>
      </c>
      <c r="G157" s="7">
        <v>2</v>
      </c>
      <c r="H157" s="37">
        <f>Priors!$H$27*VLOOKUP(D157,Team_26_27!$A$2:$U$21,20,FALSE)*VLOOKUP(E157,Team_26_27!$A$2:$U$21,21,FALSE)*IF(F157="H",Priors!$H$28,Priors!$H$29)</f>
        <v>1.5795396665502359</v>
      </c>
      <c r="I157" s="37">
        <f>Priors!$H$27*VLOOKUP(E157,Team_26_27!$A$2:$U$21,20,FALSE)*VLOOKUP(D157,Team_26_27!$A$2:$U$21,21,FALSE)*IF(F157="H",Priors!$H$29,Priors!$H$28)</f>
        <v>1.2581436645535753</v>
      </c>
      <c r="J157" s="15"/>
      <c r="K157" s="15"/>
      <c r="L157" s="47" t="b">
        <v>0</v>
      </c>
      <c r="M157" s="45">
        <v>0</v>
      </c>
      <c r="N157" s="45"/>
      <c r="O157" s="45"/>
      <c r="P157" s="38">
        <f t="shared" si="10"/>
        <v>1.5795396665502359</v>
      </c>
      <c r="Q157" s="38">
        <f t="shared" si="11"/>
        <v>1.2581436645535753</v>
      </c>
      <c r="R157" s="17">
        <f t="shared" si="12"/>
        <v>0.284181072559475</v>
      </c>
      <c r="S157" s="17">
        <f t="shared" si="13"/>
        <v>0.20606993725952547</v>
      </c>
      <c r="T157" s="38" t="str">
        <f t="shared" si="14"/>
        <v/>
      </c>
      <c r="U157" s="31" t="s">
        <v>1876</v>
      </c>
      <c r="V157" s="31"/>
    </row>
    <row r="158" spans="1:22" ht="30">
      <c r="A158" s="7">
        <v>8</v>
      </c>
      <c r="B158" s="7">
        <v>79</v>
      </c>
      <c r="C158" s="7">
        <v>46319.583333333336</v>
      </c>
      <c r="D158" s="7" t="s">
        <v>41</v>
      </c>
      <c r="E158" s="7" t="s">
        <v>54</v>
      </c>
      <c r="F158" s="7" t="s">
        <v>1742</v>
      </c>
      <c r="G158" s="7">
        <v>4</v>
      </c>
      <c r="H158" s="37">
        <f>Priors!$H$27*VLOOKUP(D158,Team_26_27!$A$2:$U$21,20,FALSE)*VLOOKUP(E158,Team_26_27!$A$2:$U$21,21,FALSE)*IF(F158="H",Priors!$H$28,Priors!$H$29)</f>
        <v>1.2907096680613566</v>
      </c>
      <c r="I158" s="37">
        <f>Priors!$H$27*VLOOKUP(E158,Team_26_27!$A$2:$U$21,20,FALSE)*VLOOKUP(D158,Team_26_27!$A$2:$U$21,21,FALSE)*IF(F158="H",Priors!$H$29,Priors!$H$28)</f>
        <v>1.8524914583426229</v>
      </c>
      <c r="J158" s="15"/>
      <c r="K158" s="15"/>
      <c r="L158" s="47" t="b">
        <v>0</v>
      </c>
      <c r="M158" s="45">
        <v>0</v>
      </c>
      <c r="N158" s="45"/>
      <c r="O158" s="45"/>
      <c r="P158" s="38">
        <f t="shared" si="10"/>
        <v>1.2907096680613566</v>
      </c>
      <c r="Q158" s="38">
        <f t="shared" si="11"/>
        <v>1.8524914583426229</v>
      </c>
      <c r="R158" s="17">
        <f t="shared" si="12"/>
        <v>0.15684590407302418</v>
      </c>
      <c r="S158" s="17">
        <f t="shared" si="13"/>
        <v>0.27507550150751564</v>
      </c>
      <c r="T158" s="38" t="str">
        <f t="shared" si="14"/>
        <v/>
      </c>
      <c r="U158" s="31" t="s">
        <v>1876</v>
      </c>
      <c r="V158" s="31"/>
    </row>
    <row r="159" spans="1:22" ht="30">
      <c r="A159" s="7">
        <v>8</v>
      </c>
      <c r="B159" s="7">
        <v>79</v>
      </c>
      <c r="C159" s="7">
        <v>46319.583333333336</v>
      </c>
      <c r="D159" s="7" t="s">
        <v>54</v>
      </c>
      <c r="E159" s="7" t="s">
        <v>41</v>
      </c>
      <c r="F159" s="7" t="s">
        <v>1743</v>
      </c>
      <c r="G159" s="7">
        <v>3</v>
      </c>
      <c r="H159" s="37">
        <f>Priors!$H$27*VLOOKUP(D159,Team_26_27!$A$2:$U$21,20,FALSE)*VLOOKUP(E159,Team_26_27!$A$2:$U$21,21,FALSE)*IF(F159="H",Priors!$H$28,Priors!$H$29)</f>
        <v>1.8524914583426229</v>
      </c>
      <c r="I159" s="37">
        <f>Priors!$H$27*VLOOKUP(E159,Team_26_27!$A$2:$U$21,20,FALSE)*VLOOKUP(D159,Team_26_27!$A$2:$U$21,21,FALSE)*IF(F159="H",Priors!$H$29,Priors!$H$28)</f>
        <v>1.2907096680613566</v>
      </c>
      <c r="J159" s="15"/>
      <c r="K159" s="15"/>
      <c r="L159" s="47" t="b">
        <v>0</v>
      </c>
      <c r="M159" s="45">
        <v>0</v>
      </c>
      <c r="N159" s="45"/>
      <c r="O159" s="45"/>
      <c r="P159" s="38">
        <f t="shared" si="10"/>
        <v>1.8524914583426229</v>
      </c>
      <c r="Q159" s="38">
        <f t="shared" si="11"/>
        <v>1.2907096680613566</v>
      </c>
      <c r="R159" s="17">
        <f t="shared" si="12"/>
        <v>0.27507550150751564</v>
      </c>
      <c r="S159" s="17">
        <f t="shared" si="13"/>
        <v>0.15684590407302418</v>
      </c>
      <c r="T159" s="38" t="str">
        <f t="shared" si="14"/>
        <v/>
      </c>
      <c r="U159" s="31" t="s">
        <v>1876</v>
      </c>
      <c r="V159" s="31"/>
    </row>
    <row r="160" spans="1:22" ht="30">
      <c r="A160" s="7">
        <v>8</v>
      </c>
      <c r="B160" s="7">
        <v>80</v>
      </c>
      <c r="C160" s="7">
        <v>46319.583333333336</v>
      </c>
      <c r="D160" s="7" t="s">
        <v>51</v>
      </c>
      <c r="E160" s="7" t="s">
        <v>58</v>
      </c>
      <c r="F160" s="7" t="s">
        <v>1742</v>
      </c>
      <c r="G160" s="7">
        <v>3</v>
      </c>
      <c r="H160" s="37">
        <f>Priors!$H$27*VLOOKUP(D160,Team_26_27!$A$2:$U$21,20,FALSE)*VLOOKUP(E160,Team_26_27!$A$2:$U$21,21,FALSE)*IF(F160="H",Priors!$H$28,Priors!$H$29)</f>
        <v>1.297547448014982</v>
      </c>
      <c r="I160" s="37">
        <f>Priors!$H$27*VLOOKUP(E160,Team_26_27!$A$2:$U$21,20,FALSE)*VLOOKUP(D160,Team_26_27!$A$2:$U$21,21,FALSE)*IF(F160="H",Priors!$H$29,Priors!$H$28)</f>
        <v>1.2920211917785145</v>
      </c>
      <c r="J160" s="15"/>
      <c r="K160" s="15"/>
      <c r="L160" s="47" t="b">
        <v>0</v>
      </c>
      <c r="M160" s="45">
        <v>0</v>
      </c>
      <c r="N160" s="45"/>
      <c r="O160" s="45"/>
      <c r="P160" s="38">
        <f t="shared" si="10"/>
        <v>1.297547448014982</v>
      </c>
      <c r="Q160" s="38">
        <f t="shared" si="11"/>
        <v>1.2920211917785145</v>
      </c>
      <c r="R160" s="17">
        <f t="shared" si="12"/>
        <v>0.27471496993781069</v>
      </c>
      <c r="S160" s="17">
        <f t="shared" si="13"/>
        <v>0.27320101173537942</v>
      </c>
      <c r="T160" s="38" t="str">
        <f t="shared" si="14"/>
        <v/>
      </c>
      <c r="U160" s="31" t="s">
        <v>1876</v>
      </c>
      <c r="V160" s="31"/>
    </row>
    <row r="161" spans="1:22" ht="30">
      <c r="A161" s="7">
        <v>8</v>
      </c>
      <c r="B161" s="7">
        <v>80</v>
      </c>
      <c r="C161" s="7">
        <v>46319.583333333336</v>
      </c>
      <c r="D161" s="7" t="s">
        <v>58</v>
      </c>
      <c r="E161" s="7" t="s">
        <v>51</v>
      </c>
      <c r="F161" s="7" t="s">
        <v>1743</v>
      </c>
      <c r="G161" s="7">
        <v>2</v>
      </c>
      <c r="H161" s="37">
        <f>Priors!$H$27*VLOOKUP(D161,Team_26_27!$A$2:$U$21,20,FALSE)*VLOOKUP(E161,Team_26_27!$A$2:$U$21,21,FALSE)*IF(F161="H",Priors!$H$28,Priors!$H$29)</f>
        <v>1.2920211917785145</v>
      </c>
      <c r="I161" s="37">
        <f>Priors!$H$27*VLOOKUP(E161,Team_26_27!$A$2:$U$21,20,FALSE)*VLOOKUP(D161,Team_26_27!$A$2:$U$21,21,FALSE)*IF(F161="H",Priors!$H$29,Priors!$H$28)</f>
        <v>1.297547448014982</v>
      </c>
      <c r="J161" s="15"/>
      <c r="K161" s="15"/>
      <c r="L161" s="47" t="b">
        <v>0</v>
      </c>
      <c r="M161" s="45">
        <v>0</v>
      </c>
      <c r="N161" s="45"/>
      <c r="O161" s="45"/>
      <c r="P161" s="38">
        <f t="shared" si="10"/>
        <v>1.2920211917785145</v>
      </c>
      <c r="Q161" s="38">
        <f t="shared" si="11"/>
        <v>1.297547448014982</v>
      </c>
      <c r="R161" s="17">
        <f t="shared" si="12"/>
        <v>0.27320101173537942</v>
      </c>
      <c r="S161" s="17">
        <f t="shared" si="13"/>
        <v>0.27471496993781069</v>
      </c>
      <c r="T161" s="38" t="str">
        <f t="shared" si="14"/>
        <v/>
      </c>
      <c r="U161" s="31" t="s">
        <v>1876</v>
      </c>
      <c r="V161" s="31"/>
    </row>
    <row r="162" spans="1:22" ht="30">
      <c r="A162" s="7">
        <v>9</v>
      </c>
      <c r="B162" s="7">
        <v>81</v>
      </c>
      <c r="C162" s="7">
        <v>46326.625</v>
      </c>
      <c r="D162" s="7" t="s">
        <v>48</v>
      </c>
      <c r="E162" s="7" t="s">
        <v>40</v>
      </c>
      <c r="F162" s="7" t="s">
        <v>1742</v>
      </c>
      <c r="G162" s="7">
        <v>4</v>
      </c>
      <c r="H162" s="37">
        <f>Priors!$H$27*VLOOKUP(D162,Team_26_27!$A$2:$U$21,20,FALSE)*VLOOKUP(E162,Team_26_27!$A$2:$U$21,21,FALSE)*IF(F162="H",Priors!$H$28,Priors!$H$29)</f>
        <v>1.2088929864073483</v>
      </c>
      <c r="I162" s="37">
        <f>Priors!$H$27*VLOOKUP(E162,Team_26_27!$A$2:$U$21,20,FALSE)*VLOOKUP(D162,Team_26_27!$A$2:$U$21,21,FALSE)*IF(F162="H",Priors!$H$29,Priors!$H$28)</f>
        <v>1.4421460889356261</v>
      </c>
      <c r="J162" s="15"/>
      <c r="K162" s="15"/>
      <c r="L162" s="47" t="b">
        <v>0</v>
      </c>
      <c r="M162" s="45">
        <v>0</v>
      </c>
      <c r="N162" s="45"/>
      <c r="O162" s="45"/>
      <c r="P162" s="38">
        <f t="shared" si="10"/>
        <v>1.2088929864073483</v>
      </c>
      <c r="Q162" s="38">
        <f t="shared" si="11"/>
        <v>1.4421460889356261</v>
      </c>
      <c r="R162" s="17">
        <f t="shared" si="12"/>
        <v>0.23641983585939128</v>
      </c>
      <c r="S162" s="17">
        <f t="shared" si="13"/>
        <v>0.29852757065621616</v>
      </c>
      <c r="T162" s="38" t="str">
        <f t="shared" si="14"/>
        <v/>
      </c>
      <c r="U162" s="31" t="s">
        <v>1876</v>
      </c>
      <c r="V162" s="31"/>
    </row>
    <row r="163" spans="1:22" ht="30">
      <c r="A163" s="7">
        <v>9</v>
      </c>
      <c r="B163" s="7">
        <v>81</v>
      </c>
      <c r="C163" s="7">
        <v>46326.625</v>
      </c>
      <c r="D163" s="7" t="s">
        <v>40</v>
      </c>
      <c r="E163" s="7" t="s">
        <v>48</v>
      </c>
      <c r="F163" s="7" t="s">
        <v>1743</v>
      </c>
      <c r="G163" s="7">
        <v>2</v>
      </c>
      <c r="H163" s="37">
        <f>Priors!$H$27*VLOOKUP(D163,Team_26_27!$A$2:$U$21,20,FALSE)*VLOOKUP(E163,Team_26_27!$A$2:$U$21,21,FALSE)*IF(F163="H",Priors!$H$28,Priors!$H$29)</f>
        <v>1.4421460889356261</v>
      </c>
      <c r="I163" s="37">
        <f>Priors!$H$27*VLOOKUP(E163,Team_26_27!$A$2:$U$21,20,FALSE)*VLOOKUP(D163,Team_26_27!$A$2:$U$21,21,FALSE)*IF(F163="H",Priors!$H$29,Priors!$H$28)</f>
        <v>1.2088929864073483</v>
      </c>
      <c r="J163" s="15"/>
      <c r="K163" s="15"/>
      <c r="L163" s="47" t="b">
        <v>0</v>
      </c>
      <c r="M163" s="45">
        <v>0</v>
      </c>
      <c r="N163" s="45"/>
      <c r="O163" s="45"/>
      <c r="P163" s="38">
        <f t="shared" si="10"/>
        <v>1.4421460889356261</v>
      </c>
      <c r="Q163" s="38">
        <f t="shared" si="11"/>
        <v>1.2088929864073483</v>
      </c>
      <c r="R163" s="17">
        <f t="shared" si="12"/>
        <v>0.29852757065621616</v>
      </c>
      <c r="S163" s="17">
        <f t="shared" si="13"/>
        <v>0.23641983585939128</v>
      </c>
      <c r="T163" s="38" t="str">
        <f t="shared" si="14"/>
        <v/>
      </c>
      <c r="U163" s="31" t="s">
        <v>1876</v>
      </c>
      <c r="V163" s="31"/>
    </row>
    <row r="164" spans="1:22" ht="30">
      <c r="A164" s="7">
        <v>9</v>
      </c>
      <c r="B164" s="7">
        <v>82</v>
      </c>
      <c r="C164" s="7">
        <v>46326.625</v>
      </c>
      <c r="D164" s="7" t="s">
        <v>51</v>
      </c>
      <c r="E164" s="7" t="s">
        <v>41</v>
      </c>
      <c r="F164" s="7" t="s">
        <v>1742</v>
      </c>
      <c r="G164" s="7">
        <v>3</v>
      </c>
      <c r="H164" s="37">
        <f>Priors!$H$27*VLOOKUP(D164,Team_26_27!$A$2:$U$21,20,FALSE)*VLOOKUP(E164,Team_26_27!$A$2:$U$21,21,FALSE)*IF(F164="H",Priors!$H$28,Priors!$H$29)</f>
        <v>1.3246264797708049</v>
      </c>
      <c r="I164" s="37">
        <f>Priors!$H$27*VLOOKUP(E164,Team_26_27!$A$2:$U$21,20,FALSE)*VLOOKUP(D164,Team_26_27!$A$2:$U$21,21,FALSE)*IF(F164="H",Priors!$H$29,Priors!$H$28)</f>
        <v>1.7344837464265721</v>
      </c>
      <c r="J164" s="15"/>
      <c r="K164" s="15"/>
      <c r="L164" s="47" t="b">
        <v>0</v>
      </c>
      <c r="M164" s="45">
        <v>0</v>
      </c>
      <c r="N164" s="45"/>
      <c r="O164" s="45"/>
      <c r="P164" s="38">
        <f t="shared" si="10"/>
        <v>1.3246264797708049</v>
      </c>
      <c r="Q164" s="38">
        <f t="shared" si="11"/>
        <v>1.7344837464265721</v>
      </c>
      <c r="R164" s="17">
        <f t="shared" si="12"/>
        <v>0.17649129103102934</v>
      </c>
      <c r="S164" s="17">
        <f t="shared" si="13"/>
        <v>0.2659022604154988</v>
      </c>
      <c r="T164" s="38" t="str">
        <f t="shared" si="14"/>
        <v/>
      </c>
      <c r="U164" s="31" t="s">
        <v>1876</v>
      </c>
      <c r="V164" s="31"/>
    </row>
    <row r="165" spans="1:22" ht="30">
      <c r="A165" s="7">
        <v>9</v>
      </c>
      <c r="B165" s="7">
        <v>82</v>
      </c>
      <c r="C165" s="7">
        <v>46326.625</v>
      </c>
      <c r="D165" s="7" t="s">
        <v>41</v>
      </c>
      <c r="E165" s="7" t="s">
        <v>51</v>
      </c>
      <c r="F165" s="7" t="s">
        <v>1743</v>
      </c>
      <c r="G165" s="7">
        <v>2</v>
      </c>
      <c r="H165" s="37">
        <f>Priors!$H$27*VLOOKUP(D165,Team_26_27!$A$2:$U$21,20,FALSE)*VLOOKUP(E165,Team_26_27!$A$2:$U$21,21,FALSE)*IF(F165="H",Priors!$H$28,Priors!$H$29)</f>
        <v>1.7344837464265721</v>
      </c>
      <c r="I165" s="37">
        <f>Priors!$H$27*VLOOKUP(E165,Team_26_27!$A$2:$U$21,20,FALSE)*VLOOKUP(D165,Team_26_27!$A$2:$U$21,21,FALSE)*IF(F165="H",Priors!$H$29,Priors!$H$28)</f>
        <v>1.3246264797708049</v>
      </c>
      <c r="J165" s="15"/>
      <c r="K165" s="15"/>
      <c r="L165" s="47" t="b">
        <v>0</v>
      </c>
      <c r="M165" s="45">
        <v>0</v>
      </c>
      <c r="N165" s="45"/>
      <c r="O165" s="45"/>
      <c r="P165" s="38">
        <f t="shared" si="10"/>
        <v>1.7344837464265721</v>
      </c>
      <c r="Q165" s="38">
        <f t="shared" si="11"/>
        <v>1.3246264797708049</v>
      </c>
      <c r="R165" s="17">
        <f t="shared" si="12"/>
        <v>0.2659022604154988</v>
      </c>
      <c r="S165" s="17">
        <f t="shared" si="13"/>
        <v>0.17649129103102934</v>
      </c>
      <c r="T165" s="38" t="str">
        <f t="shared" si="14"/>
        <v/>
      </c>
      <c r="U165" s="31" t="s">
        <v>1876</v>
      </c>
      <c r="V165" s="31"/>
    </row>
    <row r="166" spans="1:22" ht="30">
      <c r="A166" s="7">
        <v>9</v>
      </c>
      <c r="B166" s="7">
        <v>83</v>
      </c>
      <c r="C166" s="7">
        <v>46326.625</v>
      </c>
      <c r="D166" s="7" t="s">
        <v>56</v>
      </c>
      <c r="E166" s="7" t="s">
        <v>42</v>
      </c>
      <c r="F166" s="7" t="s">
        <v>1742</v>
      </c>
      <c r="G166" s="7">
        <v>3</v>
      </c>
      <c r="H166" s="37">
        <f>Priors!$H$27*VLOOKUP(D166,Team_26_27!$A$2:$U$21,20,FALSE)*VLOOKUP(E166,Team_26_27!$A$2:$U$21,21,FALSE)*IF(F166="H",Priors!$H$28,Priors!$H$29)</f>
        <v>1.1849847914282317</v>
      </c>
      <c r="I166" s="37">
        <f>Priors!$H$27*VLOOKUP(E166,Team_26_27!$A$2:$U$21,20,FALSE)*VLOOKUP(D166,Team_26_27!$A$2:$U$21,21,FALSE)*IF(F166="H",Priors!$H$29,Priors!$H$28)</f>
        <v>1.7560237740230977</v>
      </c>
      <c r="J166" s="15"/>
      <c r="K166" s="15"/>
      <c r="L166" s="47" t="b">
        <v>0</v>
      </c>
      <c r="M166" s="45">
        <v>0</v>
      </c>
      <c r="N166" s="45"/>
      <c r="O166" s="45"/>
      <c r="P166" s="38">
        <f t="shared" si="10"/>
        <v>1.1849847914282317</v>
      </c>
      <c r="Q166" s="38">
        <f t="shared" si="11"/>
        <v>1.7560237740230977</v>
      </c>
      <c r="R166" s="17">
        <f t="shared" si="12"/>
        <v>0.17273031493092397</v>
      </c>
      <c r="S166" s="17">
        <f t="shared" si="13"/>
        <v>0.30575082949678539</v>
      </c>
      <c r="T166" s="38" t="str">
        <f t="shared" si="14"/>
        <v/>
      </c>
      <c r="U166" s="31" t="s">
        <v>1876</v>
      </c>
      <c r="V166" s="31"/>
    </row>
    <row r="167" spans="1:22" ht="30">
      <c r="A167" s="7">
        <v>9</v>
      </c>
      <c r="B167" s="7">
        <v>83</v>
      </c>
      <c r="C167" s="7">
        <v>46326.625</v>
      </c>
      <c r="D167" s="7" t="s">
        <v>42</v>
      </c>
      <c r="E167" s="7" t="s">
        <v>56</v>
      </c>
      <c r="F167" s="7" t="s">
        <v>1743</v>
      </c>
      <c r="G167" s="7">
        <v>3</v>
      </c>
      <c r="H167" s="37">
        <f>Priors!$H$27*VLOOKUP(D167,Team_26_27!$A$2:$U$21,20,FALSE)*VLOOKUP(E167,Team_26_27!$A$2:$U$21,21,FALSE)*IF(F167="H",Priors!$H$28,Priors!$H$29)</f>
        <v>1.7560237740230977</v>
      </c>
      <c r="I167" s="37">
        <f>Priors!$H$27*VLOOKUP(E167,Team_26_27!$A$2:$U$21,20,FALSE)*VLOOKUP(D167,Team_26_27!$A$2:$U$21,21,FALSE)*IF(F167="H",Priors!$H$29,Priors!$H$28)</f>
        <v>1.1849847914282317</v>
      </c>
      <c r="J167" s="15"/>
      <c r="K167" s="15"/>
      <c r="L167" s="47" t="b">
        <v>0</v>
      </c>
      <c r="M167" s="45">
        <v>0</v>
      </c>
      <c r="N167" s="45"/>
      <c r="O167" s="45"/>
      <c r="P167" s="38">
        <f t="shared" si="10"/>
        <v>1.7560237740230977</v>
      </c>
      <c r="Q167" s="38">
        <f t="shared" si="11"/>
        <v>1.1849847914282317</v>
      </c>
      <c r="R167" s="17">
        <f t="shared" si="12"/>
        <v>0.30575082949678539</v>
      </c>
      <c r="S167" s="17">
        <f t="shared" si="13"/>
        <v>0.17273031493092397</v>
      </c>
      <c r="T167" s="38" t="str">
        <f t="shared" si="14"/>
        <v/>
      </c>
      <c r="U167" s="31" t="s">
        <v>1876</v>
      </c>
      <c r="V167" s="31"/>
    </row>
    <row r="168" spans="1:22" ht="30">
      <c r="A168" s="7">
        <v>9</v>
      </c>
      <c r="B168" s="7">
        <v>84</v>
      </c>
      <c r="C168" s="7">
        <v>46326.625</v>
      </c>
      <c r="D168" s="7" t="s">
        <v>54</v>
      </c>
      <c r="E168" s="7" t="s">
        <v>44</v>
      </c>
      <c r="F168" s="7" t="s">
        <v>1742</v>
      </c>
      <c r="G168" s="7">
        <v>4</v>
      </c>
      <c r="H168" s="37">
        <f>Priors!$H$27*VLOOKUP(D168,Team_26_27!$A$2:$U$21,20,FALSE)*VLOOKUP(E168,Team_26_27!$A$2:$U$21,21,FALSE)*IF(F168="H",Priors!$H$28,Priors!$H$29)</f>
        <v>1.4476447941779751</v>
      </c>
      <c r="I168" s="37">
        <f>Priors!$H$27*VLOOKUP(E168,Team_26_27!$A$2:$U$21,20,FALSE)*VLOOKUP(D168,Team_26_27!$A$2:$U$21,21,FALSE)*IF(F168="H",Priors!$H$29,Priors!$H$28)</f>
        <v>1.6464130715750829</v>
      </c>
      <c r="J168" s="15"/>
      <c r="K168" s="15"/>
      <c r="L168" s="47" t="b">
        <v>0</v>
      </c>
      <c r="M168" s="45">
        <v>0</v>
      </c>
      <c r="N168" s="45"/>
      <c r="O168" s="45"/>
      <c r="P168" s="38">
        <f t="shared" si="10"/>
        <v>1.4476447941779751</v>
      </c>
      <c r="Q168" s="38">
        <f t="shared" si="11"/>
        <v>1.6464130715750829</v>
      </c>
      <c r="R168" s="17">
        <f t="shared" si="12"/>
        <v>0.19274001483787992</v>
      </c>
      <c r="S168" s="17">
        <f t="shared" si="13"/>
        <v>0.2351234004930858</v>
      </c>
      <c r="T168" s="38" t="str">
        <f t="shared" si="14"/>
        <v/>
      </c>
      <c r="U168" s="31" t="s">
        <v>1876</v>
      </c>
      <c r="V168" s="31"/>
    </row>
    <row r="169" spans="1:22" ht="30">
      <c r="A169" s="7">
        <v>9</v>
      </c>
      <c r="B169" s="7">
        <v>84</v>
      </c>
      <c r="C169" s="7">
        <v>46326.625</v>
      </c>
      <c r="D169" s="7" t="s">
        <v>44</v>
      </c>
      <c r="E169" s="7" t="s">
        <v>54</v>
      </c>
      <c r="F169" s="7" t="s">
        <v>1743</v>
      </c>
      <c r="G169" s="7">
        <v>4</v>
      </c>
      <c r="H169" s="37">
        <f>Priors!$H$27*VLOOKUP(D169,Team_26_27!$A$2:$U$21,20,FALSE)*VLOOKUP(E169,Team_26_27!$A$2:$U$21,21,FALSE)*IF(F169="H",Priors!$H$28,Priors!$H$29)</f>
        <v>1.6464130715750829</v>
      </c>
      <c r="I169" s="37">
        <f>Priors!$H$27*VLOOKUP(E169,Team_26_27!$A$2:$U$21,20,FALSE)*VLOOKUP(D169,Team_26_27!$A$2:$U$21,21,FALSE)*IF(F169="H",Priors!$H$29,Priors!$H$28)</f>
        <v>1.4476447941779751</v>
      </c>
      <c r="J169" s="15"/>
      <c r="K169" s="15"/>
      <c r="L169" s="47" t="b">
        <v>0</v>
      </c>
      <c r="M169" s="45">
        <v>0</v>
      </c>
      <c r="N169" s="45"/>
      <c r="O169" s="45"/>
      <c r="P169" s="38">
        <f t="shared" si="10"/>
        <v>1.6464130715750829</v>
      </c>
      <c r="Q169" s="38">
        <f t="shared" si="11"/>
        <v>1.4476447941779751</v>
      </c>
      <c r="R169" s="17">
        <f t="shared" si="12"/>
        <v>0.2351234004930858</v>
      </c>
      <c r="S169" s="17">
        <f t="shared" si="13"/>
        <v>0.19274001483787992</v>
      </c>
      <c r="T169" s="38" t="str">
        <f t="shared" si="14"/>
        <v/>
      </c>
      <c r="U169" s="31" t="s">
        <v>1876</v>
      </c>
      <c r="V169" s="31"/>
    </row>
    <row r="170" spans="1:22" ht="30">
      <c r="A170" s="7">
        <v>9</v>
      </c>
      <c r="B170" s="7">
        <v>85</v>
      </c>
      <c r="C170" s="7">
        <v>46326.625</v>
      </c>
      <c r="D170" s="7" t="s">
        <v>58</v>
      </c>
      <c r="E170" s="7" t="s">
        <v>45</v>
      </c>
      <c r="F170" s="7" t="s">
        <v>1742</v>
      </c>
      <c r="G170" s="7">
        <v>2</v>
      </c>
      <c r="H170" s="37">
        <f>Priors!$H$27*VLOOKUP(D170,Team_26_27!$A$2:$U$21,20,FALSE)*VLOOKUP(E170,Team_26_27!$A$2:$U$21,21,FALSE)*IF(F170="H",Priors!$H$28,Priors!$H$29)</f>
        <v>1.2843345693541626</v>
      </c>
      <c r="I170" s="37">
        <f>Priors!$H$27*VLOOKUP(E170,Team_26_27!$A$2:$U$21,20,FALSE)*VLOOKUP(D170,Team_26_27!$A$2:$U$21,21,FALSE)*IF(F170="H",Priors!$H$29,Priors!$H$28)</f>
        <v>1.2342599092413271</v>
      </c>
      <c r="J170" s="15"/>
      <c r="K170" s="15"/>
      <c r="L170" s="47" t="b">
        <v>0</v>
      </c>
      <c r="M170" s="45">
        <v>0</v>
      </c>
      <c r="N170" s="45"/>
      <c r="O170" s="45"/>
      <c r="P170" s="38">
        <f t="shared" si="10"/>
        <v>1.2843345693541626</v>
      </c>
      <c r="Q170" s="38">
        <f t="shared" si="11"/>
        <v>1.2342599092413271</v>
      </c>
      <c r="R170" s="17">
        <f t="shared" si="12"/>
        <v>0.29105008615752592</v>
      </c>
      <c r="S170" s="17">
        <f t="shared" si="13"/>
        <v>0.27683473667225394</v>
      </c>
      <c r="T170" s="38" t="str">
        <f t="shared" si="14"/>
        <v/>
      </c>
      <c r="U170" s="31" t="s">
        <v>1876</v>
      </c>
      <c r="V170" s="31"/>
    </row>
    <row r="171" spans="1:22" ht="30">
      <c r="A171" s="7">
        <v>9</v>
      </c>
      <c r="B171" s="7">
        <v>85</v>
      </c>
      <c r="C171" s="7">
        <v>46326.625</v>
      </c>
      <c r="D171" s="7" t="s">
        <v>45</v>
      </c>
      <c r="E171" s="7" t="s">
        <v>58</v>
      </c>
      <c r="F171" s="7" t="s">
        <v>1743</v>
      </c>
      <c r="G171" s="7">
        <v>2</v>
      </c>
      <c r="H171" s="37">
        <f>Priors!$H$27*VLOOKUP(D171,Team_26_27!$A$2:$U$21,20,FALSE)*VLOOKUP(E171,Team_26_27!$A$2:$U$21,21,FALSE)*IF(F171="H",Priors!$H$28,Priors!$H$29)</f>
        <v>1.2342599092413271</v>
      </c>
      <c r="I171" s="37">
        <f>Priors!$H$27*VLOOKUP(E171,Team_26_27!$A$2:$U$21,20,FALSE)*VLOOKUP(D171,Team_26_27!$A$2:$U$21,21,FALSE)*IF(F171="H",Priors!$H$29,Priors!$H$28)</f>
        <v>1.2843345693541626</v>
      </c>
      <c r="J171" s="15"/>
      <c r="K171" s="15"/>
      <c r="L171" s="47" t="b">
        <v>0</v>
      </c>
      <c r="M171" s="45">
        <v>0</v>
      </c>
      <c r="N171" s="45"/>
      <c r="O171" s="45"/>
      <c r="P171" s="38">
        <f t="shared" si="10"/>
        <v>1.2342599092413271</v>
      </c>
      <c r="Q171" s="38">
        <f t="shared" si="11"/>
        <v>1.2843345693541626</v>
      </c>
      <c r="R171" s="17">
        <f t="shared" si="12"/>
        <v>0.27683473667225394</v>
      </c>
      <c r="S171" s="17">
        <f t="shared" si="13"/>
        <v>0.29105008615752592</v>
      </c>
      <c r="T171" s="38" t="str">
        <f t="shared" si="14"/>
        <v/>
      </c>
      <c r="U171" s="31" t="s">
        <v>1876</v>
      </c>
      <c r="V171" s="31"/>
    </row>
    <row r="172" spans="1:22" ht="30">
      <c r="A172" s="7">
        <v>9</v>
      </c>
      <c r="B172" s="7">
        <v>86</v>
      </c>
      <c r="C172" s="7">
        <v>46326.625</v>
      </c>
      <c r="D172" s="7" t="s">
        <v>50</v>
      </c>
      <c r="E172" s="7" t="s">
        <v>49</v>
      </c>
      <c r="F172" s="7" t="s">
        <v>1742</v>
      </c>
      <c r="G172" s="7">
        <v>2</v>
      </c>
      <c r="H172" s="37">
        <f>Priors!$H$27*VLOOKUP(D172,Team_26_27!$A$2:$U$21,20,FALSE)*VLOOKUP(E172,Team_26_27!$A$2:$U$21,21,FALSE)*IF(F172="H",Priors!$H$28,Priors!$H$29)</f>
        <v>1.3102960934808037</v>
      </c>
      <c r="I172" s="37">
        <f>Priors!$H$27*VLOOKUP(E172,Team_26_27!$A$2:$U$21,20,FALSE)*VLOOKUP(D172,Team_26_27!$A$2:$U$21,21,FALSE)*IF(F172="H",Priors!$H$29,Priors!$H$28)</f>
        <v>1.3237316544104836</v>
      </c>
      <c r="J172" s="15"/>
      <c r="K172" s="15"/>
      <c r="L172" s="47" t="b">
        <v>0</v>
      </c>
      <c r="M172" s="45">
        <v>0</v>
      </c>
      <c r="N172" s="45"/>
      <c r="O172" s="45"/>
      <c r="P172" s="38">
        <f t="shared" si="10"/>
        <v>1.3102960934808037</v>
      </c>
      <c r="Q172" s="38">
        <f t="shared" si="11"/>
        <v>1.3237316544104836</v>
      </c>
      <c r="R172" s="17">
        <f t="shared" si="12"/>
        <v>0.26614030298886748</v>
      </c>
      <c r="S172" s="17">
        <f t="shared" si="13"/>
        <v>0.2697401762515782</v>
      </c>
      <c r="T172" s="38" t="str">
        <f t="shared" si="14"/>
        <v/>
      </c>
      <c r="U172" s="31" t="s">
        <v>1876</v>
      </c>
      <c r="V172" s="31"/>
    </row>
    <row r="173" spans="1:22" ht="30">
      <c r="A173" s="7">
        <v>9</v>
      </c>
      <c r="B173" s="7">
        <v>86</v>
      </c>
      <c r="C173" s="7">
        <v>46326.625</v>
      </c>
      <c r="D173" s="7" t="s">
        <v>49</v>
      </c>
      <c r="E173" s="7" t="s">
        <v>50</v>
      </c>
      <c r="F173" s="7" t="s">
        <v>1743</v>
      </c>
      <c r="G173" s="7">
        <v>2</v>
      </c>
      <c r="H173" s="37">
        <f>Priors!$H$27*VLOOKUP(D173,Team_26_27!$A$2:$U$21,20,FALSE)*VLOOKUP(E173,Team_26_27!$A$2:$U$21,21,FALSE)*IF(F173="H",Priors!$H$28,Priors!$H$29)</f>
        <v>1.3237316544104836</v>
      </c>
      <c r="I173" s="37">
        <f>Priors!$H$27*VLOOKUP(E173,Team_26_27!$A$2:$U$21,20,FALSE)*VLOOKUP(D173,Team_26_27!$A$2:$U$21,21,FALSE)*IF(F173="H",Priors!$H$29,Priors!$H$28)</f>
        <v>1.3102960934808037</v>
      </c>
      <c r="J173" s="15"/>
      <c r="K173" s="15"/>
      <c r="L173" s="47" t="b">
        <v>0</v>
      </c>
      <c r="M173" s="45">
        <v>0</v>
      </c>
      <c r="N173" s="45"/>
      <c r="O173" s="45"/>
      <c r="P173" s="38">
        <f t="shared" si="10"/>
        <v>1.3237316544104836</v>
      </c>
      <c r="Q173" s="38">
        <f t="shared" si="11"/>
        <v>1.3102960934808037</v>
      </c>
      <c r="R173" s="17">
        <f t="shared" si="12"/>
        <v>0.2697401762515782</v>
      </c>
      <c r="S173" s="17">
        <f t="shared" si="13"/>
        <v>0.26614030298886748</v>
      </c>
      <c r="T173" s="38" t="str">
        <f t="shared" si="14"/>
        <v/>
      </c>
      <c r="U173" s="31" t="s">
        <v>1876</v>
      </c>
      <c r="V173" s="31"/>
    </row>
    <row r="174" spans="1:22" ht="30">
      <c r="A174" s="7">
        <v>9</v>
      </c>
      <c r="B174" s="7">
        <v>87</v>
      </c>
      <c r="C174" s="7">
        <v>46326.625</v>
      </c>
      <c r="D174" s="7" t="s">
        <v>39</v>
      </c>
      <c r="E174" s="7" t="s">
        <v>52</v>
      </c>
      <c r="F174" s="7" t="s">
        <v>1742</v>
      </c>
      <c r="G174" s="7">
        <v>4</v>
      </c>
      <c r="H174" s="37">
        <f>Priors!$H$27*VLOOKUP(D174,Team_26_27!$A$2:$U$21,20,FALSE)*VLOOKUP(E174,Team_26_27!$A$2:$U$21,21,FALSE)*IF(F174="H",Priors!$H$28,Priors!$H$29)</f>
        <v>1.3782469950876202</v>
      </c>
      <c r="I174" s="37">
        <f>Priors!$H$27*VLOOKUP(E174,Team_26_27!$A$2:$U$21,20,FALSE)*VLOOKUP(D174,Team_26_27!$A$2:$U$21,21,FALSE)*IF(F174="H",Priors!$H$29,Priors!$H$28)</f>
        <v>1.1223619280781025</v>
      </c>
      <c r="J174" s="15"/>
      <c r="K174" s="15"/>
      <c r="L174" s="47" t="b">
        <v>0</v>
      </c>
      <c r="M174" s="45">
        <v>0</v>
      </c>
      <c r="N174" s="45"/>
      <c r="O174" s="45"/>
      <c r="P174" s="38">
        <f t="shared" si="10"/>
        <v>1.3782469950876202</v>
      </c>
      <c r="Q174" s="38">
        <f t="shared" si="11"/>
        <v>1.1223619280781025</v>
      </c>
      <c r="R174" s="17">
        <f t="shared" si="12"/>
        <v>0.32551005460792504</v>
      </c>
      <c r="S174" s="17">
        <f t="shared" si="13"/>
        <v>0.25201995827884088</v>
      </c>
      <c r="T174" s="38" t="str">
        <f t="shared" si="14"/>
        <v/>
      </c>
      <c r="U174" s="31" t="s">
        <v>1876</v>
      </c>
      <c r="V174" s="31"/>
    </row>
    <row r="175" spans="1:22" ht="30">
      <c r="A175" s="7">
        <v>9</v>
      </c>
      <c r="B175" s="7">
        <v>87</v>
      </c>
      <c r="C175" s="7">
        <v>46326.625</v>
      </c>
      <c r="D175" s="7" t="s">
        <v>52</v>
      </c>
      <c r="E175" s="7" t="s">
        <v>39</v>
      </c>
      <c r="F175" s="7" t="s">
        <v>1743</v>
      </c>
      <c r="G175" s="7">
        <v>4</v>
      </c>
      <c r="H175" s="37">
        <f>Priors!$H$27*VLOOKUP(D175,Team_26_27!$A$2:$U$21,20,FALSE)*VLOOKUP(E175,Team_26_27!$A$2:$U$21,21,FALSE)*IF(F175="H",Priors!$H$28,Priors!$H$29)</f>
        <v>1.1223619280781025</v>
      </c>
      <c r="I175" s="37">
        <f>Priors!$H$27*VLOOKUP(E175,Team_26_27!$A$2:$U$21,20,FALSE)*VLOOKUP(D175,Team_26_27!$A$2:$U$21,21,FALSE)*IF(F175="H",Priors!$H$29,Priors!$H$28)</f>
        <v>1.3782469950876202</v>
      </c>
      <c r="J175" s="15"/>
      <c r="K175" s="15"/>
      <c r="L175" s="47" t="b">
        <v>0</v>
      </c>
      <c r="M175" s="45">
        <v>0</v>
      </c>
      <c r="N175" s="45"/>
      <c r="O175" s="45"/>
      <c r="P175" s="38">
        <f t="shared" si="10"/>
        <v>1.1223619280781025</v>
      </c>
      <c r="Q175" s="38">
        <f t="shared" si="11"/>
        <v>1.3782469950876202</v>
      </c>
      <c r="R175" s="17">
        <f t="shared" si="12"/>
        <v>0.25201995827884088</v>
      </c>
      <c r="S175" s="17">
        <f t="shared" si="13"/>
        <v>0.32551005460792504</v>
      </c>
      <c r="T175" s="38" t="str">
        <f t="shared" si="14"/>
        <v/>
      </c>
      <c r="U175" s="31" t="s">
        <v>1876</v>
      </c>
      <c r="V175" s="31"/>
    </row>
    <row r="176" spans="1:22" ht="30">
      <c r="A176" s="7">
        <v>9</v>
      </c>
      <c r="B176" s="7">
        <v>88</v>
      </c>
      <c r="C176" s="7">
        <v>46326.625</v>
      </c>
      <c r="D176" s="7" t="s">
        <v>43</v>
      </c>
      <c r="E176" s="7" t="s">
        <v>53</v>
      </c>
      <c r="F176" s="7" t="s">
        <v>1742</v>
      </c>
      <c r="G176" s="7">
        <v>5</v>
      </c>
      <c r="H176" s="37">
        <f>Priors!$H$27*VLOOKUP(D176,Team_26_27!$A$2:$U$21,20,FALSE)*VLOOKUP(E176,Team_26_27!$A$2:$U$21,21,FALSE)*IF(F176="H",Priors!$H$28,Priors!$H$29)</f>
        <v>1.2138319714546888</v>
      </c>
      <c r="I176" s="37">
        <f>Priors!$H$27*VLOOKUP(E176,Team_26_27!$A$2:$U$21,20,FALSE)*VLOOKUP(D176,Team_26_27!$A$2:$U$21,21,FALSE)*IF(F176="H",Priors!$H$29,Priors!$H$28)</f>
        <v>1.7348493925915465</v>
      </c>
      <c r="J176" s="15"/>
      <c r="K176" s="15"/>
      <c r="L176" s="47" t="b">
        <v>0</v>
      </c>
      <c r="M176" s="45">
        <v>0</v>
      </c>
      <c r="N176" s="45"/>
      <c r="O176" s="45"/>
      <c r="P176" s="38">
        <f t="shared" si="10"/>
        <v>1.2138319714546888</v>
      </c>
      <c r="Q176" s="38">
        <f t="shared" si="11"/>
        <v>1.7348493925915465</v>
      </c>
      <c r="R176" s="17">
        <f t="shared" si="12"/>
        <v>0.17642676946406308</v>
      </c>
      <c r="S176" s="17">
        <f t="shared" si="13"/>
        <v>0.29705678253860018</v>
      </c>
      <c r="T176" s="38" t="str">
        <f t="shared" si="14"/>
        <v/>
      </c>
      <c r="U176" s="31" t="s">
        <v>1876</v>
      </c>
      <c r="V176" s="31"/>
    </row>
    <row r="177" spans="1:22" ht="30">
      <c r="A177" s="7">
        <v>9</v>
      </c>
      <c r="B177" s="7">
        <v>88</v>
      </c>
      <c r="C177" s="7">
        <v>46326.625</v>
      </c>
      <c r="D177" s="7" t="s">
        <v>53</v>
      </c>
      <c r="E177" s="7" t="s">
        <v>43</v>
      </c>
      <c r="F177" s="7" t="s">
        <v>1743</v>
      </c>
      <c r="G177" s="7">
        <v>2</v>
      </c>
      <c r="H177" s="37">
        <f>Priors!$H$27*VLOOKUP(D177,Team_26_27!$A$2:$U$21,20,FALSE)*VLOOKUP(E177,Team_26_27!$A$2:$U$21,21,FALSE)*IF(F177="H",Priors!$H$28,Priors!$H$29)</f>
        <v>1.7348493925915465</v>
      </c>
      <c r="I177" s="37">
        <f>Priors!$H$27*VLOOKUP(E177,Team_26_27!$A$2:$U$21,20,FALSE)*VLOOKUP(D177,Team_26_27!$A$2:$U$21,21,FALSE)*IF(F177="H",Priors!$H$29,Priors!$H$28)</f>
        <v>1.2138319714546888</v>
      </c>
      <c r="J177" s="15"/>
      <c r="K177" s="15"/>
      <c r="L177" s="47" t="b">
        <v>0</v>
      </c>
      <c r="M177" s="45">
        <v>0</v>
      </c>
      <c r="N177" s="45"/>
      <c r="O177" s="45"/>
      <c r="P177" s="38">
        <f t="shared" si="10"/>
        <v>1.7348493925915465</v>
      </c>
      <c r="Q177" s="38">
        <f t="shared" si="11"/>
        <v>1.2138319714546888</v>
      </c>
      <c r="R177" s="17">
        <f t="shared" si="12"/>
        <v>0.29705678253860018</v>
      </c>
      <c r="S177" s="17">
        <f t="shared" si="13"/>
        <v>0.17642676946406308</v>
      </c>
      <c r="T177" s="38" t="str">
        <f t="shared" si="14"/>
        <v/>
      </c>
      <c r="U177" s="31" t="s">
        <v>1876</v>
      </c>
      <c r="V177" s="31"/>
    </row>
    <row r="178" spans="1:22" ht="30">
      <c r="A178" s="7">
        <v>9</v>
      </c>
      <c r="B178" s="7">
        <v>89</v>
      </c>
      <c r="C178" s="7">
        <v>46326.625</v>
      </c>
      <c r="D178" s="7" t="s">
        <v>47</v>
      </c>
      <c r="E178" s="7" t="s">
        <v>55</v>
      </c>
      <c r="F178" s="7" t="s">
        <v>1742</v>
      </c>
      <c r="G178" s="7">
        <v>3</v>
      </c>
      <c r="H178" s="37">
        <f>Priors!$H$27*VLOOKUP(D178,Team_26_27!$A$2:$U$21,20,FALSE)*VLOOKUP(E178,Team_26_27!$A$2:$U$21,21,FALSE)*IF(F178="H",Priors!$H$28,Priors!$H$29)</f>
        <v>1.1299541024316651</v>
      </c>
      <c r="I178" s="37">
        <f>Priors!$H$27*VLOOKUP(E178,Team_26_27!$A$2:$U$21,20,FALSE)*VLOOKUP(D178,Team_26_27!$A$2:$U$21,21,FALSE)*IF(F178="H",Priors!$H$29,Priors!$H$28)</f>
        <v>1.6723379674068679</v>
      </c>
      <c r="J178" s="15"/>
      <c r="K178" s="15"/>
      <c r="L178" s="47" t="b">
        <v>0</v>
      </c>
      <c r="M178" s="45">
        <v>0</v>
      </c>
      <c r="N178" s="45"/>
      <c r="O178" s="45"/>
      <c r="P178" s="38">
        <f t="shared" si="10"/>
        <v>1.1299541024316651</v>
      </c>
      <c r="Q178" s="38">
        <f t="shared" si="11"/>
        <v>1.6723379674068679</v>
      </c>
      <c r="R178" s="17">
        <f t="shared" si="12"/>
        <v>0.18780746422197886</v>
      </c>
      <c r="S178" s="17">
        <f t="shared" si="13"/>
        <v>0.32304808320346806</v>
      </c>
      <c r="T178" s="38" t="str">
        <f t="shared" si="14"/>
        <v/>
      </c>
      <c r="U178" s="31" t="s">
        <v>1876</v>
      </c>
      <c r="V178" s="31"/>
    </row>
    <row r="179" spans="1:22" ht="30">
      <c r="A179" s="7">
        <v>9</v>
      </c>
      <c r="B179" s="7">
        <v>89</v>
      </c>
      <c r="C179" s="7">
        <v>46326.625</v>
      </c>
      <c r="D179" s="7" t="s">
        <v>55</v>
      </c>
      <c r="E179" s="7" t="s">
        <v>47</v>
      </c>
      <c r="F179" s="7" t="s">
        <v>1743</v>
      </c>
      <c r="G179" s="7">
        <v>3</v>
      </c>
      <c r="H179" s="37">
        <f>Priors!$H$27*VLOOKUP(D179,Team_26_27!$A$2:$U$21,20,FALSE)*VLOOKUP(E179,Team_26_27!$A$2:$U$21,21,FALSE)*IF(F179="H",Priors!$H$28,Priors!$H$29)</f>
        <v>1.6723379674068679</v>
      </c>
      <c r="I179" s="37">
        <f>Priors!$H$27*VLOOKUP(E179,Team_26_27!$A$2:$U$21,20,FALSE)*VLOOKUP(D179,Team_26_27!$A$2:$U$21,21,FALSE)*IF(F179="H",Priors!$H$29,Priors!$H$28)</f>
        <v>1.1299541024316651</v>
      </c>
      <c r="J179" s="15"/>
      <c r="K179" s="15"/>
      <c r="L179" s="47" t="b">
        <v>0</v>
      </c>
      <c r="M179" s="45">
        <v>0</v>
      </c>
      <c r="N179" s="45"/>
      <c r="O179" s="45"/>
      <c r="P179" s="38">
        <f t="shared" si="10"/>
        <v>1.6723379674068679</v>
      </c>
      <c r="Q179" s="38">
        <f t="shared" si="11"/>
        <v>1.1299541024316651</v>
      </c>
      <c r="R179" s="17">
        <f t="shared" si="12"/>
        <v>0.32304808320346806</v>
      </c>
      <c r="S179" s="17">
        <f t="shared" si="13"/>
        <v>0.18780746422197886</v>
      </c>
      <c r="T179" s="38" t="str">
        <f t="shared" si="14"/>
        <v/>
      </c>
      <c r="U179" s="31" t="s">
        <v>1876</v>
      </c>
      <c r="V179" s="31"/>
    </row>
    <row r="180" spans="1:22" ht="30">
      <c r="A180" s="7">
        <v>9</v>
      </c>
      <c r="B180" s="7">
        <v>90</v>
      </c>
      <c r="C180" s="7">
        <v>46326.625</v>
      </c>
      <c r="D180" s="7" t="s">
        <v>46</v>
      </c>
      <c r="E180" s="7" t="s">
        <v>57</v>
      </c>
      <c r="F180" s="7" t="s">
        <v>1742</v>
      </c>
      <c r="G180" s="7">
        <v>3</v>
      </c>
      <c r="H180" s="37">
        <f>Priors!$H$27*VLOOKUP(D180,Team_26_27!$A$2:$U$21,20,FALSE)*VLOOKUP(E180,Team_26_27!$A$2:$U$21,21,FALSE)*IF(F180="H",Priors!$H$28,Priors!$H$29)</f>
        <v>1.3099496378141766</v>
      </c>
      <c r="I180" s="37">
        <f>Priors!$H$27*VLOOKUP(E180,Team_26_27!$A$2:$U$21,20,FALSE)*VLOOKUP(D180,Team_26_27!$A$2:$U$21,21,FALSE)*IF(F180="H",Priors!$H$29,Priors!$H$28)</f>
        <v>1.2557446724460826</v>
      </c>
      <c r="J180" s="15"/>
      <c r="K180" s="15"/>
      <c r="L180" s="47" t="b">
        <v>0</v>
      </c>
      <c r="M180" s="45">
        <v>0</v>
      </c>
      <c r="N180" s="45"/>
      <c r="O180" s="45"/>
      <c r="P180" s="38">
        <f t="shared" si="10"/>
        <v>1.3099496378141766</v>
      </c>
      <c r="Q180" s="38">
        <f t="shared" si="11"/>
        <v>1.2557446724460826</v>
      </c>
      <c r="R180" s="17">
        <f t="shared" si="12"/>
        <v>0.2848636391181808</v>
      </c>
      <c r="S180" s="17">
        <f t="shared" si="13"/>
        <v>0.26983364545469013</v>
      </c>
      <c r="T180" s="38" t="str">
        <f t="shared" si="14"/>
        <v/>
      </c>
      <c r="U180" s="31" t="s">
        <v>1876</v>
      </c>
      <c r="V180" s="31"/>
    </row>
    <row r="181" spans="1:22" ht="30">
      <c r="A181" s="7">
        <v>9</v>
      </c>
      <c r="B181" s="7">
        <v>90</v>
      </c>
      <c r="C181" s="7">
        <v>46326.625</v>
      </c>
      <c r="D181" s="7" t="s">
        <v>57</v>
      </c>
      <c r="E181" s="7" t="s">
        <v>46</v>
      </c>
      <c r="F181" s="7" t="s">
        <v>1743</v>
      </c>
      <c r="G181" s="7">
        <v>3</v>
      </c>
      <c r="H181" s="37">
        <f>Priors!$H$27*VLOOKUP(D181,Team_26_27!$A$2:$U$21,20,FALSE)*VLOOKUP(E181,Team_26_27!$A$2:$U$21,21,FALSE)*IF(F181="H",Priors!$H$28,Priors!$H$29)</f>
        <v>1.2557446724460826</v>
      </c>
      <c r="I181" s="37">
        <f>Priors!$H$27*VLOOKUP(E181,Team_26_27!$A$2:$U$21,20,FALSE)*VLOOKUP(D181,Team_26_27!$A$2:$U$21,21,FALSE)*IF(F181="H",Priors!$H$29,Priors!$H$28)</f>
        <v>1.3099496378141766</v>
      </c>
      <c r="J181" s="15"/>
      <c r="K181" s="15"/>
      <c r="L181" s="47" t="b">
        <v>0</v>
      </c>
      <c r="M181" s="45">
        <v>0</v>
      </c>
      <c r="N181" s="45"/>
      <c r="O181" s="45"/>
      <c r="P181" s="38">
        <f t="shared" si="10"/>
        <v>1.2557446724460826</v>
      </c>
      <c r="Q181" s="38">
        <f t="shared" si="11"/>
        <v>1.3099496378141766</v>
      </c>
      <c r="R181" s="17">
        <f t="shared" si="12"/>
        <v>0.26983364545469013</v>
      </c>
      <c r="S181" s="17">
        <f t="shared" si="13"/>
        <v>0.2848636391181808</v>
      </c>
      <c r="T181" s="38" t="str">
        <f t="shared" si="14"/>
        <v/>
      </c>
      <c r="U181" s="31" t="s">
        <v>1876</v>
      </c>
      <c r="V181" s="31"/>
    </row>
    <row r="182" spans="1:22" ht="30">
      <c r="A182" s="7">
        <v>10</v>
      </c>
      <c r="B182" s="7">
        <v>91</v>
      </c>
      <c r="C182" s="7">
        <v>46333.625</v>
      </c>
      <c r="D182" s="7" t="s">
        <v>49</v>
      </c>
      <c r="E182" s="7" t="s">
        <v>39</v>
      </c>
      <c r="F182" s="7" t="s">
        <v>1742</v>
      </c>
      <c r="G182" s="7">
        <v>5</v>
      </c>
      <c r="H182" s="37">
        <f>Priors!$H$27*VLOOKUP(D182,Team_26_27!$A$2:$U$21,20,FALSE)*VLOOKUP(E182,Team_26_27!$A$2:$U$21,21,FALSE)*IF(F182="H",Priors!$H$28,Priors!$H$29)</f>
        <v>0.59081024531841808</v>
      </c>
      <c r="I182" s="37">
        <f>Priors!$H$27*VLOOKUP(E182,Team_26_27!$A$2:$U$21,20,FALSE)*VLOOKUP(D182,Team_26_27!$A$2:$U$21,21,FALSE)*IF(F182="H",Priors!$H$29,Priors!$H$28)</f>
        <v>2.445724816786035</v>
      </c>
      <c r="J182" s="15"/>
      <c r="K182" s="15"/>
      <c r="L182" s="47" t="b">
        <v>0</v>
      </c>
      <c r="M182" s="45">
        <v>0</v>
      </c>
      <c r="N182" s="45"/>
      <c r="O182" s="45"/>
      <c r="P182" s="38">
        <f t="shared" si="10"/>
        <v>0.59081024531841808</v>
      </c>
      <c r="Q182" s="38">
        <f t="shared" si="11"/>
        <v>2.445724816786035</v>
      </c>
      <c r="R182" s="17">
        <f t="shared" si="12"/>
        <v>8.6663297119057292E-2</v>
      </c>
      <c r="S182" s="17">
        <f t="shared" si="13"/>
        <v>0.55387832555527783</v>
      </c>
      <c r="T182" s="38" t="str">
        <f t="shared" si="14"/>
        <v/>
      </c>
      <c r="U182" s="31" t="s">
        <v>1876</v>
      </c>
      <c r="V182" s="31"/>
    </row>
    <row r="183" spans="1:22" ht="30">
      <c r="A183" s="7">
        <v>10</v>
      </c>
      <c r="B183" s="7">
        <v>91</v>
      </c>
      <c r="C183" s="7">
        <v>46333.625</v>
      </c>
      <c r="D183" s="7" t="s">
        <v>39</v>
      </c>
      <c r="E183" s="7" t="s">
        <v>49</v>
      </c>
      <c r="F183" s="7" t="s">
        <v>1743</v>
      </c>
      <c r="G183" s="7">
        <v>2</v>
      </c>
      <c r="H183" s="37">
        <f>Priors!$H$27*VLOOKUP(D183,Team_26_27!$A$2:$U$21,20,FALSE)*VLOOKUP(E183,Team_26_27!$A$2:$U$21,21,FALSE)*IF(F183="H",Priors!$H$28,Priors!$H$29)</f>
        <v>2.445724816786035</v>
      </c>
      <c r="I183" s="37">
        <f>Priors!$H$27*VLOOKUP(E183,Team_26_27!$A$2:$U$21,20,FALSE)*VLOOKUP(D183,Team_26_27!$A$2:$U$21,21,FALSE)*IF(F183="H",Priors!$H$29,Priors!$H$28)</f>
        <v>0.59081024531841808</v>
      </c>
      <c r="J183" s="15"/>
      <c r="K183" s="15"/>
      <c r="L183" s="47" t="b">
        <v>0</v>
      </c>
      <c r="M183" s="45">
        <v>0</v>
      </c>
      <c r="N183" s="45"/>
      <c r="O183" s="45"/>
      <c r="P183" s="38">
        <f t="shared" si="10"/>
        <v>2.445724816786035</v>
      </c>
      <c r="Q183" s="38">
        <f t="shared" si="11"/>
        <v>0.59081024531841808</v>
      </c>
      <c r="R183" s="17">
        <f t="shared" si="12"/>
        <v>0.55387832555527783</v>
      </c>
      <c r="S183" s="17">
        <f t="shared" si="13"/>
        <v>8.6663297119057292E-2</v>
      </c>
      <c r="T183" s="38" t="str">
        <f t="shared" si="14"/>
        <v/>
      </c>
      <c r="U183" s="31" t="s">
        <v>1876</v>
      </c>
      <c r="V183" s="31"/>
    </row>
    <row r="184" spans="1:22" ht="30">
      <c r="A184" s="7">
        <v>10</v>
      </c>
      <c r="B184" s="7">
        <v>92</v>
      </c>
      <c r="C184" s="7">
        <v>46333.625</v>
      </c>
      <c r="D184" s="7" t="s">
        <v>42</v>
      </c>
      <c r="E184" s="7" t="s">
        <v>43</v>
      </c>
      <c r="F184" s="7" t="s">
        <v>1742</v>
      </c>
      <c r="G184" s="7">
        <v>3</v>
      </c>
      <c r="H184" s="37">
        <f>Priors!$H$27*VLOOKUP(D184,Team_26_27!$A$2:$U$21,20,FALSE)*VLOOKUP(E184,Team_26_27!$A$2:$U$21,21,FALSE)*IF(F184="H",Priors!$H$28,Priors!$H$29)</f>
        <v>1.304205417812393</v>
      </c>
      <c r="I184" s="37">
        <f>Priors!$H$27*VLOOKUP(E184,Team_26_27!$A$2:$U$21,20,FALSE)*VLOOKUP(D184,Team_26_27!$A$2:$U$21,21,FALSE)*IF(F184="H",Priors!$H$29,Priors!$H$28)</f>
        <v>1.6621346853401509</v>
      </c>
      <c r="J184" s="15"/>
      <c r="K184" s="15"/>
      <c r="L184" s="47" t="b">
        <v>0</v>
      </c>
      <c r="M184" s="45">
        <v>0</v>
      </c>
      <c r="N184" s="45"/>
      <c r="O184" s="45"/>
      <c r="P184" s="38">
        <f t="shared" si="10"/>
        <v>1.304205417812393</v>
      </c>
      <c r="Q184" s="38">
        <f t="shared" si="11"/>
        <v>1.6621346853401509</v>
      </c>
      <c r="R184" s="17">
        <f t="shared" si="12"/>
        <v>0.1897335261204085</v>
      </c>
      <c r="S184" s="17">
        <f t="shared" si="13"/>
        <v>0.27138808953825444</v>
      </c>
      <c r="T184" s="38" t="str">
        <f t="shared" si="14"/>
        <v/>
      </c>
      <c r="U184" s="31" t="s">
        <v>1876</v>
      </c>
      <c r="V184" s="31"/>
    </row>
    <row r="185" spans="1:22" ht="30">
      <c r="A185" s="7">
        <v>10</v>
      </c>
      <c r="B185" s="7">
        <v>92</v>
      </c>
      <c r="C185" s="7">
        <v>46333.625</v>
      </c>
      <c r="D185" s="7" t="s">
        <v>43</v>
      </c>
      <c r="E185" s="7" t="s">
        <v>42</v>
      </c>
      <c r="F185" s="7" t="s">
        <v>1743</v>
      </c>
      <c r="G185" s="7">
        <v>3</v>
      </c>
      <c r="H185" s="37">
        <f>Priors!$H$27*VLOOKUP(D185,Team_26_27!$A$2:$U$21,20,FALSE)*VLOOKUP(E185,Team_26_27!$A$2:$U$21,21,FALSE)*IF(F185="H",Priors!$H$28,Priors!$H$29)</f>
        <v>1.6621346853401509</v>
      </c>
      <c r="I185" s="37">
        <f>Priors!$H$27*VLOOKUP(E185,Team_26_27!$A$2:$U$21,20,FALSE)*VLOOKUP(D185,Team_26_27!$A$2:$U$21,21,FALSE)*IF(F185="H",Priors!$H$29,Priors!$H$28)</f>
        <v>1.304205417812393</v>
      </c>
      <c r="J185" s="15"/>
      <c r="K185" s="15"/>
      <c r="L185" s="47" t="b">
        <v>0</v>
      </c>
      <c r="M185" s="45">
        <v>0</v>
      </c>
      <c r="N185" s="45"/>
      <c r="O185" s="45"/>
      <c r="P185" s="38">
        <f t="shared" si="10"/>
        <v>1.6621346853401509</v>
      </c>
      <c r="Q185" s="38">
        <f t="shared" si="11"/>
        <v>1.304205417812393</v>
      </c>
      <c r="R185" s="17">
        <f t="shared" si="12"/>
        <v>0.27138808953825444</v>
      </c>
      <c r="S185" s="17">
        <f t="shared" si="13"/>
        <v>0.1897335261204085</v>
      </c>
      <c r="T185" s="38" t="str">
        <f t="shared" si="14"/>
        <v/>
      </c>
      <c r="U185" s="31" t="s">
        <v>1876</v>
      </c>
      <c r="V185" s="31"/>
    </row>
    <row r="186" spans="1:22" ht="30">
      <c r="A186" s="7">
        <v>10</v>
      </c>
      <c r="B186" s="7">
        <v>93</v>
      </c>
      <c r="C186" s="7">
        <v>46333.625</v>
      </c>
      <c r="D186" s="7" t="s">
        <v>52</v>
      </c>
      <c r="E186" s="7" t="s">
        <v>46</v>
      </c>
      <c r="F186" s="7" t="s">
        <v>1742</v>
      </c>
      <c r="G186" s="7">
        <v>3</v>
      </c>
      <c r="H186" s="37">
        <f>Priors!$H$27*VLOOKUP(D186,Team_26_27!$A$2:$U$21,20,FALSE)*VLOOKUP(E186,Team_26_27!$A$2:$U$21,21,FALSE)*IF(F186="H",Priors!$H$28,Priors!$H$29)</f>
        <v>1.3473862324982533</v>
      </c>
      <c r="I186" s="37">
        <f>Priors!$H$27*VLOOKUP(E186,Team_26_27!$A$2:$U$21,20,FALSE)*VLOOKUP(D186,Team_26_27!$A$2:$U$21,21,FALSE)*IF(F186="H",Priors!$H$29,Priors!$H$28)</f>
        <v>1.5226569520392692</v>
      </c>
      <c r="J186" s="15"/>
      <c r="K186" s="15"/>
      <c r="L186" s="47" t="b">
        <v>0</v>
      </c>
      <c r="M186" s="45">
        <v>0</v>
      </c>
      <c r="N186" s="45"/>
      <c r="O186" s="45"/>
      <c r="P186" s="38">
        <f t="shared" si="10"/>
        <v>1.3473862324982533</v>
      </c>
      <c r="Q186" s="38">
        <f t="shared" si="11"/>
        <v>1.5226569520392692</v>
      </c>
      <c r="R186" s="17">
        <f t="shared" si="12"/>
        <v>0.21813155126161446</v>
      </c>
      <c r="S186" s="17">
        <f t="shared" si="13"/>
        <v>0.25991874072263077</v>
      </c>
      <c r="T186" s="38" t="str">
        <f t="shared" si="14"/>
        <v/>
      </c>
      <c r="U186" s="31" t="s">
        <v>1876</v>
      </c>
      <c r="V186" s="31"/>
    </row>
    <row r="187" spans="1:22" ht="30">
      <c r="A187" s="7">
        <v>10</v>
      </c>
      <c r="B187" s="7">
        <v>93</v>
      </c>
      <c r="C187" s="7">
        <v>46333.625</v>
      </c>
      <c r="D187" s="7" t="s">
        <v>46</v>
      </c>
      <c r="E187" s="7" t="s">
        <v>52</v>
      </c>
      <c r="F187" s="7" t="s">
        <v>1743</v>
      </c>
      <c r="G187" s="7">
        <v>4</v>
      </c>
      <c r="H187" s="37">
        <f>Priors!$H$27*VLOOKUP(D187,Team_26_27!$A$2:$U$21,20,FALSE)*VLOOKUP(E187,Team_26_27!$A$2:$U$21,21,FALSE)*IF(F187="H",Priors!$H$28,Priors!$H$29)</f>
        <v>1.5226569520392692</v>
      </c>
      <c r="I187" s="37">
        <f>Priors!$H$27*VLOOKUP(E187,Team_26_27!$A$2:$U$21,20,FALSE)*VLOOKUP(D187,Team_26_27!$A$2:$U$21,21,FALSE)*IF(F187="H",Priors!$H$29,Priors!$H$28)</f>
        <v>1.3473862324982533</v>
      </c>
      <c r="J187" s="15"/>
      <c r="K187" s="15"/>
      <c r="L187" s="47" t="b">
        <v>0</v>
      </c>
      <c r="M187" s="45">
        <v>0</v>
      </c>
      <c r="N187" s="45"/>
      <c r="O187" s="45"/>
      <c r="P187" s="38">
        <f t="shared" si="10"/>
        <v>1.5226569520392692</v>
      </c>
      <c r="Q187" s="38">
        <f t="shared" si="11"/>
        <v>1.3473862324982533</v>
      </c>
      <c r="R187" s="17">
        <f t="shared" si="12"/>
        <v>0.25991874072263077</v>
      </c>
      <c r="S187" s="17">
        <f t="shared" si="13"/>
        <v>0.21813155126161446</v>
      </c>
      <c r="T187" s="38" t="str">
        <f t="shared" si="14"/>
        <v/>
      </c>
      <c r="U187" s="31" t="s">
        <v>1876</v>
      </c>
      <c r="V187" s="31"/>
    </row>
    <row r="188" spans="1:22" ht="30">
      <c r="A188" s="7">
        <v>10</v>
      </c>
      <c r="B188" s="7">
        <v>94</v>
      </c>
      <c r="C188" s="7">
        <v>46333.625</v>
      </c>
      <c r="D188" s="7" t="s">
        <v>45</v>
      </c>
      <c r="E188" s="7" t="s">
        <v>47</v>
      </c>
      <c r="F188" s="7" t="s">
        <v>1742</v>
      </c>
      <c r="G188" s="7">
        <v>3</v>
      </c>
      <c r="H188" s="37">
        <f>Priors!$H$27*VLOOKUP(D188,Team_26_27!$A$2:$U$21,20,FALSE)*VLOOKUP(E188,Team_26_27!$A$2:$U$21,21,FALSE)*IF(F188="H",Priors!$H$28,Priors!$H$29)</f>
        <v>1.0373319713119182</v>
      </c>
      <c r="I188" s="37">
        <f>Priors!$H$27*VLOOKUP(E188,Team_26_27!$A$2:$U$21,20,FALSE)*VLOOKUP(D188,Team_26_27!$A$2:$U$21,21,FALSE)*IF(F188="H",Priors!$H$29,Priors!$H$28)</f>
        <v>1.768310300290068</v>
      </c>
      <c r="J188" s="15"/>
      <c r="K188" s="15"/>
      <c r="L188" s="47" t="b">
        <v>0</v>
      </c>
      <c r="M188" s="45">
        <v>0</v>
      </c>
      <c r="N188" s="45"/>
      <c r="O188" s="45"/>
      <c r="P188" s="38">
        <f t="shared" si="10"/>
        <v>1.0373319713119182</v>
      </c>
      <c r="Q188" s="38">
        <f t="shared" si="11"/>
        <v>1.768310300290068</v>
      </c>
      <c r="R188" s="17">
        <f t="shared" si="12"/>
        <v>0.17062104372182194</v>
      </c>
      <c r="S188" s="17">
        <f t="shared" si="13"/>
        <v>0.35439896832158707</v>
      </c>
      <c r="T188" s="38" t="str">
        <f t="shared" si="14"/>
        <v/>
      </c>
      <c r="U188" s="31" t="s">
        <v>1876</v>
      </c>
      <c r="V188" s="31"/>
    </row>
    <row r="189" spans="1:22" ht="30">
      <c r="A189" s="7">
        <v>10</v>
      </c>
      <c r="B189" s="7">
        <v>94</v>
      </c>
      <c r="C189" s="7">
        <v>46333.625</v>
      </c>
      <c r="D189" s="7" t="s">
        <v>47</v>
      </c>
      <c r="E189" s="7" t="s">
        <v>45</v>
      </c>
      <c r="F189" s="7" t="s">
        <v>1743</v>
      </c>
      <c r="G189" s="7">
        <v>2</v>
      </c>
      <c r="H189" s="37">
        <f>Priors!$H$27*VLOOKUP(D189,Team_26_27!$A$2:$U$21,20,FALSE)*VLOOKUP(E189,Team_26_27!$A$2:$U$21,21,FALSE)*IF(F189="H",Priors!$H$28,Priors!$H$29)</f>
        <v>1.768310300290068</v>
      </c>
      <c r="I189" s="37">
        <f>Priors!$H$27*VLOOKUP(E189,Team_26_27!$A$2:$U$21,20,FALSE)*VLOOKUP(D189,Team_26_27!$A$2:$U$21,21,FALSE)*IF(F189="H",Priors!$H$29,Priors!$H$28)</f>
        <v>1.0373319713119182</v>
      </c>
      <c r="J189" s="15"/>
      <c r="K189" s="15"/>
      <c r="L189" s="47" t="b">
        <v>0</v>
      </c>
      <c r="M189" s="45">
        <v>0</v>
      </c>
      <c r="N189" s="45"/>
      <c r="O189" s="45"/>
      <c r="P189" s="38">
        <f t="shared" si="10"/>
        <v>1.768310300290068</v>
      </c>
      <c r="Q189" s="38">
        <f t="shared" si="11"/>
        <v>1.0373319713119182</v>
      </c>
      <c r="R189" s="17">
        <f t="shared" si="12"/>
        <v>0.35439896832158707</v>
      </c>
      <c r="S189" s="17">
        <f t="shared" si="13"/>
        <v>0.17062104372182194</v>
      </c>
      <c r="T189" s="38" t="str">
        <f t="shared" si="14"/>
        <v/>
      </c>
      <c r="U189" s="31" t="s">
        <v>1876</v>
      </c>
      <c r="V189" s="31"/>
    </row>
    <row r="190" spans="1:22" ht="30">
      <c r="A190" s="7">
        <v>10</v>
      </c>
      <c r="B190" s="7">
        <v>95</v>
      </c>
      <c r="C190" s="7">
        <v>46333.625</v>
      </c>
      <c r="D190" s="7" t="s">
        <v>55</v>
      </c>
      <c r="E190" s="7" t="s">
        <v>48</v>
      </c>
      <c r="F190" s="7" t="s">
        <v>1742</v>
      </c>
      <c r="G190" s="7">
        <v>3</v>
      </c>
      <c r="H190" s="37">
        <f>Priors!$H$27*VLOOKUP(D190,Team_26_27!$A$2:$U$21,20,FALSE)*VLOOKUP(E190,Team_26_27!$A$2:$U$21,21,FALSE)*IF(F190="H",Priors!$H$28,Priors!$H$29)</f>
        <v>1.3137089572712135</v>
      </c>
      <c r="I190" s="37">
        <f>Priors!$H$27*VLOOKUP(E190,Team_26_27!$A$2:$U$21,20,FALSE)*VLOOKUP(D190,Team_26_27!$A$2:$U$21,21,FALSE)*IF(F190="H",Priors!$H$29,Priors!$H$28)</f>
        <v>1.4349219255079591</v>
      </c>
      <c r="J190" s="15"/>
      <c r="K190" s="15"/>
      <c r="L190" s="47" t="b">
        <v>0</v>
      </c>
      <c r="M190" s="45">
        <v>0</v>
      </c>
      <c r="N190" s="45"/>
      <c r="O190" s="45"/>
      <c r="P190" s="38">
        <f t="shared" si="10"/>
        <v>1.3137089572712135</v>
      </c>
      <c r="Q190" s="38">
        <f t="shared" si="11"/>
        <v>1.4349219255079591</v>
      </c>
      <c r="R190" s="17">
        <f t="shared" si="12"/>
        <v>0.23813395547652966</v>
      </c>
      <c r="S190" s="17">
        <f t="shared" si="13"/>
        <v>0.26882115890377667</v>
      </c>
      <c r="T190" s="38" t="str">
        <f t="shared" si="14"/>
        <v/>
      </c>
      <c r="U190" s="31" t="s">
        <v>1876</v>
      </c>
      <c r="V190" s="31"/>
    </row>
    <row r="191" spans="1:22" ht="30">
      <c r="A191" s="7">
        <v>10</v>
      </c>
      <c r="B191" s="7">
        <v>95</v>
      </c>
      <c r="C191" s="7">
        <v>46333.625</v>
      </c>
      <c r="D191" s="7" t="s">
        <v>48</v>
      </c>
      <c r="E191" s="7" t="s">
        <v>55</v>
      </c>
      <c r="F191" s="7" t="s">
        <v>1743</v>
      </c>
      <c r="G191" s="7">
        <v>2</v>
      </c>
      <c r="H191" s="37">
        <f>Priors!$H$27*VLOOKUP(D191,Team_26_27!$A$2:$U$21,20,FALSE)*VLOOKUP(E191,Team_26_27!$A$2:$U$21,21,FALSE)*IF(F191="H",Priors!$H$28,Priors!$H$29)</f>
        <v>1.4349219255079591</v>
      </c>
      <c r="I191" s="37">
        <f>Priors!$H$27*VLOOKUP(E191,Team_26_27!$A$2:$U$21,20,FALSE)*VLOOKUP(D191,Team_26_27!$A$2:$U$21,21,FALSE)*IF(F191="H",Priors!$H$29,Priors!$H$28)</f>
        <v>1.3137089572712135</v>
      </c>
      <c r="J191" s="15"/>
      <c r="K191" s="15"/>
      <c r="L191" s="47" t="b">
        <v>0</v>
      </c>
      <c r="M191" s="45">
        <v>0</v>
      </c>
      <c r="N191" s="45"/>
      <c r="O191" s="45"/>
      <c r="P191" s="38">
        <f t="shared" si="10"/>
        <v>1.4349219255079591</v>
      </c>
      <c r="Q191" s="38">
        <f t="shared" si="11"/>
        <v>1.3137089572712135</v>
      </c>
      <c r="R191" s="17">
        <f t="shared" si="12"/>
        <v>0.26882115890377667</v>
      </c>
      <c r="S191" s="17">
        <f t="shared" si="13"/>
        <v>0.23813395547652966</v>
      </c>
      <c r="T191" s="38" t="str">
        <f t="shared" si="14"/>
        <v/>
      </c>
      <c r="U191" s="31" t="s">
        <v>1876</v>
      </c>
      <c r="V191" s="31"/>
    </row>
    <row r="192" spans="1:22" ht="30">
      <c r="A192" s="7">
        <v>10</v>
      </c>
      <c r="B192" s="7">
        <v>96</v>
      </c>
      <c r="C192" s="7">
        <v>46333.625</v>
      </c>
      <c r="D192" s="7" t="s">
        <v>41</v>
      </c>
      <c r="E192" s="7" t="s">
        <v>50</v>
      </c>
      <c r="F192" s="7" t="s">
        <v>1742</v>
      </c>
      <c r="G192" s="7">
        <v>2</v>
      </c>
      <c r="H192" s="37">
        <f>Priors!$H$27*VLOOKUP(D192,Team_26_27!$A$2:$U$21,20,FALSE)*VLOOKUP(E192,Team_26_27!$A$2:$U$21,21,FALSE)*IF(F192="H",Priors!$H$28,Priors!$H$29)</f>
        <v>1.6930310920205558</v>
      </c>
      <c r="I192" s="37">
        <f>Priors!$H$27*VLOOKUP(E192,Team_26_27!$A$2:$U$21,20,FALSE)*VLOOKUP(D192,Team_26_27!$A$2:$U$21,21,FALSE)*IF(F192="H",Priors!$H$29,Priors!$H$28)</f>
        <v>1.21715320749161</v>
      </c>
      <c r="J192" s="15"/>
      <c r="K192" s="15"/>
      <c r="L192" s="47" t="b">
        <v>0</v>
      </c>
      <c r="M192" s="45">
        <v>0</v>
      </c>
      <c r="N192" s="45"/>
      <c r="O192" s="45"/>
      <c r="P192" s="38">
        <f t="shared" si="10"/>
        <v>1.6930310920205558</v>
      </c>
      <c r="Q192" s="38">
        <f t="shared" si="11"/>
        <v>1.21715320749161</v>
      </c>
      <c r="R192" s="17">
        <f t="shared" si="12"/>
        <v>0.29607182339371596</v>
      </c>
      <c r="S192" s="17">
        <f t="shared" si="13"/>
        <v>0.18396107511870397</v>
      </c>
      <c r="T192" s="38" t="str">
        <f t="shared" si="14"/>
        <v/>
      </c>
      <c r="U192" s="31" t="s">
        <v>1876</v>
      </c>
      <c r="V192" s="31"/>
    </row>
    <row r="193" spans="1:22" ht="30">
      <c r="A193" s="7">
        <v>10</v>
      </c>
      <c r="B193" s="7">
        <v>96</v>
      </c>
      <c r="C193" s="7">
        <v>46333.625</v>
      </c>
      <c r="D193" s="7" t="s">
        <v>50</v>
      </c>
      <c r="E193" s="7" t="s">
        <v>41</v>
      </c>
      <c r="F193" s="7" t="s">
        <v>1743</v>
      </c>
      <c r="G193" s="7">
        <v>3</v>
      </c>
      <c r="H193" s="37">
        <f>Priors!$H$27*VLOOKUP(D193,Team_26_27!$A$2:$U$21,20,FALSE)*VLOOKUP(E193,Team_26_27!$A$2:$U$21,21,FALSE)*IF(F193="H",Priors!$H$28,Priors!$H$29)</f>
        <v>1.21715320749161</v>
      </c>
      <c r="I193" s="37">
        <f>Priors!$H$27*VLOOKUP(E193,Team_26_27!$A$2:$U$21,20,FALSE)*VLOOKUP(D193,Team_26_27!$A$2:$U$21,21,FALSE)*IF(F193="H",Priors!$H$29,Priors!$H$28)</f>
        <v>1.6930310920205558</v>
      </c>
      <c r="J193" s="15"/>
      <c r="K193" s="15"/>
      <c r="L193" s="47" t="b">
        <v>0</v>
      </c>
      <c r="M193" s="45">
        <v>0</v>
      </c>
      <c r="N193" s="45"/>
      <c r="O193" s="45"/>
      <c r="P193" s="38">
        <f t="shared" si="10"/>
        <v>1.21715320749161</v>
      </c>
      <c r="Q193" s="38">
        <f t="shared" si="11"/>
        <v>1.6930310920205558</v>
      </c>
      <c r="R193" s="17">
        <f t="shared" si="12"/>
        <v>0.18396107511870397</v>
      </c>
      <c r="S193" s="17">
        <f t="shared" si="13"/>
        <v>0.29607182339371596</v>
      </c>
      <c r="T193" s="38" t="str">
        <f t="shared" si="14"/>
        <v/>
      </c>
      <c r="U193" s="31" t="s">
        <v>1876</v>
      </c>
      <c r="V193" s="31"/>
    </row>
    <row r="194" spans="1:22" ht="30">
      <c r="A194" s="7">
        <v>10</v>
      </c>
      <c r="B194" s="7">
        <v>97</v>
      </c>
      <c r="C194" s="7">
        <v>46333.625</v>
      </c>
      <c r="D194" s="7" t="s">
        <v>57</v>
      </c>
      <c r="E194" s="7" t="s">
        <v>51</v>
      </c>
      <c r="F194" s="7" t="s">
        <v>1742</v>
      </c>
      <c r="G194" s="7">
        <v>3</v>
      </c>
      <c r="H194" s="37">
        <f>Priors!$H$27*VLOOKUP(D194,Team_26_27!$A$2:$U$21,20,FALSE)*VLOOKUP(E194,Team_26_27!$A$2:$U$21,21,FALSE)*IF(F194="H",Priors!$H$28,Priors!$H$29)</f>
        <v>1.075966375169072</v>
      </c>
      <c r="I194" s="37">
        <f>Priors!$H$27*VLOOKUP(E194,Team_26_27!$A$2:$U$21,20,FALSE)*VLOOKUP(D194,Team_26_27!$A$2:$U$21,21,FALSE)*IF(F194="H",Priors!$H$29,Priors!$H$28)</f>
        <v>1.5427314285041887</v>
      </c>
      <c r="J194" s="15"/>
      <c r="K194" s="15"/>
      <c r="L194" s="47" t="b">
        <v>0</v>
      </c>
      <c r="M194" s="45">
        <v>0</v>
      </c>
      <c r="N194" s="45"/>
      <c r="O194" s="45"/>
      <c r="P194" s="38">
        <f t="shared" ref="P194:P257" si="15">IF(N194&lt;&gt;"",N194,IF(L194=TRUE,M194*J194+(1-M194)*H194,H194))</f>
        <v>1.075966375169072</v>
      </c>
      <c r="Q194" s="38">
        <f t="shared" ref="Q194:Q257" si="16">IF(O194&lt;&gt;"",O194,IF(L194=TRUE,M194*K194+(1-M194)*I194,I194))</f>
        <v>1.5427314285041887</v>
      </c>
      <c r="R194" s="17">
        <f t="shared" ref="R194:R257" si="17">EXP(-Q194)</f>
        <v>0.21379633376487595</v>
      </c>
      <c r="S194" s="17">
        <f t="shared" ref="S194:S257" si="18">EXP(-P194)</f>
        <v>0.34096809293942643</v>
      </c>
      <c r="T194" s="38" t="str">
        <f t="shared" ref="T194:T257" si="19">IF(L194=TRUE,J194-H194,"")</f>
        <v/>
      </c>
      <c r="U194" s="31" t="s">
        <v>1876</v>
      </c>
      <c r="V194" s="31"/>
    </row>
    <row r="195" spans="1:22" ht="30">
      <c r="A195" s="7">
        <v>10</v>
      </c>
      <c r="B195" s="7">
        <v>97</v>
      </c>
      <c r="C195" s="7">
        <v>46333.625</v>
      </c>
      <c r="D195" s="7" t="s">
        <v>51</v>
      </c>
      <c r="E195" s="7" t="s">
        <v>57</v>
      </c>
      <c r="F195" s="7" t="s">
        <v>1743</v>
      </c>
      <c r="G195" s="7">
        <v>3</v>
      </c>
      <c r="H195" s="37">
        <f>Priors!$H$27*VLOOKUP(D195,Team_26_27!$A$2:$U$21,20,FALSE)*VLOOKUP(E195,Team_26_27!$A$2:$U$21,21,FALSE)*IF(F195="H",Priors!$H$28,Priors!$H$29)</f>
        <v>1.5427314285041887</v>
      </c>
      <c r="I195" s="37">
        <f>Priors!$H$27*VLOOKUP(E195,Team_26_27!$A$2:$U$21,20,FALSE)*VLOOKUP(D195,Team_26_27!$A$2:$U$21,21,FALSE)*IF(F195="H",Priors!$H$29,Priors!$H$28)</f>
        <v>1.075966375169072</v>
      </c>
      <c r="J195" s="15"/>
      <c r="K195" s="15"/>
      <c r="L195" s="47" t="b">
        <v>0</v>
      </c>
      <c r="M195" s="45">
        <v>0</v>
      </c>
      <c r="N195" s="45"/>
      <c r="O195" s="45"/>
      <c r="P195" s="38">
        <f t="shared" si="15"/>
        <v>1.5427314285041887</v>
      </c>
      <c r="Q195" s="38">
        <f t="shared" si="16"/>
        <v>1.075966375169072</v>
      </c>
      <c r="R195" s="17">
        <f t="shared" si="17"/>
        <v>0.34096809293942643</v>
      </c>
      <c r="S195" s="17">
        <f t="shared" si="18"/>
        <v>0.21379633376487595</v>
      </c>
      <c r="T195" s="38" t="str">
        <f t="shared" si="19"/>
        <v/>
      </c>
      <c r="U195" s="31" t="s">
        <v>1876</v>
      </c>
      <c r="V195" s="31"/>
    </row>
    <row r="196" spans="1:22" ht="30">
      <c r="A196" s="7">
        <v>10</v>
      </c>
      <c r="B196" s="7">
        <v>98</v>
      </c>
      <c r="C196" s="7">
        <v>46333.625</v>
      </c>
      <c r="D196" s="7" t="s">
        <v>40</v>
      </c>
      <c r="E196" s="7" t="s">
        <v>54</v>
      </c>
      <c r="F196" s="7" t="s">
        <v>1742</v>
      </c>
      <c r="G196" s="7">
        <v>4</v>
      </c>
      <c r="H196" s="37">
        <f>Priors!$H$27*VLOOKUP(D196,Team_26_27!$A$2:$U$21,20,FALSE)*VLOOKUP(E196,Team_26_27!$A$2:$U$21,21,FALSE)*IF(F196="H",Priors!$H$28,Priors!$H$29)</f>
        <v>1.1064625864682889</v>
      </c>
      <c r="I196" s="37">
        <f>Priors!$H$27*VLOOKUP(E196,Team_26_27!$A$2:$U$21,20,FALSE)*VLOOKUP(D196,Team_26_27!$A$2:$U$21,21,FALSE)*IF(F196="H",Priors!$H$29,Priors!$H$28)</f>
        <v>1.8028631275980123</v>
      </c>
      <c r="J196" s="15"/>
      <c r="K196" s="15"/>
      <c r="L196" s="47" t="b">
        <v>0</v>
      </c>
      <c r="M196" s="45">
        <v>0</v>
      </c>
      <c r="N196" s="45"/>
      <c r="O196" s="45"/>
      <c r="P196" s="38">
        <f t="shared" si="15"/>
        <v>1.1064625864682889</v>
      </c>
      <c r="Q196" s="38">
        <f t="shared" si="16"/>
        <v>1.8028631275980123</v>
      </c>
      <c r="R196" s="17">
        <f t="shared" si="17"/>
        <v>0.1648262932854421</v>
      </c>
      <c r="S196" s="17">
        <f t="shared" si="18"/>
        <v>0.33072681177121593</v>
      </c>
      <c r="T196" s="38" t="str">
        <f t="shared" si="19"/>
        <v/>
      </c>
      <c r="U196" s="31" t="s">
        <v>1876</v>
      </c>
      <c r="V196" s="31"/>
    </row>
    <row r="197" spans="1:22" ht="30">
      <c r="A197" s="7">
        <v>10</v>
      </c>
      <c r="B197" s="7">
        <v>98</v>
      </c>
      <c r="C197" s="7">
        <v>46333.625</v>
      </c>
      <c r="D197" s="7" t="s">
        <v>54</v>
      </c>
      <c r="E197" s="7" t="s">
        <v>40</v>
      </c>
      <c r="F197" s="7" t="s">
        <v>1743</v>
      </c>
      <c r="G197" s="7">
        <v>3</v>
      </c>
      <c r="H197" s="37">
        <f>Priors!$H$27*VLOOKUP(D197,Team_26_27!$A$2:$U$21,20,FALSE)*VLOOKUP(E197,Team_26_27!$A$2:$U$21,21,FALSE)*IF(F197="H",Priors!$H$28,Priors!$H$29)</f>
        <v>1.8028631275980123</v>
      </c>
      <c r="I197" s="37">
        <f>Priors!$H$27*VLOOKUP(E197,Team_26_27!$A$2:$U$21,20,FALSE)*VLOOKUP(D197,Team_26_27!$A$2:$U$21,21,FALSE)*IF(F197="H",Priors!$H$29,Priors!$H$28)</f>
        <v>1.1064625864682889</v>
      </c>
      <c r="J197" s="15"/>
      <c r="K197" s="15"/>
      <c r="L197" s="47" t="b">
        <v>0</v>
      </c>
      <c r="M197" s="45">
        <v>0</v>
      </c>
      <c r="N197" s="45"/>
      <c r="O197" s="45"/>
      <c r="P197" s="38">
        <f t="shared" si="15"/>
        <v>1.8028631275980123</v>
      </c>
      <c r="Q197" s="38">
        <f t="shared" si="16"/>
        <v>1.1064625864682889</v>
      </c>
      <c r="R197" s="17">
        <f t="shared" si="17"/>
        <v>0.33072681177121593</v>
      </c>
      <c r="S197" s="17">
        <f t="shared" si="18"/>
        <v>0.1648262932854421</v>
      </c>
      <c r="T197" s="38" t="str">
        <f t="shared" si="19"/>
        <v/>
      </c>
      <c r="U197" s="31" t="s">
        <v>1876</v>
      </c>
      <c r="V197" s="31"/>
    </row>
    <row r="198" spans="1:22" ht="30">
      <c r="A198" s="7">
        <v>10</v>
      </c>
      <c r="B198" s="7">
        <v>99</v>
      </c>
      <c r="C198" s="7">
        <v>46333.625</v>
      </c>
      <c r="D198" s="7" t="s">
        <v>53</v>
      </c>
      <c r="E198" s="7" t="s">
        <v>56</v>
      </c>
      <c r="F198" s="7" t="s">
        <v>1742</v>
      </c>
      <c r="G198" s="7">
        <v>3</v>
      </c>
      <c r="H198" s="37">
        <f>Priors!$H$27*VLOOKUP(D198,Team_26_27!$A$2:$U$21,20,FALSE)*VLOOKUP(E198,Team_26_27!$A$2:$U$21,21,FALSE)*IF(F198="H",Priors!$H$28,Priors!$H$29)</f>
        <v>1.5636725716605475</v>
      </c>
      <c r="I198" s="37">
        <f>Priors!$H$27*VLOOKUP(E198,Team_26_27!$A$2:$U$21,20,FALSE)*VLOOKUP(D198,Team_26_27!$A$2:$U$21,21,FALSE)*IF(F198="H",Priors!$H$29,Priors!$H$28)</f>
        <v>1.2927230356859742</v>
      </c>
      <c r="J198" s="15"/>
      <c r="K198" s="15"/>
      <c r="L198" s="47" t="b">
        <v>0</v>
      </c>
      <c r="M198" s="45">
        <v>0</v>
      </c>
      <c r="N198" s="45"/>
      <c r="O198" s="45"/>
      <c r="P198" s="38">
        <f t="shared" si="15"/>
        <v>1.5636725716605475</v>
      </c>
      <c r="Q198" s="38">
        <f t="shared" si="16"/>
        <v>1.2927230356859742</v>
      </c>
      <c r="R198" s="17">
        <f t="shared" si="17"/>
        <v>0.27452223055426461</v>
      </c>
      <c r="S198" s="17">
        <f t="shared" si="18"/>
        <v>0.20936574682238521</v>
      </c>
      <c r="T198" s="38" t="str">
        <f t="shared" si="19"/>
        <v/>
      </c>
      <c r="U198" s="31" t="s">
        <v>1876</v>
      </c>
      <c r="V198" s="31"/>
    </row>
    <row r="199" spans="1:22" ht="30">
      <c r="A199" s="7">
        <v>10</v>
      </c>
      <c r="B199" s="7">
        <v>99</v>
      </c>
      <c r="C199" s="7">
        <v>46333.625</v>
      </c>
      <c r="D199" s="7" t="s">
        <v>56</v>
      </c>
      <c r="E199" s="7" t="s">
        <v>53</v>
      </c>
      <c r="F199" s="7" t="s">
        <v>1743</v>
      </c>
      <c r="G199" s="7">
        <v>4</v>
      </c>
      <c r="H199" s="37">
        <f>Priors!$H$27*VLOOKUP(D199,Team_26_27!$A$2:$U$21,20,FALSE)*VLOOKUP(E199,Team_26_27!$A$2:$U$21,21,FALSE)*IF(F199="H",Priors!$H$28,Priors!$H$29)</f>
        <v>1.2927230356859742</v>
      </c>
      <c r="I199" s="37">
        <f>Priors!$H$27*VLOOKUP(E199,Team_26_27!$A$2:$U$21,20,FALSE)*VLOOKUP(D199,Team_26_27!$A$2:$U$21,21,FALSE)*IF(F199="H",Priors!$H$29,Priors!$H$28)</f>
        <v>1.5636725716605475</v>
      </c>
      <c r="J199" s="15"/>
      <c r="K199" s="15"/>
      <c r="L199" s="47" t="b">
        <v>0</v>
      </c>
      <c r="M199" s="45">
        <v>0</v>
      </c>
      <c r="N199" s="45"/>
      <c r="O199" s="45"/>
      <c r="P199" s="38">
        <f t="shared" si="15"/>
        <v>1.2927230356859742</v>
      </c>
      <c r="Q199" s="38">
        <f t="shared" si="16"/>
        <v>1.5636725716605475</v>
      </c>
      <c r="R199" s="17">
        <f t="shared" si="17"/>
        <v>0.20936574682238521</v>
      </c>
      <c r="S199" s="17">
        <f t="shared" si="18"/>
        <v>0.27452223055426461</v>
      </c>
      <c r="T199" s="38" t="str">
        <f t="shared" si="19"/>
        <v/>
      </c>
      <c r="U199" s="31" t="s">
        <v>1876</v>
      </c>
      <c r="V199" s="31"/>
    </row>
    <row r="200" spans="1:22" ht="30">
      <c r="A200" s="7">
        <v>10</v>
      </c>
      <c r="B200" s="7">
        <v>100</v>
      </c>
      <c r="C200" s="7">
        <v>46333.625</v>
      </c>
      <c r="D200" s="7" t="s">
        <v>44</v>
      </c>
      <c r="E200" s="7" t="s">
        <v>58</v>
      </c>
      <c r="F200" s="7" t="s">
        <v>1742</v>
      </c>
      <c r="G200" s="7">
        <v>3</v>
      </c>
      <c r="H200" s="37">
        <f>Priors!$H$27*VLOOKUP(D200,Team_26_27!$A$2:$U$21,20,FALSE)*VLOOKUP(E200,Team_26_27!$A$2:$U$21,21,FALSE)*IF(F200="H",Priors!$H$28,Priors!$H$29)</f>
        <v>1.4565465659046655</v>
      </c>
      <c r="I200" s="37">
        <f>Priors!$H$27*VLOOKUP(E200,Team_26_27!$A$2:$U$21,20,FALSE)*VLOOKUP(D200,Team_26_27!$A$2:$U$21,21,FALSE)*IF(F200="H",Priors!$H$29,Priors!$H$28)</f>
        <v>1.2389108157944282</v>
      </c>
      <c r="J200" s="15"/>
      <c r="K200" s="15"/>
      <c r="L200" s="47" t="b">
        <v>0</v>
      </c>
      <c r="M200" s="45">
        <v>0</v>
      </c>
      <c r="N200" s="45"/>
      <c r="O200" s="45"/>
      <c r="P200" s="38">
        <f t="shared" si="15"/>
        <v>1.4565465659046655</v>
      </c>
      <c r="Q200" s="38">
        <f t="shared" si="16"/>
        <v>1.2389108157944282</v>
      </c>
      <c r="R200" s="17">
        <f t="shared" si="17"/>
        <v>0.28969958237237453</v>
      </c>
      <c r="S200" s="17">
        <f t="shared" si="18"/>
        <v>0.23303967384357144</v>
      </c>
      <c r="T200" s="38" t="str">
        <f t="shared" si="19"/>
        <v/>
      </c>
      <c r="U200" s="31" t="s">
        <v>1876</v>
      </c>
      <c r="V200" s="31"/>
    </row>
    <row r="201" spans="1:22" ht="30">
      <c r="A201" s="7">
        <v>10</v>
      </c>
      <c r="B201" s="7">
        <v>100</v>
      </c>
      <c r="C201" s="7">
        <v>46333.625</v>
      </c>
      <c r="D201" s="7" t="s">
        <v>58</v>
      </c>
      <c r="E201" s="7" t="s">
        <v>44</v>
      </c>
      <c r="F201" s="7" t="s">
        <v>1743</v>
      </c>
      <c r="G201" s="7">
        <v>4</v>
      </c>
      <c r="H201" s="37">
        <f>Priors!$H$27*VLOOKUP(D201,Team_26_27!$A$2:$U$21,20,FALSE)*VLOOKUP(E201,Team_26_27!$A$2:$U$21,21,FALSE)*IF(F201="H",Priors!$H$28,Priors!$H$29)</f>
        <v>1.2389108157944282</v>
      </c>
      <c r="I201" s="37">
        <f>Priors!$H$27*VLOOKUP(E201,Team_26_27!$A$2:$U$21,20,FALSE)*VLOOKUP(D201,Team_26_27!$A$2:$U$21,21,FALSE)*IF(F201="H",Priors!$H$29,Priors!$H$28)</f>
        <v>1.4565465659046655</v>
      </c>
      <c r="J201" s="15"/>
      <c r="K201" s="15"/>
      <c r="L201" s="47" t="b">
        <v>0</v>
      </c>
      <c r="M201" s="45">
        <v>0</v>
      </c>
      <c r="N201" s="45"/>
      <c r="O201" s="45"/>
      <c r="P201" s="38">
        <f t="shared" si="15"/>
        <v>1.2389108157944282</v>
      </c>
      <c r="Q201" s="38">
        <f t="shared" si="16"/>
        <v>1.4565465659046655</v>
      </c>
      <c r="R201" s="17">
        <f t="shared" si="17"/>
        <v>0.23303967384357144</v>
      </c>
      <c r="S201" s="17">
        <f t="shared" si="18"/>
        <v>0.28969958237237453</v>
      </c>
      <c r="T201" s="38" t="str">
        <f t="shared" si="19"/>
        <v/>
      </c>
      <c r="U201" s="31" t="s">
        <v>1876</v>
      </c>
      <c r="V201" s="31"/>
    </row>
    <row r="202" spans="1:22" ht="30">
      <c r="A202" s="7">
        <v>11</v>
      </c>
      <c r="B202" s="7">
        <v>101</v>
      </c>
      <c r="C202" s="7">
        <v>46347.625</v>
      </c>
      <c r="D202" s="7" t="s">
        <v>58</v>
      </c>
      <c r="E202" s="7" t="s">
        <v>40</v>
      </c>
      <c r="F202" s="7" t="s">
        <v>1742</v>
      </c>
      <c r="G202" s="7">
        <v>4</v>
      </c>
      <c r="H202" s="37">
        <f>Priors!$H$27*VLOOKUP(D202,Team_26_27!$A$2:$U$21,20,FALSE)*VLOOKUP(E202,Team_26_27!$A$2:$U$21,21,FALSE)*IF(F202="H",Priors!$H$28,Priors!$H$29)</f>
        <v>1.0328575693009709</v>
      </c>
      <c r="I202" s="37">
        <f>Priors!$H$27*VLOOKUP(E202,Team_26_27!$A$2:$U$21,20,FALSE)*VLOOKUP(D202,Team_26_27!$A$2:$U$21,21,FALSE)*IF(F202="H",Priors!$H$29,Priors!$H$28)</f>
        <v>1.4622534442892037</v>
      </c>
      <c r="J202" s="15"/>
      <c r="K202" s="15"/>
      <c r="L202" s="47" t="b">
        <v>0</v>
      </c>
      <c r="M202" s="45">
        <v>0</v>
      </c>
      <c r="N202" s="45"/>
      <c r="O202" s="45"/>
      <c r="P202" s="38">
        <f t="shared" si="15"/>
        <v>1.0328575693009709</v>
      </c>
      <c r="Q202" s="38">
        <f t="shared" si="16"/>
        <v>1.4622534442892037</v>
      </c>
      <c r="R202" s="17">
        <f t="shared" si="17"/>
        <v>0.2317135324292566</v>
      </c>
      <c r="S202" s="17">
        <f t="shared" si="18"/>
        <v>0.35598824465726098</v>
      </c>
      <c r="T202" s="38" t="str">
        <f t="shared" si="19"/>
        <v/>
      </c>
      <c r="U202" s="31" t="s">
        <v>1876</v>
      </c>
      <c r="V202" s="31"/>
    </row>
    <row r="203" spans="1:22" ht="30">
      <c r="A203" s="7">
        <v>11</v>
      </c>
      <c r="B203" s="7">
        <v>101</v>
      </c>
      <c r="C203" s="7">
        <v>46347.625</v>
      </c>
      <c r="D203" s="7" t="s">
        <v>40</v>
      </c>
      <c r="E203" s="7" t="s">
        <v>58</v>
      </c>
      <c r="F203" s="7" t="s">
        <v>1743</v>
      </c>
      <c r="G203" s="7">
        <v>2</v>
      </c>
      <c r="H203" s="37">
        <f>Priors!$H$27*VLOOKUP(D203,Team_26_27!$A$2:$U$21,20,FALSE)*VLOOKUP(E203,Team_26_27!$A$2:$U$21,21,FALSE)*IF(F203="H",Priors!$H$28,Priors!$H$29)</f>
        <v>1.4622534442892037</v>
      </c>
      <c r="I203" s="37">
        <f>Priors!$H$27*VLOOKUP(E203,Team_26_27!$A$2:$U$21,20,FALSE)*VLOOKUP(D203,Team_26_27!$A$2:$U$21,21,FALSE)*IF(F203="H",Priors!$H$29,Priors!$H$28)</f>
        <v>1.0328575693009709</v>
      </c>
      <c r="J203" s="15"/>
      <c r="K203" s="15"/>
      <c r="L203" s="47" t="b">
        <v>0</v>
      </c>
      <c r="M203" s="45">
        <v>0</v>
      </c>
      <c r="N203" s="45"/>
      <c r="O203" s="45"/>
      <c r="P203" s="38">
        <f t="shared" si="15"/>
        <v>1.4622534442892037</v>
      </c>
      <c r="Q203" s="38">
        <f t="shared" si="16"/>
        <v>1.0328575693009709</v>
      </c>
      <c r="R203" s="17">
        <f t="shared" si="17"/>
        <v>0.35598824465726098</v>
      </c>
      <c r="S203" s="17">
        <f t="shared" si="18"/>
        <v>0.2317135324292566</v>
      </c>
      <c r="T203" s="38" t="str">
        <f t="shared" si="19"/>
        <v/>
      </c>
      <c r="U203" s="31" t="s">
        <v>1876</v>
      </c>
      <c r="V203" s="31"/>
    </row>
    <row r="204" spans="1:22" ht="30">
      <c r="A204" s="7">
        <v>11</v>
      </c>
      <c r="B204" s="7">
        <v>102</v>
      </c>
      <c r="C204" s="7">
        <v>46347.625</v>
      </c>
      <c r="D204" s="7" t="s">
        <v>56</v>
      </c>
      <c r="E204" s="7" t="s">
        <v>41</v>
      </c>
      <c r="F204" s="7" t="s">
        <v>1742</v>
      </c>
      <c r="G204" s="7">
        <v>3</v>
      </c>
      <c r="H204" s="37">
        <f>Priors!$H$27*VLOOKUP(D204,Team_26_27!$A$2:$U$21,20,FALSE)*VLOOKUP(E204,Team_26_27!$A$2:$U$21,21,FALSE)*IF(F204="H",Priors!$H$28,Priors!$H$29)</f>
        <v>1.2097147085085984</v>
      </c>
      <c r="I204" s="37">
        <f>Priors!$H$27*VLOOKUP(E204,Team_26_27!$A$2:$U$21,20,FALSE)*VLOOKUP(D204,Team_26_27!$A$2:$U$21,21,FALSE)*IF(F204="H",Priors!$H$29,Priors!$H$28)</f>
        <v>1.7500287149593485</v>
      </c>
      <c r="J204" s="15"/>
      <c r="K204" s="15"/>
      <c r="L204" s="47" t="b">
        <v>0</v>
      </c>
      <c r="M204" s="45">
        <v>0</v>
      </c>
      <c r="N204" s="45"/>
      <c r="O204" s="45"/>
      <c r="P204" s="38">
        <f t="shared" si="15"/>
        <v>1.2097147085085984</v>
      </c>
      <c r="Q204" s="38">
        <f t="shared" si="16"/>
        <v>1.7500287149593485</v>
      </c>
      <c r="R204" s="17">
        <f t="shared" si="17"/>
        <v>0.17376895361036498</v>
      </c>
      <c r="S204" s="17">
        <f t="shared" si="18"/>
        <v>0.29828236471294439</v>
      </c>
      <c r="T204" s="38" t="str">
        <f t="shared" si="19"/>
        <v/>
      </c>
      <c r="U204" s="31" t="s">
        <v>1876</v>
      </c>
      <c r="V204" s="31"/>
    </row>
    <row r="205" spans="1:22" ht="30">
      <c r="A205" s="7">
        <v>11</v>
      </c>
      <c r="B205" s="7">
        <v>102</v>
      </c>
      <c r="C205" s="7">
        <v>46347.625</v>
      </c>
      <c r="D205" s="7" t="s">
        <v>41</v>
      </c>
      <c r="E205" s="7" t="s">
        <v>56</v>
      </c>
      <c r="F205" s="7" t="s">
        <v>1743</v>
      </c>
      <c r="G205" s="7">
        <v>3</v>
      </c>
      <c r="H205" s="37">
        <f>Priors!$H$27*VLOOKUP(D205,Team_26_27!$A$2:$U$21,20,FALSE)*VLOOKUP(E205,Team_26_27!$A$2:$U$21,21,FALSE)*IF(F205="H",Priors!$H$28,Priors!$H$29)</f>
        <v>1.7500287149593485</v>
      </c>
      <c r="I205" s="37">
        <f>Priors!$H$27*VLOOKUP(E205,Team_26_27!$A$2:$U$21,20,FALSE)*VLOOKUP(D205,Team_26_27!$A$2:$U$21,21,FALSE)*IF(F205="H",Priors!$H$29,Priors!$H$28)</f>
        <v>1.2097147085085984</v>
      </c>
      <c r="J205" s="15"/>
      <c r="K205" s="15"/>
      <c r="L205" s="47" t="b">
        <v>0</v>
      </c>
      <c r="M205" s="45">
        <v>0</v>
      </c>
      <c r="N205" s="45"/>
      <c r="O205" s="45"/>
      <c r="P205" s="38">
        <f t="shared" si="15"/>
        <v>1.7500287149593485</v>
      </c>
      <c r="Q205" s="38">
        <f t="shared" si="16"/>
        <v>1.2097147085085984</v>
      </c>
      <c r="R205" s="17">
        <f t="shared" si="17"/>
        <v>0.29828236471294439</v>
      </c>
      <c r="S205" s="17">
        <f t="shared" si="18"/>
        <v>0.17376895361036498</v>
      </c>
      <c r="T205" s="38" t="str">
        <f t="shared" si="19"/>
        <v/>
      </c>
      <c r="U205" s="31" t="s">
        <v>1876</v>
      </c>
      <c r="V205" s="31"/>
    </row>
    <row r="206" spans="1:22" ht="30">
      <c r="A206" s="7">
        <v>11</v>
      </c>
      <c r="B206" s="7">
        <v>103</v>
      </c>
      <c r="C206" s="7">
        <v>46347.625</v>
      </c>
      <c r="D206" s="7" t="s">
        <v>47</v>
      </c>
      <c r="E206" s="7" t="s">
        <v>42</v>
      </c>
      <c r="F206" s="7" t="s">
        <v>1742</v>
      </c>
      <c r="G206" s="7">
        <v>3</v>
      </c>
      <c r="H206" s="37">
        <f>Priors!$H$27*VLOOKUP(D206,Team_26_27!$A$2:$U$21,20,FALSE)*VLOOKUP(E206,Team_26_27!$A$2:$U$21,21,FALSE)*IF(F206="H",Priors!$H$28,Priors!$H$29)</f>
        <v>1.1710996151102127</v>
      </c>
      <c r="I206" s="37">
        <f>Priors!$H$27*VLOOKUP(E206,Team_26_27!$A$2:$U$21,20,FALSE)*VLOOKUP(D206,Team_26_27!$A$2:$U$21,21,FALSE)*IF(F206="H",Priors!$H$29,Priors!$H$28)</f>
        <v>1.7581706088824147</v>
      </c>
      <c r="J206" s="15"/>
      <c r="K206" s="15"/>
      <c r="L206" s="47" t="b">
        <v>0</v>
      </c>
      <c r="M206" s="45">
        <v>0</v>
      </c>
      <c r="N206" s="45"/>
      <c r="O206" s="45"/>
      <c r="P206" s="38">
        <f t="shared" si="15"/>
        <v>1.1710996151102127</v>
      </c>
      <c r="Q206" s="38">
        <f t="shared" si="16"/>
        <v>1.7581706088824147</v>
      </c>
      <c r="R206" s="17">
        <f t="shared" si="17"/>
        <v>0.17235988923324097</v>
      </c>
      <c r="S206" s="17">
        <f t="shared" si="18"/>
        <v>0.31002584465902011</v>
      </c>
      <c r="T206" s="38" t="str">
        <f t="shared" si="19"/>
        <v/>
      </c>
      <c r="U206" s="31" t="s">
        <v>1876</v>
      </c>
      <c r="V206" s="31"/>
    </row>
    <row r="207" spans="1:22" ht="30">
      <c r="A207" s="7">
        <v>11</v>
      </c>
      <c r="B207" s="7">
        <v>103</v>
      </c>
      <c r="C207" s="7">
        <v>46347.625</v>
      </c>
      <c r="D207" s="7" t="s">
        <v>42</v>
      </c>
      <c r="E207" s="7" t="s">
        <v>47</v>
      </c>
      <c r="F207" s="7" t="s">
        <v>1743</v>
      </c>
      <c r="G207" s="7">
        <v>3</v>
      </c>
      <c r="H207" s="37">
        <f>Priors!$H$27*VLOOKUP(D207,Team_26_27!$A$2:$U$21,20,FALSE)*VLOOKUP(E207,Team_26_27!$A$2:$U$21,21,FALSE)*IF(F207="H",Priors!$H$28,Priors!$H$29)</f>
        <v>1.7581706088824147</v>
      </c>
      <c r="I207" s="37">
        <f>Priors!$H$27*VLOOKUP(E207,Team_26_27!$A$2:$U$21,20,FALSE)*VLOOKUP(D207,Team_26_27!$A$2:$U$21,21,FALSE)*IF(F207="H",Priors!$H$29,Priors!$H$28)</f>
        <v>1.1710996151102127</v>
      </c>
      <c r="J207" s="15"/>
      <c r="K207" s="15"/>
      <c r="L207" s="47" t="b">
        <v>0</v>
      </c>
      <c r="M207" s="45">
        <v>0</v>
      </c>
      <c r="N207" s="45"/>
      <c r="O207" s="45"/>
      <c r="P207" s="38">
        <f t="shared" si="15"/>
        <v>1.7581706088824147</v>
      </c>
      <c r="Q207" s="38">
        <f t="shared" si="16"/>
        <v>1.1710996151102127</v>
      </c>
      <c r="R207" s="17">
        <f t="shared" si="17"/>
        <v>0.31002584465902011</v>
      </c>
      <c r="S207" s="17">
        <f t="shared" si="18"/>
        <v>0.17235988923324097</v>
      </c>
      <c r="T207" s="38" t="str">
        <f t="shared" si="19"/>
        <v/>
      </c>
      <c r="U207" s="31" t="s">
        <v>1876</v>
      </c>
      <c r="V207" s="31"/>
    </row>
    <row r="208" spans="1:22" ht="30">
      <c r="A208" s="7">
        <v>11</v>
      </c>
      <c r="B208" s="7">
        <v>104</v>
      </c>
      <c r="C208" s="7">
        <v>46347.625</v>
      </c>
      <c r="D208" s="7" t="s">
        <v>51</v>
      </c>
      <c r="E208" s="7" t="s">
        <v>44</v>
      </c>
      <c r="F208" s="7" t="s">
        <v>1742</v>
      </c>
      <c r="G208" s="7">
        <v>4</v>
      </c>
      <c r="H208" s="37">
        <f>Priors!$H$27*VLOOKUP(D208,Team_26_27!$A$2:$U$21,20,FALSE)*VLOOKUP(E208,Team_26_27!$A$2:$U$21,21,FALSE)*IF(F208="H",Priors!$H$28,Priors!$H$29)</f>
        <v>1.2651715198278806</v>
      </c>
      <c r="I208" s="37">
        <f>Priors!$H$27*VLOOKUP(E208,Team_26_27!$A$2:$U$21,20,FALSE)*VLOOKUP(D208,Team_26_27!$A$2:$U$21,21,FALSE)*IF(F208="H",Priors!$H$29,Priors!$H$28)</f>
        <v>1.8102155911824889</v>
      </c>
      <c r="J208" s="15"/>
      <c r="K208" s="15"/>
      <c r="L208" s="47" t="b">
        <v>0</v>
      </c>
      <c r="M208" s="45">
        <v>0</v>
      </c>
      <c r="N208" s="45"/>
      <c r="O208" s="45"/>
      <c r="P208" s="38">
        <f t="shared" si="15"/>
        <v>1.2651715198278806</v>
      </c>
      <c r="Q208" s="38">
        <f t="shared" si="16"/>
        <v>1.8102155911824889</v>
      </c>
      <c r="R208" s="17">
        <f t="shared" si="17"/>
        <v>0.16361885821684424</v>
      </c>
      <c r="S208" s="17">
        <f t="shared" si="18"/>
        <v>0.28219089065639702</v>
      </c>
      <c r="T208" s="38" t="str">
        <f t="shared" si="19"/>
        <v/>
      </c>
      <c r="U208" s="31" t="s">
        <v>1876</v>
      </c>
      <c r="V208" s="31"/>
    </row>
    <row r="209" spans="1:22" ht="30">
      <c r="A209" s="7">
        <v>11</v>
      </c>
      <c r="B209" s="7">
        <v>104</v>
      </c>
      <c r="C209" s="7">
        <v>46347.625</v>
      </c>
      <c r="D209" s="7" t="s">
        <v>44</v>
      </c>
      <c r="E209" s="7" t="s">
        <v>51</v>
      </c>
      <c r="F209" s="7" t="s">
        <v>1743</v>
      </c>
      <c r="G209" s="7">
        <v>2</v>
      </c>
      <c r="H209" s="37">
        <f>Priors!$H$27*VLOOKUP(D209,Team_26_27!$A$2:$U$21,20,FALSE)*VLOOKUP(E209,Team_26_27!$A$2:$U$21,21,FALSE)*IF(F209="H",Priors!$H$28,Priors!$H$29)</f>
        <v>1.8102155911824889</v>
      </c>
      <c r="I209" s="37">
        <f>Priors!$H$27*VLOOKUP(E209,Team_26_27!$A$2:$U$21,20,FALSE)*VLOOKUP(D209,Team_26_27!$A$2:$U$21,21,FALSE)*IF(F209="H",Priors!$H$29,Priors!$H$28)</f>
        <v>1.2651715198278806</v>
      </c>
      <c r="J209" s="15"/>
      <c r="K209" s="15"/>
      <c r="L209" s="47" t="b">
        <v>0</v>
      </c>
      <c r="M209" s="45">
        <v>0</v>
      </c>
      <c r="N209" s="45"/>
      <c r="O209" s="45"/>
      <c r="P209" s="38">
        <f t="shared" si="15"/>
        <v>1.8102155911824889</v>
      </c>
      <c r="Q209" s="38">
        <f t="shared" si="16"/>
        <v>1.2651715198278806</v>
      </c>
      <c r="R209" s="17">
        <f t="shared" si="17"/>
        <v>0.28219089065639702</v>
      </c>
      <c r="S209" s="17">
        <f t="shared" si="18"/>
        <v>0.16361885821684424</v>
      </c>
      <c r="T209" s="38" t="str">
        <f t="shared" si="19"/>
        <v/>
      </c>
      <c r="U209" s="31" t="s">
        <v>1876</v>
      </c>
      <c r="V209" s="31"/>
    </row>
    <row r="210" spans="1:22" ht="30">
      <c r="A210" s="7">
        <v>11</v>
      </c>
      <c r="B210" s="7">
        <v>105</v>
      </c>
      <c r="C210" s="7">
        <v>46347.625</v>
      </c>
      <c r="D210" s="7" t="s">
        <v>46</v>
      </c>
      <c r="E210" s="7" t="s">
        <v>45</v>
      </c>
      <c r="F210" s="7" t="s">
        <v>1742</v>
      </c>
      <c r="G210" s="7">
        <v>2</v>
      </c>
      <c r="H210" s="37">
        <f>Priors!$H$27*VLOOKUP(D210,Team_26_27!$A$2:$U$21,20,FALSE)*VLOOKUP(E210,Team_26_27!$A$2:$U$21,21,FALSE)*IF(F210="H",Priors!$H$28,Priors!$H$29)</f>
        <v>1.663612436700566</v>
      </c>
      <c r="I210" s="37">
        <f>Priors!$H$27*VLOOKUP(E210,Team_26_27!$A$2:$U$21,20,FALSE)*VLOOKUP(D210,Team_26_27!$A$2:$U$21,21,FALSE)*IF(F210="H",Priors!$H$29,Priors!$H$28)</f>
        <v>1.1984359920947629</v>
      </c>
      <c r="J210" s="15"/>
      <c r="K210" s="15"/>
      <c r="L210" s="47" t="b">
        <v>0</v>
      </c>
      <c r="M210" s="45">
        <v>0</v>
      </c>
      <c r="N210" s="45"/>
      <c r="O210" s="45"/>
      <c r="P210" s="38">
        <f t="shared" si="15"/>
        <v>1.663612436700566</v>
      </c>
      <c r="Q210" s="38">
        <f t="shared" si="16"/>
        <v>1.1984359920947629</v>
      </c>
      <c r="R210" s="17">
        <f t="shared" si="17"/>
        <v>0.30166565061147099</v>
      </c>
      <c r="S210" s="17">
        <f t="shared" si="18"/>
        <v>0.18945335420726603</v>
      </c>
      <c r="T210" s="38" t="str">
        <f t="shared" si="19"/>
        <v/>
      </c>
      <c r="U210" s="31" t="s">
        <v>1876</v>
      </c>
      <c r="V210" s="31"/>
    </row>
    <row r="211" spans="1:22" ht="30">
      <c r="A211" s="7">
        <v>11</v>
      </c>
      <c r="B211" s="7">
        <v>105</v>
      </c>
      <c r="C211" s="7">
        <v>46347.625</v>
      </c>
      <c r="D211" s="7" t="s">
        <v>45</v>
      </c>
      <c r="E211" s="7" t="s">
        <v>46</v>
      </c>
      <c r="F211" s="7" t="s">
        <v>1743</v>
      </c>
      <c r="G211" s="7">
        <v>3</v>
      </c>
      <c r="H211" s="37">
        <f>Priors!$H$27*VLOOKUP(D211,Team_26_27!$A$2:$U$21,20,FALSE)*VLOOKUP(E211,Team_26_27!$A$2:$U$21,21,FALSE)*IF(F211="H",Priors!$H$28,Priors!$H$29)</f>
        <v>1.1984359920947629</v>
      </c>
      <c r="I211" s="37">
        <f>Priors!$H$27*VLOOKUP(E211,Team_26_27!$A$2:$U$21,20,FALSE)*VLOOKUP(D211,Team_26_27!$A$2:$U$21,21,FALSE)*IF(F211="H",Priors!$H$29,Priors!$H$28)</f>
        <v>1.663612436700566</v>
      </c>
      <c r="J211" s="15"/>
      <c r="K211" s="15"/>
      <c r="L211" s="47" t="b">
        <v>0</v>
      </c>
      <c r="M211" s="45">
        <v>0</v>
      </c>
      <c r="N211" s="45"/>
      <c r="O211" s="45"/>
      <c r="P211" s="38">
        <f t="shared" si="15"/>
        <v>1.1984359920947629</v>
      </c>
      <c r="Q211" s="38">
        <f t="shared" si="16"/>
        <v>1.663612436700566</v>
      </c>
      <c r="R211" s="17">
        <f t="shared" si="17"/>
        <v>0.18945335420726603</v>
      </c>
      <c r="S211" s="17">
        <f t="shared" si="18"/>
        <v>0.30166565061147099</v>
      </c>
      <c r="T211" s="38" t="str">
        <f t="shared" si="19"/>
        <v/>
      </c>
      <c r="U211" s="31" t="s">
        <v>1876</v>
      </c>
      <c r="V211" s="31"/>
    </row>
    <row r="212" spans="1:22" ht="30">
      <c r="A212" s="7">
        <v>11</v>
      </c>
      <c r="B212" s="7">
        <v>106</v>
      </c>
      <c r="C212" s="7">
        <v>46347.625</v>
      </c>
      <c r="D212" s="7" t="s">
        <v>43</v>
      </c>
      <c r="E212" s="7" t="s">
        <v>49</v>
      </c>
      <c r="F212" s="7" t="s">
        <v>1742</v>
      </c>
      <c r="G212" s="7">
        <v>2</v>
      </c>
      <c r="H212" s="37">
        <f>Priors!$H$27*VLOOKUP(D212,Team_26_27!$A$2:$U$21,20,FALSE)*VLOOKUP(E212,Team_26_27!$A$2:$U$21,21,FALSE)*IF(F212="H",Priors!$H$28,Priors!$H$29)</f>
        <v>1.8266720993494976</v>
      </c>
      <c r="I212" s="37">
        <f>Priors!$H$27*VLOOKUP(E212,Team_26_27!$A$2:$U$21,20,FALSE)*VLOOKUP(D212,Team_26_27!$A$2:$U$21,21,FALSE)*IF(F212="H",Priors!$H$29,Priors!$H$28)</f>
        <v>1.0162388738650514</v>
      </c>
      <c r="J212" s="15"/>
      <c r="K212" s="15"/>
      <c r="L212" s="47" t="b">
        <v>0</v>
      </c>
      <c r="M212" s="45">
        <v>0</v>
      </c>
      <c r="N212" s="45"/>
      <c r="O212" s="45"/>
      <c r="P212" s="38">
        <f t="shared" si="15"/>
        <v>1.8266720993494976</v>
      </c>
      <c r="Q212" s="38">
        <f t="shared" si="16"/>
        <v>1.0162388738650514</v>
      </c>
      <c r="R212" s="17">
        <f t="shared" si="17"/>
        <v>0.36195373692788435</v>
      </c>
      <c r="S212" s="17">
        <f t="shared" si="18"/>
        <v>0.16094829746184983</v>
      </c>
      <c r="T212" s="38" t="str">
        <f t="shared" si="19"/>
        <v/>
      </c>
      <c r="U212" s="31" t="s">
        <v>1876</v>
      </c>
      <c r="V212" s="31"/>
    </row>
    <row r="213" spans="1:22" ht="30">
      <c r="A213" s="7">
        <v>11</v>
      </c>
      <c r="B213" s="7">
        <v>106</v>
      </c>
      <c r="C213" s="7">
        <v>46347.625</v>
      </c>
      <c r="D213" s="7" t="s">
        <v>49</v>
      </c>
      <c r="E213" s="7" t="s">
        <v>43</v>
      </c>
      <c r="F213" s="7" t="s">
        <v>1743</v>
      </c>
      <c r="G213" s="7">
        <v>2</v>
      </c>
      <c r="H213" s="37">
        <f>Priors!$H$27*VLOOKUP(D213,Team_26_27!$A$2:$U$21,20,FALSE)*VLOOKUP(E213,Team_26_27!$A$2:$U$21,21,FALSE)*IF(F213="H",Priors!$H$28,Priors!$H$29)</f>
        <v>1.0162388738650514</v>
      </c>
      <c r="I213" s="37">
        <f>Priors!$H$27*VLOOKUP(E213,Team_26_27!$A$2:$U$21,20,FALSE)*VLOOKUP(D213,Team_26_27!$A$2:$U$21,21,FALSE)*IF(F213="H",Priors!$H$29,Priors!$H$28)</f>
        <v>1.8266720993494976</v>
      </c>
      <c r="J213" s="15"/>
      <c r="K213" s="15"/>
      <c r="L213" s="47" t="b">
        <v>0</v>
      </c>
      <c r="M213" s="45">
        <v>0</v>
      </c>
      <c r="N213" s="45"/>
      <c r="O213" s="45"/>
      <c r="P213" s="38">
        <f t="shared" si="15"/>
        <v>1.0162388738650514</v>
      </c>
      <c r="Q213" s="38">
        <f t="shared" si="16"/>
        <v>1.8266720993494976</v>
      </c>
      <c r="R213" s="17">
        <f t="shared" si="17"/>
        <v>0.16094829746184983</v>
      </c>
      <c r="S213" s="17">
        <f t="shared" si="18"/>
        <v>0.36195373692788435</v>
      </c>
      <c r="T213" s="38" t="str">
        <f t="shared" si="19"/>
        <v/>
      </c>
      <c r="U213" s="31" t="s">
        <v>1876</v>
      </c>
      <c r="V213" s="31"/>
    </row>
    <row r="214" spans="1:22" ht="30">
      <c r="A214" s="7">
        <v>11</v>
      </c>
      <c r="B214" s="7">
        <v>107</v>
      </c>
      <c r="C214" s="7">
        <v>46347.625</v>
      </c>
      <c r="D214" s="7" t="s">
        <v>54</v>
      </c>
      <c r="E214" s="7" t="s">
        <v>52</v>
      </c>
      <c r="F214" s="7" t="s">
        <v>1742</v>
      </c>
      <c r="G214" s="7">
        <v>4</v>
      </c>
      <c r="H214" s="37">
        <f>Priors!$H$27*VLOOKUP(D214,Team_26_27!$A$2:$U$21,20,FALSE)*VLOOKUP(E214,Team_26_27!$A$2:$U$21,21,FALSE)*IF(F214="H",Priors!$H$28,Priors!$H$29)</f>
        <v>1.3735676445473324</v>
      </c>
      <c r="I214" s="37">
        <f>Priors!$H$27*VLOOKUP(E214,Team_26_27!$A$2:$U$21,20,FALSE)*VLOOKUP(D214,Team_26_27!$A$2:$U$21,21,FALSE)*IF(F214="H",Priors!$H$29,Priors!$H$28)</f>
        <v>1.5685498170677328</v>
      </c>
      <c r="J214" s="15"/>
      <c r="K214" s="15"/>
      <c r="L214" s="47" t="b">
        <v>0</v>
      </c>
      <c r="M214" s="45">
        <v>0</v>
      </c>
      <c r="N214" s="45"/>
      <c r="O214" s="45"/>
      <c r="P214" s="38">
        <f t="shared" si="15"/>
        <v>1.3735676445473324</v>
      </c>
      <c r="Q214" s="38">
        <f t="shared" si="16"/>
        <v>1.5685498170677328</v>
      </c>
      <c r="R214" s="17">
        <f t="shared" si="17"/>
        <v>0.20834710479808782</v>
      </c>
      <c r="S214" s="17">
        <f t="shared" si="18"/>
        <v>0.25320201147051291</v>
      </c>
      <c r="T214" s="38" t="str">
        <f t="shared" si="19"/>
        <v/>
      </c>
      <c r="U214" s="31" t="s">
        <v>1876</v>
      </c>
      <c r="V214" s="31"/>
    </row>
    <row r="215" spans="1:22" ht="30">
      <c r="A215" s="7">
        <v>11</v>
      </c>
      <c r="B215" s="7">
        <v>107</v>
      </c>
      <c r="C215" s="7">
        <v>46347.625</v>
      </c>
      <c r="D215" s="7" t="s">
        <v>52</v>
      </c>
      <c r="E215" s="7" t="s">
        <v>54</v>
      </c>
      <c r="F215" s="7" t="s">
        <v>1743</v>
      </c>
      <c r="G215" s="7">
        <v>4</v>
      </c>
      <c r="H215" s="37">
        <f>Priors!$H$27*VLOOKUP(D215,Team_26_27!$A$2:$U$21,20,FALSE)*VLOOKUP(E215,Team_26_27!$A$2:$U$21,21,FALSE)*IF(F215="H",Priors!$H$28,Priors!$H$29)</f>
        <v>1.5685498170677328</v>
      </c>
      <c r="I215" s="37">
        <f>Priors!$H$27*VLOOKUP(E215,Team_26_27!$A$2:$U$21,20,FALSE)*VLOOKUP(D215,Team_26_27!$A$2:$U$21,21,FALSE)*IF(F215="H",Priors!$H$29,Priors!$H$28)</f>
        <v>1.3735676445473324</v>
      </c>
      <c r="J215" s="15"/>
      <c r="K215" s="15"/>
      <c r="L215" s="47" t="b">
        <v>0</v>
      </c>
      <c r="M215" s="45">
        <v>0</v>
      </c>
      <c r="N215" s="45"/>
      <c r="O215" s="45"/>
      <c r="P215" s="38">
        <f t="shared" si="15"/>
        <v>1.5685498170677328</v>
      </c>
      <c r="Q215" s="38">
        <f t="shared" si="16"/>
        <v>1.3735676445473324</v>
      </c>
      <c r="R215" s="17">
        <f t="shared" si="17"/>
        <v>0.25320201147051291</v>
      </c>
      <c r="S215" s="17">
        <f t="shared" si="18"/>
        <v>0.20834710479808782</v>
      </c>
      <c r="T215" s="38" t="str">
        <f t="shared" si="19"/>
        <v/>
      </c>
      <c r="U215" s="31" t="s">
        <v>1876</v>
      </c>
      <c r="V215" s="31"/>
    </row>
    <row r="216" spans="1:22" ht="30">
      <c r="A216" s="7">
        <v>11</v>
      </c>
      <c r="B216" s="7">
        <v>108</v>
      </c>
      <c r="C216" s="7">
        <v>46347.625</v>
      </c>
      <c r="D216" s="7" t="s">
        <v>48</v>
      </c>
      <c r="E216" s="7" t="s">
        <v>53</v>
      </c>
      <c r="F216" s="7" t="s">
        <v>1742</v>
      </c>
      <c r="G216" s="7">
        <v>5</v>
      </c>
      <c r="H216" s="37">
        <f>Priors!$H$27*VLOOKUP(D216,Team_26_27!$A$2:$U$21,20,FALSE)*VLOOKUP(E216,Team_26_27!$A$2:$U$21,21,FALSE)*IF(F216="H",Priors!$H$28,Priors!$H$29)</f>
        <v>1.0860596192534073</v>
      </c>
      <c r="I216" s="37">
        <f>Priors!$H$27*VLOOKUP(E216,Team_26_27!$A$2:$U$21,20,FALSE)*VLOOKUP(D216,Team_26_27!$A$2:$U$21,21,FALSE)*IF(F216="H",Priors!$H$29,Priors!$H$28)</f>
        <v>1.8371808313329563</v>
      </c>
      <c r="J216" s="15"/>
      <c r="K216" s="15"/>
      <c r="L216" s="47" t="b">
        <v>0</v>
      </c>
      <c r="M216" s="45">
        <v>0</v>
      </c>
      <c r="N216" s="45"/>
      <c r="O216" s="45"/>
      <c r="P216" s="38">
        <f t="shared" si="15"/>
        <v>1.0860596192534073</v>
      </c>
      <c r="Q216" s="38">
        <f t="shared" si="16"/>
        <v>1.8371808313329563</v>
      </c>
      <c r="R216" s="17">
        <f t="shared" si="17"/>
        <v>0.15926579092945523</v>
      </c>
      <c r="S216" s="17">
        <f t="shared" si="18"/>
        <v>0.33754392828650742</v>
      </c>
      <c r="T216" s="38" t="str">
        <f t="shared" si="19"/>
        <v/>
      </c>
      <c r="U216" s="31" t="s">
        <v>1876</v>
      </c>
      <c r="V216" s="31"/>
    </row>
    <row r="217" spans="1:22" ht="30">
      <c r="A217" s="7">
        <v>11</v>
      </c>
      <c r="B217" s="7">
        <v>108</v>
      </c>
      <c r="C217" s="7">
        <v>46347.625</v>
      </c>
      <c r="D217" s="7" t="s">
        <v>53</v>
      </c>
      <c r="E217" s="7" t="s">
        <v>48</v>
      </c>
      <c r="F217" s="7" t="s">
        <v>1743</v>
      </c>
      <c r="G217" s="7">
        <v>2</v>
      </c>
      <c r="H217" s="37">
        <f>Priors!$H$27*VLOOKUP(D217,Team_26_27!$A$2:$U$21,20,FALSE)*VLOOKUP(E217,Team_26_27!$A$2:$U$21,21,FALSE)*IF(F217="H",Priors!$H$28,Priors!$H$29)</f>
        <v>1.8371808313329563</v>
      </c>
      <c r="I217" s="37">
        <f>Priors!$H$27*VLOOKUP(E217,Team_26_27!$A$2:$U$21,20,FALSE)*VLOOKUP(D217,Team_26_27!$A$2:$U$21,21,FALSE)*IF(F217="H",Priors!$H$29,Priors!$H$28)</f>
        <v>1.0860596192534073</v>
      </c>
      <c r="J217" s="15"/>
      <c r="K217" s="15"/>
      <c r="L217" s="47" t="b">
        <v>0</v>
      </c>
      <c r="M217" s="45">
        <v>0</v>
      </c>
      <c r="N217" s="45"/>
      <c r="O217" s="45"/>
      <c r="P217" s="38">
        <f t="shared" si="15"/>
        <v>1.8371808313329563</v>
      </c>
      <c r="Q217" s="38">
        <f t="shared" si="16"/>
        <v>1.0860596192534073</v>
      </c>
      <c r="R217" s="17">
        <f t="shared" si="17"/>
        <v>0.33754392828650742</v>
      </c>
      <c r="S217" s="17">
        <f t="shared" si="18"/>
        <v>0.15926579092945523</v>
      </c>
      <c r="T217" s="38" t="str">
        <f t="shared" si="19"/>
        <v/>
      </c>
      <c r="U217" s="31" t="s">
        <v>1876</v>
      </c>
      <c r="V217" s="31"/>
    </row>
    <row r="218" spans="1:22" ht="30">
      <c r="A218" s="7">
        <v>11</v>
      </c>
      <c r="B218" s="7">
        <v>109</v>
      </c>
      <c r="C218" s="7">
        <v>46347.625</v>
      </c>
      <c r="D218" s="7" t="s">
        <v>39</v>
      </c>
      <c r="E218" s="7" t="s">
        <v>55</v>
      </c>
      <c r="F218" s="7" t="s">
        <v>1742</v>
      </c>
      <c r="G218" s="7">
        <v>3</v>
      </c>
      <c r="H218" s="37">
        <f>Priors!$H$27*VLOOKUP(D218,Team_26_27!$A$2:$U$21,20,FALSE)*VLOOKUP(E218,Team_26_27!$A$2:$U$21,21,FALSE)*IF(F218="H",Priors!$H$28,Priors!$H$29)</f>
        <v>1.4374072167020913</v>
      </c>
      <c r="I218" s="37">
        <f>Priors!$H$27*VLOOKUP(E218,Team_26_27!$A$2:$U$21,20,FALSE)*VLOOKUP(D218,Team_26_27!$A$2:$U$21,21,FALSE)*IF(F218="H",Priors!$H$29,Priors!$H$28)</f>
        <v>1.0773618663946649</v>
      </c>
      <c r="J218" s="15"/>
      <c r="K218" s="15"/>
      <c r="L218" s="47" t="b">
        <v>0</v>
      </c>
      <c r="M218" s="45">
        <v>0</v>
      </c>
      <c r="N218" s="45"/>
      <c r="O218" s="45"/>
      <c r="P218" s="38">
        <f t="shared" si="15"/>
        <v>1.4374072167020913</v>
      </c>
      <c r="Q218" s="38">
        <f t="shared" si="16"/>
        <v>1.0773618663946649</v>
      </c>
      <c r="R218" s="17">
        <f t="shared" si="17"/>
        <v>0.34049260680305121</v>
      </c>
      <c r="S218" s="17">
        <f t="shared" si="18"/>
        <v>0.23754285808278494</v>
      </c>
      <c r="T218" s="38" t="str">
        <f t="shared" si="19"/>
        <v/>
      </c>
      <c r="U218" s="31" t="s">
        <v>1876</v>
      </c>
      <c r="V218" s="31"/>
    </row>
    <row r="219" spans="1:22" ht="30">
      <c r="A219" s="7">
        <v>11</v>
      </c>
      <c r="B219" s="7">
        <v>109</v>
      </c>
      <c r="C219" s="7">
        <v>46347.625</v>
      </c>
      <c r="D219" s="7" t="s">
        <v>55</v>
      </c>
      <c r="E219" s="7" t="s">
        <v>39</v>
      </c>
      <c r="F219" s="7" t="s">
        <v>1743</v>
      </c>
      <c r="G219" s="7">
        <v>4</v>
      </c>
      <c r="H219" s="37">
        <f>Priors!$H$27*VLOOKUP(D219,Team_26_27!$A$2:$U$21,20,FALSE)*VLOOKUP(E219,Team_26_27!$A$2:$U$21,21,FALSE)*IF(F219="H",Priors!$H$28,Priors!$H$29)</f>
        <v>1.0773618663946649</v>
      </c>
      <c r="I219" s="37">
        <f>Priors!$H$27*VLOOKUP(E219,Team_26_27!$A$2:$U$21,20,FALSE)*VLOOKUP(D219,Team_26_27!$A$2:$U$21,21,FALSE)*IF(F219="H",Priors!$H$29,Priors!$H$28)</f>
        <v>1.4374072167020913</v>
      </c>
      <c r="J219" s="15"/>
      <c r="K219" s="15"/>
      <c r="L219" s="47" t="b">
        <v>0</v>
      </c>
      <c r="M219" s="45">
        <v>0</v>
      </c>
      <c r="N219" s="45"/>
      <c r="O219" s="45"/>
      <c r="P219" s="38">
        <f t="shared" si="15"/>
        <v>1.0773618663946649</v>
      </c>
      <c r="Q219" s="38">
        <f t="shared" si="16"/>
        <v>1.4374072167020913</v>
      </c>
      <c r="R219" s="17">
        <f t="shared" si="17"/>
        <v>0.23754285808278494</v>
      </c>
      <c r="S219" s="17">
        <f t="shared" si="18"/>
        <v>0.34049260680305121</v>
      </c>
      <c r="T219" s="38" t="str">
        <f t="shared" si="19"/>
        <v/>
      </c>
      <c r="U219" s="31" t="s">
        <v>1876</v>
      </c>
      <c r="V219" s="31"/>
    </row>
    <row r="220" spans="1:22" ht="30">
      <c r="A220" s="7">
        <v>11</v>
      </c>
      <c r="B220" s="7">
        <v>110</v>
      </c>
      <c r="C220" s="7">
        <v>46347.625</v>
      </c>
      <c r="D220" s="7" t="s">
        <v>50</v>
      </c>
      <c r="E220" s="7" t="s">
        <v>57</v>
      </c>
      <c r="F220" s="7" t="s">
        <v>1742</v>
      </c>
      <c r="G220" s="7">
        <v>3</v>
      </c>
      <c r="H220" s="37">
        <f>Priors!$H$27*VLOOKUP(D220,Team_26_27!$A$2:$U$21,20,FALSE)*VLOOKUP(E220,Team_26_27!$A$2:$U$21,21,FALSE)*IF(F220="H",Priors!$H$28,Priors!$H$29)</f>
        <v>0.94894663695160197</v>
      </c>
      <c r="I220" s="37">
        <f>Priors!$H$27*VLOOKUP(E220,Team_26_27!$A$2:$U$21,20,FALSE)*VLOOKUP(D220,Team_26_27!$A$2:$U$21,21,FALSE)*IF(F220="H",Priors!$H$29,Priors!$H$28)</f>
        <v>1.5688945353324297</v>
      </c>
      <c r="J220" s="15"/>
      <c r="K220" s="15"/>
      <c r="L220" s="47" t="b">
        <v>0</v>
      </c>
      <c r="M220" s="45">
        <v>0</v>
      </c>
      <c r="N220" s="45"/>
      <c r="O220" s="45"/>
      <c r="P220" s="38">
        <f t="shared" si="15"/>
        <v>0.94894663695160197</v>
      </c>
      <c r="Q220" s="38">
        <f t="shared" si="16"/>
        <v>1.5688945353324297</v>
      </c>
      <c r="R220" s="17">
        <f t="shared" si="17"/>
        <v>0.20827529612325918</v>
      </c>
      <c r="S220" s="17">
        <f t="shared" si="18"/>
        <v>0.38714861679210022</v>
      </c>
      <c r="T220" s="38" t="str">
        <f t="shared" si="19"/>
        <v/>
      </c>
      <c r="U220" s="31" t="s">
        <v>1876</v>
      </c>
      <c r="V220" s="31"/>
    </row>
    <row r="221" spans="1:22" ht="30">
      <c r="A221" s="7">
        <v>11</v>
      </c>
      <c r="B221" s="7">
        <v>110</v>
      </c>
      <c r="C221" s="7">
        <v>46347.625</v>
      </c>
      <c r="D221" s="7" t="s">
        <v>57</v>
      </c>
      <c r="E221" s="7" t="s">
        <v>50</v>
      </c>
      <c r="F221" s="7" t="s">
        <v>1743</v>
      </c>
      <c r="G221" s="7">
        <v>2</v>
      </c>
      <c r="H221" s="37">
        <f>Priors!$H$27*VLOOKUP(D221,Team_26_27!$A$2:$U$21,20,FALSE)*VLOOKUP(E221,Team_26_27!$A$2:$U$21,21,FALSE)*IF(F221="H",Priors!$H$28,Priors!$H$29)</f>
        <v>1.5688945353324297</v>
      </c>
      <c r="I221" s="37">
        <f>Priors!$H$27*VLOOKUP(E221,Team_26_27!$A$2:$U$21,20,FALSE)*VLOOKUP(D221,Team_26_27!$A$2:$U$21,21,FALSE)*IF(F221="H",Priors!$H$29,Priors!$H$28)</f>
        <v>0.94894663695160197</v>
      </c>
      <c r="J221" s="15"/>
      <c r="K221" s="15"/>
      <c r="L221" s="47" t="b">
        <v>0</v>
      </c>
      <c r="M221" s="45">
        <v>0</v>
      </c>
      <c r="N221" s="45"/>
      <c r="O221" s="45"/>
      <c r="P221" s="38">
        <f t="shared" si="15"/>
        <v>1.5688945353324297</v>
      </c>
      <c r="Q221" s="38">
        <f t="shared" si="16"/>
        <v>0.94894663695160197</v>
      </c>
      <c r="R221" s="17">
        <f t="shared" si="17"/>
        <v>0.38714861679210022</v>
      </c>
      <c r="S221" s="17">
        <f t="shared" si="18"/>
        <v>0.20827529612325918</v>
      </c>
      <c r="T221" s="38" t="str">
        <f t="shared" si="19"/>
        <v/>
      </c>
      <c r="U221" s="31" t="s">
        <v>1876</v>
      </c>
      <c r="V221" s="31"/>
    </row>
    <row r="222" spans="1:22" ht="30">
      <c r="A222" s="7">
        <v>12</v>
      </c>
      <c r="B222" s="7">
        <v>111</v>
      </c>
      <c r="C222" s="7">
        <v>46354.625</v>
      </c>
      <c r="D222" s="7" t="s">
        <v>53</v>
      </c>
      <c r="E222" s="7" t="s">
        <v>39</v>
      </c>
      <c r="F222" s="7" t="s">
        <v>1742</v>
      </c>
      <c r="G222" s="7">
        <v>5</v>
      </c>
      <c r="H222" s="37">
        <f>Priors!$H$27*VLOOKUP(D222,Team_26_27!$A$2:$U$21,20,FALSE)*VLOOKUP(E222,Team_26_27!$A$2:$U$21,21,FALSE)*IF(F222="H",Priors!$H$28,Priors!$H$29)</f>
        <v>1.0085884545326178</v>
      </c>
      <c r="I222" s="37">
        <f>Priors!$H$27*VLOOKUP(E222,Team_26_27!$A$2:$U$21,20,FALSE)*VLOOKUP(D222,Team_26_27!$A$2:$U$21,21,FALSE)*IF(F222="H",Priors!$H$29,Priors!$H$28)</f>
        <v>1.6251953358526929</v>
      </c>
      <c r="J222" s="15"/>
      <c r="K222" s="15"/>
      <c r="L222" s="47" t="b">
        <v>0</v>
      </c>
      <c r="M222" s="45">
        <v>0</v>
      </c>
      <c r="N222" s="45"/>
      <c r="O222" s="45"/>
      <c r="P222" s="38">
        <f t="shared" si="15"/>
        <v>1.0085884545326178</v>
      </c>
      <c r="Q222" s="38">
        <f t="shared" si="16"/>
        <v>1.6251953358526929</v>
      </c>
      <c r="R222" s="17">
        <f t="shared" si="17"/>
        <v>0.19687321505065858</v>
      </c>
      <c r="S222" s="17">
        <f t="shared" si="18"/>
        <v>0.36473345423804132</v>
      </c>
      <c r="T222" s="38" t="str">
        <f t="shared" si="19"/>
        <v/>
      </c>
      <c r="U222" s="31" t="s">
        <v>1876</v>
      </c>
      <c r="V222" s="31"/>
    </row>
    <row r="223" spans="1:22" ht="30">
      <c r="A223" s="7">
        <v>12</v>
      </c>
      <c r="B223" s="7">
        <v>111</v>
      </c>
      <c r="C223" s="7">
        <v>46354.625</v>
      </c>
      <c r="D223" s="7" t="s">
        <v>39</v>
      </c>
      <c r="E223" s="7" t="s">
        <v>53</v>
      </c>
      <c r="F223" s="7" t="s">
        <v>1743</v>
      </c>
      <c r="G223" s="7">
        <v>4</v>
      </c>
      <c r="H223" s="37">
        <f>Priors!$H$27*VLOOKUP(D223,Team_26_27!$A$2:$U$21,20,FALSE)*VLOOKUP(E223,Team_26_27!$A$2:$U$21,21,FALSE)*IF(F223="H",Priors!$H$28,Priors!$H$29)</f>
        <v>1.6251953358526929</v>
      </c>
      <c r="I223" s="37">
        <f>Priors!$H$27*VLOOKUP(E223,Team_26_27!$A$2:$U$21,20,FALSE)*VLOOKUP(D223,Team_26_27!$A$2:$U$21,21,FALSE)*IF(F223="H",Priors!$H$29,Priors!$H$28)</f>
        <v>1.0085884545326178</v>
      </c>
      <c r="J223" s="15"/>
      <c r="K223" s="15"/>
      <c r="L223" s="47" t="b">
        <v>0</v>
      </c>
      <c r="M223" s="45">
        <v>0</v>
      </c>
      <c r="N223" s="45"/>
      <c r="O223" s="45"/>
      <c r="P223" s="38">
        <f t="shared" si="15"/>
        <v>1.6251953358526929</v>
      </c>
      <c r="Q223" s="38">
        <f t="shared" si="16"/>
        <v>1.0085884545326178</v>
      </c>
      <c r="R223" s="17">
        <f t="shared" si="17"/>
        <v>0.36473345423804132</v>
      </c>
      <c r="S223" s="17">
        <f t="shared" si="18"/>
        <v>0.19687321505065858</v>
      </c>
      <c r="T223" s="38" t="str">
        <f t="shared" si="19"/>
        <v/>
      </c>
      <c r="U223" s="31" t="s">
        <v>1876</v>
      </c>
      <c r="V223" s="31"/>
    </row>
    <row r="224" spans="1:22" ht="30">
      <c r="A224" s="7">
        <v>12</v>
      </c>
      <c r="B224" s="7">
        <v>112</v>
      </c>
      <c r="C224" s="7">
        <v>46354.625</v>
      </c>
      <c r="D224" s="7" t="s">
        <v>55</v>
      </c>
      <c r="E224" s="7" t="s">
        <v>43</v>
      </c>
      <c r="F224" s="7" t="s">
        <v>1742</v>
      </c>
      <c r="G224" s="7">
        <v>3</v>
      </c>
      <c r="H224" s="37">
        <f>Priors!$H$27*VLOOKUP(D224,Team_26_27!$A$2:$U$21,20,FALSE)*VLOOKUP(E224,Team_26_27!$A$2:$U$21,21,FALSE)*IF(F224="H",Priors!$H$28,Priors!$H$29)</f>
        <v>1.2405350348176996</v>
      </c>
      <c r="I224" s="37">
        <f>Priors!$H$27*VLOOKUP(E224,Team_26_27!$A$2:$U$21,20,FALSE)*VLOOKUP(D224,Team_26_27!$A$2:$U$21,21,FALSE)*IF(F224="H",Priors!$H$29,Priors!$H$28)</f>
        <v>1.6037371050773643</v>
      </c>
      <c r="J224" s="15"/>
      <c r="K224" s="15"/>
      <c r="L224" s="47" t="b">
        <v>0</v>
      </c>
      <c r="M224" s="45">
        <v>0</v>
      </c>
      <c r="N224" s="45"/>
      <c r="O224" s="45"/>
      <c r="P224" s="38">
        <f t="shared" si="15"/>
        <v>1.2405350348176996</v>
      </c>
      <c r="Q224" s="38">
        <f t="shared" si="16"/>
        <v>1.6037371050773643</v>
      </c>
      <c r="R224" s="17">
        <f t="shared" si="17"/>
        <v>0.20114341757633425</v>
      </c>
      <c r="S224" s="17">
        <f t="shared" si="18"/>
        <v>0.28922942871926399</v>
      </c>
      <c r="T224" s="38" t="str">
        <f t="shared" si="19"/>
        <v/>
      </c>
      <c r="U224" s="31" t="s">
        <v>1876</v>
      </c>
      <c r="V224" s="31"/>
    </row>
    <row r="225" spans="1:22" ht="30">
      <c r="A225" s="7">
        <v>12</v>
      </c>
      <c r="B225" s="7">
        <v>112</v>
      </c>
      <c r="C225" s="7">
        <v>46354.625</v>
      </c>
      <c r="D225" s="7" t="s">
        <v>43</v>
      </c>
      <c r="E225" s="7" t="s">
        <v>55</v>
      </c>
      <c r="F225" s="7" t="s">
        <v>1743</v>
      </c>
      <c r="G225" s="7">
        <v>2</v>
      </c>
      <c r="H225" s="37">
        <f>Priors!$H$27*VLOOKUP(D225,Team_26_27!$A$2:$U$21,20,FALSE)*VLOOKUP(E225,Team_26_27!$A$2:$U$21,21,FALSE)*IF(F225="H",Priors!$H$28,Priors!$H$29)</f>
        <v>1.6037371050773643</v>
      </c>
      <c r="I225" s="37">
        <f>Priors!$H$27*VLOOKUP(E225,Team_26_27!$A$2:$U$21,20,FALSE)*VLOOKUP(D225,Team_26_27!$A$2:$U$21,21,FALSE)*IF(F225="H",Priors!$H$29,Priors!$H$28)</f>
        <v>1.2405350348176996</v>
      </c>
      <c r="J225" s="15"/>
      <c r="K225" s="15"/>
      <c r="L225" s="47" t="b">
        <v>0</v>
      </c>
      <c r="M225" s="45">
        <v>0</v>
      </c>
      <c r="N225" s="45"/>
      <c r="O225" s="45"/>
      <c r="P225" s="38">
        <f t="shared" si="15"/>
        <v>1.6037371050773643</v>
      </c>
      <c r="Q225" s="38">
        <f t="shared" si="16"/>
        <v>1.2405350348176996</v>
      </c>
      <c r="R225" s="17">
        <f t="shared" si="17"/>
        <v>0.28922942871926399</v>
      </c>
      <c r="S225" s="17">
        <f t="shared" si="18"/>
        <v>0.20114341757633425</v>
      </c>
      <c r="T225" s="38" t="str">
        <f t="shared" si="19"/>
        <v/>
      </c>
      <c r="U225" s="31" t="s">
        <v>1876</v>
      </c>
      <c r="V225" s="31"/>
    </row>
    <row r="226" spans="1:22" ht="30">
      <c r="A226" s="7">
        <v>12</v>
      </c>
      <c r="B226" s="7">
        <v>113</v>
      </c>
      <c r="C226" s="7">
        <v>46354.625</v>
      </c>
      <c r="D226" s="7" t="s">
        <v>49</v>
      </c>
      <c r="E226" s="7" t="s">
        <v>46</v>
      </c>
      <c r="F226" s="7" t="s">
        <v>1742</v>
      </c>
      <c r="G226" s="7">
        <v>3</v>
      </c>
      <c r="H226" s="37">
        <f>Priors!$H$27*VLOOKUP(D226,Team_26_27!$A$2:$U$21,20,FALSE)*VLOOKUP(E226,Team_26_27!$A$2:$U$21,21,FALSE)*IF(F226="H",Priors!$H$28,Priors!$H$29)</f>
        <v>0.86687678478237895</v>
      </c>
      <c r="I226" s="37">
        <f>Priors!$H$27*VLOOKUP(E226,Team_26_27!$A$2:$U$21,20,FALSE)*VLOOKUP(D226,Team_26_27!$A$2:$U$21,21,FALSE)*IF(F226="H",Priors!$H$29,Priors!$H$28)</f>
        <v>2.2107133307050399</v>
      </c>
      <c r="J226" s="15"/>
      <c r="K226" s="15"/>
      <c r="L226" s="47" t="b">
        <v>0</v>
      </c>
      <c r="M226" s="45">
        <v>0</v>
      </c>
      <c r="N226" s="45"/>
      <c r="O226" s="45"/>
      <c r="P226" s="38">
        <f t="shared" si="15"/>
        <v>0.86687678478237895</v>
      </c>
      <c r="Q226" s="38">
        <f t="shared" si="16"/>
        <v>2.2107133307050399</v>
      </c>
      <c r="R226" s="17">
        <f t="shared" si="17"/>
        <v>0.1096224235780044</v>
      </c>
      <c r="S226" s="17">
        <f t="shared" si="18"/>
        <v>0.42026207055645554</v>
      </c>
      <c r="T226" s="38" t="str">
        <f t="shared" si="19"/>
        <v/>
      </c>
      <c r="U226" s="31" t="s">
        <v>1876</v>
      </c>
      <c r="V226" s="31"/>
    </row>
    <row r="227" spans="1:22" ht="30">
      <c r="A227" s="7">
        <v>12</v>
      </c>
      <c r="B227" s="7">
        <v>113</v>
      </c>
      <c r="C227" s="7">
        <v>46354.625</v>
      </c>
      <c r="D227" s="7" t="s">
        <v>46</v>
      </c>
      <c r="E227" s="7" t="s">
        <v>49</v>
      </c>
      <c r="F227" s="7" t="s">
        <v>1743</v>
      </c>
      <c r="G227" s="7">
        <v>2</v>
      </c>
      <c r="H227" s="37">
        <f>Priors!$H$27*VLOOKUP(D227,Team_26_27!$A$2:$U$21,20,FALSE)*VLOOKUP(E227,Team_26_27!$A$2:$U$21,21,FALSE)*IF(F227="H",Priors!$H$28,Priors!$H$29)</f>
        <v>2.2107133307050399</v>
      </c>
      <c r="I227" s="37">
        <f>Priors!$H$27*VLOOKUP(E227,Team_26_27!$A$2:$U$21,20,FALSE)*VLOOKUP(D227,Team_26_27!$A$2:$U$21,21,FALSE)*IF(F227="H",Priors!$H$29,Priors!$H$28)</f>
        <v>0.86687678478237895</v>
      </c>
      <c r="J227" s="15"/>
      <c r="K227" s="15"/>
      <c r="L227" s="47" t="b">
        <v>0</v>
      </c>
      <c r="M227" s="45">
        <v>0</v>
      </c>
      <c r="N227" s="45"/>
      <c r="O227" s="45"/>
      <c r="P227" s="38">
        <f t="shared" si="15"/>
        <v>2.2107133307050399</v>
      </c>
      <c r="Q227" s="38">
        <f t="shared" si="16"/>
        <v>0.86687678478237895</v>
      </c>
      <c r="R227" s="17">
        <f t="shared" si="17"/>
        <v>0.42026207055645554</v>
      </c>
      <c r="S227" s="17">
        <f t="shared" si="18"/>
        <v>0.1096224235780044</v>
      </c>
      <c r="T227" s="38" t="str">
        <f t="shared" si="19"/>
        <v/>
      </c>
      <c r="U227" s="31" t="s">
        <v>1876</v>
      </c>
      <c r="V227" s="31"/>
    </row>
    <row r="228" spans="1:22" ht="30">
      <c r="A228" s="7">
        <v>12</v>
      </c>
      <c r="B228" s="7">
        <v>114</v>
      </c>
      <c r="C228" s="7">
        <v>46354.625</v>
      </c>
      <c r="D228" s="7" t="s">
        <v>52</v>
      </c>
      <c r="E228" s="7" t="s">
        <v>47</v>
      </c>
      <c r="F228" s="7" t="s">
        <v>1742</v>
      </c>
      <c r="G228" s="7">
        <v>3</v>
      </c>
      <c r="H228" s="37">
        <f>Priors!$H$27*VLOOKUP(D228,Team_26_27!$A$2:$U$21,20,FALSE)*VLOOKUP(E228,Team_26_27!$A$2:$U$21,21,FALSE)*IF(F228="H",Priors!$H$28,Priors!$H$29)</f>
        <v>1.4254277227292318</v>
      </c>
      <c r="I228" s="37">
        <f>Priors!$H$27*VLOOKUP(E228,Team_26_27!$A$2:$U$21,20,FALSE)*VLOOKUP(D228,Team_26_27!$A$2:$U$21,21,FALSE)*IF(F228="H",Priors!$H$29,Priors!$H$28)</f>
        <v>1.324214113504957</v>
      </c>
      <c r="J228" s="15"/>
      <c r="K228" s="15"/>
      <c r="L228" s="47" t="b">
        <v>0</v>
      </c>
      <c r="M228" s="45">
        <v>0</v>
      </c>
      <c r="N228" s="45"/>
      <c r="O228" s="45"/>
      <c r="P228" s="38">
        <f t="shared" si="15"/>
        <v>1.4254277227292318</v>
      </c>
      <c r="Q228" s="38">
        <f t="shared" si="16"/>
        <v>1.324214113504957</v>
      </c>
      <c r="R228" s="17">
        <f t="shared" si="17"/>
        <v>0.26601193214861429</v>
      </c>
      <c r="S228" s="17">
        <f t="shared" si="18"/>
        <v>0.24040561426903781</v>
      </c>
      <c r="T228" s="38" t="str">
        <f t="shared" si="19"/>
        <v/>
      </c>
      <c r="U228" s="31" t="s">
        <v>1876</v>
      </c>
      <c r="V228" s="31"/>
    </row>
    <row r="229" spans="1:22" ht="30">
      <c r="A229" s="7">
        <v>12</v>
      </c>
      <c r="B229" s="7">
        <v>114</v>
      </c>
      <c r="C229" s="7">
        <v>46354.625</v>
      </c>
      <c r="D229" s="7" t="s">
        <v>47</v>
      </c>
      <c r="E229" s="7" t="s">
        <v>52</v>
      </c>
      <c r="F229" s="7" t="s">
        <v>1743</v>
      </c>
      <c r="G229" s="7">
        <v>4</v>
      </c>
      <c r="H229" s="37">
        <f>Priors!$H$27*VLOOKUP(D229,Team_26_27!$A$2:$U$21,20,FALSE)*VLOOKUP(E229,Team_26_27!$A$2:$U$21,21,FALSE)*IF(F229="H",Priors!$H$28,Priors!$H$29)</f>
        <v>1.324214113504957</v>
      </c>
      <c r="I229" s="37">
        <f>Priors!$H$27*VLOOKUP(E229,Team_26_27!$A$2:$U$21,20,FALSE)*VLOOKUP(D229,Team_26_27!$A$2:$U$21,21,FALSE)*IF(F229="H",Priors!$H$29,Priors!$H$28)</f>
        <v>1.4254277227292318</v>
      </c>
      <c r="J229" s="15"/>
      <c r="K229" s="15"/>
      <c r="L229" s="47" t="b">
        <v>0</v>
      </c>
      <c r="M229" s="45">
        <v>0</v>
      </c>
      <c r="N229" s="45"/>
      <c r="O229" s="45"/>
      <c r="P229" s="38">
        <f t="shared" si="15"/>
        <v>1.324214113504957</v>
      </c>
      <c r="Q229" s="38">
        <f t="shared" si="16"/>
        <v>1.4254277227292318</v>
      </c>
      <c r="R229" s="17">
        <f t="shared" si="17"/>
        <v>0.24040561426903781</v>
      </c>
      <c r="S229" s="17">
        <f t="shared" si="18"/>
        <v>0.26601193214861429</v>
      </c>
      <c r="T229" s="38" t="str">
        <f t="shared" si="19"/>
        <v/>
      </c>
      <c r="U229" s="31" t="s">
        <v>1876</v>
      </c>
      <c r="V229" s="31"/>
    </row>
    <row r="230" spans="1:22" ht="30">
      <c r="A230" s="7">
        <v>12</v>
      </c>
      <c r="B230" s="7">
        <v>115</v>
      </c>
      <c r="C230" s="7">
        <v>46354.625</v>
      </c>
      <c r="D230" s="7" t="s">
        <v>41</v>
      </c>
      <c r="E230" s="7" t="s">
        <v>48</v>
      </c>
      <c r="F230" s="7" t="s">
        <v>1742</v>
      </c>
      <c r="G230" s="7">
        <v>3</v>
      </c>
      <c r="H230" s="37">
        <f>Priors!$H$27*VLOOKUP(D230,Team_26_27!$A$2:$U$21,20,FALSE)*VLOOKUP(E230,Team_26_27!$A$2:$U$21,21,FALSE)*IF(F230="H",Priors!$H$28,Priors!$H$29)</f>
        <v>1.3764197972064092</v>
      </c>
      <c r="I230" s="37">
        <f>Priors!$H$27*VLOOKUP(E230,Team_26_27!$A$2:$U$21,20,FALSE)*VLOOKUP(D230,Team_26_27!$A$2:$U$21,21,FALSE)*IF(F230="H",Priors!$H$29,Priors!$H$28)</f>
        <v>1.5182087541122291</v>
      </c>
      <c r="J230" s="15"/>
      <c r="K230" s="15"/>
      <c r="L230" s="47" t="b">
        <v>0</v>
      </c>
      <c r="M230" s="45">
        <v>0</v>
      </c>
      <c r="N230" s="45"/>
      <c r="O230" s="45"/>
      <c r="P230" s="38">
        <f t="shared" si="15"/>
        <v>1.3764197972064092</v>
      </c>
      <c r="Q230" s="38">
        <f t="shared" si="16"/>
        <v>1.5182087541122291</v>
      </c>
      <c r="R230" s="17">
        <f t="shared" si="17"/>
        <v>0.21910400480522588</v>
      </c>
      <c r="S230" s="17">
        <f t="shared" si="18"/>
        <v>0.25248086957246524</v>
      </c>
      <c r="T230" s="38" t="str">
        <f t="shared" si="19"/>
        <v/>
      </c>
      <c r="U230" s="31" t="s">
        <v>1876</v>
      </c>
      <c r="V230" s="31"/>
    </row>
    <row r="231" spans="1:22" ht="30">
      <c r="A231" s="7">
        <v>12</v>
      </c>
      <c r="B231" s="7">
        <v>115</v>
      </c>
      <c r="C231" s="7">
        <v>46354.625</v>
      </c>
      <c r="D231" s="7" t="s">
        <v>48</v>
      </c>
      <c r="E231" s="7" t="s">
        <v>41</v>
      </c>
      <c r="F231" s="7" t="s">
        <v>1743</v>
      </c>
      <c r="G231" s="7">
        <v>3</v>
      </c>
      <c r="H231" s="37">
        <f>Priors!$H$27*VLOOKUP(D231,Team_26_27!$A$2:$U$21,20,FALSE)*VLOOKUP(E231,Team_26_27!$A$2:$U$21,21,FALSE)*IF(F231="H",Priors!$H$28,Priors!$H$29)</f>
        <v>1.5182087541122291</v>
      </c>
      <c r="I231" s="37">
        <f>Priors!$H$27*VLOOKUP(E231,Team_26_27!$A$2:$U$21,20,FALSE)*VLOOKUP(D231,Team_26_27!$A$2:$U$21,21,FALSE)*IF(F231="H",Priors!$H$29,Priors!$H$28)</f>
        <v>1.3764197972064092</v>
      </c>
      <c r="J231" s="15"/>
      <c r="K231" s="15"/>
      <c r="L231" s="47" t="b">
        <v>0</v>
      </c>
      <c r="M231" s="45">
        <v>0</v>
      </c>
      <c r="N231" s="45"/>
      <c r="O231" s="45"/>
      <c r="P231" s="38">
        <f t="shared" si="15"/>
        <v>1.5182087541122291</v>
      </c>
      <c r="Q231" s="38">
        <f t="shared" si="16"/>
        <v>1.3764197972064092</v>
      </c>
      <c r="R231" s="17">
        <f t="shared" si="17"/>
        <v>0.25248086957246524</v>
      </c>
      <c r="S231" s="17">
        <f t="shared" si="18"/>
        <v>0.21910400480522588</v>
      </c>
      <c r="T231" s="38" t="str">
        <f t="shared" si="19"/>
        <v/>
      </c>
      <c r="U231" s="31" t="s">
        <v>1876</v>
      </c>
      <c r="V231" s="31"/>
    </row>
    <row r="232" spans="1:22" ht="30">
      <c r="A232" s="7">
        <v>12</v>
      </c>
      <c r="B232" s="7">
        <v>116</v>
      </c>
      <c r="C232" s="7">
        <v>46354.625</v>
      </c>
      <c r="D232" s="7" t="s">
        <v>40</v>
      </c>
      <c r="E232" s="7" t="s">
        <v>50</v>
      </c>
      <c r="F232" s="7" t="s">
        <v>1742</v>
      </c>
      <c r="G232" s="7">
        <v>2</v>
      </c>
      <c r="H232" s="37">
        <f>Priors!$H$27*VLOOKUP(D232,Team_26_27!$A$2:$U$21,20,FALSE)*VLOOKUP(E232,Team_26_27!$A$2:$U$21,21,FALSE)*IF(F232="H",Priors!$H$28,Priors!$H$29)</f>
        <v>1.4513531643889768</v>
      </c>
      <c r="I232" s="37">
        <f>Priors!$H$27*VLOOKUP(E232,Team_26_27!$A$2:$U$21,20,FALSE)*VLOOKUP(D232,Team_26_27!$A$2:$U$21,21,FALSE)*IF(F232="H",Priors!$H$29,Priors!$H$28)</f>
        <v>1.184545617493705</v>
      </c>
      <c r="J232" s="15"/>
      <c r="K232" s="15"/>
      <c r="L232" s="47" t="b">
        <v>0</v>
      </c>
      <c r="M232" s="45">
        <v>0</v>
      </c>
      <c r="N232" s="45"/>
      <c r="O232" s="45"/>
      <c r="P232" s="38">
        <f t="shared" si="15"/>
        <v>1.4513531643889768</v>
      </c>
      <c r="Q232" s="38">
        <f t="shared" si="16"/>
        <v>1.184545617493705</v>
      </c>
      <c r="R232" s="17">
        <f t="shared" si="17"/>
        <v>0.3058851367815309</v>
      </c>
      <c r="S232" s="17">
        <f t="shared" si="18"/>
        <v>0.23425309059181956</v>
      </c>
      <c r="T232" s="38" t="str">
        <f t="shared" si="19"/>
        <v/>
      </c>
      <c r="U232" s="31" t="s">
        <v>1876</v>
      </c>
      <c r="V232" s="31"/>
    </row>
    <row r="233" spans="1:22" ht="30">
      <c r="A233" s="7">
        <v>12</v>
      </c>
      <c r="B233" s="7">
        <v>116</v>
      </c>
      <c r="C233" s="7">
        <v>46354.625</v>
      </c>
      <c r="D233" s="7" t="s">
        <v>50</v>
      </c>
      <c r="E233" s="7" t="s">
        <v>40</v>
      </c>
      <c r="F233" s="7" t="s">
        <v>1743</v>
      </c>
      <c r="G233" s="7">
        <v>3</v>
      </c>
      <c r="H233" s="37">
        <f>Priors!$H$27*VLOOKUP(D233,Team_26_27!$A$2:$U$21,20,FALSE)*VLOOKUP(E233,Team_26_27!$A$2:$U$21,21,FALSE)*IF(F233="H",Priors!$H$28,Priors!$H$29)</f>
        <v>1.184545617493705</v>
      </c>
      <c r="I233" s="37">
        <f>Priors!$H$27*VLOOKUP(E233,Team_26_27!$A$2:$U$21,20,FALSE)*VLOOKUP(D233,Team_26_27!$A$2:$U$21,21,FALSE)*IF(F233="H",Priors!$H$29,Priors!$H$28)</f>
        <v>1.4513531643889768</v>
      </c>
      <c r="J233" s="15"/>
      <c r="K233" s="15"/>
      <c r="L233" s="47" t="b">
        <v>0</v>
      </c>
      <c r="M233" s="45">
        <v>0</v>
      </c>
      <c r="N233" s="45"/>
      <c r="O233" s="45"/>
      <c r="P233" s="38">
        <f t="shared" si="15"/>
        <v>1.184545617493705</v>
      </c>
      <c r="Q233" s="38">
        <f t="shared" si="16"/>
        <v>1.4513531643889768</v>
      </c>
      <c r="R233" s="17">
        <f t="shared" si="17"/>
        <v>0.23425309059181956</v>
      </c>
      <c r="S233" s="17">
        <f t="shared" si="18"/>
        <v>0.3058851367815309</v>
      </c>
      <c r="T233" s="38" t="str">
        <f t="shared" si="19"/>
        <v/>
      </c>
      <c r="U233" s="31" t="s">
        <v>1876</v>
      </c>
      <c r="V233" s="31"/>
    </row>
    <row r="234" spans="1:22" ht="30">
      <c r="A234" s="7">
        <v>12</v>
      </c>
      <c r="B234" s="7">
        <v>117</v>
      </c>
      <c r="C234" s="7">
        <v>46354.625</v>
      </c>
      <c r="D234" s="7" t="s">
        <v>45</v>
      </c>
      <c r="E234" s="7" t="s">
        <v>51</v>
      </c>
      <c r="F234" s="7" t="s">
        <v>1742</v>
      </c>
      <c r="G234" s="7">
        <v>3</v>
      </c>
      <c r="H234" s="37">
        <f>Priors!$H$27*VLOOKUP(D234,Team_26_27!$A$2:$U$21,20,FALSE)*VLOOKUP(E234,Team_26_27!$A$2:$U$21,21,FALSE)*IF(F234="H",Priors!$H$28,Priors!$H$29)</f>
        <v>1.026862274298614</v>
      </c>
      <c r="I234" s="37">
        <f>Priors!$H$27*VLOOKUP(E234,Team_26_27!$A$2:$U$21,20,FALSE)*VLOOKUP(D234,Team_26_27!$A$2:$U$21,21,FALSE)*IF(F234="H",Priors!$H$29,Priors!$H$28)</f>
        <v>1.9592411164989165</v>
      </c>
      <c r="J234" s="15"/>
      <c r="K234" s="15"/>
      <c r="L234" s="47" t="b">
        <v>0</v>
      </c>
      <c r="M234" s="45">
        <v>0</v>
      </c>
      <c r="N234" s="45"/>
      <c r="O234" s="45"/>
      <c r="P234" s="38">
        <f t="shared" si="15"/>
        <v>1.026862274298614</v>
      </c>
      <c r="Q234" s="38">
        <f t="shared" si="16"/>
        <v>1.9592411164989165</v>
      </c>
      <c r="R234" s="17">
        <f t="shared" si="17"/>
        <v>0.1409653566234087</v>
      </c>
      <c r="S234" s="17">
        <f t="shared" si="18"/>
        <v>0.35812890974879136</v>
      </c>
      <c r="T234" s="38" t="str">
        <f t="shared" si="19"/>
        <v/>
      </c>
      <c r="U234" s="31" t="s">
        <v>1876</v>
      </c>
      <c r="V234" s="31"/>
    </row>
    <row r="235" spans="1:22" ht="30">
      <c r="A235" s="7">
        <v>12</v>
      </c>
      <c r="B235" s="7">
        <v>117</v>
      </c>
      <c r="C235" s="7">
        <v>46354.625</v>
      </c>
      <c r="D235" s="7" t="s">
        <v>51</v>
      </c>
      <c r="E235" s="7" t="s">
        <v>45</v>
      </c>
      <c r="F235" s="7" t="s">
        <v>1743</v>
      </c>
      <c r="G235" s="7">
        <v>2</v>
      </c>
      <c r="H235" s="37">
        <f>Priors!$H$27*VLOOKUP(D235,Team_26_27!$A$2:$U$21,20,FALSE)*VLOOKUP(E235,Team_26_27!$A$2:$U$21,21,FALSE)*IF(F235="H",Priors!$H$28,Priors!$H$29)</f>
        <v>1.9592411164989165</v>
      </c>
      <c r="I235" s="37">
        <f>Priors!$H$27*VLOOKUP(E235,Team_26_27!$A$2:$U$21,20,FALSE)*VLOOKUP(D235,Team_26_27!$A$2:$U$21,21,FALSE)*IF(F235="H",Priors!$H$29,Priors!$H$28)</f>
        <v>1.026862274298614</v>
      </c>
      <c r="J235" s="15"/>
      <c r="K235" s="15"/>
      <c r="L235" s="47" t="b">
        <v>0</v>
      </c>
      <c r="M235" s="45">
        <v>0</v>
      </c>
      <c r="N235" s="45"/>
      <c r="O235" s="45"/>
      <c r="P235" s="38">
        <f t="shared" si="15"/>
        <v>1.9592411164989165</v>
      </c>
      <c r="Q235" s="38">
        <f t="shared" si="16"/>
        <v>1.026862274298614</v>
      </c>
      <c r="R235" s="17">
        <f t="shared" si="17"/>
        <v>0.35812890974879136</v>
      </c>
      <c r="S235" s="17">
        <f t="shared" si="18"/>
        <v>0.1409653566234087</v>
      </c>
      <c r="T235" s="38" t="str">
        <f t="shared" si="19"/>
        <v/>
      </c>
      <c r="U235" s="31" t="s">
        <v>1876</v>
      </c>
      <c r="V235" s="31"/>
    </row>
    <row r="236" spans="1:22" ht="30">
      <c r="A236" s="7">
        <v>12</v>
      </c>
      <c r="B236" s="7">
        <v>118</v>
      </c>
      <c r="C236" s="7">
        <v>46354.625</v>
      </c>
      <c r="D236" s="7" t="s">
        <v>42</v>
      </c>
      <c r="E236" s="7" t="s">
        <v>54</v>
      </c>
      <c r="F236" s="7" t="s">
        <v>1742</v>
      </c>
      <c r="G236" s="7">
        <v>4</v>
      </c>
      <c r="H236" s="37">
        <f>Priors!$H$27*VLOOKUP(D236,Team_26_27!$A$2:$U$21,20,FALSE)*VLOOKUP(E236,Team_26_27!$A$2:$U$21,21,FALSE)*IF(F236="H",Priors!$H$28,Priors!$H$29)</f>
        <v>1.2951312416207135</v>
      </c>
      <c r="I236" s="37">
        <f>Priors!$H$27*VLOOKUP(E236,Team_26_27!$A$2:$U$21,20,FALSE)*VLOOKUP(D236,Team_26_27!$A$2:$U$21,21,FALSE)*IF(F236="H",Priors!$H$29,Priors!$H$28)</f>
        <v>1.8146214053171617</v>
      </c>
      <c r="J236" s="15"/>
      <c r="K236" s="15"/>
      <c r="L236" s="47" t="b">
        <v>0</v>
      </c>
      <c r="M236" s="45">
        <v>0</v>
      </c>
      <c r="N236" s="45"/>
      <c r="O236" s="45"/>
      <c r="P236" s="38">
        <f t="shared" si="15"/>
        <v>1.2951312416207135</v>
      </c>
      <c r="Q236" s="38">
        <f t="shared" si="16"/>
        <v>1.8146214053171617</v>
      </c>
      <c r="R236" s="17">
        <f t="shared" si="17"/>
        <v>0.16289956962804988</v>
      </c>
      <c r="S236" s="17">
        <f t="shared" si="18"/>
        <v>0.27386191989057568</v>
      </c>
      <c r="T236" s="38" t="str">
        <f t="shared" si="19"/>
        <v/>
      </c>
      <c r="U236" s="31" t="s">
        <v>1876</v>
      </c>
      <c r="V236" s="31"/>
    </row>
    <row r="237" spans="1:22" ht="30">
      <c r="A237" s="7">
        <v>12</v>
      </c>
      <c r="B237" s="7">
        <v>118</v>
      </c>
      <c r="C237" s="7">
        <v>46354.625</v>
      </c>
      <c r="D237" s="7" t="s">
        <v>54</v>
      </c>
      <c r="E237" s="7" t="s">
        <v>42</v>
      </c>
      <c r="F237" s="7" t="s">
        <v>1743</v>
      </c>
      <c r="G237" s="7">
        <v>3</v>
      </c>
      <c r="H237" s="37">
        <f>Priors!$H$27*VLOOKUP(D237,Team_26_27!$A$2:$U$21,20,FALSE)*VLOOKUP(E237,Team_26_27!$A$2:$U$21,21,FALSE)*IF(F237="H",Priors!$H$28,Priors!$H$29)</f>
        <v>1.8146214053171617</v>
      </c>
      <c r="I237" s="37">
        <f>Priors!$H$27*VLOOKUP(E237,Team_26_27!$A$2:$U$21,20,FALSE)*VLOOKUP(D237,Team_26_27!$A$2:$U$21,21,FALSE)*IF(F237="H",Priors!$H$29,Priors!$H$28)</f>
        <v>1.2951312416207135</v>
      </c>
      <c r="J237" s="15"/>
      <c r="K237" s="15"/>
      <c r="L237" s="47" t="b">
        <v>0</v>
      </c>
      <c r="M237" s="45">
        <v>0</v>
      </c>
      <c r="N237" s="45"/>
      <c r="O237" s="45"/>
      <c r="P237" s="38">
        <f t="shared" si="15"/>
        <v>1.8146214053171617</v>
      </c>
      <c r="Q237" s="38">
        <f t="shared" si="16"/>
        <v>1.2951312416207135</v>
      </c>
      <c r="R237" s="17">
        <f t="shared" si="17"/>
        <v>0.27386191989057568</v>
      </c>
      <c r="S237" s="17">
        <f t="shared" si="18"/>
        <v>0.16289956962804988</v>
      </c>
      <c r="T237" s="38" t="str">
        <f t="shared" si="19"/>
        <v/>
      </c>
      <c r="U237" s="31" t="s">
        <v>1876</v>
      </c>
      <c r="V237" s="31"/>
    </row>
    <row r="238" spans="1:22" ht="30">
      <c r="A238" s="7">
        <v>12</v>
      </c>
      <c r="B238" s="7">
        <v>119</v>
      </c>
      <c r="C238" s="7">
        <v>46354.625</v>
      </c>
      <c r="D238" s="7" t="s">
        <v>44</v>
      </c>
      <c r="E238" s="7" t="s">
        <v>56</v>
      </c>
      <c r="F238" s="7" t="s">
        <v>1742</v>
      </c>
      <c r="G238" s="7">
        <v>3</v>
      </c>
      <c r="H238" s="37">
        <f>Priors!$H$27*VLOOKUP(D238,Team_26_27!$A$2:$U$21,20,FALSE)*VLOOKUP(E238,Team_26_27!$A$2:$U$21,21,FALSE)*IF(F238="H",Priors!$H$28,Priors!$H$29)</f>
        <v>1.4943594202685828</v>
      </c>
      <c r="I238" s="37">
        <f>Priors!$H$27*VLOOKUP(E238,Team_26_27!$A$2:$U$21,20,FALSE)*VLOOKUP(D238,Team_26_27!$A$2:$U$21,21,FALSE)*IF(F238="H",Priors!$H$29,Priors!$H$28)</f>
        <v>1.4121769265731754</v>
      </c>
      <c r="J238" s="15"/>
      <c r="K238" s="15"/>
      <c r="L238" s="47" t="b">
        <v>0</v>
      </c>
      <c r="M238" s="45">
        <v>0</v>
      </c>
      <c r="N238" s="45"/>
      <c r="O238" s="45"/>
      <c r="P238" s="38">
        <f t="shared" si="15"/>
        <v>1.4943594202685828</v>
      </c>
      <c r="Q238" s="38">
        <f t="shared" si="16"/>
        <v>1.4121769265731754</v>
      </c>
      <c r="R238" s="17">
        <f t="shared" si="17"/>
        <v>0.24361237923176873</v>
      </c>
      <c r="S238" s="17">
        <f t="shared" si="18"/>
        <v>0.22439229986070455</v>
      </c>
      <c r="T238" s="38" t="str">
        <f t="shared" si="19"/>
        <v/>
      </c>
      <c r="U238" s="31" t="s">
        <v>1876</v>
      </c>
      <c r="V238" s="31"/>
    </row>
    <row r="239" spans="1:22" ht="30">
      <c r="A239" s="7">
        <v>12</v>
      </c>
      <c r="B239" s="7">
        <v>119</v>
      </c>
      <c r="C239" s="7">
        <v>46354.625</v>
      </c>
      <c r="D239" s="7" t="s">
        <v>56</v>
      </c>
      <c r="E239" s="7" t="s">
        <v>44</v>
      </c>
      <c r="F239" s="7" t="s">
        <v>1743</v>
      </c>
      <c r="G239" s="7">
        <v>4</v>
      </c>
      <c r="H239" s="37">
        <f>Priors!$H$27*VLOOKUP(D239,Team_26_27!$A$2:$U$21,20,FALSE)*VLOOKUP(E239,Team_26_27!$A$2:$U$21,21,FALSE)*IF(F239="H",Priors!$H$28,Priors!$H$29)</f>
        <v>1.4121769265731754</v>
      </c>
      <c r="I239" s="37">
        <f>Priors!$H$27*VLOOKUP(E239,Team_26_27!$A$2:$U$21,20,FALSE)*VLOOKUP(D239,Team_26_27!$A$2:$U$21,21,FALSE)*IF(F239="H",Priors!$H$29,Priors!$H$28)</f>
        <v>1.4943594202685828</v>
      </c>
      <c r="J239" s="15"/>
      <c r="K239" s="15"/>
      <c r="L239" s="47" t="b">
        <v>0</v>
      </c>
      <c r="M239" s="45">
        <v>0</v>
      </c>
      <c r="N239" s="45"/>
      <c r="O239" s="45"/>
      <c r="P239" s="38">
        <f t="shared" si="15"/>
        <v>1.4121769265731754</v>
      </c>
      <c r="Q239" s="38">
        <f t="shared" si="16"/>
        <v>1.4943594202685828</v>
      </c>
      <c r="R239" s="17">
        <f t="shared" si="17"/>
        <v>0.22439229986070455</v>
      </c>
      <c r="S239" s="17">
        <f t="shared" si="18"/>
        <v>0.24361237923176873</v>
      </c>
      <c r="T239" s="38" t="str">
        <f t="shared" si="19"/>
        <v/>
      </c>
      <c r="U239" s="31" t="s">
        <v>1876</v>
      </c>
      <c r="V239" s="31"/>
    </row>
    <row r="240" spans="1:22" ht="30">
      <c r="A240" s="7">
        <v>12</v>
      </c>
      <c r="B240" s="7">
        <v>120</v>
      </c>
      <c r="C240" s="7">
        <v>46354.625</v>
      </c>
      <c r="D240" s="7" t="s">
        <v>57</v>
      </c>
      <c r="E240" s="7" t="s">
        <v>58</v>
      </c>
      <c r="F240" s="7" t="s">
        <v>1742</v>
      </c>
      <c r="G240" s="7">
        <v>3</v>
      </c>
      <c r="H240" s="37">
        <f>Priors!$H$27*VLOOKUP(D240,Team_26_27!$A$2:$U$21,20,FALSE)*VLOOKUP(E240,Team_26_27!$A$2:$U$21,21,FALSE)*IF(F240="H",Priors!$H$28,Priors!$H$29)</f>
        <v>1.0581395510486182</v>
      </c>
      <c r="I240" s="37">
        <f>Priors!$H$27*VLOOKUP(E240,Team_26_27!$A$2:$U$21,20,FALSE)*VLOOKUP(D240,Team_26_27!$A$2:$U$21,21,FALSE)*IF(F240="H",Priors!$H$29,Priors!$H$28)</f>
        <v>1.2360350574225738</v>
      </c>
      <c r="J240" s="15"/>
      <c r="K240" s="15"/>
      <c r="L240" s="47" t="b">
        <v>0</v>
      </c>
      <c r="M240" s="45">
        <v>0</v>
      </c>
      <c r="N240" s="45"/>
      <c r="O240" s="45"/>
      <c r="P240" s="38">
        <f t="shared" si="15"/>
        <v>1.0581395510486182</v>
      </c>
      <c r="Q240" s="38">
        <f t="shared" si="16"/>
        <v>1.2360350574225738</v>
      </c>
      <c r="R240" s="17">
        <f t="shared" si="17"/>
        <v>0.29053388742660258</v>
      </c>
      <c r="S240" s="17">
        <f t="shared" si="18"/>
        <v>0.34710097363969716</v>
      </c>
      <c r="T240" s="38" t="str">
        <f t="shared" si="19"/>
        <v/>
      </c>
      <c r="U240" s="31" t="s">
        <v>1876</v>
      </c>
      <c r="V240" s="31"/>
    </row>
    <row r="241" spans="1:22" ht="30">
      <c r="A241" s="7">
        <v>12</v>
      </c>
      <c r="B241" s="7">
        <v>120</v>
      </c>
      <c r="C241" s="7">
        <v>46354.625</v>
      </c>
      <c r="D241" s="7" t="s">
        <v>58</v>
      </c>
      <c r="E241" s="7" t="s">
        <v>57</v>
      </c>
      <c r="F241" s="7" t="s">
        <v>1743</v>
      </c>
      <c r="G241" s="7">
        <v>3</v>
      </c>
      <c r="H241" s="37">
        <f>Priors!$H$27*VLOOKUP(D241,Team_26_27!$A$2:$U$21,20,FALSE)*VLOOKUP(E241,Team_26_27!$A$2:$U$21,21,FALSE)*IF(F241="H",Priors!$H$28,Priors!$H$29)</f>
        <v>1.2360350574225738</v>
      </c>
      <c r="I241" s="37">
        <f>Priors!$H$27*VLOOKUP(E241,Team_26_27!$A$2:$U$21,20,FALSE)*VLOOKUP(D241,Team_26_27!$A$2:$U$21,21,FALSE)*IF(F241="H",Priors!$H$29,Priors!$H$28)</f>
        <v>1.0581395510486182</v>
      </c>
      <c r="J241" s="15"/>
      <c r="K241" s="15"/>
      <c r="L241" s="47" t="b">
        <v>0</v>
      </c>
      <c r="M241" s="45">
        <v>0</v>
      </c>
      <c r="N241" s="45"/>
      <c r="O241" s="45"/>
      <c r="P241" s="38">
        <f t="shared" si="15"/>
        <v>1.2360350574225738</v>
      </c>
      <c r="Q241" s="38">
        <f t="shared" si="16"/>
        <v>1.0581395510486182</v>
      </c>
      <c r="R241" s="17">
        <f t="shared" si="17"/>
        <v>0.34710097363969716</v>
      </c>
      <c r="S241" s="17">
        <f t="shared" si="18"/>
        <v>0.29053388742660258</v>
      </c>
      <c r="T241" s="38" t="str">
        <f t="shared" si="19"/>
        <v/>
      </c>
      <c r="U241" s="31" t="s">
        <v>1876</v>
      </c>
      <c r="V241" s="31"/>
    </row>
    <row r="242" spans="1:22" ht="30">
      <c r="A242" s="7">
        <v>13</v>
      </c>
      <c r="B242" s="7">
        <v>121</v>
      </c>
      <c r="C242" s="7">
        <v>46358.833333333336</v>
      </c>
      <c r="D242" s="7" t="s">
        <v>47</v>
      </c>
      <c r="E242" s="7" t="s">
        <v>40</v>
      </c>
      <c r="F242" s="7" t="s">
        <v>1742</v>
      </c>
      <c r="G242" s="7">
        <v>4</v>
      </c>
      <c r="H242" s="37">
        <f>Priors!$H$27*VLOOKUP(D242,Team_26_27!$A$2:$U$21,20,FALSE)*VLOOKUP(E242,Team_26_27!$A$2:$U$21,21,FALSE)*IF(F242="H",Priors!$H$28,Priors!$H$29)</f>
        <v>1.1635111922739636</v>
      </c>
      <c r="I242" s="37">
        <f>Priors!$H$27*VLOOKUP(E242,Team_26_27!$A$2:$U$21,20,FALSE)*VLOOKUP(D242,Team_26_27!$A$2:$U$21,21,FALSE)*IF(F242="H",Priors!$H$29,Priors!$H$28)</f>
        <v>1.502048546772891</v>
      </c>
      <c r="J242" s="15"/>
      <c r="K242" s="15"/>
      <c r="L242" s="47" t="b">
        <v>0</v>
      </c>
      <c r="M242" s="45">
        <v>0</v>
      </c>
      <c r="N242" s="45"/>
      <c r="O242" s="45"/>
      <c r="P242" s="38">
        <f t="shared" si="15"/>
        <v>1.1635111922739636</v>
      </c>
      <c r="Q242" s="38">
        <f t="shared" si="16"/>
        <v>1.502048546772891</v>
      </c>
      <c r="R242" s="17">
        <f t="shared" si="17"/>
        <v>0.22267353544713936</v>
      </c>
      <c r="S242" s="17">
        <f t="shared" si="18"/>
        <v>0.31238740076927463</v>
      </c>
      <c r="T242" s="38" t="str">
        <f t="shared" si="19"/>
        <v/>
      </c>
      <c r="U242" s="31" t="s">
        <v>1876</v>
      </c>
      <c r="V242" s="31"/>
    </row>
    <row r="243" spans="1:22" ht="30">
      <c r="A243" s="7">
        <v>13</v>
      </c>
      <c r="B243" s="7">
        <v>121</v>
      </c>
      <c r="C243" s="7">
        <v>46358.833333333336</v>
      </c>
      <c r="D243" s="7" t="s">
        <v>40</v>
      </c>
      <c r="E243" s="7" t="s">
        <v>47</v>
      </c>
      <c r="F243" s="7" t="s">
        <v>1743</v>
      </c>
      <c r="G243" s="7">
        <v>3</v>
      </c>
      <c r="H243" s="37">
        <f>Priors!$H$27*VLOOKUP(D243,Team_26_27!$A$2:$U$21,20,FALSE)*VLOOKUP(E243,Team_26_27!$A$2:$U$21,21,FALSE)*IF(F243="H",Priors!$H$28,Priors!$H$29)</f>
        <v>1.502048546772891</v>
      </c>
      <c r="I243" s="37">
        <f>Priors!$H$27*VLOOKUP(E243,Team_26_27!$A$2:$U$21,20,FALSE)*VLOOKUP(D243,Team_26_27!$A$2:$U$21,21,FALSE)*IF(F243="H",Priors!$H$29,Priors!$H$28)</f>
        <v>1.1635111922739636</v>
      </c>
      <c r="J243" s="15"/>
      <c r="K243" s="15"/>
      <c r="L243" s="47" t="b">
        <v>0</v>
      </c>
      <c r="M243" s="45">
        <v>0</v>
      </c>
      <c r="N243" s="45"/>
      <c r="O243" s="45"/>
      <c r="P243" s="38">
        <f t="shared" si="15"/>
        <v>1.502048546772891</v>
      </c>
      <c r="Q243" s="38">
        <f t="shared" si="16"/>
        <v>1.1635111922739636</v>
      </c>
      <c r="R243" s="17">
        <f t="shared" si="17"/>
        <v>0.31238740076927463</v>
      </c>
      <c r="S243" s="17">
        <f t="shared" si="18"/>
        <v>0.22267353544713936</v>
      </c>
      <c r="T243" s="38" t="str">
        <f t="shared" si="19"/>
        <v/>
      </c>
      <c r="U243" s="31" t="s">
        <v>1876</v>
      </c>
      <c r="V243" s="31"/>
    </row>
    <row r="244" spans="1:22" ht="30">
      <c r="A244" s="7">
        <v>13</v>
      </c>
      <c r="B244" s="7">
        <v>122</v>
      </c>
      <c r="C244" s="7">
        <v>46358.833333333336</v>
      </c>
      <c r="D244" s="7" t="s">
        <v>43</v>
      </c>
      <c r="E244" s="7" t="s">
        <v>41</v>
      </c>
      <c r="F244" s="7" t="s">
        <v>1742</v>
      </c>
      <c r="G244" s="7">
        <v>3</v>
      </c>
      <c r="H244" s="37">
        <f>Priors!$H$27*VLOOKUP(D244,Team_26_27!$A$2:$U$21,20,FALSE)*VLOOKUP(E244,Team_26_27!$A$2:$U$21,21,FALSE)*IF(F244="H",Priors!$H$28,Priors!$H$29)</f>
        <v>1.3883092630315552</v>
      </c>
      <c r="I244" s="37">
        <f>Priors!$H$27*VLOOKUP(E244,Team_26_27!$A$2:$U$21,20,FALSE)*VLOOKUP(D244,Team_26_27!$A$2:$U$21,21,FALSE)*IF(F244="H",Priors!$H$29,Priors!$H$28)</f>
        <v>1.588586835057497</v>
      </c>
      <c r="J244" s="15"/>
      <c r="K244" s="15"/>
      <c r="L244" s="47" t="b">
        <v>0</v>
      </c>
      <c r="M244" s="45">
        <v>0</v>
      </c>
      <c r="N244" s="45"/>
      <c r="O244" s="45"/>
      <c r="P244" s="38">
        <f t="shared" si="15"/>
        <v>1.3883092630315552</v>
      </c>
      <c r="Q244" s="38">
        <f t="shared" si="16"/>
        <v>1.588586835057497</v>
      </c>
      <c r="R244" s="17">
        <f t="shared" si="17"/>
        <v>0.20421399597885417</v>
      </c>
      <c r="S244" s="17">
        <f t="shared" si="18"/>
        <v>0.24949678166012973</v>
      </c>
      <c r="T244" s="38" t="str">
        <f t="shared" si="19"/>
        <v/>
      </c>
      <c r="U244" s="31" t="s">
        <v>1876</v>
      </c>
      <c r="V244" s="31"/>
    </row>
    <row r="245" spans="1:22" ht="30">
      <c r="A245" s="7">
        <v>13</v>
      </c>
      <c r="B245" s="7">
        <v>122</v>
      </c>
      <c r="C245" s="7">
        <v>46358.833333333336</v>
      </c>
      <c r="D245" s="7" t="s">
        <v>41</v>
      </c>
      <c r="E245" s="7" t="s">
        <v>43</v>
      </c>
      <c r="F245" s="7" t="s">
        <v>1743</v>
      </c>
      <c r="G245" s="7">
        <v>2</v>
      </c>
      <c r="H245" s="37">
        <f>Priors!$H$27*VLOOKUP(D245,Team_26_27!$A$2:$U$21,20,FALSE)*VLOOKUP(E245,Team_26_27!$A$2:$U$21,21,FALSE)*IF(F245="H",Priors!$H$28,Priors!$H$29)</f>
        <v>1.588586835057497</v>
      </c>
      <c r="I245" s="37">
        <f>Priors!$H$27*VLOOKUP(E245,Team_26_27!$A$2:$U$21,20,FALSE)*VLOOKUP(D245,Team_26_27!$A$2:$U$21,21,FALSE)*IF(F245="H",Priors!$H$29,Priors!$H$28)</f>
        <v>1.3883092630315552</v>
      </c>
      <c r="J245" s="15"/>
      <c r="K245" s="15"/>
      <c r="L245" s="47" t="b">
        <v>0</v>
      </c>
      <c r="M245" s="45">
        <v>0</v>
      </c>
      <c r="N245" s="45"/>
      <c r="O245" s="45"/>
      <c r="P245" s="38">
        <f t="shared" si="15"/>
        <v>1.588586835057497</v>
      </c>
      <c r="Q245" s="38">
        <f t="shared" si="16"/>
        <v>1.3883092630315552</v>
      </c>
      <c r="R245" s="17">
        <f t="shared" si="17"/>
        <v>0.24949678166012973</v>
      </c>
      <c r="S245" s="17">
        <f t="shared" si="18"/>
        <v>0.20421399597885417</v>
      </c>
      <c r="T245" s="38" t="str">
        <f t="shared" si="19"/>
        <v/>
      </c>
      <c r="U245" s="31" t="s">
        <v>1876</v>
      </c>
      <c r="V245" s="31"/>
    </row>
    <row r="246" spans="1:22" ht="30">
      <c r="A246" s="7">
        <v>13</v>
      </c>
      <c r="B246" s="7">
        <v>123</v>
      </c>
      <c r="C246" s="7">
        <v>46358.833333333336</v>
      </c>
      <c r="D246" s="7" t="s">
        <v>39</v>
      </c>
      <c r="E246" s="7" t="s">
        <v>42</v>
      </c>
      <c r="F246" s="7" t="s">
        <v>1742</v>
      </c>
      <c r="G246" s="7">
        <v>3</v>
      </c>
      <c r="H246" s="37">
        <f>Priors!$H$27*VLOOKUP(D246,Team_26_27!$A$2:$U$21,20,FALSE)*VLOOKUP(E246,Team_26_27!$A$2:$U$21,21,FALSE)*IF(F246="H",Priors!$H$28,Priors!$H$29)</f>
        <v>1.4897481540302322</v>
      </c>
      <c r="I246" s="37">
        <f>Priors!$H$27*VLOOKUP(E246,Team_26_27!$A$2:$U$21,20,FALSE)*VLOOKUP(D246,Team_26_27!$A$2:$U$21,21,FALSE)*IF(F246="H",Priors!$H$29,Priors!$H$28)</f>
        <v>1.1326573967359799</v>
      </c>
      <c r="J246" s="15"/>
      <c r="K246" s="15"/>
      <c r="L246" s="47" t="b">
        <v>0</v>
      </c>
      <c r="M246" s="45">
        <v>0</v>
      </c>
      <c r="N246" s="45"/>
      <c r="O246" s="45"/>
      <c r="P246" s="38">
        <f t="shared" si="15"/>
        <v>1.4897481540302322</v>
      </c>
      <c r="Q246" s="38">
        <f t="shared" si="16"/>
        <v>1.1326573967359799</v>
      </c>
      <c r="R246" s="17">
        <f t="shared" si="17"/>
        <v>0.32217596848260638</v>
      </c>
      <c r="S246" s="17">
        <f t="shared" si="18"/>
        <v>0.22542942188231949</v>
      </c>
      <c r="T246" s="38" t="str">
        <f t="shared" si="19"/>
        <v/>
      </c>
      <c r="U246" s="31" t="s">
        <v>1876</v>
      </c>
      <c r="V246" s="31"/>
    </row>
    <row r="247" spans="1:22" ht="30">
      <c r="A247" s="7">
        <v>13</v>
      </c>
      <c r="B247" s="7">
        <v>123</v>
      </c>
      <c r="C247" s="7">
        <v>46358.833333333336</v>
      </c>
      <c r="D247" s="7" t="s">
        <v>42</v>
      </c>
      <c r="E247" s="7" t="s">
        <v>39</v>
      </c>
      <c r="F247" s="7" t="s">
        <v>1743</v>
      </c>
      <c r="G247" s="7">
        <v>4</v>
      </c>
      <c r="H247" s="37">
        <f>Priors!$H$27*VLOOKUP(D247,Team_26_27!$A$2:$U$21,20,FALSE)*VLOOKUP(E247,Team_26_27!$A$2:$U$21,21,FALSE)*IF(F247="H",Priors!$H$28,Priors!$H$29)</f>
        <v>1.1326573967359799</v>
      </c>
      <c r="I247" s="37">
        <f>Priors!$H$27*VLOOKUP(E247,Team_26_27!$A$2:$U$21,20,FALSE)*VLOOKUP(D247,Team_26_27!$A$2:$U$21,21,FALSE)*IF(F247="H",Priors!$H$29,Priors!$H$28)</f>
        <v>1.4897481540302322</v>
      </c>
      <c r="J247" s="15"/>
      <c r="K247" s="15"/>
      <c r="L247" s="47" t="b">
        <v>0</v>
      </c>
      <c r="M247" s="45">
        <v>0</v>
      </c>
      <c r="N247" s="45"/>
      <c r="O247" s="45"/>
      <c r="P247" s="38">
        <f t="shared" si="15"/>
        <v>1.1326573967359799</v>
      </c>
      <c r="Q247" s="38">
        <f t="shared" si="16"/>
        <v>1.4897481540302322</v>
      </c>
      <c r="R247" s="17">
        <f t="shared" si="17"/>
        <v>0.22542942188231949</v>
      </c>
      <c r="S247" s="17">
        <f t="shared" si="18"/>
        <v>0.32217596848260638</v>
      </c>
      <c r="T247" s="38" t="str">
        <f t="shared" si="19"/>
        <v/>
      </c>
      <c r="U247" s="31" t="s">
        <v>1876</v>
      </c>
      <c r="V247" s="31"/>
    </row>
    <row r="248" spans="1:22" ht="30">
      <c r="A248" s="7">
        <v>13</v>
      </c>
      <c r="B248" s="7">
        <v>124</v>
      </c>
      <c r="C248" s="7">
        <v>46358.833333333336</v>
      </c>
      <c r="D248" s="7" t="s">
        <v>46</v>
      </c>
      <c r="E248" s="7" t="s">
        <v>44</v>
      </c>
      <c r="F248" s="7" t="s">
        <v>1742</v>
      </c>
      <c r="G248" s="7">
        <v>4</v>
      </c>
      <c r="H248" s="37">
        <f>Priors!$H$27*VLOOKUP(D248,Team_26_27!$A$2:$U$21,20,FALSE)*VLOOKUP(E248,Team_26_27!$A$2:$U$21,21,FALSE)*IF(F248="H",Priors!$H$28,Priors!$H$29)</f>
        <v>1.3129973658013643</v>
      </c>
      <c r="I248" s="37">
        <f>Priors!$H$27*VLOOKUP(E248,Team_26_27!$A$2:$U$21,20,FALSE)*VLOOKUP(D248,Team_26_27!$A$2:$U$21,21,FALSE)*IF(F248="H",Priors!$H$29,Priors!$H$28)</f>
        <v>1.7285532787162412</v>
      </c>
      <c r="J248" s="15"/>
      <c r="K248" s="15"/>
      <c r="L248" s="47" t="b">
        <v>0</v>
      </c>
      <c r="M248" s="45">
        <v>0</v>
      </c>
      <c r="N248" s="45"/>
      <c r="O248" s="45"/>
      <c r="P248" s="38">
        <f t="shared" si="15"/>
        <v>1.3129973658013643</v>
      </c>
      <c r="Q248" s="38">
        <f t="shared" si="16"/>
        <v>1.7285532787162412</v>
      </c>
      <c r="R248" s="17">
        <f t="shared" si="17"/>
        <v>0.17754107671691571</v>
      </c>
      <c r="S248" s="17">
        <f t="shared" si="18"/>
        <v>0.26901251782398045</v>
      </c>
      <c r="T248" s="38" t="str">
        <f t="shared" si="19"/>
        <v/>
      </c>
      <c r="U248" s="31" t="s">
        <v>1876</v>
      </c>
      <c r="V248" s="31"/>
    </row>
    <row r="249" spans="1:22" ht="30">
      <c r="A249" s="7">
        <v>13</v>
      </c>
      <c r="B249" s="7">
        <v>124</v>
      </c>
      <c r="C249" s="7">
        <v>46358.833333333336</v>
      </c>
      <c r="D249" s="7" t="s">
        <v>44</v>
      </c>
      <c r="E249" s="7" t="s">
        <v>46</v>
      </c>
      <c r="F249" s="7" t="s">
        <v>1743</v>
      </c>
      <c r="G249" s="7">
        <v>3</v>
      </c>
      <c r="H249" s="37">
        <f>Priors!$H$27*VLOOKUP(D249,Team_26_27!$A$2:$U$21,20,FALSE)*VLOOKUP(E249,Team_26_27!$A$2:$U$21,21,FALSE)*IF(F249="H",Priors!$H$28,Priors!$H$29)</f>
        <v>1.7285532787162412</v>
      </c>
      <c r="I249" s="37">
        <f>Priors!$H$27*VLOOKUP(E249,Team_26_27!$A$2:$U$21,20,FALSE)*VLOOKUP(D249,Team_26_27!$A$2:$U$21,21,FALSE)*IF(F249="H",Priors!$H$29,Priors!$H$28)</f>
        <v>1.3129973658013643</v>
      </c>
      <c r="J249" s="15"/>
      <c r="K249" s="15"/>
      <c r="L249" s="47" t="b">
        <v>0</v>
      </c>
      <c r="M249" s="45">
        <v>0</v>
      </c>
      <c r="N249" s="45"/>
      <c r="O249" s="45"/>
      <c r="P249" s="38">
        <f t="shared" si="15"/>
        <v>1.7285532787162412</v>
      </c>
      <c r="Q249" s="38">
        <f t="shared" si="16"/>
        <v>1.3129973658013643</v>
      </c>
      <c r="R249" s="17">
        <f t="shared" si="17"/>
        <v>0.26901251782398045</v>
      </c>
      <c r="S249" s="17">
        <f t="shared" si="18"/>
        <v>0.17754107671691571</v>
      </c>
      <c r="T249" s="38" t="str">
        <f t="shared" si="19"/>
        <v/>
      </c>
      <c r="U249" s="31" t="s">
        <v>1876</v>
      </c>
      <c r="V249" s="31"/>
    </row>
    <row r="250" spans="1:22" ht="30">
      <c r="A250" s="7">
        <v>13</v>
      </c>
      <c r="B250" s="7">
        <v>125</v>
      </c>
      <c r="C250" s="7">
        <v>46358.833333333336</v>
      </c>
      <c r="D250" s="7" t="s">
        <v>50</v>
      </c>
      <c r="E250" s="7" t="s">
        <v>45</v>
      </c>
      <c r="F250" s="7" t="s">
        <v>1742</v>
      </c>
      <c r="G250" s="7">
        <v>2</v>
      </c>
      <c r="H250" s="37">
        <f>Priors!$H$27*VLOOKUP(D250,Team_26_27!$A$2:$U$21,20,FALSE)*VLOOKUP(E250,Team_26_27!$A$2:$U$21,21,FALSE)*IF(F250="H",Priors!$H$28,Priors!$H$29)</f>
        <v>1.2051451303365346</v>
      </c>
      <c r="I250" s="37">
        <f>Priors!$H$27*VLOOKUP(E250,Team_26_27!$A$2:$U$21,20,FALSE)*VLOOKUP(D250,Team_26_27!$A$2:$U$21,21,FALSE)*IF(F250="H",Priors!$H$29,Priors!$H$28)</f>
        <v>1.4972945696681048</v>
      </c>
      <c r="J250" s="15"/>
      <c r="K250" s="15"/>
      <c r="L250" s="47" t="b">
        <v>0</v>
      </c>
      <c r="M250" s="45">
        <v>0</v>
      </c>
      <c r="N250" s="45"/>
      <c r="O250" s="45"/>
      <c r="P250" s="38">
        <f t="shared" si="15"/>
        <v>1.2051451303365346</v>
      </c>
      <c r="Q250" s="38">
        <f t="shared" si="16"/>
        <v>1.4972945696681048</v>
      </c>
      <c r="R250" s="17">
        <f t="shared" si="17"/>
        <v>0.22373464057279313</v>
      </c>
      <c r="S250" s="17">
        <f t="shared" si="18"/>
        <v>0.29964850826852607</v>
      </c>
      <c r="T250" s="38" t="str">
        <f t="shared" si="19"/>
        <v/>
      </c>
      <c r="U250" s="31" t="s">
        <v>1876</v>
      </c>
      <c r="V250" s="31"/>
    </row>
    <row r="251" spans="1:22" ht="30">
      <c r="A251" s="7">
        <v>13</v>
      </c>
      <c r="B251" s="7">
        <v>125</v>
      </c>
      <c r="C251" s="7">
        <v>46358.833333333336</v>
      </c>
      <c r="D251" s="7" t="s">
        <v>45</v>
      </c>
      <c r="E251" s="7" t="s">
        <v>50</v>
      </c>
      <c r="F251" s="7" t="s">
        <v>1743</v>
      </c>
      <c r="G251" s="7">
        <v>2</v>
      </c>
      <c r="H251" s="37">
        <f>Priors!$H$27*VLOOKUP(D251,Team_26_27!$A$2:$U$21,20,FALSE)*VLOOKUP(E251,Team_26_27!$A$2:$U$21,21,FALSE)*IF(F251="H",Priors!$H$28,Priors!$H$29)</f>
        <v>1.4972945696681048</v>
      </c>
      <c r="I251" s="37">
        <f>Priors!$H$27*VLOOKUP(E251,Team_26_27!$A$2:$U$21,20,FALSE)*VLOOKUP(D251,Team_26_27!$A$2:$U$21,21,FALSE)*IF(F251="H",Priors!$H$29,Priors!$H$28)</f>
        <v>1.2051451303365346</v>
      </c>
      <c r="J251" s="15"/>
      <c r="K251" s="15"/>
      <c r="L251" s="47" t="b">
        <v>0</v>
      </c>
      <c r="M251" s="45">
        <v>0</v>
      </c>
      <c r="N251" s="45"/>
      <c r="O251" s="45"/>
      <c r="P251" s="38">
        <f t="shared" si="15"/>
        <v>1.4972945696681048</v>
      </c>
      <c r="Q251" s="38">
        <f t="shared" si="16"/>
        <v>1.2051451303365346</v>
      </c>
      <c r="R251" s="17">
        <f t="shared" si="17"/>
        <v>0.29964850826852607</v>
      </c>
      <c r="S251" s="17">
        <f t="shared" si="18"/>
        <v>0.22373464057279313</v>
      </c>
      <c r="T251" s="38" t="str">
        <f t="shared" si="19"/>
        <v/>
      </c>
      <c r="U251" s="31" t="s">
        <v>1876</v>
      </c>
      <c r="V251" s="31"/>
    </row>
    <row r="252" spans="1:22" ht="30">
      <c r="A252" s="7">
        <v>13</v>
      </c>
      <c r="B252" s="7">
        <v>126</v>
      </c>
      <c r="C252" s="7">
        <v>46358.833333333336</v>
      </c>
      <c r="D252" s="7" t="s">
        <v>56</v>
      </c>
      <c r="E252" s="7" t="s">
        <v>49</v>
      </c>
      <c r="F252" s="7" t="s">
        <v>1742</v>
      </c>
      <c r="G252" s="7">
        <v>2</v>
      </c>
      <c r="H252" s="37">
        <f>Priors!$H$27*VLOOKUP(D252,Team_26_27!$A$2:$U$21,20,FALSE)*VLOOKUP(E252,Team_26_27!$A$2:$U$21,21,FALSE)*IF(F252="H",Priors!$H$28,Priors!$H$29)</f>
        <v>1.591685775675143</v>
      </c>
      <c r="I252" s="37">
        <f>Priors!$H$27*VLOOKUP(E252,Team_26_27!$A$2:$U$21,20,FALSE)*VLOOKUP(D252,Team_26_27!$A$2:$U$21,21,FALSE)*IF(F252="H",Priors!$H$29,Priors!$H$28)</f>
        <v>1.1195152643056008</v>
      </c>
      <c r="J252" s="15"/>
      <c r="K252" s="15"/>
      <c r="L252" s="47" t="b">
        <v>0</v>
      </c>
      <c r="M252" s="45">
        <v>0</v>
      </c>
      <c r="N252" s="45"/>
      <c r="O252" s="45"/>
      <c r="P252" s="38">
        <f t="shared" si="15"/>
        <v>1.591685775675143</v>
      </c>
      <c r="Q252" s="38">
        <f t="shared" si="16"/>
        <v>1.1195152643056008</v>
      </c>
      <c r="R252" s="17">
        <f t="shared" si="17"/>
        <v>0.32643799242481752</v>
      </c>
      <c r="S252" s="17">
        <f t="shared" si="18"/>
        <v>0.20358212849759949</v>
      </c>
      <c r="T252" s="38" t="str">
        <f t="shared" si="19"/>
        <v/>
      </c>
      <c r="U252" s="31" t="s">
        <v>1876</v>
      </c>
      <c r="V252" s="31"/>
    </row>
    <row r="253" spans="1:22" ht="30">
      <c r="A253" s="7">
        <v>13</v>
      </c>
      <c r="B253" s="7">
        <v>126</v>
      </c>
      <c r="C253" s="7">
        <v>46358.833333333336</v>
      </c>
      <c r="D253" s="7" t="s">
        <v>49</v>
      </c>
      <c r="E253" s="7" t="s">
        <v>56</v>
      </c>
      <c r="F253" s="7" t="s">
        <v>1743</v>
      </c>
      <c r="G253" s="7">
        <v>3</v>
      </c>
      <c r="H253" s="37">
        <f>Priors!$H$27*VLOOKUP(D253,Team_26_27!$A$2:$U$21,20,FALSE)*VLOOKUP(E253,Team_26_27!$A$2:$U$21,21,FALSE)*IF(F253="H",Priors!$H$28,Priors!$H$29)</f>
        <v>1.1195152643056008</v>
      </c>
      <c r="I253" s="37">
        <f>Priors!$H$27*VLOOKUP(E253,Team_26_27!$A$2:$U$21,20,FALSE)*VLOOKUP(D253,Team_26_27!$A$2:$U$21,21,FALSE)*IF(F253="H",Priors!$H$29,Priors!$H$28)</f>
        <v>1.591685775675143</v>
      </c>
      <c r="J253" s="15"/>
      <c r="K253" s="15"/>
      <c r="L253" s="47" t="b">
        <v>0</v>
      </c>
      <c r="M253" s="45">
        <v>0</v>
      </c>
      <c r="N253" s="45"/>
      <c r="O253" s="45"/>
      <c r="P253" s="38">
        <f t="shared" si="15"/>
        <v>1.1195152643056008</v>
      </c>
      <c r="Q253" s="38">
        <f t="shared" si="16"/>
        <v>1.591685775675143</v>
      </c>
      <c r="R253" s="17">
        <f t="shared" si="17"/>
        <v>0.20358212849759949</v>
      </c>
      <c r="S253" s="17">
        <f t="shared" si="18"/>
        <v>0.32643799242481752</v>
      </c>
      <c r="T253" s="38" t="str">
        <f t="shared" si="19"/>
        <v/>
      </c>
      <c r="U253" s="31" t="s">
        <v>1876</v>
      </c>
      <c r="V253" s="31"/>
    </row>
    <row r="254" spans="1:22" ht="30">
      <c r="A254" s="7">
        <v>13</v>
      </c>
      <c r="B254" s="7">
        <v>127</v>
      </c>
      <c r="C254" s="7">
        <v>46358.833333333336</v>
      </c>
      <c r="D254" s="7" t="s">
        <v>58</v>
      </c>
      <c r="E254" s="7" t="s">
        <v>52</v>
      </c>
      <c r="F254" s="7" t="s">
        <v>1742</v>
      </c>
      <c r="G254" s="7">
        <v>4</v>
      </c>
      <c r="H254" s="37">
        <f>Priors!$H$27*VLOOKUP(D254,Team_26_27!$A$2:$U$21,20,FALSE)*VLOOKUP(E254,Team_26_27!$A$2:$U$21,21,FALSE)*IF(F254="H",Priors!$H$28,Priors!$H$29)</f>
        <v>0.96178479700203645</v>
      </c>
      <c r="I254" s="37">
        <f>Priors!$H$27*VLOOKUP(E254,Team_26_27!$A$2:$U$21,20,FALSE)*VLOOKUP(D254,Team_26_27!$A$2:$U$21,21,FALSE)*IF(F254="H",Priors!$H$29,Priors!$H$28)</f>
        <v>1.6960320710647701</v>
      </c>
      <c r="J254" s="15"/>
      <c r="K254" s="15"/>
      <c r="L254" s="47" t="b">
        <v>0</v>
      </c>
      <c r="M254" s="45">
        <v>0</v>
      </c>
      <c r="N254" s="45"/>
      <c r="O254" s="45"/>
      <c r="P254" s="38">
        <f t="shared" si="15"/>
        <v>0.96178479700203645</v>
      </c>
      <c r="Q254" s="38">
        <f t="shared" si="16"/>
        <v>1.6960320710647701</v>
      </c>
      <c r="R254" s="17">
        <f t="shared" si="17"/>
        <v>0.1834098393245516</v>
      </c>
      <c r="S254" s="17">
        <f t="shared" si="18"/>
        <v>0.38221010939017225</v>
      </c>
      <c r="T254" s="38" t="str">
        <f t="shared" si="19"/>
        <v/>
      </c>
      <c r="U254" s="31" t="s">
        <v>1876</v>
      </c>
      <c r="V254" s="31"/>
    </row>
    <row r="255" spans="1:22" ht="30">
      <c r="A255" s="7">
        <v>13</v>
      </c>
      <c r="B255" s="7">
        <v>127</v>
      </c>
      <c r="C255" s="7">
        <v>46358.833333333336</v>
      </c>
      <c r="D255" s="7" t="s">
        <v>52</v>
      </c>
      <c r="E255" s="7" t="s">
        <v>58</v>
      </c>
      <c r="F255" s="7" t="s">
        <v>1743</v>
      </c>
      <c r="G255" s="7">
        <v>2</v>
      </c>
      <c r="H255" s="37">
        <f>Priors!$H$27*VLOOKUP(D255,Team_26_27!$A$2:$U$21,20,FALSE)*VLOOKUP(E255,Team_26_27!$A$2:$U$21,21,FALSE)*IF(F255="H",Priors!$H$28,Priors!$H$29)</f>
        <v>1.6960320710647701</v>
      </c>
      <c r="I255" s="37">
        <f>Priors!$H$27*VLOOKUP(E255,Team_26_27!$A$2:$U$21,20,FALSE)*VLOOKUP(D255,Team_26_27!$A$2:$U$21,21,FALSE)*IF(F255="H",Priors!$H$29,Priors!$H$28)</f>
        <v>0.96178479700203645</v>
      </c>
      <c r="J255" s="15"/>
      <c r="K255" s="15"/>
      <c r="L255" s="47" t="b">
        <v>0</v>
      </c>
      <c r="M255" s="45">
        <v>0</v>
      </c>
      <c r="N255" s="45"/>
      <c r="O255" s="45"/>
      <c r="P255" s="38">
        <f t="shared" si="15"/>
        <v>1.6960320710647701</v>
      </c>
      <c r="Q255" s="38">
        <f t="shared" si="16"/>
        <v>0.96178479700203645</v>
      </c>
      <c r="R255" s="17">
        <f t="shared" si="17"/>
        <v>0.38221010939017225</v>
      </c>
      <c r="S255" s="17">
        <f t="shared" si="18"/>
        <v>0.1834098393245516</v>
      </c>
      <c r="T255" s="38" t="str">
        <f t="shared" si="19"/>
        <v/>
      </c>
      <c r="U255" s="31" t="s">
        <v>1876</v>
      </c>
      <c r="V255" s="31"/>
    </row>
    <row r="256" spans="1:22" ht="30">
      <c r="A256" s="7">
        <v>13</v>
      </c>
      <c r="B256" s="7">
        <v>128</v>
      </c>
      <c r="C256" s="7">
        <v>46358.833333333336</v>
      </c>
      <c r="D256" s="7" t="s">
        <v>51</v>
      </c>
      <c r="E256" s="7" t="s">
        <v>53</v>
      </c>
      <c r="F256" s="7" t="s">
        <v>1742</v>
      </c>
      <c r="G256" s="7">
        <v>5</v>
      </c>
      <c r="H256" s="37">
        <f>Priors!$H$27*VLOOKUP(D256,Team_26_27!$A$2:$U$21,20,FALSE)*VLOOKUP(E256,Team_26_27!$A$2:$U$21,21,FALSE)*IF(F256="H",Priors!$H$28,Priors!$H$29)</f>
        <v>1.158152591930617</v>
      </c>
      <c r="I256" s="37">
        <f>Priors!$H$27*VLOOKUP(E256,Team_26_27!$A$2:$U$21,20,FALSE)*VLOOKUP(D256,Team_26_27!$A$2:$U$21,21,FALSE)*IF(F256="H",Priors!$H$29,Priors!$H$28)</f>
        <v>1.8941791581944833</v>
      </c>
      <c r="J256" s="15"/>
      <c r="K256" s="15"/>
      <c r="L256" s="47" t="b">
        <v>0</v>
      </c>
      <c r="M256" s="45">
        <v>0</v>
      </c>
      <c r="N256" s="45"/>
      <c r="O256" s="45"/>
      <c r="P256" s="38">
        <f t="shared" si="15"/>
        <v>1.158152591930617</v>
      </c>
      <c r="Q256" s="38">
        <f t="shared" si="16"/>
        <v>1.8941791581944833</v>
      </c>
      <c r="R256" s="17">
        <f t="shared" si="17"/>
        <v>0.15044177327464028</v>
      </c>
      <c r="S256" s="17">
        <f t="shared" si="18"/>
        <v>0.31406585306347573</v>
      </c>
      <c r="T256" s="38" t="str">
        <f t="shared" si="19"/>
        <v/>
      </c>
      <c r="U256" s="31" t="s">
        <v>1876</v>
      </c>
      <c r="V256" s="31"/>
    </row>
    <row r="257" spans="1:22" ht="30">
      <c r="A257" s="7">
        <v>13</v>
      </c>
      <c r="B257" s="7">
        <v>128</v>
      </c>
      <c r="C257" s="7">
        <v>46358.833333333336</v>
      </c>
      <c r="D257" s="7" t="s">
        <v>53</v>
      </c>
      <c r="E257" s="7" t="s">
        <v>51</v>
      </c>
      <c r="F257" s="7" t="s">
        <v>1743</v>
      </c>
      <c r="G257" s="7">
        <v>2</v>
      </c>
      <c r="H257" s="37">
        <f>Priors!$H$27*VLOOKUP(D257,Team_26_27!$A$2:$U$21,20,FALSE)*VLOOKUP(E257,Team_26_27!$A$2:$U$21,21,FALSE)*IF(F257="H",Priors!$H$28,Priors!$H$29)</f>
        <v>1.8941791581944833</v>
      </c>
      <c r="I257" s="37">
        <f>Priors!$H$27*VLOOKUP(E257,Team_26_27!$A$2:$U$21,20,FALSE)*VLOOKUP(D257,Team_26_27!$A$2:$U$21,21,FALSE)*IF(F257="H",Priors!$H$29,Priors!$H$28)</f>
        <v>1.158152591930617</v>
      </c>
      <c r="J257" s="15"/>
      <c r="K257" s="15"/>
      <c r="L257" s="47" t="b">
        <v>0</v>
      </c>
      <c r="M257" s="45">
        <v>0</v>
      </c>
      <c r="N257" s="45"/>
      <c r="O257" s="45"/>
      <c r="P257" s="38">
        <f t="shared" si="15"/>
        <v>1.8941791581944833</v>
      </c>
      <c r="Q257" s="38">
        <f t="shared" si="16"/>
        <v>1.158152591930617</v>
      </c>
      <c r="R257" s="17">
        <f t="shared" si="17"/>
        <v>0.31406585306347573</v>
      </c>
      <c r="S257" s="17">
        <f t="shared" si="18"/>
        <v>0.15044177327464028</v>
      </c>
      <c r="T257" s="38" t="str">
        <f t="shared" si="19"/>
        <v/>
      </c>
      <c r="U257" s="31" t="s">
        <v>1876</v>
      </c>
      <c r="V257" s="31"/>
    </row>
    <row r="258" spans="1:22" ht="30">
      <c r="A258" s="7">
        <v>13</v>
      </c>
      <c r="B258" s="7">
        <v>129</v>
      </c>
      <c r="C258" s="7">
        <v>46358.833333333336</v>
      </c>
      <c r="D258" s="7" t="s">
        <v>54</v>
      </c>
      <c r="E258" s="7" t="s">
        <v>55</v>
      </c>
      <c r="F258" s="7" t="s">
        <v>1742</v>
      </c>
      <c r="G258" s="7">
        <v>3</v>
      </c>
      <c r="H258" s="37">
        <f>Priors!$H$27*VLOOKUP(D258,Team_26_27!$A$2:$U$21,20,FALSE)*VLOOKUP(E258,Team_26_27!$A$2:$U$21,21,FALSE)*IF(F258="H",Priors!$H$28,Priors!$H$29)</f>
        <v>1.4325270085390684</v>
      </c>
      <c r="I258" s="37">
        <f>Priors!$H$27*VLOOKUP(E258,Team_26_27!$A$2:$U$21,20,FALSE)*VLOOKUP(D258,Team_26_27!$A$2:$U$21,21,FALSE)*IF(F258="H",Priors!$H$29,Priors!$H$28)</f>
        <v>1.5056602653502578</v>
      </c>
      <c r="J258" s="15"/>
      <c r="K258" s="15"/>
      <c r="L258" s="47" t="b">
        <v>0</v>
      </c>
      <c r="M258" s="45">
        <v>0</v>
      </c>
      <c r="N258" s="45"/>
      <c r="O258" s="45"/>
      <c r="P258" s="38">
        <f t="shared" ref="P258:P321" si="20">IF(N258&lt;&gt;"",N258,IF(L258=TRUE,M258*J258+(1-M258)*H258,H258))</f>
        <v>1.4325270085390684</v>
      </c>
      <c r="Q258" s="38">
        <f t="shared" ref="Q258:Q321" si="21">IF(O258&lt;&gt;"",O258,IF(L258=TRUE,M258*K258+(1-M258)*I258,I258))</f>
        <v>1.5056602653502578</v>
      </c>
      <c r="R258" s="17">
        <f t="shared" ref="R258:R321" si="22">EXP(-Q258)</f>
        <v>0.22187075188928149</v>
      </c>
      <c r="S258" s="17">
        <f t="shared" ref="S258:S321" si="23">EXP(-P258)</f>
        <v>0.23870494999668454</v>
      </c>
      <c r="T258" s="38" t="str">
        <f t="shared" ref="T258:T321" si="24">IF(L258=TRUE,J258-H258,"")</f>
        <v/>
      </c>
      <c r="U258" s="31" t="s">
        <v>1876</v>
      </c>
      <c r="V258" s="31"/>
    </row>
    <row r="259" spans="1:22" ht="30">
      <c r="A259" s="7">
        <v>13</v>
      </c>
      <c r="B259" s="7">
        <v>129</v>
      </c>
      <c r="C259" s="7">
        <v>46358.833333333336</v>
      </c>
      <c r="D259" s="7" t="s">
        <v>55</v>
      </c>
      <c r="E259" s="7" t="s">
        <v>54</v>
      </c>
      <c r="F259" s="7" t="s">
        <v>1743</v>
      </c>
      <c r="G259" s="7">
        <v>4</v>
      </c>
      <c r="H259" s="37">
        <f>Priors!$H$27*VLOOKUP(D259,Team_26_27!$A$2:$U$21,20,FALSE)*VLOOKUP(E259,Team_26_27!$A$2:$U$21,21,FALSE)*IF(F259="H",Priors!$H$28,Priors!$H$29)</f>
        <v>1.5056602653502578</v>
      </c>
      <c r="I259" s="37">
        <f>Priors!$H$27*VLOOKUP(E259,Team_26_27!$A$2:$U$21,20,FALSE)*VLOOKUP(D259,Team_26_27!$A$2:$U$21,21,FALSE)*IF(F259="H",Priors!$H$29,Priors!$H$28)</f>
        <v>1.4325270085390684</v>
      </c>
      <c r="J259" s="15"/>
      <c r="K259" s="15"/>
      <c r="L259" s="47" t="b">
        <v>0</v>
      </c>
      <c r="M259" s="45">
        <v>0</v>
      </c>
      <c r="N259" s="45"/>
      <c r="O259" s="45"/>
      <c r="P259" s="38">
        <f t="shared" si="20"/>
        <v>1.5056602653502578</v>
      </c>
      <c r="Q259" s="38">
        <f t="shared" si="21"/>
        <v>1.4325270085390684</v>
      </c>
      <c r="R259" s="17">
        <f t="shared" si="22"/>
        <v>0.23870494999668454</v>
      </c>
      <c r="S259" s="17">
        <f t="shared" si="23"/>
        <v>0.22187075188928149</v>
      </c>
      <c r="T259" s="38" t="str">
        <f t="shared" si="24"/>
        <v/>
      </c>
      <c r="U259" s="31" t="s">
        <v>1876</v>
      </c>
      <c r="V259" s="31"/>
    </row>
    <row r="260" spans="1:22" ht="30">
      <c r="A260" s="7">
        <v>13</v>
      </c>
      <c r="B260" s="7">
        <v>130</v>
      </c>
      <c r="C260" s="7">
        <v>46358.833333333336</v>
      </c>
      <c r="D260" s="7" t="s">
        <v>48</v>
      </c>
      <c r="E260" s="7" t="s">
        <v>57</v>
      </c>
      <c r="F260" s="7" t="s">
        <v>1742</v>
      </c>
      <c r="G260" s="7">
        <v>3</v>
      </c>
      <c r="H260" s="37">
        <f>Priors!$H$27*VLOOKUP(D260,Team_26_27!$A$2:$U$21,20,FALSE)*VLOOKUP(E260,Team_26_27!$A$2:$U$21,21,FALSE)*IF(F260="H",Priors!$H$28,Priors!$H$29)</f>
        <v>1.18366289678057</v>
      </c>
      <c r="I260" s="37">
        <f>Priors!$H$27*VLOOKUP(E260,Team_26_27!$A$2:$U$21,20,FALSE)*VLOOKUP(D260,Team_26_27!$A$2:$U$21,21,FALSE)*IF(F260="H",Priors!$H$29,Priors!$H$28)</f>
        <v>1.2754978383670978</v>
      </c>
      <c r="J260" s="15"/>
      <c r="K260" s="15"/>
      <c r="L260" s="47" t="b">
        <v>0</v>
      </c>
      <c r="M260" s="45">
        <v>0</v>
      </c>
      <c r="N260" s="45"/>
      <c r="O260" s="45"/>
      <c r="P260" s="38">
        <f t="shared" si="20"/>
        <v>1.18366289678057</v>
      </c>
      <c r="Q260" s="38">
        <f t="shared" si="21"/>
        <v>1.2754978383670978</v>
      </c>
      <c r="R260" s="17">
        <f t="shared" si="22"/>
        <v>0.27929189138623611</v>
      </c>
      <c r="S260" s="17">
        <f t="shared" si="23"/>
        <v>0.30615526713489682</v>
      </c>
      <c r="T260" s="38" t="str">
        <f t="shared" si="24"/>
        <v/>
      </c>
      <c r="U260" s="31" t="s">
        <v>1876</v>
      </c>
      <c r="V260" s="31"/>
    </row>
    <row r="261" spans="1:22" ht="30">
      <c r="A261" s="7">
        <v>13</v>
      </c>
      <c r="B261" s="7">
        <v>130</v>
      </c>
      <c r="C261" s="7">
        <v>46358.833333333336</v>
      </c>
      <c r="D261" s="7" t="s">
        <v>57</v>
      </c>
      <c r="E261" s="7" t="s">
        <v>48</v>
      </c>
      <c r="F261" s="7" t="s">
        <v>1743</v>
      </c>
      <c r="G261" s="7">
        <v>2</v>
      </c>
      <c r="H261" s="37">
        <f>Priors!$H$27*VLOOKUP(D261,Team_26_27!$A$2:$U$21,20,FALSE)*VLOOKUP(E261,Team_26_27!$A$2:$U$21,21,FALSE)*IF(F261="H",Priors!$H$28,Priors!$H$29)</f>
        <v>1.2754978383670978</v>
      </c>
      <c r="I261" s="37">
        <f>Priors!$H$27*VLOOKUP(E261,Team_26_27!$A$2:$U$21,20,FALSE)*VLOOKUP(D261,Team_26_27!$A$2:$U$21,21,FALSE)*IF(F261="H",Priors!$H$29,Priors!$H$28)</f>
        <v>1.18366289678057</v>
      </c>
      <c r="J261" s="15"/>
      <c r="K261" s="15"/>
      <c r="L261" s="47" t="b">
        <v>0</v>
      </c>
      <c r="M261" s="45">
        <v>0</v>
      </c>
      <c r="N261" s="45"/>
      <c r="O261" s="45"/>
      <c r="P261" s="38">
        <f t="shared" si="20"/>
        <v>1.2754978383670978</v>
      </c>
      <c r="Q261" s="38">
        <f t="shared" si="21"/>
        <v>1.18366289678057</v>
      </c>
      <c r="R261" s="17">
        <f t="shared" si="22"/>
        <v>0.30615526713489682</v>
      </c>
      <c r="S261" s="17">
        <f t="shared" si="23"/>
        <v>0.27929189138623611</v>
      </c>
      <c r="T261" s="38" t="str">
        <f t="shared" si="24"/>
        <v/>
      </c>
      <c r="U261" s="31" t="s">
        <v>1876</v>
      </c>
      <c r="V261" s="31"/>
    </row>
    <row r="262" spans="1:22" ht="30">
      <c r="A262" s="7">
        <v>14</v>
      </c>
      <c r="B262" s="7">
        <v>131</v>
      </c>
      <c r="C262" s="7">
        <v>46361.625</v>
      </c>
      <c r="D262" s="7" t="s">
        <v>46</v>
      </c>
      <c r="E262" s="7" t="s">
        <v>40</v>
      </c>
      <c r="F262" s="7" t="s">
        <v>1742</v>
      </c>
      <c r="G262" s="7">
        <v>4</v>
      </c>
      <c r="H262" s="37">
        <f>Priors!$H$27*VLOOKUP(D262,Team_26_27!$A$2:$U$21,20,FALSE)*VLOOKUP(E262,Team_26_27!$A$2:$U$21,21,FALSE)*IF(F262="H",Priors!$H$28,Priors!$H$29)</f>
        <v>1.3378715629319697</v>
      </c>
      <c r="I262" s="37">
        <f>Priors!$H$27*VLOOKUP(E262,Team_26_27!$A$2:$U$21,20,FALSE)*VLOOKUP(D262,Team_26_27!$A$2:$U$21,21,FALSE)*IF(F262="H",Priors!$H$29,Priors!$H$28)</f>
        <v>1.4198121028478425</v>
      </c>
      <c r="J262" s="15"/>
      <c r="K262" s="15"/>
      <c r="L262" s="47" t="b">
        <v>0</v>
      </c>
      <c r="M262" s="45">
        <v>0</v>
      </c>
      <c r="N262" s="45"/>
      <c r="O262" s="45"/>
      <c r="P262" s="38">
        <f t="shared" si="20"/>
        <v>1.3378715629319697</v>
      </c>
      <c r="Q262" s="38">
        <f t="shared" si="21"/>
        <v>1.4198121028478425</v>
      </c>
      <c r="R262" s="17">
        <f t="shared" si="22"/>
        <v>0.24175943853961296</v>
      </c>
      <c r="S262" s="17">
        <f t="shared" si="23"/>
        <v>0.26240358414089104</v>
      </c>
      <c r="T262" s="38" t="str">
        <f t="shared" si="24"/>
        <v/>
      </c>
      <c r="U262" s="31" t="s">
        <v>1876</v>
      </c>
      <c r="V262" s="31"/>
    </row>
    <row r="263" spans="1:22" ht="30">
      <c r="A263" s="7">
        <v>14</v>
      </c>
      <c r="B263" s="7">
        <v>131</v>
      </c>
      <c r="C263" s="7">
        <v>46361.625</v>
      </c>
      <c r="D263" s="7" t="s">
        <v>40</v>
      </c>
      <c r="E263" s="7" t="s">
        <v>46</v>
      </c>
      <c r="F263" s="7" t="s">
        <v>1743</v>
      </c>
      <c r="G263" s="7">
        <v>3</v>
      </c>
      <c r="H263" s="37">
        <f>Priors!$H$27*VLOOKUP(D263,Team_26_27!$A$2:$U$21,20,FALSE)*VLOOKUP(E263,Team_26_27!$A$2:$U$21,21,FALSE)*IF(F263="H",Priors!$H$28,Priors!$H$29)</f>
        <v>1.4198121028478425</v>
      </c>
      <c r="I263" s="37">
        <f>Priors!$H$27*VLOOKUP(E263,Team_26_27!$A$2:$U$21,20,FALSE)*VLOOKUP(D263,Team_26_27!$A$2:$U$21,21,FALSE)*IF(F263="H",Priors!$H$29,Priors!$H$28)</f>
        <v>1.3378715629319697</v>
      </c>
      <c r="J263" s="15"/>
      <c r="K263" s="15"/>
      <c r="L263" s="47" t="b">
        <v>0</v>
      </c>
      <c r="M263" s="45">
        <v>0</v>
      </c>
      <c r="N263" s="45"/>
      <c r="O263" s="45"/>
      <c r="P263" s="38">
        <f t="shared" si="20"/>
        <v>1.4198121028478425</v>
      </c>
      <c r="Q263" s="38">
        <f t="shared" si="21"/>
        <v>1.3378715629319697</v>
      </c>
      <c r="R263" s="17">
        <f t="shared" si="22"/>
        <v>0.26240358414089104</v>
      </c>
      <c r="S263" s="17">
        <f t="shared" si="23"/>
        <v>0.24175943853961296</v>
      </c>
      <c r="T263" s="38" t="str">
        <f t="shared" si="24"/>
        <v/>
      </c>
      <c r="U263" s="31" t="s">
        <v>1876</v>
      </c>
      <c r="V263" s="31"/>
    </row>
    <row r="264" spans="1:22" ht="30">
      <c r="A264" s="7">
        <v>14</v>
      </c>
      <c r="B264" s="7">
        <v>132</v>
      </c>
      <c r="C264" s="7">
        <v>46361.625</v>
      </c>
      <c r="D264" s="7" t="s">
        <v>49</v>
      </c>
      <c r="E264" s="7" t="s">
        <v>41</v>
      </c>
      <c r="F264" s="7" t="s">
        <v>1742</v>
      </c>
      <c r="G264" s="7">
        <v>3</v>
      </c>
      <c r="H264" s="37">
        <f>Priors!$H$27*VLOOKUP(D264,Team_26_27!$A$2:$U$21,20,FALSE)*VLOOKUP(E264,Team_26_27!$A$2:$U$21,21,FALSE)*IF(F264="H",Priors!$H$28,Priors!$H$29)</f>
        <v>0.91142164094579259</v>
      </c>
      <c r="I264" s="37">
        <f>Priors!$H$27*VLOOKUP(E264,Team_26_27!$A$2:$U$21,20,FALSE)*VLOOKUP(D264,Team_26_27!$A$2:$U$21,21,FALSE)*IF(F264="H",Priors!$H$29,Priors!$H$28)</f>
        <v>2.291179112512868</v>
      </c>
      <c r="J264" s="15"/>
      <c r="K264" s="15"/>
      <c r="L264" s="47" t="b">
        <v>0</v>
      </c>
      <c r="M264" s="45">
        <v>0</v>
      </c>
      <c r="N264" s="45"/>
      <c r="O264" s="45"/>
      <c r="P264" s="38">
        <f t="shared" si="20"/>
        <v>0.91142164094579259</v>
      </c>
      <c r="Q264" s="38">
        <f t="shared" si="21"/>
        <v>2.291179112512868</v>
      </c>
      <c r="R264" s="17">
        <f t="shared" si="22"/>
        <v>0.10114712766961849</v>
      </c>
      <c r="S264" s="17">
        <f t="shared" si="23"/>
        <v>0.40195238568579134</v>
      </c>
      <c r="T264" s="38" t="str">
        <f t="shared" si="24"/>
        <v/>
      </c>
      <c r="U264" s="31" t="s">
        <v>1876</v>
      </c>
      <c r="V264" s="31"/>
    </row>
    <row r="265" spans="1:22" ht="30">
      <c r="A265" s="7">
        <v>14</v>
      </c>
      <c r="B265" s="7">
        <v>132</v>
      </c>
      <c r="C265" s="7">
        <v>46361.625</v>
      </c>
      <c r="D265" s="7" t="s">
        <v>41</v>
      </c>
      <c r="E265" s="7" t="s">
        <v>49</v>
      </c>
      <c r="F265" s="7" t="s">
        <v>1743</v>
      </c>
      <c r="G265" s="7">
        <v>2</v>
      </c>
      <c r="H265" s="37">
        <f>Priors!$H$27*VLOOKUP(D265,Team_26_27!$A$2:$U$21,20,FALSE)*VLOOKUP(E265,Team_26_27!$A$2:$U$21,21,FALSE)*IF(F265="H",Priors!$H$28,Priors!$H$29)</f>
        <v>2.291179112512868</v>
      </c>
      <c r="I265" s="37">
        <f>Priors!$H$27*VLOOKUP(E265,Team_26_27!$A$2:$U$21,20,FALSE)*VLOOKUP(D265,Team_26_27!$A$2:$U$21,21,FALSE)*IF(F265="H",Priors!$H$29,Priors!$H$28)</f>
        <v>0.91142164094579259</v>
      </c>
      <c r="J265" s="15"/>
      <c r="K265" s="15"/>
      <c r="L265" s="47" t="b">
        <v>0</v>
      </c>
      <c r="M265" s="45">
        <v>0</v>
      </c>
      <c r="N265" s="45"/>
      <c r="O265" s="45"/>
      <c r="P265" s="38">
        <f t="shared" si="20"/>
        <v>2.291179112512868</v>
      </c>
      <c r="Q265" s="38">
        <f t="shared" si="21"/>
        <v>0.91142164094579259</v>
      </c>
      <c r="R265" s="17">
        <f t="shared" si="22"/>
        <v>0.40195238568579134</v>
      </c>
      <c r="S265" s="17">
        <f t="shared" si="23"/>
        <v>0.10114712766961849</v>
      </c>
      <c r="T265" s="38" t="str">
        <f t="shared" si="24"/>
        <v/>
      </c>
      <c r="U265" s="31" t="s">
        <v>1876</v>
      </c>
      <c r="V265" s="31"/>
    </row>
    <row r="266" spans="1:22" ht="30">
      <c r="A266" s="7">
        <v>14</v>
      </c>
      <c r="B266" s="7">
        <v>133</v>
      </c>
      <c r="C266" s="7">
        <v>46361.625</v>
      </c>
      <c r="D266" s="7" t="s">
        <v>53</v>
      </c>
      <c r="E266" s="7" t="s">
        <v>42</v>
      </c>
      <c r="F266" s="7" t="s">
        <v>1742</v>
      </c>
      <c r="G266" s="7">
        <v>3</v>
      </c>
      <c r="H266" s="37">
        <f>Priors!$H$27*VLOOKUP(D266,Team_26_27!$A$2:$U$21,20,FALSE)*VLOOKUP(E266,Team_26_27!$A$2:$U$21,21,FALSE)*IF(F266="H",Priors!$H$28,Priors!$H$29)</f>
        <v>1.5241058366280709</v>
      </c>
      <c r="I266" s="37">
        <f>Priors!$H$27*VLOOKUP(E266,Team_26_27!$A$2:$U$21,20,FALSE)*VLOOKUP(D266,Team_26_27!$A$2:$U$21,21,FALSE)*IF(F266="H",Priors!$H$29,Priors!$H$28)</f>
        <v>1.527714620349589</v>
      </c>
      <c r="J266" s="15"/>
      <c r="K266" s="15"/>
      <c r="L266" s="47" t="b">
        <v>0</v>
      </c>
      <c r="M266" s="45">
        <v>0</v>
      </c>
      <c r="N266" s="45"/>
      <c r="O266" s="45"/>
      <c r="P266" s="38">
        <f t="shared" si="20"/>
        <v>1.5241058366280709</v>
      </c>
      <c r="Q266" s="38">
        <f t="shared" si="21"/>
        <v>1.527714620349589</v>
      </c>
      <c r="R266" s="17">
        <f t="shared" si="22"/>
        <v>0.21703109943328355</v>
      </c>
      <c r="S266" s="17">
        <f t="shared" si="23"/>
        <v>0.21781573266625689</v>
      </c>
      <c r="T266" s="38" t="str">
        <f t="shared" si="24"/>
        <v/>
      </c>
      <c r="U266" s="31" t="s">
        <v>1876</v>
      </c>
      <c r="V266" s="31"/>
    </row>
    <row r="267" spans="1:22" ht="30">
      <c r="A267" s="7">
        <v>14</v>
      </c>
      <c r="B267" s="7">
        <v>133</v>
      </c>
      <c r="C267" s="7">
        <v>46361.625</v>
      </c>
      <c r="D267" s="7" t="s">
        <v>42</v>
      </c>
      <c r="E267" s="7" t="s">
        <v>53</v>
      </c>
      <c r="F267" s="7" t="s">
        <v>1743</v>
      </c>
      <c r="G267" s="7">
        <v>4</v>
      </c>
      <c r="H267" s="37">
        <f>Priors!$H$27*VLOOKUP(D267,Team_26_27!$A$2:$U$21,20,FALSE)*VLOOKUP(E267,Team_26_27!$A$2:$U$21,21,FALSE)*IF(F267="H",Priors!$H$28,Priors!$H$29)</f>
        <v>1.527714620349589</v>
      </c>
      <c r="I267" s="37">
        <f>Priors!$H$27*VLOOKUP(E267,Team_26_27!$A$2:$U$21,20,FALSE)*VLOOKUP(D267,Team_26_27!$A$2:$U$21,21,FALSE)*IF(F267="H",Priors!$H$29,Priors!$H$28)</f>
        <v>1.5241058366280709</v>
      </c>
      <c r="J267" s="15"/>
      <c r="K267" s="15"/>
      <c r="L267" s="47" t="b">
        <v>0</v>
      </c>
      <c r="M267" s="45">
        <v>0</v>
      </c>
      <c r="N267" s="45"/>
      <c r="O267" s="45"/>
      <c r="P267" s="38">
        <f t="shared" si="20"/>
        <v>1.527714620349589</v>
      </c>
      <c r="Q267" s="38">
        <f t="shared" si="21"/>
        <v>1.5241058366280709</v>
      </c>
      <c r="R267" s="17">
        <f t="shared" si="22"/>
        <v>0.21781573266625689</v>
      </c>
      <c r="S267" s="17">
        <f t="shared" si="23"/>
        <v>0.21703109943328355</v>
      </c>
      <c r="T267" s="38" t="str">
        <f t="shared" si="24"/>
        <v/>
      </c>
      <c r="U267" s="31" t="s">
        <v>1876</v>
      </c>
      <c r="V267" s="31"/>
    </row>
    <row r="268" spans="1:22" ht="30">
      <c r="A268" s="7">
        <v>14</v>
      </c>
      <c r="B268" s="7">
        <v>134</v>
      </c>
      <c r="C268" s="7">
        <v>46361.625</v>
      </c>
      <c r="D268" s="7" t="s">
        <v>52</v>
      </c>
      <c r="E268" s="7" t="s">
        <v>44</v>
      </c>
      <c r="F268" s="7" t="s">
        <v>1742</v>
      </c>
      <c r="G268" s="7">
        <v>4</v>
      </c>
      <c r="H268" s="37">
        <f>Priors!$H$27*VLOOKUP(D268,Team_26_27!$A$2:$U$21,20,FALSE)*VLOOKUP(E268,Team_26_27!$A$2:$U$21,21,FALSE)*IF(F268="H",Priors!$H$28,Priors!$H$29)</f>
        <v>1.353038155089255</v>
      </c>
      <c r="I268" s="37">
        <f>Priors!$H$27*VLOOKUP(E268,Team_26_27!$A$2:$U$21,20,FALSE)*VLOOKUP(D268,Team_26_27!$A$2:$U$21,21,FALSE)*IF(F268="H",Priors!$H$29,Priors!$H$28)</f>
        <v>1.6469816014469596</v>
      </c>
      <c r="J268" s="15"/>
      <c r="K268" s="15"/>
      <c r="L268" s="47" t="b">
        <v>0</v>
      </c>
      <c r="M268" s="45">
        <v>0</v>
      </c>
      <c r="N268" s="45"/>
      <c r="O268" s="45"/>
      <c r="P268" s="38">
        <f t="shared" si="20"/>
        <v>1.353038155089255</v>
      </c>
      <c r="Q268" s="38">
        <f t="shared" si="21"/>
        <v>1.6469816014469596</v>
      </c>
      <c r="R268" s="17">
        <f t="shared" si="22"/>
        <v>0.19263046752534912</v>
      </c>
      <c r="S268" s="17">
        <f t="shared" si="23"/>
        <v>0.25845384376181063</v>
      </c>
      <c r="T268" s="38" t="str">
        <f t="shared" si="24"/>
        <v/>
      </c>
      <c r="U268" s="31" t="s">
        <v>1876</v>
      </c>
      <c r="V268" s="31"/>
    </row>
    <row r="269" spans="1:22" ht="30">
      <c r="A269" s="7">
        <v>14</v>
      </c>
      <c r="B269" s="7">
        <v>134</v>
      </c>
      <c r="C269" s="7">
        <v>46361.625</v>
      </c>
      <c r="D269" s="7" t="s">
        <v>44</v>
      </c>
      <c r="E269" s="7" t="s">
        <v>52</v>
      </c>
      <c r="F269" s="7" t="s">
        <v>1743</v>
      </c>
      <c r="G269" s="7">
        <v>4</v>
      </c>
      <c r="H269" s="37">
        <f>Priors!$H$27*VLOOKUP(D269,Team_26_27!$A$2:$U$21,20,FALSE)*VLOOKUP(E269,Team_26_27!$A$2:$U$21,21,FALSE)*IF(F269="H",Priors!$H$28,Priors!$H$29)</f>
        <v>1.6469816014469596</v>
      </c>
      <c r="I269" s="37">
        <f>Priors!$H$27*VLOOKUP(E269,Team_26_27!$A$2:$U$21,20,FALSE)*VLOOKUP(D269,Team_26_27!$A$2:$U$21,21,FALSE)*IF(F269="H",Priors!$H$29,Priors!$H$28)</f>
        <v>1.353038155089255</v>
      </c>
      <c r="J269" s="15"/>
      <c r="K269" s="15"/>
      <c r="L269" s="47" t="b">
        <v>0</v>
      </c>
      <c r="M269" s="45">
        <v>0</v>
      </c>
      <c r="N269" s="45"/>
      <c r="O269" s="45"/>
      <c r="P269" s="38">
        <f t="shared" si="20"/>
        <v>1.6469816014469596</v>
      </c>
      <c r="Q269" s="38">
        <f t="shared" si="21"/>
        <v>1.353038155089255</v>
      </c>
      <c r="R269" s="17">
        <f t="shared" si="22"/>
        <v>0.25845384376181063</v>
      </c>
      <c r="S269" s="17">
        <f t="shared" si="23"/>
        <v>0.19263046752534912</v>
      </c>
      <c r="T269" s="38" t="str">
        <f t="shared" si="24"/>
        <v/>
      </c>
      <c r="U269" s="31" t="s">
        <v>1876</v>
      </c>
      <c r="V269" s="31"/>
    </row>
    <row r="270" spans="1:22" ht="30">
      <c r="A270" s="7">
        <v>14</v>
      </c>
      <c r="B270" s="7">
        <v>135</v>
      </c>
      <c r="C270" s="7">
        <v>46361.625</v>
      </c>
      <c r="D270" s="7" t="s">
        <v>48</v>
      </c>
      <c r="E270" s="7" t="s">
        <v>47</v>
      </c>
      <c r="F270" s="7" t="s">
        <v>1742</v>
      </c>
      <c r="G270" s="7">
        <v>3</v>
      </c>
      <c r="H270" s="37">
        <f>Priors!$H$27*VLOOKUP(D270,Team_26_27!$A$2:$U$21,20,FALSE)*VLOOKUP(E270,Team_26_27!$A$2:$U$21,21,FALSE)*IF(F270="H",Priors!$H$28,Priors!$H$29)</f>
        <v>1.2498918820508627</v>
      </c>
      <c r="I270" s="37">
        <f>Priors!$H$27*VLOOKUP(E270,Team_26_27!$A$2:$U$21,20,FALSE)*VLOOKUP(D270,Team_26_27!$A$2:$U$21,21,FALSE)*IF(F270="H",Priors!$H$29,Priors!$H$28)</f>
        <v>1.4116616528560173</v>
      </c>
      <c r="J270" s="15"/>
      <c r="K270" s="15"/>
      <c r="L270" s="47" t="b">
        <v>0</v>
      </c>
      <c r="M270" s="45">
        <v>0</v>
      </c>
      <c r="N270" s="45"/>
      <c r="O270" s="45"/>
      <c r="P270" s="38">
        <f t="shared" si="20"/>
        <v>1.2498918820508627</v>
      </c>
      <c r="Q270" s="38">
        <f t="shared" si="21"/>
        <v>1.4116616528560173</v>
      </c>
      <c r="R270" s="17">
        <f t="shared" si="22"/>
        <v>0.24373793863391308</v>
      </c>
      <c r="S270" s="17">
        <f t="shared" si="23"/>
        <v>0.28653577484585258</v>
      </c>
      <c r="T270" s="38" t="str">
        <f t="shared" si="24"/>
        <v/>
      </c>
      <c r="U270" s="31" t="s">
        <v>1876</v>
      </c>
      <c r="V270" s="31"/>
    </row>
    <row r="271" spans="1:22" ht="30">
      <c r="A271" s="7">
        <v>14</v>
      </c>
      <c r="B271" s="7">
        <v>135</v>
      </c>
      <c r="C271" s="7">
        <v>46361.625</v>
      </c>
      <c r="D271" s="7" t="s">
        <v>47</v>
      </c>
      <c r="E271" s="7" t="s">
        <v>48</v>
      </c>
      <c r="F271" s="7" t="s">
        <v>1743</v>
      </c>
      <c r="G271" s="7">
        <v>2</v>
      </c>
      <c r="H271" s="37">
        <f>Priors!$H$27*VLOOKUP(D271,Team_26_27!$A$2:$U$21,20,FALSE)*VLOOKUP(E271,Team_26_27!$A$2:$U$21,21,FALSE)*IF(F271="H",Priors!$H$28,Priors!$H$29)</f>
        <v>1.4116616528560173</v>
      </c>
      <c r="I271" s="37">
        <f>Priors!$H$27*VLOOKUP(E271,Team_26_27!$A$2:$U$21,20,FALSE)*VLOOKUP(D271,Team_26_27!$A$2:$U$21,21,FALSE)*IF(F271="H",Priors!$H$29,Priors!$H$28)</f>
        <v>1.2498918820508627</v>
      </c>
      <c r="J271" s="15"/>
      <c r="K271" s="15"/>
      <c r="L271" s="47" t="b">
        <v>0</v>
      </c>
      <c r="M271" s="45">
        <v>0</v>
      </c>
      <c r="N271" s="45"/>
      <c r="O271" s="45"/>
      <c r="P271" s="38">
        <f t="shared" si="20"/>
        <v>1.4116616528560173</v>
      </c>
      <c r="Q271" s="38">
        <f t="shared" si="21"/>
        <v>1.2498918820508627</v>
      </c>
      <c r="R271" s="17">
        <f t="shared" si="22"/>
        <v>0.28653577484585258</v>
      </c>
      <c r="S271" s="17">
        <f t="shared" si="23"/>
        <v>0.24373793863391308</v>
      </c>
      <c r="T271" s="38" t="str">
        <f t="shared" si="24"/>
        <v/>
      </c>
      <c r="U271" s="31" t="s">
        <v>1876</v>
      </c>
      <c r="V271" s="31"/>
    </row>
    <row r="272" spans="1:22" ht="30">
      <c r="A272" s="7">
        <v>14</v>
      </c>
      <c r="B272" s="7">
        <v>136</v>
      </c>
      <c r="C272" s="7">
        <v>46361.625</v>
      </c>
      <c r="D272" s="7" t="s">
        <v>50</v>
      </c>
      <c r="E272" s="7" t="s">
        <v>51</v>
      </c>
      <c r="F272" s="7" t="s">
        <v>1742</v>
      </c>
      <c r="G272" s="7">
        <v>3</v>
      </c>
      <c r="H272" s="37">
        <f>Priors!$H$27*VLOOKUP(D272,Team_26_27!$A$2:$U$21,20,FALSE)*VLOOKUP(E272,Team_26_27!$A$2:$U$21,21,FALSE)*IF(F272="H",Priors!$H$28,Priors!$H$29)</f>
        <v>0.99192911839009346</v>
      </c>
      <c r="I272" s="37">
        <f>Priors!$H$27*VLOOKUP(E272,Team_26_27!$A$2:$U$21,20,FALSE)*VLOOKUP(D272,Team_26_27!$A$2:$U$21,21,FALSE)*IF(F272="H",Priors!$H$29,Priors!$H$28)</f>
        <v>1.9238625930841047</v>
      </c>
      <c r="J272" s="15"/>
      <c r="K272" s="15"/>
      <c r="L272" s="47" t="b">
        <v>0</v>
      </c>
      <c r="M272" s="45">
        <v>0</v>
      </c>
      <c r="N272" s="45"/>
      <c r="O272" s="45"/>
      <c r="P272" s="38">
        <f t="shared" si="20"/>
        <v>0.99192911839009346</v>
      </c>
      <c r="Q272" s="38">
        <f t="shared" si="21"/>
        <v>1.9238625930841047</v>
      </c>
      <c r="R272" s="17">
        <f t="shared" si="22"/>
        <v>0.14604177134605389</v>
      </c>
      <c r="S272" s="17">
        <f t="shared" si="23"/>
        <v>0.37086056656058702</v>
      </c>
      <c r="T272" s="38" t="str">
        <f t="shared" si="24"/>
        <v/>
      </c>
      <c r="U272" s="31" t="s">
        <v>1876</v>
      </c>
      <c r="V272" s="31"/>
    </row>
    <row r="273" spans="1:22" ht="30">
      <c r="A273" s="7">
        <v>14</v>
      </c>
      <c r="B273" s="7">
        <v>136</v>
      </c>
      <c r="C273" s="7">
        <v>46361.625</v>
      </c>
      <c r="D273" s="7" t="s">
        <v>51</v>
      </c>
      <c r="E273" s="7" t="s">
        <v>50</v>
      </c>
      <c r="F273" s="7" t="s">
        <v>1743</v>
      </c>
      <c r="G273" s="7">
        <v>2</v>
      </c>
      <c r="H273" s="37">
        <f>Priors!$H$27*VLOOKUP(D273,Team_26_27!$A$2:$U$21,20,FALSE)*VLOOKUP(E273,Team_26_27!$A$2:$U$21,21,FALSE)*IF(F273="H",Priors!$H$28,Priors!$H$29)</f>
        <v>1.9238625930841047</v>
      </c>
      <c r="I273" s="37">
        <f>Priors!$H$27*VLOOKUP(E273,Team_26_27!$A$2:$U$21,20,FALSE)*VLOOKUP(D273,Team_26_27!$A$2:$U$21,21,FALSE)*IF(F273="H",Priors!$H$29,Priors!$H$28)</f>
        <v>0.99192911839009346</v>
      </c>
      <c r="J273" s="15"/>
      <c r="K273" s="15"/>
      <c r="L273" s="47" t="b">
        <v>0</v>
      </c>
      <c r="M273" s="45">
        <v>0</v>
      </c>
      <c r="N273" s="45"/>
      <c r="O273" s="45"/>
      <c r="P273" s="38">
        <f t="shared" si="20"/>
        <v>1.9238625930841047</v>
      </c>
      <c r="Q273" s="38">
        <f t="shared" si="21"/>
        <v>0.99192911839009346</v>
      </c>
      <c r="R273" s="17">
        <f t="shared" si="22"/>
        <v>0.37086056656058702</v>
      </c>
      <c r="S273" s="17">
        <f t="shared" si="23"/>
        <v>0.14604177134605389</v>
      </c>
      <c r="T273" s="38" t="str">
        <f t="shared" si="24"/>
        <v/>
      </c>
      <c r="U273" s="31" t="s">
        <v>1876</v>
      </c>
      <c r="V273" s="31"/>
    </row>
    <row r="274" spans="1:22" ht="30">
      <c r="A274" s="7">
        <v>14</v>
      </c>
      <c r="B274" s="7">
        <v>137</v>
      </c>
      <c r="C274" s="7">
        <v>46361.625</v>
      </c>
      <c r="D274" s="7" t="s">
        <v>45</v>
      </c>
      <c r="E274" s="7" t="s">
        <v>54</v>
      </c>
      <c r="F274" s="7" t="s">
        <v>1742</v>
      </c>
      <c r="G274" s="7">
        <v>4</v>
      </c>
      <c r="H274" s="37">
        <f>Priors!$H$27*VLOOKUP(D274,Team_26_27!$A$2:$U$21,20,FALSE)*VLOOKUP(E274,Team_26_27!$A$2:$U$21,21,FALSE)*IF(F274="H",Priors!$H$28,Priors!$H$29)</f>
        <v>0.93394371330553982</v>
      </c>
      <c r="I274" s="37">
        <f>Priors!$H$27*VLOOKUP(E274,Team_26_27!$A$2:$U$21,20,FALSE)*VLOOKUP(D274,Team_26_27!$A$2:$U$21,21,FALSE)*IF(F274="H",Priors!$H$29,Priors!$H$28)</f>
        <v>2.241818724488013</v>
      </c>
      <c r="J274" s="15"/>
      <c r="K274" s="15"/>
      <c r="L274" s="47" t="b">
        <v>0</v>
      </c>
      <c r="M274" s="45">
        <v>0</v>
      </c>
      <c r="N274" s="45"/>
      <c r="O274" s="45"/>
      <c r="P274" s="38">
        <f t="shared" si="20"/>
        <v>0.93394371330553982</v>
      </c>
      <c r="Q274" s="38">
        <f t="shared" si="21"/>
        <v>2.241818724488013</v>
      </c>
      <c r="R274" s="17">
        <f t="shared" si="22"/>
        <v>0.1062650616532143</v>
      </c>
      <c r="S274" s="17">
        <f t="shared" si="23"/>
        <v>0.39300076784703314</v>
      </c>
      <c r="T274" s="38" t="str">
        <f t="shared" si="24"/>
        <v/>
      </c>
      <c r="U274" s="31" t="s">
        <v>1876</v>
      </c>
      <c r="V274" s="31"/>
    </row>
    <row r="275" spans="1:22" ht="30">
      <c r="A275" s="7">
        <v>14</v>
      </c>
      <c r="B275" s="7">
        <v>137</v>
      </c>
      <c r="C275" s="7">
        <v>46361.625</v>
      </c>
      <c r="D275" s="7" t="s">
        <v>54</v>
      </c>
      <c r="E275" s="7" t="s">
        <v>45</v>
      </c>
      <c r="F275" s="7" t="s">
        <v>1743</v>
      </c>
      <c r="G275" s="7">
        <v>2</v>
      </c>
      <c r="H275" s="37">
        <f>Priors!$H$27*VLOOKUP(D275,Team_26_27!$A$2:$U$21,20,FALSE)*VLOOKUP(E275,Team_26_27!$A$2:$U$21,21,FALSE)*IF(F275="H",Priors!$H$28,Priors!$H$29)</f>
        <v>2.241818724488013</v>
      </c>
      <c r="I275" s="37">
        <f>Priors!$H$27*VLOOKUP(E275,Team_26_27!$A$2:$U$21,20,FALSE)*VLOOKUP(D275,Team_26_27!$A$2:$U$21,21,FALSE)*IF(F275="H",Priors!$H$29,Priors!$H$28)</f>
        <v>0.93394371330553982</v>
      </c>
      <c r="J275" s="15"/>
      <c r="K275" s="15"/>
      <c r="L275" s="47" t="b">
        <v>0</v>
      </c>
      <c r="M275" s="45">
        <v>0</v>
      </c>
      <c r="N275" s="45"/>
      <c r="O275" s="45"/>
      <c r="P275" s="38">
        <f t="shared" si="20"/>
        <v>2.241818724488013</v>
      </c>
      <c r="Q275" s="38">
        <f t="shared" si="21"/>
        <v>0.93394371330553982</v>
      </c>
      <c r="R275" s="17">
        <f t="shared" si="22"/>
        <v>0.39300076784703314</v>
      </c>
      <c r="S275" s="17">
        <f t="shared" si="23"/>
        <v>0.1062650616532143</v>
      </c>
      <c r="T275" s="38" t="str">
        <f t="shared" si="24"/>
        <v/>
      </c>
      <c r="U275" s="31" t="s">
        <v>1876</v>
      </c>
      <c r="V275" s="31"/>
    </row>
    <row r="276" spans="1:22" ht="30">
      <c r="A276" s="7">
        <v>14</v>
      </c>
      <c r="B276" s="7">
        <v>138</v>
      </c>
      <c r="C276" s="7">
        <v>46361.625</v>
      </c>
      <c r="D276" s="7" t="s">
        <v>58</v>
      </c>
      <c r="E276" s="7" t="s">
        <v>55</v>
      </c>
      <c r="F276" s="7" t="s">
        <v>1742</v>
      </c>
      <c r="G276" s="7">
        <v>3</v>
      </c>
      <c r="H276" s="37">
        <f>Priors!$H$27*VLOOKUP(D276,Team_26_27!$A$2:$U$21,20,FALSE)*VLOOKUP(E276,Team_26_27!$A$2:$U$21,21,FALSE)*IF(F276="H",Priors!$H$28,Priors!$H$29)</f>
        <v>1.0030686901930768</v>
      </c>
      <c r="I276" s="37">
        <f>Priors!$H$27*VLOOKUP(E276,Team_26_27!$A$2:$U$21,20,FALSE)*VLOOKUP(D276,Team_26_27!$A$2:$U$21,21,FALSE)*IF(F276="H",Priors!$H$29,Priors!$H$28)</f>
        <v>1.6280312364804272</v>
      </c>
      <c r="J276" s="15"/>
      <c r="K276" s="15"/>
      <c r="L276" s="47" t="b">
        <v>0</v>
      </c>
      <c r="M276" s="45">
        <v>0</v>
      </c>
      <c r="N276" s="45"/>
      <c r="O276" s="45"/>
      <c r="P276" s="38">
        <f t="shared" si="20"/>
        <v>1.0030686901930768</v>
      </c>
      <c r="Q276" s="38">
        <f t="shared" si="21"/>
        <v>1.6280312364804272</v>
      </c>
      <c r="R276" s="17">
        <f t="shared" si="22"/>
        <v>0.19631569308860145</v>
      </c>
      <c r="S276" s="17">
        <f t="shared" si="23"/>
        <v>0.36675226350215412</v>
      </c>
      <c r="T276" s="38" t="str">
        <f t="shared" si="24"/>
        <v/>
      </c>
      <c r="U276" s="31" t="s">
        <v>1876</v>
      </c>
      <c r="V276" s="31"/>
    </row>
    <row r="277" spans="1:22" ht="30">
      <c r="A277" s="7">
        <v>14</v>
      </c>
      <c r="B277" s="7">
        <v>138</v>
      </c>
      <c r="C277" s="7">
        <v>46361.625</v>
      </c>
      <c r="D277" s="7" t="s">
        <v>55</v>
      </c>
      <c r="E277" s="7" t="s">
        <v>58</v>
      </c>
      <c r="F277" s="7" t="s">
        <v>1743</v>
      </c>
      <c r="G277" s="7">
        <v>2</v>
      </c>
      <c r="H277" s="37">
        <f>Priors!$H$27*VLOOKUP(D277,Team_26_27!$A$2:$U$21,20,FALSE)*VLOOKUP(E277,Team_26_27!$A$2:$U$21,21,FALSE)*IF(F277="H",Priors!$H$28,Priors!$H$29)</f>
        <v>1.6280312364804272</v>
      </c>
      <c r="I277" s="37">
        <f>Priors!$H$27*VLOOKUP(E277,Team_26_27!$A$2:$U$21,20,FALSE)*VLOOKUP(D277,Team_26_27!$A$2:$U$21,21,FALSE)*IF(F277="H",Priors!$H$29,Priors!$H$28)</f>
        <v>1.0030686901930768</v>
      </c>
      <c r="J277" s="15"/>
      <c r="K277" s="15"/>
      <c r="L277" s="47" t="b">
        <v>0</v>
      </c>
      <c r="M277" s="45">
        <v>0</v>
      </c>
      <c r="N277" s="45"/>
      <c r="O277" s="45"/>
      <c r="P277" s="38">
        <f t="shared" si="20"/>
        <v>1.6280312364804272</v>
      </c>
      <c r="Q277" s="38">
        <f t="shared" si="21"/>
        <v>1.0030686901930768</v>
      </c>
      <c r="R277" s="17">
        <f t="shared" si="22"/>
        <v>0.36675226350215412</v>
      </c>
      <c r="S277" s="17">
        <f t="shared" si="23"/>
        <v>0.19631569308860145</v>
      </c>
      <c r="T277" s="38" t="str">
        <f t="shared" si="24"/>
        <v/>
      </c>
      <c r="U277" s="31" t="s">
        <v>1876</v>
      </c>
      <c r="V277" s="31"/>
    </row>
    <row r="278" spans="1:22" ht="30">
      <c r="A278" s="7">
        <v>14</v>
      </c>
      <c r="B278" s="7">
        <v>139</v>
      </c>
      <c r="C278" s="7">
        <v>46361.625</v>
      </c>
      <c r="D278" s="7" t="s">
        <v>43</v>
      </c>
      <c r="E278" s="7" t="s">
        <v>56</v>
      </c>
      <c r="F278" s="7" t="s">
        <v>1742</v>
      </c>
      <c r="G278" s="7">
        <v>3</v>
      </c>
      <c r="H278" s="37">
        <f>Priors!$H$27*VLOOKUP(D278,Team_26_27!$A$2:$U$21,20,FALSE)*VLOOKUP(E278,Team_26_27!$A$2:$U$21,21,FALSE)*IF(F278="H",Priors!$H$28,Priors!$H$29)</f>
        <v>1.395232965078256</v>
      </c>
      <c r="I278" s="37">
        <f>Priors!$H$27*VLOOKUP(E278,Team_26_27!$A$2:$U$21,20,FALSE)*VLOOKUP(D278,Team_26_27!$A$2:$U$21,21,FALSE)*IF(F278="H",Priors!$H$29,Priors!$H$28)</f>
        <v>1.3488368696150854</v>
      </c>
      <c r="J278" s="15"/>
      <c r="K278" s="15"/>
      <c r="L278" s="47" t="b">
        <v>0</v>
      </c>
      <c r="M278" s="45">
        <v>0</v>
      </c>
      <c r="N278" s="45"/>
      <c r="O278" s="45"/>
      <c r="P278" s="38">
        <f t="shared" si="20"/>
        <v>1.395232965078256</v>
      </c>
      <c r="Q278" s="38">
        <f t="shared" si="21"/>
        <v>1.3488368696150854</v>
      </c>
      <c r="R278" s="17">
        <f t="shared" si="22"/>
        <v>0.25954196629753318</v>
      </c>
      <c r="S278" s="17">
        <f t="shared" si="23"/>
        <v>0.24777530664928227</v>
      </c>
      <c r="T278" s="38" t="str">
        <f t="shared" si="24"/>
        <v/>
      </c>
      <c r="U278" s="31" t="s">
        <v>1876</v>
      </c>
      <c r="V278" s="31"/>
    </row>
    <row r="279" spans="1:22" ht="30">
      <c r="A279" s="7">
        <v>14</v>
      </c>
      <c r="B279" s="7">
        <v>139</v>
      </c>
      <c r="C279" s="7">
        <v>46361.625</v>
      </c>
      <c r="D279" s="7" t="s">
        <v>56</v>
      </c>
      <c r="E279" s="7" t="s">
        <v>43</v>
      </c>
      <c r="F279" s="7" t="s">
        <v>1743</v>
      </c>
      <c r="G279" s="7">
        <v>2</v>
      </c>
      <c r="H279" s="37">
        <f>Priors!$H$27*VLOOKUP(D279,Team_26_27!$A$2:$U$21,20,FALSE)*VLOOKUP(E279,Team_26_27!$A$2:$U$21,21,FALSE)*IF(F279="H",Priors!$H$28,Priors!$H$29)</f>
        <v>1.3488368696150854</v>
      </c>
      <c r="I279" s="37">
        <f>Priors!$H$27*VLOOKUP(E279,Team_26_27!$A$2:$U$21,20,FALSE)*VLOOKUP(D279,Team_26_27!$A$2:$U$21,21,FALSE)*IF(F279="H",Priors!$H$29,Priors!$H$28)</f>
        <v>1.395232965078256</v>
      </c>
      <c r="J279" s="15"/>
      <c r="K279" s="15"/>
      <c r="L279" s="47" t="b">
        <v>0</v>
      </c>
      <c r="M279" s="45">
        <v>0</v>
      </c>
      <c r="N279" s="45"/>
      <c r="O279" s="45"/>
      <c r="P279" s="38">
        <f t="shared" si="20"/>
        <v>1.3488368696150854</v>
      </c>
      <c r="Q279" s="38">
        <f t="shared" si="21"/>
        <v>1.395232965078256</v>
      </c>
      <c r="R279" s="17">
        <f t="shared" si="22"/>
        <v>0.24777530664928227</v>
      </c>
      <c r="S279" s="17">
        <f t="shared" si="23"/>
        <v>0.25954196629753318</v>
      </c>
      <c r="T279" s="38" t="str">
        <f t="shared" si="24"/>
        <v/>
      </c>
      <c r="U279" s="31" t="s">
        <v>1876</v>
      </c>
      <c r="V279" s="31"/>
    </row>
    <row r="280" spans="1:22" ht="30">
      <c r="A280" s="7">
        <v>14</v>
      </c>
      <c r="B280" s="7">
        <v>140</v>
      </c>
      <c r="C280" s="7">
        <v>46361.625</v>
      </c>
      <c r="D280" s="7" t="s">
        <v>39</v>
      </c>
      <c r="E280" s="7" t="s">
        <v>57</v>
      </c>
      <c r="F280" s="7" t="s">
        <v>1742</v>
      </c>
      <c r="G280" s="7">
        <v>3</v>
      </c>
      <c r="H280" s="37">
        <f>Priors!$H$27*VLOOKUP(D280,Team_26_27!$A$2:$U$21,20,FALSE)*VLOOKUP(E280,Team_26_27!$A$2:$U$21,21,FALSE)*IF(F280="H",Priors!$H$28,Priors!$H$29)</f>
        <v>1.4492047853713639</v>
      </c>
      <c r="I280" s="37">
        <f>Priors!$H$27*VLOOKUP(E280,Team_26_27!$A$2:$U$21,20,FALSE)*VLOOKUP(D280,Team_26_27!$A$2:$U$21,21,FALSE)*IF(F280="H",Priors!$H$29,Priors!$H$28)</f>
        <v>0.8558388354711971</v>
      </c>
      <c r="J280" s="15"/>
      <c r="K280" s="15"/>
      <c r="L280" s="47" t="b">
        <v>0</v>
      </c>
      <c r="M280" s="45">
        <v>0</v>
      </c>
      <c r="N280" s="45"/>
      <c r="O280" s="45"/>
      <c r="P280" s="38">
        <f t="shared" si="20"/>
        <v>1.4492047853713639</v>
      </c>
      <c r="Q280" s="38">
        <f t="shared" si="21"/>
        <v>0.8558388354711971</v>
      </c>
      <c r="R280" s="17">
        <f t="shared" si="22"/>
        <v>0.42492659803864685</v>
      </c>
      <c r="S280" s="17">
        <f t="shared" si="23"/>
        <v>0.23475689600517</v>
      </c>
      <c r="T280" s="38" t="str">
        <f t="shared" si="24"/>
        <v/>
      </c>
      <c r="U280" s="31" t="s">
        <v>1876</v>
      </c>
      <c r="V280" s="31"/>
    </row>
    <row r="281" spans="1:22" ht="30">
      <c r="A281" s="7">
        <v>14</v>
      </c>
      <c r="B281" s="7">
        <v>140</v>
      </c>
      <c r="C281" s="7">
        <v>46361.625</v>
      </c>
      <c r="D281" s="7" t="s">
        <v>57</v>
      </c>
      <c r="E281" s="7" t="s">
        <v>39</v>
      </c>
      <c r="F281" s="7" t="s">
        <v>1743</v>
      </c>
      <c r="G281" s="7">
        <v>4</v>
      </c>
      <c r="H281" s="37">
        <f>Priors!$H$27*VLOOKUP(D281,Team_26_27!$A$2:$U$21,20,FALSE)*VLOOKUP(E281,Team_26_27!$A$2:$U$21,21,FALSE)*IF(F281="H",Priors!$H$28,Priors!$H$29)</f>
        <v>0.8558388354711971</v>
      </c>
      <c r="I281" s="37">
        <f>Priors!$H$27*VLOOKUP(E281,Team_26_27!$A$2:$U$21,20,FALSE)*VLOOKUP(D281,Team_26_27!$A$2:$U$21,21,FALSE)*IF(F281="H",Priors!$H$29,Priors!$H$28)</f>
        <v>1.4492047853713639</v>
      </c>
      <c r="J281" s="15"/>
      <c r="K281" s="15"/>
      <c r="L281" s="47" t="b">
        <v>0</v>
      </c>
      <c r="M281" s="45">
        <v>0</v>
      </c>
      <c r="N281" s="45"/>
      <c r="O281" s="45"/>
      <c r="P281" s="38">
        <f t="shared" si="20"/>
        <v>0.8558388354711971</v>
      </c>
      <c r="Q281" s="38">
        <f t="shared" si="21"/>
        <v>1.4492047853713639</v>
      </c>
      <c r="R281" s="17">
        <f t="shared" si="22"/>
        <v>0.23475689600517</v>
      </c>
      <c r="S281" s="17">
        <f t="shared" si="23"/>
        <v>0.42492659803864685</v>
      </c>
      <c r="T281" s="38" t="str">
        <f t="shared" si="24"/>
        <v/>
      </c>
      <c r="U281" s="31" t="s">
        <v>1876</v>
      </c>
      <c r="V281" s="31"/>
    </row>
    <row r="282" spans="1:22" ht="30">
      <c r="A282" s="7">
        <v>15</v>
      </c>
      <c r="B282" s="7">
        <v>141</v>
      </c>
      <c r="C282" s="7">
        <v>46368.625</v>
      </c>
      <c r="D282" s="7" t="s">
        <v>41</v>
      </c>
      <c r="E282" s="7" t="s">
        <v>39</v>
      </c>
      <c r="F282" s="7" t="s">
        <v>1742</v>
      </c>
      <c r="G282" s="7">
        <v>5</v>
      </c>
      <c r="H282" s="37">
        <f>Priors!$H$27*VLOOKUP(D282,Team_26_27!$A$2:$U$21,20,FALSE)*VLOOKUP(E282,Team_26_27!$A$2:$U$21,21,FALSE)*IF(F282="H",Priors!$H$28,Priors!$H$29)</f>
        <v>0.92355587044248599</v>
      </c>
      <c r="I282" s="37">
        <f>Priors!$H$27*VLOOKUP(E282,Team_26_27!$A$2:$U$21,20,FALSE)*VLOOKUP(D282,Team_26_27!$A$2:$U$21,21,FALSE)*IF(F282="H",Priors!$H$29,Priors!$H$28)</f>
        <v>1.8588023647918865</v>
      </c>
      <c r="J282" s="15"/>
      <c r="K282" s="15"/>
      <c r="L282" s="47" t="b">
        <v>0</v>
      </c>
      <c r="M282" s="45">
        <v>0</v>
      </c>
      <c r="N282" s="45"/>
      <c r="O282" s="45"/>
      <c r="P282" s="38">
        <f t="shared" si="20"/>
        <v>0.92355587044248599</v>
      </c>
      <c r="Q282" s="38">
        <f t="shared" si="21"/>
        <v>1.8588023647918865</v>
      </c>
      <c r="R282" s="17">
        <f t="shared" si="22"/>
        <v>0.15585918107861729</v>
      </c>
      <c r="S282" s="17">
        <f t="shared" si="23"/>
        <v>0.39710447550203132</v>
      </c>
      <c r="T282" s="38" t="str">
        <f t="shared" si="24"/>
        <v/>
      </c>
      <c r="U282" s="31" t="s">
        <v>1876</v>
      </c>
      <c r="V282" s="31"/>
    </row>
    <row r="283" spans="1:22" ht="30">
      <c r="A283" s="7">
        <v>15</v>
      </c>
      <c r="B283" s="7">
        <v>141</v>
      </c>
      <c r="C283" s="7">
        <v>46368.625</v>
      </c>
      <c r="D283" s="7" t="s">
        <v>39</v>
      </c>
      <c r="E283" s="7" t="s">
        <v>41</v>
      </c>
      <c r="F283" s="7" t="s">
        <v>1743</v>
      </c>
      <c r="G283" s="7">
        <v>3</v>
      </c>
      <c r="H283" s="37">
        <f>Priors!$H$27*VLOOKUP(D283,Team_26_27!$A$2:$U$21,20,FALSE)*VLOOKUP(E283,Team_26_27!$A$2:$U$21,21,FALSE)*IF(F283="H",Priors!$H$28,Priors!$H$29)</f>
        <v>1.8588023647918865</v>
      </c>
      <c r="I283" s="37">
        <f>Priors!$H$27*VLOOKUP(E283,Team_26_27!$A$2:$U$21,20,FALSE)*VLOOKUP(D283,Team_26_27!$A$2:$U$21,21,FALSE)*IF(F283="H",Priors!$H$29,Priors!$H$28)</f>
        <v>0.92355587044248599</v>
      </c>
      <c r="J283" s="15"/>
      <c r="K283" s="15"/>
      <c r="L283" s="47" t="b">
        <v>0</v>
      </c>
      <c r="M283" s="45">
        <v>0</v>
      </c>
      <c r="N283" s="45"/>
      <c r="O283" s="45"/>
      <c r="P283" s="38">
        <f t="shared" si="20"/>
        <v>1.8588023647918865</v>
      </c>
      <c r="Q283" s="38">
        <f t="shared" si="21"/>
        <v>0.92355587044248599</v>
      </c>
      <c r="R283" s="17">
        <f t="shared" si="22"/>
        <v>0.39710447550203132</v>
      </c>
      <c r="S283" s="17">
        <f t="shared" si="23"/>
        <v>0.15585918107861729</v>
      </c>
      <c r="T283" s="38" t="str">
        <f t="shared" si="24"/>
        <v/>
      </c>
      <c r="U283" s="31" t="s">
        <v>1876</v>
      </c>
      <c r="V283" s="31"/>
    </row>
    <row r="284" spans="1:22" ht="30">
      <c r="A284" s="7">
        <v>15</v>
      </c>
      <c r="B284" s="7">
        <v>142</v>
      </c>
      <c r="C284" s="7">
        <v>46368.625</v>
      </c>
      <c r="D284" s="7" t="s">
        <v>47</v>
      </c>
      <c r="E284" s="7" t="s">
        <v>43</v>
      </c>
      <c r="F284" s="7" t="s">
        <v>1742</v>
      </c>
      <c r="G284" s="7">
        <v>3</v>
      </c>
      <c r="H284" s="37">
        <f>Priors!$H$27*VLOOKUP(D284,Team_26_27!$A$2:$U$21,20,FALSE)*VLOOKUP(E284,Team_26_27!$A$2:$U$21,21,FALSE)*IF(F284="H",Priors!$H$28,Priors!$H$29)</f>
        <v>1.0906623330459726</v>
      </c>
      <c r="I284" s="37">
        <f>Priors!$H$27*VLOOKUP(E284,Team_26_27!$A$2:$U$21,20,FALSE)*VLOOKUP(D284,Team_26_27!$A$2:$U$21,21,FALSE)*IF(F284="H",Priors!$H$29,Priors!$H$28)</f>
        <v>1.707369538711931</v>
      </c>
      <c r="J284" s="15"/>
      <c r="K284" s="15"/>
      <c r="L284" s="47" t="b">
        <v>0</v>
      </c>
      <c r="M284" s="45">
        <v>0</v>
      </c>
      <c r="N284" s="45"/>
      <c r="O284" s="45"/>
      <c r="P284" s="38">
        <f t="shared" si="20"/>
        <v>1.0906623330459726</v>
      </c>
      <c r="Q284" s="38">
        <f t="shared" si="21"/>
        <v>1.707369538711931</v>
      </c>
      <c r="R284" s="17">
        <f t="shared" si="22"/>
        <v>0.18134217936669922</v>
      </c>
      <c r="S284" s="17">
        <f t="shared" si="23"/>
        <v>0.33599388014264842</v>
      </c>
      <c r="T284" s="38" t="str">
        <f t="shared" si="24"/>
        <v/>
      </c>
      <c r="U284" s="31" t="s">
        <v>1876</v>
      </c>
      <c r="V284" s="31"/>
    </row>
    <row r="285" spans="1:22" ht="30">
      <c r="A285" s="7">
        <v>15</v>
      </c>
      <c r="B285" s="7">
        <v>142</v>
      </c>
      <c r="C285" s="7">
        <v>46368.625</v>
      </c>
      <c r="D285" s="7" t="s">
        <v>43</v>
      </c>
      <c r="E285" s="7" t="s">
        <v>47</v>
      </c>
      <c r="F285" s="7" t="s">
        <v>1743</v>
      </c>
      <c r="G285" s="7">
        <v>3</v>
      </c>
      <c r="H285" s="37">
        <f>Priors!$H$27*VLOOKUP(D285,Team_26_27!$A$2:$U$21,20,FALSE)*VLOOKUP(E285,Team_26_27!$A$2:$U$21,21,FALSE)*IF(F285="H",Priors!$H$28,Priors!$H$29)</f>
        <v>1.707369538711931</v>
      </c>
      <c r="I285" s="37">
        <f>Priors!$H$27*VLOOKUP(E285,Team_26_27!$A$2:$U$21,20,FALSE)*VLOOKUP(D285,Team_26_27!$A$2:$U$21,21,FALSE)*IF(F285="H",Priors!$H$29,Priors!$H$28)</f>
        <v>1.0906623330459726</v>
      </c>
      <c r="J285" s="15"/>
      <c r="K285" s="15"/>
      <c r="L285" s="47" t="b">
        <v>0</v>
      </c>
      <c r="M285" s="45">
        <v>0</v>
      </c>
      <c r="N285" s="45"/>
      <c r="O285" s="45"/>
      <c r="P285" s="38">
        <f t="shared" si="20"/>
        <v>1.707369538711931</v>
      </c>
      <c r="Q285" s="38">
        <f t="shared" si="21"/>
        <v>1.0906623330459726</v>
      </c>
      <c r="R285" s="17">
        <f t="shared" si="22"/>
        <v>0.33599388014264842</v>
      </c>
      <c r="S285" s="17">
        <f t="shared" si="23"/>
        <v>0.18134217936669922</v>
      </c>
      <c r="T285" s="38" t="str">
        <f t="shared" si="24"/>
        <v/>
      </c>
      <c r="U285" s="31" t="s">
        <v>1876</v>
      </c>
      <c r="V285" s="31"/>
    </row>
    <row r="286" spans="1:22" ht="30">
      <c r="A286" s="7">
        <v>15</v>
      </c>
      <c r="B286" s="7">
        <v>143</v>
      </c>
      <c r="C286" s="7">
        <v>46368.625</v>
      </c>
      <c r="D286" s="7" t="s">
        <v>40</v>
      </c>
      <c r="E286" s="7" t="s">
        <v>45</v>
      </c>
      <c r="F286" s="7" t="s">
        <v>1742</v>
      </c>
      <c r="G286" s="7">
        <v>2</v>
      </c>
      <c r="H286" s="37">
        <f>Priors!$H$27*VLOOKUP(D286,Team_26_27!$A$2:$U$21,20,FALSE)*VLOOKUP(E286,Team_26_27!$A$2:$U$21,21,FALSE)*IF(F286="H",Priors!$H$28,Priors!$H$29)</f>
        <v>1.4780425610715036</v>
      </c>
      <c r="I286" s="37">
        <f>Priors!$H$27*VLOOKUP(E286,Team_26_27!$A$2:$U$21,20,FALSE)*VLOOKUP(D286,Team_26_27!$A$2:$U$21,21,FALSE)*IF(F286="H",Priors!$H$29,Priors!$H$28)</f>
        <v>1.2262622240228309</v>
      </c>
      <c r="J286" s="15"/>
      <c r="K286" s="15"/>
      <c r="L286" s="47" t="b">
        <v>0</v>
      </c>
      <c r="M286" s="45">
        <v>0</v>
      </c>
      <c r="N286" s="45"/>
      <c r="O286" s="45"/>
      <c r="P286" s="38">
        <f t="shared" si="20"/>
        <v>1.4780425610715036</v>
      </c>
      <c r="Q286" s="38">
        <f t="shared" si="21"/>
        <v>1.2262622240228309</v>
      </c>
      <c r="R286" s="17">
        <f t="shared" si="22"/>
        <v>0.29338714620764383</v>
      </c>
      <c r="S286" s="17">
        <f t="shared" si="23"/>
        <v>0.22808371164588226</v>
      </c>
      <c r="T286" s="38" t="str">
        <f t="shared" si="24"/>
        <v/>
      </c>
      <c r="U286" s="31" t="s">
        <v>1876</v>
      </c>
      <c r="V286" s="31"/>
    </row>
    <row r="287" spans="1:22" ht="30">
      <c r="A287" s="7">
        <v>15</v>
      </c>
      <c r="B287" s="7">
        <v>143</v>
      </c>
      <c r="C287" s="7">
        <v>46368.625</v>
      </c>
      <c r="D287" s="7" t="s">
        <v>45</v>
      </c>
      <c r="E287" s="7" t="s">
        <v>40</v>
      </c>
      <c r="F287" s="7" t="s">
        <v>1743</v>
      </c>
      <c r="G287" s="7">
        <v>3</v>
      </c>
      <c r="H287" s="37">
        <f>Priors!$H$27*VLOOKUP(D287,Team_26_27!$A$2:$U$21,20,FALSE)*VLOOKUP(E287,Team_26_27!$A$2:$U$21,21,FALSE)*IF(F287="H",Priors!$H$28,Priors!$H$29)</f>
        <v>1.2262622240228309</v>
      </c>
      <c r="I287" s="37">
        <f>Priors!$H$27*VLOOKUP(E287,Team_26_27!$A$2:$U$21,20,FALSE)*VLOOKUP(D287,Team_26_27!$A$2:$U$21,21,FALSE)*IF(F287="H",Priors!$H$29,Priors!$H$28)</f>
        <v>1.4780425610715036</v>
      </c>
      <c r="J287" s="15"/>
      <c r="K287" s="15"/>
      <c r="L287" s="47" t="b">
        <v>0</v>
      </c>
      <c r="M287" s="45">
        <v>0</v>
      </c>
      <c r="N287" s="45"/>
      <c r="O287" s="45"/>
      <c r="P287" s="38">
        <f t="shared" si="20"/>
        <v>1.2262622240228309</v>
      </c>
      <c r="Q287" s="38">
        <f t="shared" si="21"/>
        <v>1.4780425610715036</v>
      </c>
      <c r="R287" s="17">
        <f t="shared" si="22"/>
        <v>0.22808371164588226</v>
      </c>
      <c r="S287" s="17">
        <f t="shared" si="23"/>
        <v>0.29338714620764383</v>
      </c>
      <c r="T287" s="38" t="str">
        <f t="shared" si="24"/>
        <v/>
      </c>
      <c r="U287" s="31" t="s">
        <v>1876</v>
      </c>
      <c r="V287" s="31"/>
    </row>
    <row r="288" spans="1:22" ht="30">
      <c r="A288" s="7">
        <v>15</v>
      </c>
      <c r="B288" s="7">
        <v>144</v>
      </c>
      <c r="C288" s="7">
        <v>46368.625</v>
      </c>
      <c r="D288" s="7" t="s">
        <v>54</v>
      </c>
      <c r="E288" s="7" t="s">
        <v>46</v>
      </c>
      <c r="F288" s="7" t="s">
        <v>1742</v>
      </c>
      <c r="G288" s="7">
        <v>3</v>
      </c>
      <c r="H288" s="37">
        <f>Priors!$H$27*VLOOKUP(D288,Team_26_27!$A$2:$U$21,20,FALSE)*VLOOKUP(E288,Team_26_27!$A$2:$U$21,21,FALSE)*IF(F288="H",Priors!$H$28,Priors!$H$29)</f>
        <v>1.4415976799224124</v>
      </c>
      <c r="I288" s="37">
        <f>Priors!$H$27*VLOOKUP(E288,Team_26_27!$A$2:$U$21,20,FALSE)*VLOOKUP(D288,Team_26_27!$A$2:$U$21,21,FALSE)*IF(F288="H",Priors!$H$29,Priors!$H$28)</f>
        <v>1.5221313384191204</v>
      </c>
      <c r="J288" s="15"/>
      <c r="K288" s="15"/>
      <c r="L288" s="47" t="b">
        <v>0</v>
      </c>
      <c r="M288" s="45">
        <v>0</v>
      </c>
      <c r="N288" s="45"/>
      <c r="O288" s="45"/>
      <c r="P288" s="38">
        <f t="shared" si="20"/>
        <v>1.4415976799224124</v>
      </c>
      <c r="Q288" s="38">
        <f t="shared" si="21"/>
        <v>1.5221313384191204</v>
      </c>
      <c r="R288" s="17">
        <f t="shared" si="22"/>
        <v>0.21824623431278831</v>
      </c>
      <c r="S288" s="17">
        <f t="shared" si="23"/>
        <v>0.23654952618670089</v>
      </c>
      <c r="T288" s="38" t="str">
        <f t="shared" si="24"/>
        <v/>
      </c>
      <c r="U288" s="31" t="s">
        <v>1876</v>
      </c>
      <c r="V288" s="31"/>
    </row>
    <row r="289" spans="1:22" ht="30">
      <c r="A289" s="7">
        <v>15</v>
      </c>
      <c r="B289" s="7">
        <v>144</v>
      </c>
      <c r="C289" s="7">
        <v>46368.625</v>
      </c>
      <c r="D289" s="7" t="s">
        <v>46</v>
      </c>
      <c r="E289" s="7" t="s">
        <v>54</v>
      </c>
      <c r="F289" s="7" t="s">
        <v>1743</v>
      </c>
      <c r="G289" s="7">
        <v>4</v>
      </c>
      <c r="H289" s="37">
        <f>Priors!$H$27*VLOOKUP(D289,Team_26_27!$A$2:$U$21,20,FALSE)*VLOOKUP(E289,Team_26_27!$A$2:$U$21,21,FALSE)*IF(F289="H",Priors!$H$28,Priors!$H$29)</f>
        <v>1.5221313384191204</v>
      </c>
      <c r="I289" s="37">
        <f>Priors!$H$27*VLOOKUP(E289,Team_26_27!$A$2:$U$21,20,FALSE)*VLOOKUP(D289,Team_26_27!$A$2:$U$21,21,FALSE)*IF(F289="H",Priors!$H$29,Priors!$H$28)</f>
        <v>1.4415976799224124</v>
      </c>
      <c r="J289" s="15"/>
      <c r="K289" s="15"/>
      <c r="L289" s="47" t="b">
        <v>0</v>
      </c>
      <c r="M289" s="45">
        <v>0</v>
      </c>
      <c r="N289" s="45"/>
      <c r="O289" s="45"/>
      <c r="P289" s="38">
        <f t="shared" si="20"/>
        <v>1.5221313384191204</v>
      </c>
      <c r="Q289" s="38">
        <f t="shared" si="21"/>
        <v>1.4415976799224124</v>
      </c>
      <c r="R289" s="17">
        <f t="shared" si="22"/>
        <v>0.23654952618670089</v>
      </c>
      <c r="S289" s="17">
        <f t="shared" si="23"/>
        <v>0.21824623431278831</v>
      </c>
      <c r="T289" s="38" t="str">
        <f t="shared" si="24"/>
        <v/>
      </c>
      <c r="U289" s="31" t="s">
        <v>1876</v>
      </c>
      <c r="V289" s="31"/>
    </row>
    <row r="290" spans="1:22" ht="30">
      <c r="A290" s="7">
        <v>15</v>
      </c>
      <c r="B290" s="7">
        <v>145</v>
      </c>
      <c r="C290" s="7">
        <v>46368.625</v>
      </c>
      <c r="D290" s="7" t="s">
        <v>42</v>
      </c>
      <c r="E290" s="7" t="s">
        <v>48</v>
      </c>
      <c r="F290" s="7" t="s">
        <v>1742</v>
      </c>
      <c r="G290" s="7">
        <v>3</v>
      </c>
      <c r="H290" s="37">
        <f>Priors!$H$27*VLOOKUP(D290,Team_26_27!$A$2:$U$21,20,FALSE)*VLOOKUP(E290,Team_26_27!$A$2:$U$21,21,FALSE)*IF(F290="H",Priors!$H$28,Priors!$H$29)</f>
        <v>1.3811349872545664</v>
      </c>
      <c r="I290" s="37">
        <f>Priors!$H$27*VLOOKUP(E290,Team_26_27!$A$2:$U$21,20,FALSE)*VLOOKUP(D290,Team_26_27!$A$2:$U$21,21,FALSE)*IF(F290="H",Priors!$H$29,Priors!$H$28)</f>
        <v>1.4871723648414312</v>
      </c>
      <c r="J290" s="15"/>
      <c r="K290" s="15"/>
      <c r="L290" s="47" t="b">
        <v>0</v>
      </c>
      <c r="M290" s="45">
        <v>0</v>
      </c>
      <c r="N290" s="45"/>
      <c r="O290" s="45"/>
      <c r="P290" s="38">
        <f t="shared" si="20"/>
        <v>1.3811349872545664</v>
      </c>
      <c r="Q290" s="38">
        <f t="shared" si="21"/>
        <v>1.4871723648414312</v>
      </c>
      <c r="R290" s="17">
        <f t="shared" si="22"/>
        <v>0.22601082901969635</v>
      </c>
      <c r="S290" s="17">
        <f t="shared" si="23"/>
        <v>0.25129317658847533</v>
      </c>
      <c r="T290" s="38" t="str">
        <f t="shared" si="24"/>
        <v/>
      </c>
      <c r="U290" s="31" t="s">
        <v>1876</v>
      </c>
      <c r="V290" s="31"/>
    </row>
    <row r="291" spans="1:22" ht="30">
      <c r="A291" s="7">
        <v>15</v>
      </c>
      <c r="B291" s="7">
        <v>145</v>
      </c>
      <c r="C291" s="7">
        <v>46368.625</v>
      </c>
      <c r="D291" s="7" t="s">
        <v>48</v>
      </c>
      <c r="E291" s="7" t="s">
        <v>42</v>
      </c>
      <c r="F291" s="7" t="s">
        <v>1743</v>
      </c>
      <c r="G291" s="7">
        <v>3</v>
      </c>
      <c r="H291" s="37">
        <f>Priors!$H$27*VLOOKUP(D291,Team_26_27!$A$2:$U$21,20,FALSE)*VLOOKUP(E291,Team_26_27!$A$2:$U$21,21,FALSE)*IF(F291="H",Priors!$H$28,Priors!$H$29)</f>
        <v>1.4871723648414312</v>
      </c>
      <c r="I291" s="37">
        <f>Priors!$H$27*VLOOKUP(E291,Team_26_27!$A$2:$U$21,20,FALSE)*VLOOKUP(D291,Team_26_27!$A$2:$U$21,21,FALSE)*IF(F291="H",Priors!$H$29,Priors!$H$28)</f>
        <v>1.3811349872545664</v>
      </c>
      <c r="J291" s="15"/>
      <c r="K291" s="15"/>
      <c r="L291" s="47" t="b">
        <v>0</v>
      </c>
      <c r="M291" s="45">
        <v>0</v>
      </c>
      <c r="N291" s="45"/>
      <c r="O291" s="45"/>
      <c r="P291" s="38">
        <f t="shared" si="20"/>
        <v>1.4871723648414312</v>
      </c>
      <c r="Q291" s="38">
        <f t="shared" si="21"/>
        <v>1.3811349872545664</v>
      </c>
      <c r="R291" s="17">
        <f t="shared" si="22"/>
        <v>0.25129317658847533</v>
      </c>
      <c r="S291" s="17">
        <f t="shared" si="23"/>
        <v>0.22601082901969635</v>
      </c>
      <c r="T291" s="38" t="str">
        <f t="shared" si="24"/>
        <v/>
      </c>
      <c r="U291" s="31" t="s">
        <v>1876</v>
      </c>
      <c r="V291" s="31"/>
    </row>
    <row r="292" spans="1:22" ht="30">
      <c r="A292" s="7">
        <v>15</v>
      </c>
      <c r="B292" s="7">
        <v>146</v>
      </c>
      <c r="C292" s="7">
        <v>46368.625</v>
      </c>
      <c r="D292" s="7" t="s">
        <v>57</v>
      </c>
      <c r="E292" s="7" t="s">
        <v>49</v>
      </c>
      <c r="F292" s="7" t="s">
        <v>1742</v>
      </c>
      <c r="G292" s="7">
        <v>2</v>
      </c>
      <c r="H292" s="37">
        <f>Priors!$H$27*VLOOKUP(D292,Team_26_27!$A$2:$U$21,20,FALSE)*VLOOKUP(E292,Team_26_27!$A$2:$U$21,21,FALSE)*IF(F292="H",Priors!$H$28,Priors!$H$29)</f>
        <v>1.4213057283658583</v>
      </c>
      <c r="I292" s="37">
        <f>Priors!$H$27*VLOOKUP(E292,Team_26_27!$A$2:$U$21,20,FALSE)*VLOOKUP(D292,Team_26_27!$A$2:$U$21,21,FALSE)*IF(F292="H",Priors!$H$29,Priors!$H$28)</f>
        <v>1.0614907912374081</v>
      </c>
      <c r="J292" s="15"/>
      <c r="K292" s="15"/>
      <c r="L292" s="47" t="b">
        <v>0</v>
      </c>
      <c r="M292" s="45">
        <v>0</v>
      </c>
      <c r="N292" s="45"/>
      <c r="O292" s="45"/>
      <c r="P292" s="38">
        <f t="shared" si="20"/>
        <v>1.4213057283658583</v>
      </c>
      <c r="Q292" s="38">
        <f t="shared" si="21"/>
        <v>1.0614907912374081</v>
      </c>
      <c r="R292" s="17">
        <f t="shared" si="22"/>
        <v>0.34593970184445805</v>
      </c>
      <c r="S292" s="17">
        <f t="shared" si="23"/>
        <v>0.24139861001141921</v>
      </c>
      <c r="T292" s="38" t="str">
        <f t="shared" si="24"/>
        <v/>
      </c>
      <c r="U292" s="31" t="s">
        <v>1876</v>
      </c>
      <c r="V292" s="31"/>
    </row>
    <row r="293" spans="1:22" ht="30">
      <c r="A293" s="7">
        <v>15</v>
      </c>
      <c r="B293" s="7">
        <v>146</v>
      </c>
      <c r="C293" s="7">
        <v>46368.625</v>
      </c>
      <c r="D293" s="7" t="s">
        <v>49</v>
      </c>
      <c r="E293" s="7" t="s">
        <v>57</v>
      </c>
      <c r="F293" s="7" t="s">
        <v>1743</v>
      </c>
      <c r="G293" s="7">
        <v>3</v>
      </c>
      <c r="H293" s="37">
        <f>Priors!$H$27*VLOOKUP(D293,Team_26_27!$A$2:$U$21,20,FALSE)*VLOOKUP(E293,Team_26_27!$A$2:$U$21,21,FALSE)*IF(F293="H",Priors!$H$28,Priors!$H$29)</f>
        <v>1.0614907912374081</v>
      </c>
      <c r="I293" s="37">
        <f>Priors!$H$27*VLOOKUP(E293,Team_26_27!$A$2:$U$21,20,FALSE)*VLOOKUP(D293,Team_26_27!$A$2:$U$21,21,FALSE)*IF(F293="H",Priors!$H$29,Priors!$H$28)</f>
        <v>1.4213057283658583</v>
      </c>
      <c r="J293" s="15"/>
      <c r="K293" s="15"/>
      <c r="L293" s="47" t="b">
        <v>0</v>
      </c>
      <c r="M293" s="45">
        <v>0</v>
      </c>
      <c r="N293" s="45"/>
      <c r="O293" s="45"/>
      <c r="P293" s="38">
        <f t="shared" si="20"/>
        <v>1.0614907912374081</v>
      </c>
      <c r="Q293" s="38">
        <f t="shared" si="21"/>
        <v>1.4213057283658583</v>
      </c>
      <c r="R293" s="17">
        <f t="shared" si="22"/>
        <v>0.24139861001141921</v>
      </c>
      <c r="S293" s="17">
        <f t="shared" si="23"/>
        <v>0.34593970184445805</v>
      </c>
      <c r="T293" s="38" t="str">
        <f t="shared" si="24"/>
        <v/>
      </c>
      <c r="U293" s="31" t="s">
        <v>1876</v>
      </c>
      <c r="V293" s="31"/>
    </row>
    <row r="294" spans="1:22" ht="30">
      <c r="A294" s="7">
        <v>15</v>
      </c>
      <c r="B294" s="7">
        <v>147</v>
      </c>
      <c r="C294" s="7">
        <v>46368.625</v>
      </c>
      <c r="D294" s="7" t="s">
        <v>55</v>
      </c>
      <c r="E294" s="7" t="s">
        <v>50</v>
      </c>
      <c r="F294" s="7" t="s">
        <v>1742</v>
      </c>
      <c r="G294" s="7">
        <v>2</v>
      </c>
      <c r="H294" s="37">
        <f>Priors!$H$27*VLOOKUP(D294,Team_26_27!$A$2:$U$21,20,FALSE)*VLOOKUP(E294,Team_26_27!$A$2:$U$21,21,FALSE)*IF(F294="H",Priors!$H$28,Priors!$H$29)</f>
        <v>1.6158951760503726</v>
      </c>
      <c r="I294" s="37">
        <f>Priors!$H$27*VLOOKUP(E294,Team_26_27!$A$2:$U$21,20,FALSE)*VLOOKUP(D294,Team_26_27!$A$2:$U$21,21,FALSE)*IF(F294="H",Priors!$H$29,Priors!$H$28)</f>
        <v>1.1503818690291543</v>
      </c>
      <c r="J294" s="15"/>
      <c r="K294" s="15"/>
      <c r="L294" s="47" t="b">
        <v>0</v>
      </c>
      <c r="M294" s="45">
        <v>0</v>
      </c>
      <c r="N294" s="45"/>
      <c r="O294" s="45"/>
      <c r="P294" s="38">
        <f t="shared" si="20"/>
        <v>1.6158951760503726</v>
      </c>
      <c r="Q294" s="38">
        <f t="shared" si="21"/>
        <v>1.1503818690291543</v>
      </c>
      <c r="R294" s="17">
        <f t="shared" si="22"/>
        <v>0.31651587868701053</v>
      </c>
      <c r="S294" s="17">
        <f t="shared" si="23"/>
        <v>0.19871270794176601</v>
      </c>
      <c r="T294" s="38" t="str">
        <f t="shared" si="24"/>
        <v/>
      </c>
      <c r="U294" s="31" t="s">
        <v>1876</v>
      </c>
      <c r="V294" s="31"/>
    </row>
    <row r="295" spans="1:22" ht="30">
      <c r="A295" s="7">
        <v>15</v>
      </c>
      <c r="B295" s="7">
        <v>147</v>
      </c>
      <c r="C295" s="7">
        <v>46368.625</v>
      </c>
      <c r="D295" s="7" t="s">
        <v>50</v>
      </c>
      <c r="E295" s="7" t="s">
        <v>55</v>
      </c>
      <c r="F295" s="7" t="s">
        <v>1743</v>
      </c>
      <c r="G295" s="7">
        <v>2</v>
      </c>
      <c r="H295" s="37">
        <f>Priors!$H$27*VLOOKUP(D295,Team_26_27!$A$2:$U$21,20,FALSE)*VLOOKUP(E295,Team_26_27!$A$2:$U$21,21,FALSE)*IF(F295="H",Priors!$H$28,Priors!$H$29)</f>
        <v>1.1503818690291543</v>
      </c>
      <c r="I295" s="37">
        <f>Priors!$H$27*VLOOKUP(E295,Team_26_27!$A$2:$U$21,20,FALSE)*VLOOKUP(D295,Team_26_27!$A$2:$U$21,21,FALSE)*IF(F295="H",Priors!$H$29,Priors!$H$28)</f>
        <v>1.6158951760503726</v>
      </c>
      <c r="J295" s="15"/>
      <c r="K295" s="15"/>
      <c r="L295" s="47" t="b">
        <v>0</v>
      </c>
      <c r="M295" s="45">
        <v>0</v>
      </c>
      <c r="N295" s="45"/>
      <c r="O295" s="45"/>
      <c r="P295" s="38">
        <f t="shared" si="20"/>
        <v>1.1503818690291543</v>
      </c>
      <c r="Q295" s="38">
        <f t="shared" si="21"/>
        <v>1.6158951760503726</v>
      </c>
      <c r="R295" s="17">
        <f t="shared" si="22"/>
        <v>0.19871270794176601</v>
      </c>
      <c r="S295" s="17">
        <f t="shared" si="23"/>
        <v>0.31651587868701053</v>
      </c>
      <c r="T295" s="38" t="str">
        <f t="shared" si="24"/>
        <v/>
      </c>
      <c r="U295" s="31" t="s">
        <v>1876</v>
      </c>
      <c r="V295" s="31"/>
    </row>
    <row r="296" spans="1:22" ht="30">
      <c r="A296" s="7">
        <v>15</v>
      </c>
      <c r="B296" s="7">
        <v>148</v>
      </c>
      <c r="C296" s="7">
        <v>46368.625</v>
      </c>
      <c r="D296" s="7" t="s">
        <v>51</v>
      </c>
      <c r="E296" s="7" t="s">
        <v>52</v>
      </c>
      <c r="F296" s="7" t="s">
        <v>1742</v>
      </c>
      <c r="G296" s="7">
        <v>4</v>
      </c>
      <c r="H296" s="37">
        <f>Priors!$H$27*VLOOKUP(D296,Team_26_27!$A$2:$U$21,20,FALSE)*VLOOKUP(E296,Team_26_27!$A$2:$U$21,21,FALSE)*IF(F296="H",Priors!$H$28,Priors!$H$29)</f>
        <v>1.2004316745566965</v>
      </c>
      <c r="I296" s="37">
        <f>Priors!$H$27*VLOOKUP(E296,Team_26_27!$A$2:$U$21,20,FALSE)*VLOOKUP(D296,Team_26_27!$A$2:$U$21,21,FALSE)*IF(F296="H",Priors!$H$29,Priors!$H$28)</f>
        <v>1.7246056797192784</v>
      </c>
      <c r="J296" s="15"/>
      <c r="K296" s="15"/>
      <c r="L296" s="47" t="b">
        <v>0</v>
      </c>
      <c r="M296" s="45">
        <v>0</v>
      </c>
      <c r="N296" s="45"/>
      <c r="O296" s="45"/>
      <c r="P296" s="38">
        <f t="shared" si="20"/>
        <v>1.2004316745566965</v>
      </c>
      <c r="Q296" s="38">
        <f t="shared" si="21"/>
        <v>1.7246056797192784</v>
      </c>
      <c r="R296" s="17">
        <f t="shared" si="22"/>
        <v>0.17824332287444025</v>
      </c>
      <c r="S296" s="17">
        <f t="shared" si="23"/>
        <v>0.30106422209296269</v>
      </c>
      <c r="T296" s="38" t="str">
        <f t="shared" si="24"/>
        <v/>
      </c>
      <c r="U296" s="31" t="s">
        <v>1876</v>
      </c>
      <c r="V296" s="31"/>
    </row>
    <row r="297" spans="1:22" ht="30">
      <c r="A297" s="7">
        <v>15</v>
      </c>
      <c r="B297" s="7">
        <v>148</v>
      </c>
      <c r="C297" s="7">
        <v>46368.625</v>
      </c>
      <c r="D297" s="7" t="s">
        <v>52</v>
      </c>
      <c r="E297" s="7" t="s">
        <v>51</v>
      </c>
      <c r="F297" s="7" t="s">
        <v>1743</v>
      </c>
      <c r="G297" s="7">
        <v>2</v>
      </c>
      <c r="H297" s="37">
        <f>Priors!$H$27*VLOOKUP(D297,Team_26_27!$A$2:$U$21,20,FALSE)*VLOOKUP(E297,Team_26_27!$A$2:$U$21,21,FALSE)*IF(F297="H",Priors!$H$28,Priors!$H$29)</f>
        <v>1.7246056797192784</v>
      </c>
      <c r="I297" s="37">
        <f>Priors!$H$27*VLOOKUP(E297,Team_26_27!$A$2:$U$21,20,FALSE)*VLOOKUP(D297,Team_26_27!$A$2:$U$21,21,FALSE)*IF(F297="H",Priors!$H$29,Priors!$H$28)</f>
        <v>1.2004316745566965</v>
      </c>
      <c r="J297" s="15"/>
      <c r="K297" s="15"/>
      <c r="L297" s="47" t="b">
        <v>0</v>
      </c>
      <c r="M297" s="45">
        <v>0</v>
      </c>
      <c r="N297" s="45"/>
      <c r="O297" s="45"/>
      <c r="P297" s="38">
        <f t="shared" si="20"/>
        <v>1.7246056797192784</v>
      </c>
      <c r="Q297" s="38">
        <f t="shared" si="21"/>
        <v>1.2004316745566965</v>
      </c>
      <c r="R297" s="17">
        <f t="shared" si="22"/>
        <v>0.30106422209296269</v>
      </c>
      <c r="S297" s="17">
        <f t="shared" si="23"/>
        <v>0.17824332287444025</v>
      </c>
      <c r="T297" s="38" t="str">
        <f t="shared" si="24"/>
        <v/>
      </c>
      <c r="U297" s="31" t="s">
        <v>1876</v>
      </c>
      <c r="V297" s="31"/>
    </row>
    <row r="298" spans="1:22" ht="30">
      <c r="A298" s="7">
        <v>15</v>
      </c>
      <c r="B298" s="7">
        <v>149</v>
      </c>
      <c r="C298" s="7">
        <v>46368.625</v>
      </c>
      <c r="D298" s="7" t="s">
        <v>44</v>
      </c>
      <c r="E298" s="7" t="s">
        <v>53</v>
      </c>
      <c r="F298" s="7" t="s">
        <v>1742</v>
      </c>
      <c r="G298" s="7">
        <v>5</v>
      </c>
      <c r="H298" s="37">
        <f>Priors!$H$27*VLOOKUP(D298,Team_26_27!$A$2:$U$21,20,FALSE)*VLOOKUP(E298,Team_26_27!$A$2:$U$21,21,FALSE)*IF(F298="H",Priors!$H$28,Priors!$H$29)</f>
        <v>1.300070516227203</v>
      </c>
      <c r="I298" s="37">
        <f>Priors!$H$27*VLOOKUP(E298,Team_26_27!$A$2:$U$21,20,FALSE)*VLOOKUP(D298,Team_26_27!$A$2:$U$21,21,FALSE)*IF(F298="H",Priors!$H$29,Priors!$H$28)</f>
        <v>1.8163162191706672</v>
      </c>
      <c r="J298" s="15"/>
      <c r="K298" s="15"/>
      <c r="L298" s="47" t="b">
        <v>0</v>
      </c>
      <c r="M298" s="45">
        <v>0</v>
      </c>
      <c r="N298" s="45"/>
      <c r="O298" s="45"/>
      <c r="P298" s="38">
        <f t="shared" si="20"/>
        <v>1.300070516227203</v>
      </c>
      <c r="Q298" s="38">
        <f t="shared" si="21"/>
        <v>1.8163162191706672</v>
      </c>
      <c r="R298" s="17">
        <f t="shared" si="22"/>
        <v>0.16262371900447264</v>
      </c>
      <c r="S298" s="17">
        <f t="shared" si="23"/>
        <v>0.2725125757977464</v>
      </c>
      <c r="T298" s="38" t="str">
        <f t="shared" si="24"/>
        <v/>
      </c>
      <c r="U298" s="31" t="s">
        <v>1876</v>
      </c>
      <c r="V298" s="31"/>
    </row>
    <row r="299" spans="1:22" ht="30">
      <c r="A299" s="7">
        <v>15</v>
      </c>
      <c r="B299" s="7">
        <v>149</v>
      </c>
      <c r="C299" s="7">
        <v>46368.625</v>
      </c>
      <c r="D299" s="7" t="s">
        <v>53</v>
      </c>
      <c r="E299" s="7" t="s">
        <v>44</v>
      </c>
      <c r="F299" s="7" t="s">
        <v>1743</v>
      </c>
      <c r="G299" s="7">
        <v>4</v>
      </c>
      <c r="H299" s="37">
        <f>Priors!$H$27*VLOOKUP(D299,Team_26_27!$A$2:$U$21,20,FALSE)*VLOOKUP(E299,Team_26_27!$A$2:$U$21,21,FALSE)*IF(F299="H",Priors!$H$28,Priors!$H$29)</f>
        <v>1.8163162191706672</v>
      </c>
      <c r="I299" s="37">
        <f>Priors!$H$27*VLOOKUP(E299,Team_26_27!$A$2:$U$21,20,FALSE)*VLOOKUP(D299,Team_26_27!$A$2:$U$21,21,FALSE)*IF(F299="H",Priors!$H$29,Priors!$H$28)</f>
        <v>1.300070516227203</v>
      </c>
      <c r="J299" s="15"/>
      <c r="K299" s="15"/>
      <c r="L299" s="47" t="b">
        <v>0</v>
      </c>
      <c r="M299" s="45">
        <v>0</v>
      </c>
      <c r="N299" s="45"/>
      <c r="O299" s="45"/>
      <c r="P299" s="38">
        <f t="shared" si="20"/>
        <v>1.8163162191706672</v>
      </c>
      <c r="Q299" s="38">
        <f t="shared" si="21"/>
        <v>1.300070516227203</v>
      </c>
      <c r="R299" s="17">
        <f t="shared" si="22"/>
        <v>0.2725125757977464</v>
      </c>
      <c r="S299" s="17">
        <f t="shared" si="23"/>
        <v>0.16262371900447264</v>
      </c>
      <c r="T299" s="38" t="str">
        <f t="shared" si="24"/>
        <v/>
      </c>
      <c r="U299" s="31" t="s">
        <v>1876</v>
      </c>
      <c r="V299" s="31"/>
    </row>
    <row r="300" spans="1:22" ht="30">
      <c r="A300" s="7">
        <v>15</v>
      </c>
      <c r="B300" s="7">
        <v>150</v>
      </c>
      <c r="C300" s="7">
        <v>46368.625</v>
      </c>
      <c r="D300" s="7" t="s">
        <v>56</v>
      </c>
      <c r="E300" s="7" t="s">
        <v>58</v>
      </c>
      <c r="F300" s="7" t="s">
        <v>1742</v>
      </c>
      <c r="G300" s="7">
        <v>3</v>
      </c>
      <c r="H300" s="37">
        <f>Priors!$H$27*VLOOKUP(D300,Team_26_27!$A$2:$U$21,20,FALSE)*VLOOKUP(E300,Team_26_27!$A$2:$U$21,21,FALSE)*IF(F300="H",Priors!$H$28,Priors!$H$29)</f>
        <v>1.1849847914282317</v>
      </c>
      <c r="I300" s="37">
        <f>Priors!$H$27*VLOOKUP(E300,Team_26_27!$A$2:$U$21,20,FALSE)*VLOOKUP(D300,Team_26_27!$A$2:$U$21,21,FALSE)*IF(F300="H",Priors!$H$29,Priors!$H$28)</f>
        <v>1.3036006769199899</v>
      </c>
      <c r="J300" s="15"/>
      <c r="K300" s="15"/>
      <c r="L300" s="47" t="b">
        <v>0</v>
      </c>
      <c r="M300" s="45">
        <v>0</v>
      </c>
      <c r="N300" s="45"/>
      <c r="O300" s="45"/>
      <c r="P300" s="38">
        <f t="shared" si="20"/>
        <v>1.1849847914282317</v>
      </c>
      <c r="Q300" s="38">
        <f t="shared" si="21"/>
        <v>1.3036006769199899</v>
      </c>
      <c r="R300" s="17">
        <f t="shared" si="22"/>
        <v>0.27155225864859328</v>
      </c>
      <c r="S300" s="17">
        <f t="shared" si="23"/>
        <v>0.30575082949678539</v>
      </c>
      <c r="T300" s="38" t="str">
        <f t="shared" si="24"/>
        <v/>
      </c>
      <c r="U300" s="31" t="s">
        <v>1876</v>
      </c>
      <c r="V300" s="31"/>
    </row>
    <row r="301" spans="1:22" ht="30">
      <c r="A301" s="7">
        <v>15</v>
      </c>
      <c r="B301" s="7">
        <v>150</v>
      </c>
      <c r="C301" s="7">
        <v>46368.625</v>
      </c>
      <c r="D301" s="7" t="s">
        <v>58</v>
      </c>
      <c r="E301" s="7" t="s">
        <v>56</v>
      </c>
      <c r="F301" s="7" t="s">
        <v>1743</v>
      </c>
      <c r="G301" s="7">
        <v>3</v>
      </c>
      <c r="H301" s="37">
        <f>Priors!$H$27*VLOOKUP(D301,Team_26_27!$A$2:$U$21,20,FALSE)*VLOOKUP(E301,Team_26_27!$A$2:$U$21,21,FALSE)*IF(F301="H",Priors!$H$28,Priors!$H$29)</f>
        <v>1.3036006769199899</v>
      </c>
      <c r="I301" s="37">
        <f>Priors!$H$27*VLOOKUP(E301,Team_26_27!$A$2:$U$21,20,FALSE)*VLOOKUP(D301,Team_26_27!$A$2:$U$21,21,FALSE)*IF(F301="H",Priors!$H$29,Priors!$H$28)</f>
        <v>1.1849847914282317</v>
      </c>
      <c r="J301" s="15"/>
      <c r="K301" s="15"/>
      <c r="L301" s="47" t="b">
        <v>0</v>
      </c>
      <c r="M301" s="45">
        <v>0</v>
      </c>
      <c r="N301" s="45"/>
      <c r="O301" s="45"/>
      <c r="P301" s="38">
        <f t="shared" si="20"/>
        <v>1.3036006769199899</v>
      </c>
      <c r="Q301" s="38">
        <f t="shared" si="21"/>
        <v>1.1849847914282317</v>
      </c>
      <c r="R301" s="17">
        <f t="shared" si="22"/>
        <v>0.30575082949678539</v>
      </c>
      <c r="S301" s="17">
        <f t="shared" si="23"/>
        <v>0.27155225864859328</v>
      </c>
      <c r="T301" s="38" t="str">
        <f t="shared" si="24"/>
        <v/>
      </c>
      <c r="U301" s="31" t="s">
        <v>1876</v>
      </c>
      <c r="V301" s="31"/>
    </row>
    <row r="302" spans="1:22" ht="30">
      <c r="A302" s="7">
        <v>16</v>
      </c>
      <c r="B302" s="7">
        <v>151</v>
      </c>
      <c r="C302" s="7">
        <v>46375.625</v>
      </c>
      <c r="D302" s="7" t="s">
        <v>54</v>
      </c>
      <c r="E302" s="7" t="s">
        <v>39</v>
      </c>
      <c r="F302" s="7" t="s">
        <v>1742</v>
      </c>
      <c r="G302" s="7">
        <v>5</v>
      </c>
      <c r="H302" s="37">
        <f>Priors!$H$27*VLOOKUP(D302,Team_26_27!$A$2:$U$21,20,FALSE)*VLOOKUP(E302,Team_26_27!$A$2:$U$21,21,FALSE)*IF(F302="H",Priors!$H$28,Priors!$H$29)</f>
        <v>0.98250488867254249</v>
      </c>
      <c r="I302" s="37">
        <f>Priors!$H$27*VLOOKUP(E302,Team_26_27!$A$2:$U$21,20,FALSE)*VLOOKUP(D302,Team_26_27!$A$2:$U$21,21,FALSE)*IF(F302="H",Priors!$H$29,Priors!$H$28)</f>
        <v>1.6839426157493422</v>
      </c>
      <c r="J302" s="15"/>
      <c r="K302" s="15"/>
      <c r="L302" s="47" t="b">
        <v>0</v>
      </c>
      <c r="M302" s="45">
        <v>0</v>
      </c>
      <c r="N302" s="45"/>
      <c r="O302" s="45"/>
      <c r="P302" s="38">
        <f t="shared" si="20"/>
        <v>0.98250488867254249</v>
      </c>
      <c r="Q302" s="38">
        <f t="shared" si="21"/>
        <v>1.6839426157493422</v>
      </c>
      <c r="R302" s="17">
        <f t="shared" si="22"/>
        <v>0.18564062168337792</v>
      </c>
      <c r="S302" s="17">
        <f t="shared" si="23"/>
        <v>0.3743721627873064</v>
      </c>
      <c r="T302" s="38" t="str">
        <f t="shared" si="24"/>
        <v/>
      </c>
      <c r="U302" s="31" t="s">
        <v>1876</v>
      </c>
      <c r="V302" s="31"/>
    </row>
    <row r="303" spans="1:22" ht="30">
      <c r="A303" s="7">
        <v>16</v>
      </c>
      <c r="B303" s="7">
        <v>151</v>
      </c>
      <c r="C303" s="7">
        <v>46375.625</v>
      </c>
      <c r="D303" s="7" t="s">
        <v>39</v>
      </c>
      <c r="E303" s="7" t="s">
        <v>54</v>
      </c>
      <c r="F303" s="7" t="s">
        <v>1743</v>
      </c>
      <c r="G303" s="7">
        <v>4</v>
      </c>
      <c r="H303" s="37">
        <f>Priors!$H$27*VLOOKUP(D303,Team_26_27!$A$2:$U$21,20,FALSE)*VLOOKUP(E303,Team_26_27!$A$2:$U$21,21,FALSE)*IF(F303="H",Priors!$H$28,Priors!$H$29)</f>
        <v>1.6839426157493422</v>
      </c>
      <c r="I303" s="37">
        <f>Priors!$H$27*VLOOKUP(E303,Team_26_27!$A$2:$U$21,20,FALSE)*VLOOKUP(D303,Team_26_27!$A$2:$U$21,21,FALSE)*IF(F303="H",Priors!$H$29,Priors!$H$28)</f>
        <v>0.98250488867254249</v>
      </c>
      <c r="J303" s="15"/>
      <c r="K303" s="15"/>
      <c r="L303" s="47" t="b">
        <v>0</v>
      </c>
      <c r="M303" s="45">
        <v>0</v>
      </c>
      <c r="N303" s="45"/>
      <c r="O303" s="45"/>
      <c r="P303" s="38">
        <f t="shared" si="20"/>
        <v>1.6839426157493422</v>
      </c>
      <c r="Q303" s="38">
        <f t="shared" si="21"/>
        <v>0.98250488867254249</v>
      </c>
      <c r="R303" s="17">
        <f t="shared" si="22"/>
        <v>0.3743721627873064</v>
      </c>
      <c r="S303" s="17">
        <f t="shared" si="23"/>
        <v>0.18564062168337792</v>
      </c>
      <c r="T303" s="38" t="str">
        <f t="shared" si="24"/>
        <v/>
      </c>
      <c r="U303" s="31" t="s">
        <v>1876</v>
      </c>
      <c r="V303" s="31"/>
    </row>
    <row r="304" spans="1:22" ht="30">
      <c r="A304" s="7">
        <v>16</v>
      </c>
      <c r="B304" s="7">
        <v>152</v>
      </c>
      <c r="C304" s="7">
        <v>46375.625</v>
      </c>
      <c r="D304" s="7" t="s">
        <v>45</v>
      </c>
      <c r="E304" s="7" t="s">
        <v>41</v>
      </c>
      <c r="F304" s="7" t="s">
        <v>1742</v>
      </c>
      <c r="G304" s="7">
        <v>3</v>
      </c>
      <c r="H304" s="37">
        <f>Priors!$H$27*VLOOKUP(D304,Team_26_27!$A$2:$U$21,20,FALSE)*VLOOKUP(E304,Team_26_27!$A$2:$U$21,21,FALSE)*IF(F304="H",Priors!$H$28,Priors!$H$29)</f>
        <v>1.0309239558631504</v>
      </c>
      <c r="I304" s="37">
        <f>Priors!$H$27*VLOOKUP(E304,Team_26_27!$A$2:$U$21,20,FALSE)*VLOOKUP(D304,Team_26_27!$A$2:$U$21,21,FALSE)*IF(F304="H",Priors!$H$29,Priors!$H$28)</f>
        <v>2.1073125104406936</v>
      </c>
      <c r="J304" s="15"/>
      <c r="K304" s="15"/>
      <c r="L304" s="47" t="b">
        <v>0</v>
      </c>
      <c r="M304" s="45">
        <v>0</v>
      </c>
      <c r="N304" s="45"/>
      <c r="O304" s="45"/>
      <c r="P304" s="38">
        <f t="shared" si="20"/>
        <v>1.0309239558631504</v>
      </c>
      <c r="Q304" s="38">
        <f t="shared" si="21"/>
        <v>2.1073125104406936</v>
      </c>
      <c r="R304" s="17">
        <f t="shared" si="22"/>
        <v>0.12156423042152094</v>
      </c>
      <c r="S304" s="17">
        <f t="shared" si="23"/>
        <v>0.35667725423524987</v>
      </c>
      <c r="T304" s="38" t="str">
        <f t="shared" si="24"/>
        <v/>
      </c>
      <c r="U304" s="31" t="s">
        <v>1876</v>
      </c>
      <c r="V304" s="31"/>
    </row>
    <row r="305" spans="1:22" ht="30">
      <c r="A305" s="7">
        <v>16</v>
      </c>
      <c r="B305" s="7">
        <v>152</v>
      </c>
      <c r="C305" s="7">
        <v>46375.625</v>
      </c>
      <c r="D305" s="7" t="s">
        <v>41</v>
      </c>
      <c r="E305" s="7" t="s">
        <v>45</v>
      </c>
      <c r="F305" s="7" t="s">
        <v>1743</v>
      </c>
      <c r="G305" s="7">
        <v>2</v>
      </c>
      <c r="H305" s="37">
        <f>Priors!$H$27*VLOOKUP(D305,Team_26_27!$A$2:$U$21,20,FALSE)*VLOOKUP(E305,Team_26_27!$A$2:$U$21,21,FALSE)*IF(F305="H",Priors!$H$28,Priors!$H$29)</f>
        <v>2.1073125104406936</v>
      </c>
      <c r="I305" s="37">
        <f>Priors!$H$27*VLOOKUP(E305,Team_26_27!$A$2:$U$21,20,FALSE)*VLOOKUP(D305,Team_26_27!$A$2:$U$21,21,FALSE)*IF(F305="H",Priors!$H$29,Priors!$H$28)</f>
        <v>1.0309239558631504</v>
      </c>
      <c r="J305" s="15"/>
      <c r="K305" s="15"/>
      <c r="L305" s="47" t="b">
        <v>0</v>
      </c>
      <c r="M305" s="45">
        <v>0</v>
      </c>
      <c r="N305" s="45"/>
      <c r="O305" s="45"/>
      <c r="P305" s="38">
        <f t="shared" si="20"/>
        <v>2.1073125104406936</v>
      </c>
      <c r="Q305" s="38">
        <f t="shared" si="21"/>
        <v>1.0309239558631504</v>
      </c>
      <c r="R305" s="17">
        <f t="shared" si="22"/>
        <v>0.35667725423524987</v>
      </c>
      <c r="S305" s="17">
        <f t="shared" si="23"/>
        <v>0.12156423042152094</v>
      </c>
      <c r="T305" s="38" t="str">
        <f t="shared" si="24"/>
        <v/>
      </c>
      <c r="U305" s="31" t="s">
        <v>1876</v>
      </c>
      <c r="V305" s="31"/>
    </row>
    <row r="306" spans="1:22" ht="30">
      <c r="A306" s="7">
        <v>16</v>
      </c>
      <c r="B306" s="7">
        <v>153</v>
      </c>
      <c r="C306" s="7">
        <v>46375.625</v>
      </c>
      <c r="D306" s="7" t="s">
        <v>55</v>
      </c>
      <c r="E306" s="7" t="s">
        <v>42</v>
      </c>
      <c r="F306" s="7" t="s">
        <v>1742</v>
      </c>
      <c r="G306" s="7">
        <v>3</v>
      </c>
      <c r="H306" s="37">
        <f>Priors!$H$27*VLOOKUP(D306,Team_26_27!$A$2:$U$21,20,FALSE)*VLOOKUP(E306,Team_26_27!$A$2:$U$21,21,FALSE)*IF(F306="H",Priors!$H$28,Priors!$H$29)</f>
        <v>1.3320255571203494</v>
      </c>
      <c r="I306" s="37">
        <f>Priors!$H$27*VLOOKUP(E306,Team_26_27!$A$2:$U$21,20,FALSE)*VLOOKUP(D306,Team_26_27!$A$2:$U$21,21,FALSE)*IF(F306="H",Priors!$H$29,Priors!$H$28)</f>
        <v>1.6514546960046967</v>
      </c>
      <c r="J306" s="15"/>
      <c r="K306" s="15"/>
      <c r="L306" s="47" t="b">
        <v>0</v>
      </c>
      <c r="M306" s="45">
        <v>0</v>
      </c>
      <c r="N306" s="45"/>
      <c r="O306" s="45"/>
      <c r="P306" s="38">
        <f t="shared" si="20"/>
        <v>1.3320255571203494</v>
      </c>
      <c r="Q306" s="38">
        <f t="shared" si="21"/>
        <v>1.6514546960046967</v>
      </c>
      <c r="R306" s="17">
        <f t="shared" si="22"/>
        <v>0.19177073748977599</v>
      </c>
      <c r="S306" s="17">
        <f t="shared" si="23"/>
        <v>0.26394208969333544</v>
      </c>
      <c r="T306" s="38" t="str">
        <f t="shared" si="24"/>
        <v/>
      </c>
      <c r="U306" s="31" t="s">
        <v>1876</v>
      </c>
      <c r="V306" s="31"/>
    </row>
    <row r="307" spans="1:22" ht="30">
      <c r="A307" s="7">
        <v>16</v>
      </c>
      <c r="B307" s="7">
        <v>153</v>
      </c>
      <c r="C307" s="7">
        <v>46375.625</v>
      </c>
      <c r="D307" s="7" t="s">
        <v>42</v>
      </c>
      <c r="E307" s="7" t="s">
        <v>55</v>
      </c>
      <c r="F307" s="7" t="s">
        <v>1743</v>
      </c>
      <c r="G307" s="7">
        <v>2</v>
      </c>
      <c r="H307" s="37">
        <f>Priors!$H$27*VLOOKUP(D307,Team_26_27!$A$2:$U$21,20,FALSE)*VLOOKUP(E307,Team_26_27!$A$2:$U$21,21,FALSE)*IF(F307="H",Priors!$H$28,Priors!$H$29)</f>
        <v>1.6514546960046967</v>
      </c>
      <c r="I307" s="37">
        <f>Priors!$H$27*VLOOKUP(E307,Team_26_27!$A$2:$U$21,20,FALSE)*VLOOKUP(D307,Team_26_27!$A$2:$U$21,21,FALSE)*IF(F307="H",Priors!$H$29,Priors!$H$28)</f>
        <v>1.3320255571203494</v>
      </c>
      <c r="J307" s="15"/>
      <c r="K307" s="15"/>
      <c r="L307" s="47" t="b">
        <v>0</v>
      </c>
      <c r="M307" s="45">
        <v>0</v>
      </c>
      <c r="N307" s="45"/>
      <c r="O307" s="45"/>
      <c r="P307" s="38">
        <f t="shared" si="20"/>
        <v>1.6514546960046967</v>
      </c>
      <c r="Q307" s="38">
        <f t="shared" si="21"/>
        <v>1.3320255571203494</v>
      </c>
      <c r="R307" s="17">
        <f t="shared" si="22"/>
        <v>0.26394208969333544</v>
      </c>
      <c r="S307" s="17">
        <f t="shared" si="23"/>
        <v>0.19177073748977599</v>
      </c>
      <c r="T307" s="38" t="str">
        <f t="shared" si="24"/>
        <v/>
      </c>
      <c r="U307" s="31" t="s">
        <v>1876</v>
      </c>
      <c r="V307" s="31"/>
    </row>
    <row r="308" spans="1:22" ht="30">
      <c r="A308" s="7">
        <v>16</v>
      </c>
      <c r="B308" s="7">
        <v>154</v>
      </c>
      <c r="C308" s="7">
        <v>46375.625</v>
      </c>
      <c r="D308" s="7" t="s">
        <v>50</v>
      </c>
      <c r="E308" s="7" t="s">
        <v>43</v>
      </c>
      <c r="F308" s="7" t="s">
        <v>1742</v>
      </c>
      <c r="G308" s="7">
        <v>3</v>
      </c>
      <c r="H308" s="37">
        <f>Priors!$H$27*VLOOKUP(D308,Team_26_27!$A$2:$U$21,20,FALSE)*VLOOKUP(E308,Team_26_27!$A$2:$U$21,21,FALSE)*IF(F308="H",Priors!$H$28,Priors!$H$29)</f>
        <v>0.90849253677419861</v>
      </c>
      <c r="I308" s="37">
        <f>Priors!$H$27*VLOOKUP(E308,Team_26_27!$A$2:$U$21,20,FALSE)*VLOOKUP(D308,Team_26_27!$A$2:$U$21,21,FALSE)*IF(F308="H",Priors!$H$29,Priors!$H$28)</f>
        <v>2.0163542701039079</v>
      </c>
      <c r="J308" s="15"/>
      <c r="K308" s="15"/>
      <c r="L308" s="47" t="b">
        <v>0</v>
      </c>
      <c r="M308" s="45">
        <v>0</v>
      </c>
      <c r="N308" s="45"/>
      <c r="O308" s="45"/>
      <c r="P308" s="38">
        <f t="shared" si="20"/>
        <v>0.90849253677419861</v>
      </c>
      <c r="Q308" s="38">
        <f t="shared" si="21"/>
        <v>2.0163542701039079</v>
      </c>
      <c r="R308" s="17">
        <f t="shared" si="22"/>
        <v>0.13313997373223571</v>
      </c>
      <c r="S308" s="17">
        <f t="shared" si="23"/>
        <v>0.40313147208591998</v>
      </c>
      <c r="T308" s="38" t="str">
        <f t="shared" si="24"/>
        <v/>
      </c>
      <c r="U308" s="31" t="s">
        <v>1876</v>
      </c>
      <c r="V308" s="31"/>
    </row>
    <row r="309" spans="1:22" ht="30">
      <c r="A309" s="7">
        <v>16</v>
      </c>
      <c r="B309" s="7">
        <v>154</v>
      </c>
      <c r="C309" s="7">
        <v>46375.625</v>
      </c>
      <c r="D309" s="7" t="s">
        <v>43</v>
      </c>
      <c r="E309" s="7" t="s">
        <v>50</v>
      </c>
      <c r="F309" s="7" t="s">
        <v>1743</v>
      </c>
      <c r="G309" s="7">
        <v>2</v>
      </c>
      <c r="H309" s="37">
        <f>Priors!$H$27*VLOOKUP(D309,Team_26_27!$A$2:$U$21,20,FALSE)*VLOOKUP(E309,Team_26_27!$A$2:$U$21,21,FALSE)*IF(F309="H",Priors!$H$28,Priors!$H$29)</f>
        <v>2.0163542701039079</v>
      </c>
      <c r="I309" s="37">
        <f>Priors!$H$27*VLOOKUP(E309,Team_26_27!$A$2:$U$21,20,FALSE)*VLOOKUP(D309,Team_26_27!$A$2:$U$21,21,FALSE)*IF(F309="H",Priors!$H$29,Priors!$H$28)</f>
        <v>0.90849253677419861</v>
      </c>
      <c r="J309" s="15"/>
      <c r="K309" s="15"/>
      <c r="L309" s="47" t="b">
        <v>0</v>
      </c>
      <c r="M309" s="45">
        <v>0</v>
      </c>
      <c r="N309" s="45"/>
      <c r="O309" s="45"/>
      <c r="P309" s="38">
        <f t="shared" si="20"/>
        <v>2.0163542701039079</v>
      </c>
      <c r="Q309" s="38">
        <f t="shared" si="21"/>
        <v>0.90849253677419861</v>
      </c>
      <c r="R309" s="17">
        <f t="shared" si="22"/>
        <v>0.40313147208591998</v>
      </c>
      <c r="S309" s="17">
        <f t="shared" si="23"/>
        <v>0.13313997373223571</v>
      </c>
      <c r="T309" s="38" t="str">
        <f t="shared" si="24"/>
        <v/>
      </c>
      <c r="U309" s="31" t="s">
        <v>1876</v>
      </c>
      <c r="V309" s="31"/>
    </row>
    <row r="310" spans="1:22" ht="30">
      <c r="A310" s="7">
        <v>16</v>
      </c>
      <c r="B310" s="7">
        <v>155</v>
      </c>
      <c r="C310" s="7">
        <v>46375.625</v>
      </c>
      <c r="D310" s="7" t="s">
        <v>40</v>
      </c>
      <c r="E310" s="7" t="s">
        <v>44</v>
      </c>
      <c r="F310" s="7" t="s">
        <v>1742</v>
      </c>
      <c r="G310" s="7">
        <v>4</v>
      </c>
      <c r="H310" s="37">
        <f>Priors!$H$27*VLOOKUP(D310,Team_26_27!$A$2:$U$21,20,FALSE)*VLOOKUP(E310,Team_26_27!$A$2:$U$21,21,FALSE)*IF(F310="H",Priors!$H$28,Priors!$H$29)</f>
        <v>1.1665373174764784</v>
      </c>
      <c r="I310" s="37">
        <f>Priors!$H$27*VLOOKUP(E310,Team_26_27!$A$2:$U$21,20,FALSE)*VLOOKUP(D310,Team_26_27!$A$2:$U$21,21,FALSE)*IF(F310="H",Priors!$H$29,Priors!$H$28)</f>
        <v>1.7686881918454</v>
      </c>
      <c r="J310" s="15"/>
      <c r="K310" s="15"/>
      <c r="L310" s="47" t="b">
        <v>0</v>
      </c>
      <c r="M310" s="45">
        <v>0</v>
      </c>
      <c r="N310" s="45"/>
      <c r="O310" s="45"/>
      <c r="P310" s="38">
        <f t="shared" si="20"/>
        <v>1.1665373174764784</v>
      </c>
      <c r="Q310" s="38">
        <f t="shared" si="21"/>
        <v>1.7686881918454</v>
      </c>
      <c r="R310" s="17">
        <f t="shared" si="22"/>
        <v>0.17055657965121859</v>
      </c>
      <c r="S310" s="17">
        <f t="shared" si="23"/>
        <v>0.31144350627462219</v>
      </c>
      <c r="T310" s="38" t="str">
        <f t="shared" si="24"/>
        <v/>
      </c>
      <c r="U310" s="31" t="s">
        <v>1876</v>
      </c>
      <c r="V310" s="31"/>
    </row>
    <row r="311" spans="1:22" ht="30">
      <c r="A311" s="7">
        <v>16</v>
      </c>
      <c r="B311" s="7">
        <v>155</v>
      </c>
      <c r="C311" s="7">
        <v>46375.625</v>
      </c>
      <c r="D311" s="7" t="s">
        <v>44</v>
      </c>
      <c r="E311" s="7" t="s">
        <v>40</v>
      </c>
      <c r="F311" s="7" t="s">
        <v>1743</v>
      </c>
      <c r="G311" s="7">
        <v>3</v>
      </c>
      <c r="H311" s="37">
        <f>Priors!$H$27*VLOOKUP(D311,Team_26_27!$A$2:$U$21,20,FALSE)*VLOOKUP(E311,Team_26_27!$A$2:$U$21,21,FALSE)*IF(F311="H",Priors!$H$28,Priors!$H$29)</f>
        <v>1.7686881918454</v>
      </c>
      <c r="I311" s="37">
        <f>Priors!$H$27*VLOOKUP(E311,Team_26_27!$A$2:$U$21,20,FALSE)*VLOOKUP(D311,Team_26_27!$A$2:$U$21,21,FALSE)*IF(F311="H",Priors!$H$29,Priors!$H$28)</f>
        <v>1.1665373174764784</v>
      </c>
      <c r="J311" s="15"/>
      <c r="K311" s="15"/>
      <c r="L311" s="47" t="b">
        <v>0</v>
      </c>
      <c r="M311" s="45">
        <v>0</v>
      </c>
      <c r="N311" s="45"/>
      <c r="O311" s="45"/>
      <c r="P311" s="38">
        <f t="shared" si="20"/>
        <v>1.7686881918454</v>
      </c>
      <c r="Q311" s="38">
        <f t="shared" si="21"/>
        <v>1.1665373174764784</v>
      </c>
      <c r="R311" s="17">
        <f t="shared" si="22"/>
        <v>0.31144350627462219</v>
      </c>
      <c r="S311" s="17">
        <f t="shared" si="23"/>
        <v>0.17055657965121859</v>
      </c>
      <c r="T311" s="38" t="str">
        <f t="shared" si="24"/>
        <v/>
      </c>
      <c r="U311" s="31" t="s">
        <v>1876</v>
      </c>
      <c r="V311" s="31"/>
    </row>
    <row r="312" spans="1:22" ht="30">
      <c r="A312" s="7">
        <v>16</v>
      </c>
      <c r="B312" s="7">
        <v>156</v>
      </c>
      <c r="C312" s="7">
        <v>46375.625</v>
      </c>
      <c r="D312" s="7" t="s">
        <v>48</v>
      </c>
      <c r="E312" s="7" t="s">
        <v>51</v>
      </c>
      <c r="F312" s="7" t="s">
        <v>1742</v>
      </c>
      <c r="G312" s="7">
        <v>3</v>
      </c>
      <c r="H312" s="37">
        <f>Priors!$H$27*VLOOKUP(D312,Team_26_27!$A$2:$U$21,20,FALSE)*VLOOKUP(E312,Team_26_27!$A$2:$U$21,21,FALSE)*IF(F312="H",Priors!$H$28,Priors!$H$29)</f>
        <v>1.2372768372374736</v>
      </c>
      <c r="I312" s="37">
        <f>Priors!$H$27*VLOOKUP(E312,Team_26_27!$A$2:$U$21,20,FALSE)*VLOOKUP(D312,Team_26_27!$A$2:$U$21,21,FALSE)*IF(F312="H",Priors!$H$29,Priors!$H$28)</f>
        <v>1.564083833254061</v>
      </c>
      <c r="J312" s="15"/>
      <c r="K312" s="15"/>
      <c r="L312" s="47" t="b">
        <v>0</v>
      </c>
      <c r="M312" s="45">
        <v>0</v>
      </c>
      <c r="N312" s="45"/>
      <c r="O312" s="45"/>
      <c r="P312" s="38">
        <f t="shared" si="20"/>
        <v>1.2372768372374736</v>
      </c>
      <c r="Q312" s="38">
        <f t="shared" si="21"/>
        <v>1.564083833254061</v>
      </c>
      <c r="R312" s="17">
        <f t="shared" si="22"/>
        <v>0.2092796604349457</v>
      </c>
      <c r="S312" s="17">
        <f t="shared" si="23"/>
        <v>0.29017333222107189</v>
      </c>
      <c r="T312" s="38" t="str">
        <f t="shared" si="24"/>
        <v/>
      </c>
      <c r="U312" s="31" t="s">
        <v>1876</v>
      </c>
      <c r="V312" s="31"/>
    </row>
    <row r="313" spans="1:22" ht="30">
      <c r="A313" s="7">
        <v>16</v>
      </c>
      <c r="B313" s="7">
        <v>156</v>
      </c>
      <c r="C313" s="7">
        <v>46375.625</v>
      </c>
      <c r="D313" s="7" t="s">
        <v>51</v>
      </c>
      <c r="E313" s="7" t="s">
        <v>48</v>
      </c>
      <c r="F313" s="7" t="s">
        <v>1743</v>
      </c>
      <c r="G313" s="7">
        <v>2</v>
      </c>
      <c r="H313" s="37">
        <f>Priors!$H$27*VLOOKUP(D313,Team_26_27!$A$2:$U$21,20,FALSE)*VLOOKUP(E313,Team_26_27!$A$2:$U$21,21,FALSE)*IF(F313="H",Priors!$H$28,Priors!$H$29)</f>
        <v>1.564083833254061</v>
      </c>
      <c r="I313" s="37">
        <f>Priors!$H$27*VLOOKUP(E313,Team_26_27!$A$2:$U$21,20,FALSE)*VLOOKUP(D313,Team_26_27!$A$2:$U$21,21,FALSE)*IF(F313="H",Priors!$H$29,Priors!$H$28)</f>
        <v>1.2372768372374736</v>
      </c>
      <c r="J313" s="15"/>
      <c r="K313" s="15"/>
      <c r="L313" s="47" t="b">
        <v>0</v>
      </c>
      <c r="M313" s="45">
        <v>0</v>
      </c>
      <c r="N313" s="45"/>
      <c r="O313" s="45"/>
      <c r="P313" s="38">
        <f t="shared" si="20"/>
        <v>1.564083833254061</v>
      </c>
      <c r="Q313" s="38">
        <f t="shared" si="21"/>
        <v>1.2372768372374736</v>
      </c>
      <c r="R313" s="17">
        <f t="shared" si="22"/>
        <v>0.29017333222107189</v>
      </c>
      <c r="S313" s="17">
        <f t="shared" si="23"/>
        <v>0.2092796604349457</v>
      </c>
      <c r="T313" s="38" t="str">
        <f t="shared" si="24"/>
        <v/>
      </c>
      <c r="U313" s="31" t="s">
        <v>1876</v>
      </c>
      <c r="V313" s="31"/>
    </row>
    <row r="314" spans="1:22" ht="30">
      <c r="A314" s="7">
        <v>16</v>
      </c>
      <c r="B314" s="7">
        <v>157</v>
      </c>
      <c r="C314" s="7">
        <v>46375.625</v>
      </c>
      <c r="D314" s="7" t="s">
        <v>57</v>
      </c>
      <c r="E314" s="7" t="s">
        <v>52</v>
      </c>
      <c r="F314" s="7" t="s">
        <v>1742</v>
      </c>
      <c r="G314" s="7">
        <v>4</v>
      </c>
      <c r="H314" s="37">
        <f>Priors!$H$27*VLOOKUP(D314,Team_26_27!$A$2:$U$21,20,FALSE)*VLOOKUP(E314,Team_26_27!$A$2:$U$21,21,FALSE)*IF(F314="H",Priors!$H$28,Priors!$H$29)</f>
        <v>0.97894241564975681</v>
      </c>
      <c r="I314" s="37">
        <f>Priors!$H$27*VLOOKUP(E314,Team_26_27!$A$2:$U$21,20,FALSE)*VLOOKUP(D314,Team_26_27!$A$2:$U$21,21,FALSE)*IF(F314="H",Priors!$H$29,Priors!$H$28)</f>
        <v>1.6498747032382564</v>
      </c>
      <c r="J314" s="15"/>
      <c r="K314" s="15"/>
      <c r="L314" s="47" t="b">
        <v>0</v>
      </c>
      <c r="M314" s="45">
        <v>0</v>
      </c>
      <c r="N314" s="45"/>
      <c r="O314" s="45"/>
      <c r="P314" s="38">
        <f t="shared" si="20"/>
        <v>0.97894241564975681</v>
      </c>
      <c r="Q314" s="38">
        <f t="shared" si="21"/>
        <v>1.6498747032382564</v>
      </c>
      <c r="R314" s="17">
        <f t="shared" si="22"/>
        <v>0.19207397335998291</v>
      </c>
      <c r="S314" s="17">
        <f t="shared" si="23"/>
        <v>0.37570823195988201</v>
      </c>
      <c r="T314" s="38" t="str">
        <f t="shared" si="24"/>
        <v/>
      </c>
      <c r="U314" s="31" t="s">
        <v>1876</v>
      </c>
      <c r="V314" s="31"/>
    </row>
    <row r="315" spans="1:22" ht="30">
      <c r="A315" s="7">
        <v>16</v>
      </c>
      <c r="B315" s="7">
        <v>157</v>
      </c>
      <c r="C315" s="7">
        <v>46375.625</v>
      </c>
      <c r="D315" s="7" t="s">
        <v>52</v>
      </c>
      <c r="E315" s="7" t="s">
        <v>57</v>
      </c>
      <c r="F315" s="7" t="s">
        <v>1743</v>
      </c>
      <c r="G315" s="7">
        <v>3</v>
      </c>
      <c r="H315" s="37">
        <f>Priors!$H$27*VLOOKUP(D315,Team_26_27!$A$2:$U$21,20,FALSE)*VLOOKUP(E315,Team_26_27!$A$2:$U$21,21,FALSE)*IF(F315="H",Priors!$H$28,Priors!$H$29)</f>
        <v>1.6498747032382564</v>
      </c>
      <c r="I315" s="37">
        <f>Priors!$H$27*VLOOKUP(E315,Team_26_27!$A$2:$U$21,20,FALSE)*VLOOKUP(D315,Team_26_27!$A$2:$U$21,21,FALSE)*IF(F315="H",Priors!$H$29,Priors!$H$28)</f>
        <v>0.97894241564975681</v>
      </c>
      <c r="J315" s="15"/>
      <c r="K315" s="15"/>
      <c r="L315" s="47" t="b">
        <v>0</v>
      </c>
      <c r="M315" s="45">
        <v>0</v>
      </c>
      <c r="N315" s="45"/>
      <c r="O315" s="45"/>
      <c r="P315" s="38">
        <f t="shared" si="20"/>
        <v>1.6498747032382564</v>
      </c>
      <c r="Q315" s="38">
        <f t="shared" si="21"/>
        <v>0.97894241564975681</v>
      </c>
      <c r="R315" s="17">
        <f t="shared" si="22"/>
        <v>0.37570823195988201</v>
      </c>
      <c r="S315" s="17">
        <f t="shared" si="23"/>
        <v>0.19207397335998291</v>
      </c>
      <c r="T315" s="38" t="str">
        <f t="shared" si="24"/>
        <v/>
      </c>
      <c r="U315" s="31" t="s">
        <v>1876</v>
      </c>
      <c r="V315" s="31"/>
    </row>
    <row r="316" spans="1:22" ht="30">
      <c r="A316" s="7">
        <v>16</v>
      </c>
      <c r="B316" s="7">
        <v>158</v>
      </c>
      <c r="C316" s="7">
        <v>46375.625</v>
      </c>
      <c r="D316" s="7" t="s">
        <v>49</v>
      </c>
      <c r="E316" s="7" t="s">
        <v>53</v>
      </c>
      <c r="F316" s="7" t="s">
        <v>1742</v>
      </c>
      <c r="G316" s="7">
        <v>5</v>
      </c>
      <c r="H316" s="37">
        <f>Priors!$H$27*VLOOKUP(D316,Team_26_27!$A$2:$U$21,20,FALSE)*VLOOKUP(E316,Team_26_27!$A$2:$U$21,21,FALSE)*IF(F316="H",Priors!$H$28,Priors!$H$29)</f>
        <v>0.79687772509701471</v>
      </c>
      <c r="I316" s="37">
        <f>Priors!$H$27*VLOOKUP(E316,Team_26_27!$A$2:$U$21,20,FALSE)*VLOOKUP(D316,Team_26_27!$A$2:$U$21,21,FALSE)*IF(F316="H",Priors!$H$29,Priors!$H$28)</f>
        <v>2.5021299459009567</v>
      </c>
      <c r="J316" s="15"/>
      <c r="K316" s="15"/>
      <c r="L316" s="47" t="b">
        <v>0</v>
      </c>
      <c r="M316" s="45">
        <v>0</v>
      </c>
      <c r="N316" s="45"/>
      <c r="O316" s="45"/>
      <c r="P316" s="38">
        <f t="shared" si="20"/>
        <v>0.79687772509701471</v>
      </c>
      <c r="Q316" s="38">
        <f t="shared" si="21"/>
        <v>2.5021299459009567</v>
      </c>
      <c r="R316" s="17">
        <f t="shared" si="22"/>
        <v>8.1910348081680684E-2</v>
      </c>
      <c r="S316" s="17">
        <f t="shared" si="23"/>
        <v>0.450734085110579</v>
      </c>
      <c r="T316" s="38" t="str">
        <f t="shared" si="24"/>
        <v/>
      </c>
      <c r="U316" s="31" t="s">
        <v>1876</v>
      </c>
      <c r="V316" s="31"/>
    </row>
    <row r="317" spans="1:22" ht="30">
      <c r="A317" s="7">
        <v>16</v>
      </c>
      <c r="B317" s="7">
        <v>158</v>
      </c>
      <c r="C317" s="7">
        <v>46375.625</v>
      </c>
      <c r="D317" s="7" t="s">
        <v>53</v>
      </c>
      <c r="E317" s="7" t="s">
        <v>49</v>
      </c>
      <c r="F317" s="7" t="s">
        <v>1743</v>
      </c>
      <c r="G317" s="7">
        <v>2</v>
      </c>
      <c r="H317" s="37">
        <f>Priors!$H$27*VLOOKUP(D317,Team_26_27!$A$2:$U$21,20,FALSE)*VLOOKUP(E317,Team_26_27!$A$2:$U$21,21,FALSE)*IF(F317="H",Priors!$H$28,Priors!$H$29)</f>
        <v>2.5021299459009567</v>
      </c>
      <c r="I317" s="37">
        <f>Priors!$H$27*VLOOKUP(E317,Team_26_27!$A$2:$U$21,20,FALSE)*VLOOKUP(D317,Team_26_27!$A$2:$U$21,21,FALSE)*IF(F317="H",Priors!$H$29,Priors!$H$28)</f>
        <v>0.79687772509701471</v>
      </c>
      <c r="J317" s="15"/>
      <c r="K317" s="15"/>
      <c r="L317" s="47" t="b">
        <v>0</v>
      </c>
      <c r="M317" s="45">
        <v>0</v>
      </c>
      <c r="N317" s="45"/>
      <c r="O317" s="45"/>
      <c r="P317" s="38">
        <f t="shared" si="20"/>
        <v>2.5021299459009567</v>
      </c>
      <c r="Q317" s="38">
        <f t="shared" si="21"/>
        <v>0.79687772509701471</v>
      </c>
      <c r="R317" s="17">
        <f t="shared" si="22"/>
        <v>0.450734085110579</v>
      </c>
      <c r="S317" s="17">
        <f t="shared" si="23"/>
        <v>8.1910348081680684E-2</v>
      </c>
      <c r="T317" s="38" t="str">
        <f t="shared" si="24"/>
        <v/>
      </c>
      <c r="U317" s="31" t="s">
        <v>1876</v>
      </c>
      <c r="V317" s="31"/>
    </row>
    <row r="318" spans="1:22" ht="30">
      <c r="A318" s="7">
        <v>16</v>
      </c>
      <c r="B318" s="7">
        <v>159</v>
      </c>
      <c r="C318" s="7">
        <v>46375.625</v>
      </c>
      <c r="D318" s="7" t="s">
        <v>47</v>
      </c>
      <c r="E318" s="7" t="s">
        <v>56</v>
      </c>
      <c r="F318" s="7" t="s">
        <v>1742</v>
      </c>
      <c r="G318" s="7">
        <v>3</v>
      </c>
      <c r="H318" s="37">
        <f>Priors!$H$27*VLOOKUP(D318,Team_26_27!$A$2:$U$21,20,FALSE)*VLOOKUP(E318,Team_26_27!$A$2:$U$21,21,FALSE)*IF(F318="H",Priors!$H$28,Priors!$H$29)</f>
        <v>1.2015020891734418</v>
      </c>
      <c r="I318" s="37">
        <f>Priors!$H$27*VLOOKUP(E318,Team_26_27!$A$2:$U$21,20,FALSE)*VLOOKUP(D318,Team_26_27!$A$2:$U$21,21,FALSE)*IF(F318="H",Priors!$H$29,Priors!$H$28)</f>
        <v>1.4877305070551978</v>
      </c>
      <c r="J318" s="15"/>
      <c r="K318" s="15"/>
      <c r="L318" s="47" t="b">
        <v>0</v>
      </c>
      <c r="M318" s="45">
        <v>0</v>
      </c>
      <c r="N318" s="45"/>
      <c r="O318" s="45"/>
      <c r="P318" s="38">
        <f t="shared" si="20"/>
        <v>1.2015020891734418</v>
      </c>
      <c r="Q318" s="38">
        <f t="shared" si="21"/>
        <v>1.4877305070551978</v>
      </c>
      <c r="R318" s="17">
        <f t="shared" si="22"/>
        <v>0.22588471803245874</v>
      </c>
      <c r="S318" s="17">
        <f t="shared" si="23"/>
        <v>0.30074213096533481</v>
      </c>
      <c r="T318" s="38" t="str">
        <f t="shared" si="24"/>
        <v/>
      </c>
      <c r="U318" s="31" t="s">
        <v>1876</v>
      </c>
      <c r="V318" s="31"/>
    </row>
    <row r="319" spans="1:22" ht="30">
      <c r="A319" s="7">
        <v>16</v>
      </c>
      <c r="B319" s="7">
        <v>159</v>
      </c>
      <c r="C319" s="7">
        <v>46375.625</v>
      </c>
      <c r="D319" s="7" t="s">
        <v>56</v>
      </c>
      <c r="E319" s="7" t="s">
        <v>47</v>
      </c>
      <c r="F319" s="7" t="s">
        <v>1743</v>
      </c>
      <c r="G319" s="7">
        <v>3</v>
      </c>
      <c r="H319" s="37">
        <f>Priors!$H$27*VLOOKUP(D319,Team_26_27!$A$2:$U$21,20,FALSE)*VLOOKUP(E319,Team_26_27!$A$2:$U$21,21,FALSE)*IF(F319="H",Priors!$H$28,Priors!$H$29)</f>
        <v>1.4877305070551978</v>
      </c>
      <c r="I319" s="37">
        <f>Priors!$H$27*VLOOKUP(E319,Team_26_27!$A$2:$U$21,20,FALSE)*VLOOKUP(D319,Team_26_27!$A$2:$U$21,21,FALSE)*IF(F319="H",Priors!$H$29,Priors!$H$28)</f>
        <v>1.2015020891734418</v>
      </c>
      <c r="J319" s="15"/>
      <c r="K319" s="15"/>
      <c r="L319" s="47" t="b">
        <v>0</v>
      </c>
      <c r="M319" s="45">
        <v>0</v>
      </c>
      <c r="N319" s="45"/>
      <c r="O319" s="45"/>
      <c r="P319" s="38">
        <f t="shared" si="20"/>
        <v>1.4877305070551978</v>
      </c>
      <c r="Q319" s="38">
        <f t="shared" si="21"/>
        <v>1.2015020891734418</v>
      </c>
      <c r="R319" s="17">
        <f t="shared" si="22"/>
        <v>0.30074213096533481</v>
      </c>
      <c r="S319" s="17">
        <f t="shared" si="23"/>
        <v>0.22588471803245874</v>
      </c>
      <c r="T319" s="38" t="str">
        <f t="shared" si="24"/>
        <v/>
      </c>
      <c r="U319" s="31" t="s">
        <v>1876</v>
      </c>
      <c r="V319" s="31"/>
    </row>
    <row r="320" spans="1:22" ht="30">
      <c r="A320" s="7">
        <v>16</v>
      </c>
      <c r="B320" s="7">
        <v>160</v>
      </c>
      <c r="C320" s="7">
        <v>46375.625</v>
      </c>
      <c r="D320" s="7" t="s">
        <v>46</v>
      </c>
      <c r="E320" s="7" t="s">
        <v>58</v>
      </c>
      <c r="F320" s="7" t="s">
        <v>1742</v>
      </c>
      <c r="G320" s="7">
        <v>3</v>
      </c>
      <c r="H320" s="37">
        <f>Priors!$H$27*VLOOKUP(D320,Team_26_27!$A$2:$U$21,20,FALSE)*VLOOKUP(E320,Team_26_27!$A$2:$U$21,21,FALSE)*IF(F320="H",Priors!$H$28,Priors!$H$29)</f>
        <v>1.3465971645312802</v>
      </c>
      <c r="I320" s="37">
        <f>Priors!$H$27*VLOOKUP(E320,Team_26_27!$A$2:$U$21,20,FALSE)*VLOOKUP(D320,Team_26_27!$A$2:$U$21,21,FALSE)*IF(F320="H",Priors!$H$29,Priors!$H$28)</f>
        <v>1.2337356269043833</v>
      </c>
      <c r="J320" s="15"/>
      <c r="K320" s="15"/>
      <c r="L320" s="47" t="b">
        <v>0</v>
      </c>
      <c r="M320" s="45">
        <v>0</v>
      </c>
      <c r="N320" s="45"/>
      <c r="O320" s="45"/>
      <c r="P320" s="38">
        <f t="shared" si="20"/>
        <v>1.3465971645312802</v>
      </c>
      <c r="Q320" s="38">
        <f t="shared" si="21"/>
        <v>1.2337356269043833</v>
      </c>
      <c r="R320" s="17">
        <f t="shared" si="22"/>
        <v>0.29120271858461089</v>
      </c>
      <c r="S320" s="17">
        <f t="shared" si="23"/>
        <v>0.26012391521261424</v>
      </c>
      <c r="T320" s="38" t="str">
        <f t="shared" si="24"/>
        <v/>
      </c>
      <c r="U320" s="31" t="s">
        <v>1876</v>
      </c>
      <c r="V320" s="31"/>
    </row>
    <row r="321" spans="1:22" ht="30">
      <c r="A321" s="7">
        <v>16</v>
      </c>
      <c r="B321" s="7">
        <v>160</v>
      </c>
      <c r="C321" s="7">
        <v>46375.625</v>
      </c>
      <c r="D321" s="7" t="s">
        <v>58</v>
      </c>
      <c r="E321" s="7" t="s">
        <v>46</v>
      </c>
      <c r="F321" s="7" t="s">
        <v>1743</v>
      </c>
      <c r="G321" s="7">
        <v>3</v>
      </c>
      <c r="H321" s="37">
        <f>Priors!$H$27*VLOOKUP(D321,Team_26_27!$A$2:$U$21,20,FALSE)*VLOOKUP(E321,Team_26_27!$A$2:$U$21,21,FALSE)*IF(F321="H",Priors!$H$28,Priors!$H$29)</f>
        <v>1.2337356269043833</v>
      </c>
      <c r="I321" s="37">
        <f>Priors!$H$27*VLOOKUP(E321,Team_26_27!$A$2:$U$21,20,FALSE)*VLOOKUP(D321,Team_26_27!$A$2:$U$21,21,FALSE)*IF(F321="H",Priors!$H$29,Priors!$H$28)</f>
        <v>1.3465971645312802</v>
      </c>
      <c r="J321" s="15"/>
      <c r="K321" s="15"/>
      <c r="L321" s="47" t="b">
        <v>0</v>
      </c>
      <c r="M321" s="45">
        <v>0</v>
      </c>
      <c r="N321" s="45"/>
      <c r="O321" s="45"/>
      <c r="P321" s="38">
        <f t="shared" si="20"/>
        <v>1.2337356269043833</v>
      </c>
      <c r="Q321" s="38">
        <f t="shared" si="21"/>
        <v>1.3465971645312802</v>
      </c>
      <c r="R321" s="17">
        <f t="shared" si="22"/>
        <v>0.26012391521261424</v>
      </c>
      <c r="S321" s="17">
        <f t="shared" si="23"/>
        <v>0.29120271858461089</v>
      </c>
      <c r="T321" s="38" t="str">
        <f t="shared" si="24"/>
        <v/>
      </c>
      <c r="U321" s="31" t="s">
        <v>1876</v>
      </c>
      <c r="V321" s="31"/>
    </row>
    <row r="322" spans="1:22" ht="30">
      <c r="A322" s="7">
        <v>17</v>
      </c>
      <c r="B322" s="7">
        <v>161</v>
      </c>
      <c r="C322" s="7">
        <v>46382.625</v>
      </c>
      <c r="D322" s="7" t="s">
        <v>51</v>
      </c>
      <c r="E322" s="7" t="s">
        <v>40</v>
      </c>
      <c r="F322" s="7" t="s">
        <v>1742</v>
      </c>
      <c r="G322" s="7">
        <v>4</v>
      </c>
      <c r="H322" s="37">
        <f>Priors!$H$27*VLOOKUP(D322,Team_26_27!$A$2:$U$21,20,FALSE)*VLOOKUP(E322,Team_26_27!$A$2:$U$21,21,FALSE)*IF(F322="H",Priors!$H$28,Priors!$H$29)</f>
        <v>1.2891396759018412</v>
      </c>
      <c r="I322" s="37">
        <f>Priors!$H$27*VLOOKUP(E322,Team_26_27!$A$2:$U$21,20,FALSE)*VLOOKUP(D322,Team_26_27!$A$2:$U$21,21,FALSE)*IF(F322="H",Priors!$H$29,Priors!$H$28)</f>
        <v>1.4868885077314862</v>
      </c>
      <c r="J322" s="15"/>
      <c r="K322" s="15"/>
      <c r="L322" s="47" t="b">
        <v>0</v>
      </c>
      <c r="M322" s="45">
        <v>0</v>
      </c>
      <c r="N322" s="45"/>
      <c r="O322" s="45"/>
      <c r="P322" s="38">
        <f t="shared" ref="P322:P385" si="25">IF(N322&lt;&gt;"",N322,IF(L322=TRUE,M322*J322+(1-M322)*H322,H322))</f>
        <v>1.2891396759018412</v>
      </c>
      <c r="Q322" s="38">
        <f t="shared" ref="Q322:Q385" si="26">IF(O322&lt;&gt;"",O322,IF(L322=TRUE,M322*K322+(1-M322)*I322,I322))</f>
        <v>1.4868885077314862</v>
      </c>
      <c r="R322" s="17">
        <f t="shared" ref="R322:R385" si="27">EXP(-Q322)</f>
        <v>0.22607499290669511</v>
      </c>
      <c r="S322" s="17">
        <f t="shared" ref="S322:S385" si="28">EXP(-P322)</f>
        <v>0.27550770707905881</v>
      </c>
      <c r="T322" s="38" t="str">
        <f t="shared" ref="T322:T385" si="29">IF(L322=TRUE,J322-H322,"")</f>
        <v/>
      </c>
      <c r="U322" s="31" t="s">
        <v>1876</v>
      </c>
      <c r="V322" s="31"/>
    </row>
    <row r="323" spans="1:22" ht="30">
      <c r="A323" s="7">
        <v>17</v>
      </c>
      <c r="B323" s="7">
        <v>161</v>
      </c>
      <c r="C323" s="7">
        <v>46382.625</v>
      </c>
      <c r="D323" s="7" t="s">
        <v>40</v>
      </c>
      <c r="E323" s="7" t="s">
        <v>51</v>
      </c>
      <c r="F323" s="7" t="s">
        <v>1743</v>
      </c>
      <c r="G323" s="7">
        <v>2</v>
      </c>
      <c r="H323" s="37">
        <f>Priors!$H$27*VLOOKUP(D323,Team_26_27!$A$2:$U$21,20,FALSE)*VLOOKUP(E323,Team_26_27!$A$2:$U$21,21,FALSE)*IF(F323="H",Priors!$H$28,Priors!$H$29)</f>
        <v>1.4868885077314862</v>
      </c>
      <c r="I323" s="37">
        <f>Priors!$H$27*VLOOKUP(E323,Team_26_27!$A$2:$U$21,20,FALSE)*VLOOKUP(D323,Team_26_27!$A$2:$U$21,21,FALSE)*IF(F323="H",Priors!$H$29,Priors!$H$28)</f>
        <v>1.2891396759018412</v>
      </c>
      <c r="J323" s="15"/>
      <c r="K323" s="15"/>
      <c r="L323" s="47" t="b">
        <v>0</v>
      </c>
      <c r="M323" s="45">
        <v>0</v>
      </c>
      <c r="N323" s="45"/>
      <c r="O323" s="45"/>
      <c r="P323" s="38">
        <f t="shared" si="25"/>
        <v>1.4868885077314862</v>
      </c>
      <c r="Q323" s="38">
        <f t="shared" si="26"/>
        <v>1.2891396759018412</v>
      </c>
      <c r="R323" s="17">
        <f t="shared" si="27"/>
        <v>0.27550770707905881</v>
      </c>
      <c r="S323" s="17">
        <f t="shared" si="28"/>
        <v>0.22607499290669511</v>
      </c>
      <c r="T323" s="38" t="str">
        <f t="shared" si="29"/>
        <v/>
      </c>
      <c r="U323" s="31" t="s">
        <v>1876</v>
      </c>
      <c r="V323" s="31"/>
    </row>
    <row r="324" spans="1:22" ht="30">
      <c r="A324" s="7">
        <v>17</v>
      </c>
      <c r="B324" s="7">
        <v>162</v>
      </c>
      <c r="C324" s="7">
        <v>46382.625</v>
      </c>
      <c r="D324" s="7" t="s">
        <v>44</v>
      </c>
      <c r="E324" s="7" t="s">
        <v>45</v>
      </c>
      <c r="F324" s="7" t="s">
        <v>1742</v>
      </c>
      <c r="G324" s="7">
        <v>2</v>
      </c>
      <c r="H324" s="37">
        <f>Priors!$H$27*VLOOKUP(D324,Team_26_27!$A$2:$U$21,20,FALSE)*VLOOKUP(E324,Team_26_27!$A$2:$U$21,21,FALSE)*IF(F324="H",Priors!$H$28,Priors!$H$29)</f>
        <v>1.7994460745177185</v>
      </c>
      <c r="I324" s="37">
        <f>Priors!$H$27*VLOOKUP(E324,Team_26_27!$A$2:$U$21,20,FALSE)*VLOOKUP(D324,Team_26_27!$A$2:$U$21,21,FALSE)*IF(F324="H",Priors!$H$29,Priors!$H$28)</f>
        <v>1.2034631085178178</v>
      </c>
      <c r="J324" s="15"/>
      <c r="K324" s="15"/>
      <c r="L324" s="47" t="b">
        <v>0</v>
      </c>
      <c r="M324" s="45">
        <v>0</v>
      </c>
      <c r="N324" s="45"/>
      <c r="O324" s="45"/>
      <c r="P324" s="38">
        <f t="shared" si="25"/>
        <v>1.7994460745177185</v>
      </c>
      <c r="Q324" s="38">
        <f t="shared" si="26"/>
        <v>1.2034631085178178</v>
      </c>
      <c r="R324" s="17">
        <f t="shared" si="27"/>
        <v>0.30015294771752954</v>
      </c>
      <c r="S324" s="17">
        <f t="shared" si="28"/>
        <v>0.1653904768522616</v>
      </c>
      <c r="T324" s="38" t="str">
        <f t="shared" si="29"/>
        <v/>
      </c>
      <c r="U324" s="31" t="s">
        <v>1876</v>
      </c>
      <c r="V324" s="31"/>
    </row>
    <row r="325" spans="1:22" ht="30">
      <c r="A325" s="7">
        <v>17</v>
      </c>
      <c r="B325" s="7">
        <v>162</v>
      </c>
      <c r="C325" s="7">
        <v>46382.625</v>
      </c>
      <c r="D325" s="7" t="s">
        <v>45</v>
      </c>
      <c r="E325" s="7" t="s">
        <v>44</v>
      </c>
      <c r="F325" s="7" t="s">
        <v>1743</v>
      </c>
      <c r="G325" s="7">
        <v>4</v>
      </c>
      <c r="H325" s="37">
        <f>Priors!$H$27*VLOOKUP(D325,Team_26_27!$A$2:$U$21,20,FALSE)*VLOOKUP(E325,Team_26_27!$A$2:$U$21,21,FALSE)*IF(F325="H",Priors!$H$28,Priors!$H$29)</f>
        <v>1.2034631085178178</v>
      </c>
      <c r="I325" s="37">
        <f>Priors!$H$27*VLOOKUP(E325,Team_26_27!$A$2:$U$21,20,FALSE)*VLOOKUP(D325,Team_26_27!$A$2:$U$21,21,FALSE)*IF(F325="H",Priors!$H$29,Priors!$H$28)</f>
        <v>1.7994460745177185</v>
      </c>
      <c r="J325" s="15"/>
      <c r="K325" s="15"/>
      <c r="L325" s="47" t="b">
        <v>0</v>
      </c>
      <c r="M325" s="45">
        <v>0</v>
      </c>
      <c r="N325" s="45"/>
      <c r="O325" s="45"/>
      <c r="P325" s="38">
        <f t="shared" si="25"/>
        <v>1.2034631085178178</v>
      </c>
      <c r="Q325" s="38">
        <f t="shared" si="26"/>
        <v>1.7994460745177185</v>
      </c>
      <c r="R325" s="17">
        <f t="shared" si="27"/>
        <v>0.1653904768522616</v>
      </c>
      <c r="S325" s="17">
        <f t="shared" si="28"/>
        <v>0.30015294771752954</v>
      </c>
      <c r="T325" s="38" t="str">
        <f t="shared" si="29"/>
        <v/>
      </c>
      <c r="U325" s="31" t="s">
        <v>1876</v>
      </c>
      <c r="V325" s="31"/>
    </row>
    <row r="326" spans="1:22" ht="30">
      <c r="A326" s="7">
        <v>17</v>
      </c>
      <c r="B326" s="7">
        <v>163</v>
      </c>
      <c r="C326" s="7">
        <v>46382.625</v>
      </c>
      <c r="D326" s="7" t="s">
        <v>39</v>
      </c>
      <c r="E326" s="7" t="s">
        <v>46</v>
      </c>
      <c r="F326" s="7" t="s">
        <v>1742</v>
      </c>
      <c r="G326" s="7">
        <v>3</v>
      </c>
      <c r="H326" s="37">
        <f>Priors!$H$27*VLOOKUP(D326,Team_26_27!$A$2:$U$21,20,FALSE)*VLOOKUP(E326,Team_26_27!$A$2:$U$21,21,FALSE)*IF(F326="H",Priors!$H$28,Priors!$H$29)</f>
        <v>1.4465087892581636</v>
      </c>
      <c r="I326" s="37">
        <f>Priors!$H$27*VLOOKUP(E326,Team_26_27!$A$2:$U$21,20,FALSE)*VLOOKUP(D326,Team_26_27!$A$2:$U$21,21,FALSE)*IF(F326="H",Priors!$H$29,Priors!$H$28)</f>
        <v>1.0891475968355653</v>
      </c>
      <c r="J326" s="15"/>
      <c r="K326" s="15"/>
      <c r="L326" s="47" t="b">
        <v>0</v>
      </c>
      <c r="M326" s="45">
        <v>0</v>
      </c>
      <c r="N326" s="45"/>
      <c r="O326" s="45"/>
      <c r="P326" s="38">
        <f t="shared" si="25"/>
        <v>1.4465087892581636</v>
      </c>
      <c r="Q326" s="38">
        <f t="shared" si="26"/>
        <v>1.0891475968355653</v>
      </c>
      <c r="R326" s="17">
        <f t="shared" si="27"/>
        <v>0.33650320789058258</v>
      </c>
      <c r="S326" s="17">
        <f t="shared" si="28"/>
        <v>0.23539065360449246</v>
      </c>
      <c r="T326" s="38" t="str">
        <f t="shared" si="29"/>
        <v/>
      </c>
      <c r="U326" s="31" t="s">
        <v>1876</v>
      </c>
      <c r="V326" s="31"/>
    </row>
    <row r="327" spans="1:22" ht="30">
      <c r="A327" s="7">
        <v>17</v>
      </c>
      <c r="B327" s="7">
        <v>163</v>
      </c>
      <c r="C327" s="7">
        <v>46382.625</v>
      </c>
      <c r="D327" s="7" t="s">
        <v>46</v>
      </c>
      <c r="E327" s="7" t="s">
        <v>39</v>
      </c>
      <c r="F327" s="7" t="s">
        <v>1743</v>
      </c>
      <c r="G327" s="7">
        <v>4</v>
      </c>
      <c r="H327" s="37">
        <f>Priors!$H$27*VLOOKUP(D327,Team_26_27!$A$2:$U$21,20,FALSE)*VLOOKUP(E327,Team_26_27!$A$2:$U$21,21,FALSE)*IF(F327="H",Priors!$H$28,Priors!$H$29)</f>
        <v>1.0891475968355653</v>
      </c>
      <c r="I327" s="37">
        <f>Priors!$H$27*VLOOKUP(E327,Team_26_27!$A$2:$U$21,20,FALSE)*VLOOKUP(D327,Team_26_27!$A$2:$U$21,21,FALSE)*IF(F327="H",Priors!$H$29,Priors!$H$28)</f>
        <v>1.4465087892581636</v>
      </c>
      <c r="J327" s="15"/>
      <c r="K327" s="15"/>
      <c r="L327" s="47" t="b">
        <v>0</v>
      </c>
      <c r="M327" s="45">
        <v>0</v>
      </c>
      <c r="N327" s="45"/>
      <c r="O327" s="45"/>
      <c r="P327" s="38">
        <f t="shared" si="25"/>
        <v>1.0891475968355653</v>
      </c>
      <c r="Q327" s="38">
        <f t="shared" si="26"/>
        <v>1.4465087892581636</v>
      </c>
      <c r="R327" s="17">
        <f t="shared" si="27"/>
        <v>0.23539065360449246</v>
      </c>
      <c r="S327" s="17">
        <f t="shared" si="28"/>
        <v>0.33650320789058258</v>
      </c>
      <c r="T327" s="38" t="str">
        <f t="shared" si="29"/>
        <v/>
      </c>
      <c r="U327" s="31" t="s">
        <v>1876</v>
      </c>
      <c r="V327" s="31"/>
    </row>
    <row r="328" spans="1:22" ht="30">
      <c r="A328" s="7">
        <v>17</v>
      </c>
      <c r="B328" s="7">
        <v>164</v>
      </c>
      <c r="C328" s="7">
        <v>46382.625</v>
      </c>
      <c r="D328" s="7" t="s">
        <v>58</v>
      </c>
      <c r="E328" s="7" t="s">
        <v>47</v>
      </c>
      <c r="F328" s="7" t="s">
        <v>1742</v>
      </c>
      <c r="G328" s="7">
        <v>3</v>
      </c>
      <c r="H328" s="37">
        <f>Priors!$H$27*VLOOKUP(D328,Team_26_27!$A$2:$U$21,20,FALSE)*VLOOKUP(E328,Team_26_27!$A$2:$U$21,21,FALSE)*IF(F328="H",Priors!$H$28,Priors!$H$29)</f>
        <v>1.0678863271600352</v>
      </c>
      <c r="I328" s="37">
        <f>Priors!$H$27*VLOOKUP(E328,Team_26_27!$A$2:$U$21,20,FALSE)*VLOOKUP(D328,Team_26_27!$A$2:$U$21,21,FALSE)*IF(F328="H",Priors!$H$29,Priors!$H$28)</f>
        <v>1.4313439740235934</v>
      </c>
      <c r="J328" s="15"/>
      <c r="K328" s="15"/>
      <c r="L328" s="47" t="b">
        <v>0</v>
      </c>
      <c r="M328" s="45">
        <v>0</v>
      </c>
      <c r="N328" s="45"/>
      <c r="O328" s="45"/>
      <c r="P328" s="38">
        <f t="shared" si="25"/>
        <v>1.0678863271600352</v>
      </c>
      <c r="Q328" s="38">
        <f t="shared" si="26"/>
        <v>1.4313439740235934</v>
      </c>
      <c r="R328" s="17">
        <f t="shared" si="27"/>
        <v>0.23898751329965987</v>
      </c>
      <c r="S328" s="17">
        <f t="shared" si="28"/>
        <v>0.34373429196061317</v>
      </c>
      <c r="T328" s="38" t="str">
        <f t="shared" si="29"/>
        <v/>
      </c>
      <c r="U328" s="31" t="s">
        <v>1876</v>
      </c>
      <c r="V328" s="31"/>
    </row>
    <row r="329" spans="1:22" ht="30">
      <c r="A329" s="7">
        <v>17</v>
      </c>
      <c r="B329" s="7">
        <v>164</v>
      </c>
      <c r="C329" s="7">
        <v>46382.625</v>
      </c>
      <c r="D329" s="7" t="s">
        <v>47</v>
      </c>
      <c r="E329" s="7" t="s">
        <v>58</v>
      </c>
      <c r="F329" s="7" t="s">
        <v>1743</v>
      </c>
      <c r="G329" s="7">
        <v>2</v>
      </c>
      <c r="H329" s="37">
        <f>Priors!$H$27*VLOOKUP(D329,Team_26_27!$A$2:$U$21,20,FALSE)*VLOOKUP(E329,Team_26_27!$A$2:$U$21,21,FALSE)*IF(F329="H",Priors!$H$28,Priors!$H$29)</f>
        <v>1.4313439740235934</v>
      </c>
      <c r="I329" s="37">
        <f>Priors!$H$27*VLOOKUP(E329,Team_26_27!$A$2:$U$21,20,FALSE)*VLOOKUP(D329,Team_26_27!$A$2:$U$21,21,FALSE)*IF(F329="H",Priors!$H$29,Priors!$H$28)</f>
        <v>1.0678863271600352</v>
      </c>
      <c r="J329" s="15"/>
      <c r="K329" s="15"/>
      <c r="L329" s="47" t="b">
        <v>0</v>
      </c>
      <c r="M329" s="45">
        <v>0</v>
      </c>
      <c r="N329" s="45"/>
      <c r="O329" s="45"/>
      <c r="P329" s="38">
        <f t="shared" si="25"/>
        <v>1.4313439740235934</v>
      </c>
      <c r="Q329" s="38">
        <f t="shared" si="26"/>
        <v>1.0678863271600352</v>
      </c>
      <c r="R329" s="17">
        <f t="shared" si="27"/>
        <v>0.34373429196061317</v>
      </c>
      <c r="S329" s="17">
        <f t="shared" si="28"/>
        <v>0.23898751329965987</v>
      </c>
      <c r="T329" s="38" t="str">
        <f t="shared" si="29"/>
        <v/>
      </c>
      <c r="U329" s="31" t="s">
        <v>1876</v>
      </c>
      <c r="V329" s="31"/>
    </row>
    <row r="330" spans="1:22" ht="30">
      <c r="A330" s="7">
        <v>17</v>
      </c>
      <c r="B330" s="7">
        <v>165</v>
      </c>
      <c r="C330" s="7">
        <v>46382.625</v>
      </c>
      <c r="D330" s="7" t="s">
        <v>43</v>
      </c>
      <c r="E330" s="7" t="s">
        <v>48</v>
      </c>
      <c r="F330" s="7" t="s">
        <v>1742</v>
      </c>
      <c r="G330" s="7">
        <v>3</v>
      </c>
      <c r="H330" s="37">
        <f>Priors!$H$27*VLOOKUP(D330,Team_26_27!$A$2:$U$21,20,FALSE)*VLOOKUP(E330,Team_26_27!$A$2:$U$21,21,FALSE)*IF(F330="H",Priors!$H$28,Priors!$H$29)</f>
        <v>1.3412280891139878</v>
      </c>
      <c r="I330" s="37">
        <f>Priors!$H$27*VLOOKUP(E330,Team_26_27!$A$2:$U$21,20,FALSE)*VLOOKUP(D330,Team_26_27!$A$2:$U$21,21,FALSE)*IF(F330="H",Priors!$H$29,Priors!$H$28)</f>
        <v>1.3850255436441286</v>
      </c>
      <c r="J330" s="15"/>
      <c r="K330" s="15"/>
      <c r="L330" s="47" t="b">
        <v>0</v>
      </c>
      <c r="M330" s="45">
        <v>0</v>
      </c>
      <c r="N330" s="45"/>
      <c r="O330" s="45"/>
      <c r="P330" s="38">
        <f t="shared" si="25"/>
        <v>1.3412280891139878</v>
      </c>
      <c r="Q330" s="38">
        <f t="shared" si="26"/>
        <v>1.3850255436441286</v>
      </c>
      <c r="R330" s="17">
        <f t="shared" si="27"/>
        <v>0.25031740569130195</v>
      </c>
      <c r="S330" s="17">
        <f t="shared" si="28"/>
        <v>0.26152429614258504</v>
      </c>
      <c r="T330" s="38" t="str">
        <f t="shared" si="29"/>
        <v/>
      </c>
      <c r="U330" s="31" t="s">
        <v>1876</v>
      </c>
      <c r="V330" s="31"/>
    </row>
    <row r="331" spans="1:22" ht="30">
      <c r="A331" s="7">
        <v>17</v>
      </c>
      <c r="B331" s="7">
        <v>165</v>
      </c>
      <c r="C331" s="7">
        <v>46382.625</v>
      </c>
      <c r="D331" s="7" t="s">
        <v>48</v>
      </c>
      <c r="E331" s="7" t="s">
        <v>43</v>
      </c>
      <c r="F331" s="7" t="s">
        <v>1743</v>
      </c>
      <c r="G331" s="7">
        <v>2</v>
      </c>
      <c r="H331" s="37">
        <f>Priors!$H$27*VLOOKUP(D331,Team_26_27!$A$2:$U$21,20,FALSE)*VLOOKUP(E331,Team_26_27!$A$2:$U$21,21,FALSE)*IF(F331="H",Priors!$H$28,Priors!$H$29)</f>
        <v>1.3850255436441286</v>
      </c>
      <c r="I331" s="37">
        <f>Priors!$H$27*VLOOKUP(E331,Team_26_27!$A$2:$U$21,20,FALSE)*VLOOKUP(D331,Team_26_27!$A$2:$U$21,21,FALSE)*IF(F331="H",Priors!$H$29,Priors!$H$28)</f>
        <v>1.3412280891139878</v>
      </c>
      <c r="J331" s="15"/>
      <c r="K331" s="15"/>
      <c r="L331" s="47" t="b">
        <v>0</v>
      </c>
      <c r="M331" s="45">
        <v>0</v>
      </c>
      <c r="N331" s="45"/>
      <c r="O331" s="45"/>
      <c r="P331" s="38">
        <f t="shared" si="25"/>
        <v>1.3850255436441286</v>
      </c>
      <c r="Q331" s="38">
        <f t="shared" si="26"/>
        <v>1.3412280891139878</v>
      </c>
      <c r="R331" s="17">
        <f t="shared" si="27"/>
        <v>0.26152429614258504</v>
      </c>
      <c r="S331" s="17">
        <f t="shared" si="28"/>
        <v>0.25031740569130195</v>
      </c>
      <c r="T331" s="38" t="str">
        <f t="shared" si="29"/>
        <v/>
      </c>
      <c r="U331" s="31" t="s">
        <v>1876</v>
      </c>
      <c r="V331" s="31"/>
    </row>
    <row r="332" spans="1:22" ht="30">
      <c r="A332" s="7">
        <v>17</v>
      </c>
      <c r="B332" s="7">
        <v>166</v>
      </c>
      <c r="C332" s="7">
        <v>46382.625</v>
      </c>
      <c r="D332" s="7" t="s">
        <v>52</v>
      </c>
      <c r="E332" s="7" t="s">
        <v>49</v>
      </c>
      <c r="F332" s="7" t="s">
        <v>1742</v>
      </c>
      <c r="G332" s="7">
        <v>2</v>
      </c>
      <c r="H332" s="37">
        <f>Priors!$H$27*VLOOKUP(D332,Team_26_27!$A$2:$U$21,20,FALSE)*VLOOKUP(E332,Team_26_27!$A$2:$U$21,21,FALSE)*IF(F332="H",Priors!$H$28,Priors!$H$29)</f>
        <v>1.8639250423812337</v>
      </c>
      <c r="I332" s="37">
        <f>Priors!$H$27*VLOOKUP(E332,Team_26_27!$A$2:$U$21,20,FALSE)*VLOOKUP(D332,Team_26_27!$A$2:$U$21,21,FALSE)*IF(F332="H",Priors!$H$29,Priors!$H$28)</f>
        <v>1.0095167419428857</v>
      </c>
      <c r="J332" s="15"/>
      <c r="K332" s="15"/>
      <c r="L332" s="47" t="b">
        <v>0</v>
      </c>
      <c r="M332" s="45">
        <v>0</v>
      </c>
      <c r="N332" s="45"/>
      <c r="O332" s="45"/>
      <c r="P332" s="38">
        <f t="shared" si="25"/>
        <v>1.8639250423812337</v>
      </c>
      <c r="Q332" s="38">
        <f t="shared" si="26"/>
        <v>1.0095167419428857</v>
      </c>
      <c r="R332" s="17">
        <f t="shared" si="27"/>
        <v>0.36439503386435668</v>
      </c>
      <c r="S332" s="17">
        <f t="shared" si="28"/>
        <v>0.15506280627182623</v>
      </c>
      <c r="T332" s="38" t="str">
        <f t="shared" si="29"/>
        <v/>
      </c>
      <c r="U332" s="31" t="s">
        <v>1876</v>
      </c>
      <c r="V332" s="31"/>
    </row>
    <row r="333" spans="1:22" ht="30">
      <c r="A333" s="7">
        <v>17</v>
      </c>
      <c r="B333" s="7">
        <v>166</v>
      </c>
      <c r="C333" s="7">
        <v>46382.625</v>
      </c>
      <c r="D333" s="7" t="s">
        <v>49</v>
      </c>
      <c r="E333" s="7" t="s">
        <v>52</v>
      </c>
      <c r="F333" s="7" t="s">
        <v>1743</v>
      </c>
      <c r="G333" s="7">
        <v>4</v>
      </c>
      <c r="H333" s="37">
        <f>Priors!$H$27*VLOOKUP(D333,Team_26_27!$A$2:$U$21,20,FALSE)*VLOOKUP(E333,Team_26_27!$A$2:$U$21,21,FALSE)*IF(F333="H",Priors!$H$28,Priors!$H$29)</f>
        <v>1.0095167419428857</v>
      </c>
      <c r="I333" s="37">
        <f>Priors!$H$27*VLOOKUP(E333,Team_26_27!$A$2:$U$21,20,FALSE)*VLOOKUP(D333,Team_26_27!$A$2:$U$21,21,FALSE)*IF(F333="H",Priors!$H$29,Priors!$H$28)</f>
        <v>1.8639250423812337</v>
      </c>
      <c r="J333" s="15"/>
      <c r="K333" s="15"/>
      <c r="L333" s="47" t="b">
        <v>0</v>
      </c>
      <c r="M333" s="45">
        <v>0</v>
      </c>
      <c r="N333" s="45"/>
      <c r="O333" s="45"/>
      <c r="P333" s="38">
        <f t="shared" si="25"/>
        <v>1.0095167419428857</v>
      </c>
      <c r="Q333" s="38">
        <f t="shared" si="26"/>
        <v>1.8639250423812337</v>
      </c>
      <c r="R333" s="17">
        <f t="shared" si="27"/>
        <v>0.15506280627182623</v>
      </c>
      <c r="S333" s="17">
        <f t="shared" si="28"/>
        <v>0.36439503386435668</v>
      </c>
      <c r="T333" s="38" t="str">
        <f t="shared" si="29"/>
        <v/>
      </c>
      <c r="U333" s="31" t="s">
        <v>1876</v>
      </c>
      <c r="V333" s="31"/>
    </row>
    <row r="334" spans="1:22" ht="30">
      <c r="A334" s="7">
        <v>17</v>
      </c>
      <c r="B334" s="7">
        <v>167</v>
      </c>
      <c r="C334" s="7">
        <v>46382.625</v>
      </c>
      <c r="D334" s="7" t="s">
        <v>42</v>
      </c>
      <c r="E334" s="7" t="s">
        <v>50</v>
      </c>
      <c r="F334" s="7" t="s">
        <v>1742</v>
      </c>
      <c r="G334" s="7">
        <v>2</v>
      </c>
      <c r="H334" s="37">
        <f>Priors!$H$27*VLOOKUP(D334,Team_26_27!$A$2:$U$21,20,FALSE)*VLOOKUP(E334,Team_26_27!$A$2:$U$21,21,FALSE)*IF(F334="H",Priors!$H$28,Priors!$H$29)</f>
        <v>1.6988308947933135</v>
      </c>
      <c r="I334" s="37">
        <f>Priors!$H$27*VLOOKUP(E334,Team_26_27!$A$2:$U$21,20,FALSE)*VLOOKUP(D334,Team_26_27!$A$2:$U$21,21,FALSE)*IF(F334="H",Priors!$H$29,Priors!$H$28)</f>
        <v>1.1922712269025841</v>
      </c>
      <c r="J334" s="15"/>
      <c r="K334" s="15"/>
      <c r="L334" s="47" t="b">
        <v>0</v>
      </c>
      <c r="M334" s="45">
        <v>0</v>
      </c>
      <c r="N334" s="45"/>
      <c r="O334" s="45"/>
      <c r="P334" s="38">
        <f t="shared" si="25"/>
        <v>1.6988308947933135</v>
      </c>
      <c r="Q334" s="38">
        <f t="shared" si="26"/>
        <v>1.1922712269025841</v>
      </c>
      <c r="R334" s="17">
        <f t="shared" si="27"/>
        <v>0.30353109261209094</v>
      </c>
      <c r="S334" s="17">
        <f t="shared" si="28"/>
        <v>0.18289722520710597</v>
      </c>
      <c r="T334" s="38" t="str">
        <f t="shared" si="29"/>
        <v/>
      </c>
      <c r="U334" s="31" t="s">
        <v>1876</v>
      </c>
      <c r="V334" s="31"/>
    </row>
    <row r="335" spans="1:22" ht="30">
      <c r="A335" s="7">
        <v>17</v>
      </c>
      <c r="B335" s="7">
        <v>167</v>
      </c>
      <c r="C335" s="7">
        <v>46382.625</v>
      </c>
      <c r="D335" s="7" t="s">
        <v>50</v>
      </c>
      <c r="E335" s="7" t="s">
        <v>42</v>
      </c>
      <c r="F335" s="7" t="s">
        <v>1743</v>
      </c>
      <c r="G335" s="7">
        <v>3</v>
      </c>
      <c r="H335" s="37">
        <f>Priors!$H$27*VLOOKUP(D335,Team_26_27!$A$2:$U$21,20,FALSE)*VLOOKUP(E335,Team_26_27!$A$2:$U$21,21,FALSE)*IF(F335="H",Priors!$H$28,Priors!$H$29)</f>
        <v>1.1922712269025841</v>
      </c>
      <c r="I335" s="37">
        <f>Priors!$H$27*VLOOKUP(E335,Team_26_27!$A$2:$U$21,20,FALSE)*VLOOKUP(D335,Team_26_27!$A$2:$U$21,21,FALSE)*IF(F335="H",Priors!$H$29,Priors!$H$28)</f>
        <v>1.6988308947933135</v>
      </c>
      <c r="J335" s="15"/>
      <c r="K335" s="15"/>
      <c r="L335" s="47" t="b">
        <v>0</v>
      </c>
      <c r="M335" s="45">
        <v>0</v>
      </c>
      <c r="N335" s="45"/>
      <c r="O335" s="45"/>
      <c r="P335" s="38">
        <f t="shared" si="25"/>
        <v>1.1922712269025841</v>
      </c>
      <c r="Q335" s="38">
        <f t="shared" si="26"/>
        <v>1.6988308947933135</v>
      </c>
      <c r="R335" s="17">
        <f t="shared" si="27"/>
        <v>0.18289722520710597</v>
      </c>
      <c r="S335" s="17">
        <f t="shared" si="28"/>
        <v>0.30353109261209094</v>
      </c>
      <c r="T335" s="38" t="str">
        <f t="shared" si="29"/>
        <v/>
      </c>
      <c r="U335" s="31" t="s">
        <v>1876</v>
      </c>
      <c r="V335" s="31"/>
    </row>
    <row r="336" spans="1:22" ht="30">
      <c r="A336" s="7">
        <v>17</v>
      </c>
      <c r="B336" s="7">
        <v>168</v>
      </c>
      <c r="C336" s="7">
        <v>46382.625</v>
      </c>
      <c r="D336" s="7" t="s">
        <v>56</v>
      </c>
      <c r="E336" s="7" t="s">
        <v>54</v>
      </c>
      <c r="F336" s="7" t="s">
        <v>1742</v>
      </c>
      <c r="G336" s="7">
        <v>4</v>
      </c>
      <c r="H336" s="37">
        <f>Priors!$H$27*VLOOKUP(D336,Team_26_27!$A$2:$U$21,20,FALSE)*VLOOKUP(E336,Team_26_27!$A$2:$U$21,21,FALSE)*IF(F336="H",Priors!$H$28,Priors!$H$29)</f>
        <v>1.0959154072221644</v>
      </c>
      <c r="I336" s="37">
        <f>Priors!$H$27*VLOOKUP(E336,Team_26_27!$A$2:$U$21,20,FALSE)*VLOOKUP(D336,Team_26_27!$A$2:$U$21,21,FALSE)*IF(F336="H",Priors!$H$29,Priors!$H$28)</f>
        <v>1.8617301051219546</v>
      </c>
      <c r="J336" s="15"/>
      <c r="K336" s="15"/>
      <c r="L336" s="47" t="b">
        <v>0</v>
      </c>
      <c r="M336" s="45">
        <v>0</v>
      </c>
      <c r="N336" s="45"/>
      <c r="O336" s="45"/>
      <c r="P336" s="38">
        <f t="shared" si="25"/>
        <v>1.0959154072221644</v>
      </c>
      <c r="Q336" s="38">
        <f t="shared" si="26"/>
        <v>1.8617301051219546</v>
      </c>
      <c r="R336" s="17">
        <f t="shared" si="27"/>
        <v>0.1554035332031643</v>
      </c>
      <c r="S336" s="17">
        <f t="shared" si="28"/>
        <v>0.33423350710068778</v>
      </c>
      <c r="T336" s="38" t="str">
        <f t="shared" si="29"/>
        <v/>
      </c>
      <c r="U336" s="31" t="s">
        <v>1876</v>
      </c>
      <c r="V336" s="31"/>
    </row>
    <row r="337" spans="1:22" ht="30">
      <c r="A337" s="7">
        <v>17</v>
      </c>
      <c r="B337" s="7">
        <v>168</v>
      </c>
      <c r="C337" s="7">
        <v>46382.625</v>
      </c>
      <c r="D337" s="7" t="s">
        <v>54</v>
      </c>
      <c r="E337" s="7" t="s">
        <v>56</v>
      </c>
      <c r="F337" s="7" t="s">
        <v>1743</v>
      </c>
      <c r="G337" s="7">
        <v>3</v>
      </c>
      <c r="H337" s="37">
        <f>Priors!$H$27*VLOOKUP(D337,Team_26_27!$A$2:$U$21,20,FALSE)*VLOOKUP(E337,Team_26_27!$A$2:$U$21,21,FALSE)*IF(F337="H",Priors!$H$28,Priors!$H$29)</f>
        <v>1.8617301051219546</v>
      </c>
      <c r="I337" s="37">
        <f>Priors!$H$27*VLOOKUP(E337,Team_26_27!$A$2:$U$21,20,FALSE)*VLOOKUP(D337,Team_26_27!$A$2:$U$21,21,FALSE)*IF(F337="H",Priors!$H$29,Priors!$H$28)</f>
        <v>1.0959154072221644</v>
      </c>
      <c r="J337" s="15"/>
      <c r="K337" s="15"/>
      <c r="L337" s="47" t="b">
        <v>0</v>
      </c>
      <c r="M337" s="45">
        <v>0</v>
      </c>
      <c r="N337" s="45"/>
      <c r="O337" s="45"/>
      <c r="P337" s="38">
        <f t="shared" si="25"/>
        <v>1.8617301051219546</v>
      </c>
      <c r="Q337" s="38">
        <f t="shared" si="26"/>
        <v>1.0959154072221644</v>
      </c>
      <c r="R337" s="17">
        <f t="shared" si="27"/>
        <v>0.33423350710068778</v>
      </c>
      <c r="S337" s="17">
        <f t="shared" si="28"/>
        <v>0.1554035332031643</v>
      </c>
      <c r="T337" s="38" t="str">
        <f t="shared" si="29"/>
        <v/>
      </c>
      <c r="U337" s="31" t="s">
        <v>1876</v>
      </c>
      <c r="V337" s="31"/>
    </row>
    <row r="338" spans="1:22" ht="30">
      <c r="A338" s="7">
        <v>17</v>
      </c>
      <c r="B338" s="7">
        <v>169</v>
      </c>
      <c r="C338" s="7">
        <v>46382.625</v>
      </c>
      <c r="D338" s="7" t="s">
        <v>53</v>
      </c>
      <c r="E338" s="7" t="s">
        <v>55</v>
      </c>
      <c r="F338" s="7" t="s">
        <v>1742</v>
      </c>
      <c r="G338" s="7">
        <v>3</v>
      </c>
      <c r="H338" s="37">
        <f>Priors!$H$27*VLOOKUP(D338,Team_26_27!$A$2:$U$21,20,FALSE)*VLOOKUP(E338,Team_26_27!$A$2:$U$21,21,FALSE)*IF(F338="H",Priors!$H$28,Priors!$H$29)</f>
        <v>1.470557773580909</v>
      </c>
      <c r="I338" s="37">
        <f>Priors!$H$27*VLOOKUP(E338,Team_26_27!$A$2:$U$21,20,FALSE)*VLOOKUP(D338,Team_26_27!$A$2:$U$21,21,FALSE)*IF(F338="H",Priors!$H$29,Priors!$H$28)</f>
        <v>1.453132676695799</v>
      </c>
      <c r="J338" s="15"/>
      <c r="K338" s="15"/>
      <c r="L338" s="47" t="b">
        <v>0</v>
      </c>
      <c r="M338" s="45">
        <v>0</v>
      </c>
      <c r="N338" s="45"/>
      <c r="O338" s="45"/>
      <c r="P338" s="38">
        <f t="shared" si="25"/>
        <v>1.470557773580909</v>
      </c>
      <c r="Q338" s="38">
        <f t="shared" si="26"/>
        <v>1.453132676695799</v>
      </c>
      <c r="R338" s="17">
        <f t="shared" si="27"/>
        <v>0.23383660501471112</v>
      </c>
      <c r="S338" s="17">
        <f t="shared" si="28"/>
        <v>0.22979727458507618</v>
      </c>
      <c r="T338" s="38" t="str">
        <f t="shared" si="29"/>
        <v/>
      </c>
      <c r="U338" s="31" t="s">
        <v>1876</v>
      </c>
      <c r="V338" s="31"/>
    </row>
    <row r="339" spans="1:22" ht="30">
      <c r="A339" s="7">
        <v>17</v>
      </c>
      <c r="B339" s="7">
        <v>169</v>
      </c>
      <c r="C339" s="7">
        <v>46382.625</v>
      </c>
      <c r="D339" s="7" t="s">
        <v>55</v>
      </c>
      <c r="E339" s="7" t="s">
        <v>53</v>
      </c>
      <c r="F339" s="7" t="s">
        <v>1743</v>
      </c>
      <c r="G339" s="7">
        <v>4</v>
      </c>
      <c r="H339" s="37">
        <f>Priors!$H$27*VLOOKUP(D339,Team_26_27!$A$2:$U$21,20,FALSE)*VLOOKUP(E339,Team_26_27!$A$2:$U$21,21,FALSE)*IF(F339="H",Priors!$H$28,Priors!$H$29)</f>
        <v>1.453132676695799</v>
      </c>
      <c r="I339" s="37">
        <f>Priors!$H$27*VLOOKUP(E339,Team_26_27!$A$2:$U$21,20,FALSE)*VLOOKUP(D339,Team_26_27!$A$2:$U$21,21,FALSE)*IF(F339="H",Priors!$H$29,Priors!$H$28)</f>
        <v>1.470557773580909</v>
      </c>
      <c r="J339" s="15"/>
      <c r="K339" s="15"/>
      <c r="L339" s="47" t="b">
        <v>0</v>
      </c>
      <c r="M339" s="45">
        <v>0</v>
      </c>
      <c r="N339" s="45"/>
      <c r="O339" s="45"/>
      <c r="P339" s="38">
        <f t="shared" si="25"/>
        <v>1.453132676695799</v>
      </c>
      <c r="Q339" s="38">
        <f t="shared" si="26"/>
        <v>1.470557773580909</v>
      </c>
      <c r="R339" s="17">
        <f t="shared" si="27"/>
        <v>0.22979727458507618</v>
      </c>
      <c r="S339" s="17">
        <f t="shared" si="28"/>
        <v>0.23383660501471112</v>
      </c>
      <c r="T339" s="38" t="str">
        <f t="shared" si="29"/>
        <v/>
      </c>
      <c r="U339" s="31" t="s">
        <v>1876</v>
      </c>
      <c r="V339" s="31"/>
    </row>
    <row r="340" spans="1:22" ht="30">
      <c r="A340" s="7">
        <v>17</v>
      </c>
      <c r="B340" s="7">
        <v>170</v>
      </c>
      <c r="C340" s="7">
        <v>46382.625</v>
      </c>
      <c r="D340" s="7" t="s">
        <v>41</v>
      </c>
      <c r="E340" s="7" t="s">
        <v>57</v>
      </c>
      <c r="F340" s="7" t="s">
        <v>1742</v>
      </c>
      <c r="G340" s="7">
        <v>3</v>
      </c>
      <c r="H340" s="37">
        <f>Priors!$H$27*VLOOKUP(D340,Team_26_27!$A$2:$U$21,20,FALSE)*VLOOKUP(E340,Team_26_27!$A$2:$U$21,21,FALSE)*IF(F340="H",Priors!$H$28,Priors!$H$29)</f>
        <v>1.3576293257554364</v>
      </c>
      <c r="I340" s="37">
        <f>Priors!$H$27*VLOOKUP(E340,Team_26_27!$A$2:$U$21,20,FALSE)*VLOOKUP(D340,Team_26_27!$A$2:$U$21,21,FALSE)*IF(F340="H",Priors!$H$29,Priors!$H$28)</f>
        <v>1.3202716811213997</v>
      </c>
      <c r="J340" s="15"/>
      <c r="K340" s="15"/>
      <c r="L340" s="47" t="b">
        <v>0</v>
      </c>
      <c r="M340" s="45">
        <v>0</v>
      </c>
      <c r="N340" s="45"/>
      <c r="O340" s="45"/>
      <c r="P340" s="38">
        <f t="shared" si="25"/>
        <v>1.3576293257554364</v>
      </c>
      <c r="Q340" s="38">
        <f t="shared" si="26"/>
        <v>1.3202716811213997</v>
      </c>
      <c r="R340" s="17">
        <f t="shared" si="27"/>
        <v>0.26706273620526677</v>
      </c>
      <c r="S340" s="17">
        <f t="shared" si="28"/>
        <v>0.25726995784649137</v>
      </c>
      <c r="T340" s="38" t="str">
        <f t="shared" si="29"/>
        <v/>
      </c>
      <c r="U340" s="31" t="s">
        <v>1876</v>
      </c>
      <c r="V340" s="31"/>
    </row>
    <row r="341" spans="1:22" ht="30">
      <c r="A341" s="7">
        <v>17</v>
      </c>
      <c r="B341" s="7">
        <v>170</v>
      </c>
      <c r="C341" s="7">
        <v>46382.625</v>
      </c>
      <c r="D341" s="7" t="s">
        <v>57</v>
      </c>
      <c r="E341" s="7" t="s">
        <v>41</v>
      </c>
      <c r="F341" s="7" t="s">
        <v>1743</v>
      </c>
      <c r="G341" s="7">
        <v>3</v>
      </c>
      <c r="H341" s="37">
        <f>Priors!$H$27*VLOOKUP(D341,Team_26_27!$A$2:$U$21,20,FALSE)*VLOOKUP(E341,Team_26_27!$A$2:$U$21,21,FALSE)*IF(F341="H",Priors!$H$28,Priors!$H$29)</f>
        <v>1.3202716811213997</v>
      </c>
      <c r="I341" s="37">
        <f>Priors!$H$27*VLOOKUP(E341,Team_26_27!$A$2:$U$21,20,FALSE)*VLOOKUP(D341,Team_26_27!$A$2:$U$21,21,FALSE)*IF(F341="H",Priors!$H$29,Priors!$H$28)</f>
        <v>1.3576293257554364</v>
      </c>
      <c r="J341" s="15"/>
      <c r="K341" s="15"/>
      <c r="L341" s="47" t="b">
        <v>0</v>
      </c>
      <c r="M341" s="45">
        <v>0</v>
      </c>
      <c r="N341" s="45"/>
      <c r="O341" s="45"/>
      <c r="P341" s="38">
        <f t="shared" si="25"/>
        <v>1.3202716811213997</v>
      </c>
      <c r="Q341" s="38">
        <f t="shared" si="26"/>
        <v>1.3576293257554364</v>
      </c>
      <c r="R341" s="17">
        <f t="shared" si="27"/>
        <v>0.25726995784649137</v>
      </c>
      <c r="S341" s="17">
        <f t="shared" si="28"/>
        <v>0.26706273620526677</v>
      </c>
      <c r="T341" s="38" t="str">
        <f t="shared" si="29"/>
        <v/>
      </c>
      <c r="U341" s="31" t="s">
        <v>1876</v>
      </c>
      <c r="V341" s="31"/>
    </row>
    <row r="342" spans="1:22" ht="30">
      <c r="A342" s="7">
        <v>18</v>
      </c>
      <c r="B342" s="7">
        <v>171</v>
      </c>
      <c r="C342" s="7">
        <v>46386.833333333336</v>
      </c>
      <c r="D342" s="7" t="s">
        <v>52</v>
      </c>
      <c r="E342" s="7" t="s">
        <v>40</v>
      </c>
      <c r="F342" s="7" t="s">
        <v>1742</v>
      </c>
      <c r="G342" s="7">
        <v>4</v>
      </c>
      <c r="H342" s="37">
        <f>Priors!$H$27*VLOOKUP(D342,Team_26_27!$A$2:$U$21,20,FALSE)*VLOOKUP(E342,Team_26_27!$A$2:$U$21,21,FALSE)*IF(F342="H",Priors!$H$28,Priors!$H$29)</f>
        <v>1.3786709085673092</v>
      </c>
      <c r="I342" s="37">
        <f>Priors!$H$27*VLOOKUP(E342,Team_26_27!$A$2:$U$21,20,FALSE)*VLOOKUP(D342,Team_26_27!$A$2:$U$21,21,FALSE)*IF(F342="H",Priors!$H$29,Priors!$H$28)</f>
        <v>1.3528101445844916</v>
      </c>
      <c r="J342" s="15"/>
      <c r="K342" s="15"/>
      <c r="L342" s="47" t="b">
        <v>0</v>
      </c>
      <c r="M342" s="45">
        <v>0</v>
      </c>
      <c r="N342" s="45"/>
      <c r="O342" s="45"/>
      <c r="P342" s="38">
        <f t="shared" si="25"/>
        <v>1.3786709085673092</v>
      </c>
      <c r="Q342" s="38">
        <f t="shared" si="26"/>
        <v>1.3528101445844916</v>
      </c>
      <c r="R342" s="17">
        <f t="shared" si="27"/>
        <v>0.25851278067204675</v>
      </c>
      <c r="S342" s="17">
        <f t="shared" si="28"/>
        <v>0.25191314626250211</v>
      </c>
      <c r="T342" s="38" t="str">
        <f t="shared" si="29"/>
        <v/>
      </c>
      <c r="U342" s="31" t="s">
        <v>1876</v>
      </c>
      <c r="V342" s="31"/>
    </row>
    <row r="343" spans="1:22" ht="30">
      <c r="A343" s="7">
        <v>18</v>
      </c>
      <c r="B343" s="7">
        <v>171</v>
      </c>
      <c r="C343" s="7">
        <v>46386.833333333336</v>
      </c>
      <c r="D343" s="7" t="s">
        <v>40</v>
      </c>
      <c r="E343" s="7" t="s">
        <v>52</v>
      </c>
      <c r="F343" s="7" t="s">
        <v>1743</v>
      </c>
      <c r="G343" s="7">
        <v>4</v>
      </c>
      <c r="H343" s="37">
        <f>Priors!$H$27*VLOOKUP(D343,Team_26_27!$A$2:$U$21,20,FALSE)*VLOOKUP(E343,Team_26_27!$A$2:$U$21,21,FALSE)*IF(F343="H",Priors!$H$28,Priors!$H$29)</f>
        <v>1.3528101445844916</v>
      </c>
      <c r="I343" s="37">
        <f>Priors!$H$27*VLOOKUP(E343,Team_26_27!$A$2:$U$21,20,FALSE)*VLOOKUP(D343,Team_26_27!$A$2:$U$21,21,FALSE)*IF(F343="H",Priors!$H$29,Priors!$H$28)</f>
        <v>1.3786709085673092</v>
      </c>
      <c r="J343" s="15"/>
      <c r="K343" s="15"/>
      <c r="L343" s="47" t="b">
        <v>0</v>
      </c>
      <c r="M343" s="45">
        <v>0</v>
      </c>
      <c r="N343" s="45"/>
      <c r="O343" s="45"/>
      <c r="P343" s="38">
        <f t="shared" si="25"/>
        <v>1.3528101445844916</v>
      </c>
      <c r="Q343" s="38">
        <f t="shared" si="26"/>
        <v>1.3786709085673092</v>
      </c>
      <c r="R343" s="17">
        <f t="shared" si="27"/>
        <v>0.25191314626250211</v>
      </c>
      <c r="S343" s="17">
        <f t="shared" si="28"/>
        <v>0.25851278067204675</v>
      </c>
      <c r="T343" s="38" t="str">
        <f t="shared" si="29"/>
        <v/>
      </c>
      <c r="U343" s="31" t="s">
        <v>1876</v>
      </c>
      <c r="V343" s="31"/>
    </row>
    <row r="344" spans="1:22" ht="30">
      <c r="A344" s="7">
        <v>18</v>
      </c>
      <c r="B344" s="7">
        <v>172</v>
      </c>
      <c r="C344" s="7">
        <v>46386.833333333336</v>
      </c>
      <c r="D344" s="7" t="s">
        <v>42</v>
      </c>
      <c r="E344" s="7" t="s">
        <v>45</v>
      </c>
      <c r="F344" s="7" t="s">
        <v>1742</v>
      </c>
      <c r="G344" s="7">
        <v>2</v>
      </c>
      <c r="H344" s="37">
        <f>Priors!$H$27*VLOOKUP(D344,Team_26_27!$A$2:$U$21,20,FALSE)*VLOOKUP(E344,Team_26_27!$A$2:$U$21,21,FALSE)*IF(F344="H",Priors!$H$28,Priors!$H$29)</f>
        <v>1.7300712384671837</v>
      </c>
      <c r="I344" s="37">
        <f>Priors!$H$27*VLOOKUP(E344,Team_26_27!$A$2:$U$21,20,FALSE)*VLOOKUP(D344,Team_26_27!$A$2:$U$21,21,FALSE)*IF(F344="H",Priors!$H$29,Priors!$H$28)</f>
        <v>1.2342599092413271</v>
      </c>
      <c r="J344" s="15"/>
      <c r="K344" s="15"/>
      <c r="L344" s="47" t="b">
        <v>0</v>
      </c>
      <c r="M344" s="45">
        <v>0</v>
      </c>
      <c r="N344" s="45"/>
      <c r="O344" s="45"/>
      <c r="P344" s="38">
        <f t="shared" si="25"/>
        <v>1.7300712384671837</v>
      </c>
      <c r="Q344" s="38">
        <f t="shared" si="26"/>
        <v>1.2342599092413271</v>
      </c>
      <c r="R344" s="17">
        <f t="shared" si="27"/>
        <v>0.29105008615752592</v>
      </c>
      <c r="S344" s="17">
        <f t="shared" si="28"/>
        <v>0.17727178095009732</v>
      </c>
      <c r="T344" s="38" t="str">
        <f t="shared" si="29"/>
        <v/>
      </c>
      <c r="U344" s="31" t="s">
        <v>1876</v>
      </c>
      <c r="V344" s="31"/>
    </row>
    <row r="345" spans="1:22" ht="30">
      <c r="A345" s="7">
        <v>18</v>
      </c>
      <c r="B345" s="7">
        <v>172</v>
      </c>
      <c r="C345" s="7">
        <v>46386.833333333336</v>
      </c>
      <c r="D345" s="7" t="s">
        <v>45</v>
      </c>
      <c r="E345" s="7" t="s">
        <v>42</v>
      </c>
      <c r="F345" s="7" t="s">
        <v>1743</v>
      </c>
      <c r="G345" s="7">
        <v>3</v>
      </c>
      <c r="H345" s="37">
        <f>Priors!$H$27*VLOOKUP(D345,Team_26_27!$A$2:$U$21,20,FALSE)*VLOOKUP(E345,Team_26_27!$A$2:$U$21,21,FALSE)*IF(F345="H",Priors!$H$28,Priors!$H$29)</f>
        <v>1.2342599092413271</v>
      </c>
      <c r="I345" s="37">
        <f>Priors!$H$27*VLOOKUP(E345,Team_26_27!$A$2:$U$21,20,FALSE)*VLOOKUP(D345,Team_26_27!$A$2:$U$21,21,FALSE)*IF(F345="H",Priors!$H$29,Priors!$H$28)</f>
        <v>1.7300712384671837</v>
      </c>
      <c r="J345" s="15"/>
      <c r="K345" s="15"/>
      <c r="L345" s="47" t="b">
        <v>0</v>
      </c>
      <c r="M345" s="45">
        <v>0</v>
      </c>
      <c r="N345" s="45"/>
      <c r="O345" s="45"/>
      <c r="P345" s="38">
        <f t="shared" si="25"/>
        <v>1.2342599092413271</v>
      </c>
      <c r="Q345" s="38">
        <f t="shared" si="26"/>
        <v>1.7300712384671837</v>
      </c>
      <c r="R345" s="17">
        <f t="shared" si="27"/>
        <v>0.17727178095009732</v>
      </c>
      <c r="S345" s="17">
        <f t="shared" si="28"/>
        <v>0.29105008615752592</v>
      </c>
      <c r="T345" s="38" t="str">
        <f t="shared" si="29"/>
        <v/>
      </c>
      <c r="U345" s="31" t="s">
        <v>1876</v>
      </c>
      <c r="V345" s="31"/>
    </row>
    <row r="346" spans="1:22" ht="30">
      <c r="A346" s="7">
        <v>18</v>
      </c>
      <c r="B346" s="7">
        <v>173</v>
      </c>
      <c r="C346" s="7">
        <v>46386.833333333336</v>
      </c>
      <c r="D346" s="7" t="s">
        <v>41</v>
      </c>
      <c r="E346" s="7" t="s">
        <v>46</v>
      </c>
      <c r="F346" s="7" t="s">
        <v>1742</v>
      </c>
      <c r="G346" s="7">
        <v>3</v>
      </c>
      <c r="H346" s="37">
        <f>Priors!$H$27*VLOOKUP(D346,Team_26_27!$A$2:$U$21,20,FALSE)*VLOOKUP(E346,Team_26_27!$A$2:$U$21,21,FALSE)*IF(F346="H",Priors!$H$28,Priors!$H$29)</f>
        <v>1.3551036900258626</v>
      </c>
      <c r="I346" s="37">
        <f>Priors!$H$27*VLOOKUP(E346,Team_26_27!$A$2:$U$21,20,FALSE)*VLOOKUP(D346,Team_26_27!$A$2:$U$21,21,FALSE)*IF(F346="H",Priors!$H$29,Priors!$H$28)</f>
        <v>1.6801886863099929</v>
      </c>
      <c r="J346" s="15"/>
      <c r="K346" s="15"/>
      <c r="L346" s="47" t="b">
        <v>0</v>
      </c>
      <c r="M346" s="45">
        <v>0</v>
      </c>
      <c r="N346" s="45"/>
      <c r="O346" s="45"/>
      <c r="P346" s="38">
        <f t="shared" si="25"/>
        <v>1.3551036900258626</v>
      </c>
      <c r="Q346" s="38">
        <f t="shared" si="26"/>
        <v>1.6801886863099929</v>
      </c>
      <c r="R346" s="17">
        <f t="shared" si="27"/>
        <v>0.18633881313907569</v>
      </c>
      <c r="S346" s="17">
        <f t="shared" si="28"/>
        <v>0.25792054927682068</v>
      </c>
      <c r="T346" s="38" t="str">
        <f t="shared" si="29"/>
        <v/>
      </c>
      <c r="U346" s="31" t="s">
        <v>1876</v>
      </c>
      <c r="V346" s="31"/>
    </row>
    <row r="347" spans="1:22" ht="30">
      <c r="A347" s="7">
        <v>18</v>
      </c>
      <c r="B347" s="7">
        <v>173</v>
      </c>
      <c r="C347" s="7">
        <v>46386.833333333336</v>
      </c>
      <c r="D347" s="7" t="s">
        <v>46</v>
      </c>
      <c r="E347" s="7" t="s">
        <v>41</v>
      </c>
      <c r="F347" s="7" t="s">
        <v>1743</v>
      </c>
      <c r="G347" s="7">
        <v>3</v>
      </c>
      <c r="H347" s="37">
        <f>Priors!$H$27*VLOOKUP(D347,Team_26_27!$A$2:$U$21,20,FALSE)*VLOOKUP(E347,Team_26_27!$A$2:$U$21,21,FALSE)*IF(F347="H",Priors!$H$28,Priors!$H$29)</f>
        <v>1.6801886863099929</v>
      </c>
      <c r="I347" s="37">
        <f>Priors!$H$27*VLOOKUP(E347,Team_26_27!$A$2:$U$21,20,FALSE)*VLOOKUP(D347,Team_26_27!$A$2:$U$21,21,FALSE)*IF(F347="H",Priors!$H$29,Priors!$H$28)</f>
        <v>1.3551036900258626</v>
      </c>
      <c r="J347" s="15"/>
      <c r="K347" s="15"/>
      <c r="L347" s="47" t="b">
        <v>0</v>
      </c>
      <c r="M347" s="45">
        <v>0</v>
      </c>
      <c r="N347" s="45"/>
      <c r="O347" s="45"/>
      <c r="P347" s="38">
        <f t="shared" si="25"/>
        <v>1.6801886863099929</v>
      </c>
      <c r="Q347" s="38">
        <f t="shared" si="26"/>
        <v>1.3551036900258626</v>
      </c>
      <c r="R347" s="17">
        <f t="shared" si="27"/>
        <v>0.25792054927682068</v>
      </c>
      <c r="S347" s="17">
        <f t="shared" si="28"/>
        <v>0.18633881313907569</v>
      </c>
      <c r="T347" s="38" t="str">
        <f t="shared" si="29"/>
        <v/>
      </c>
      <c r="U347" s="31" t="s">
        <v>1876</v>
      </c>
      <c r="V347" s="31"/>
    </row>
    <row r="348" spans="1:22" ht="30">
      <c r="A348" s="7">
        <v>18</v>
      </c>
      <c r="B348" s="7">
        <v>174</v>
      </c>
      <c r="C348" s="7">
        <v>46386.833333333336</v>
      </c>
      <c r="D348" s="7" t="s">
        <v>53</v>
      </c>
      <c r="E348" s="7" t="s">
        <v>47</v>
      </c>
      <c r="F348" s="7" t="s">
        <v>1742</v>
      </c>
      <c r="G348" s="7">
        <v>3</v>
      </c>
      <c r="H348" s="37">
        <f>Priors!$H$27*VLOOKUP(D348,Team_26_27!$A$2:$U$21,20,FALSE)*VLOOKUP(E348,Team_26_27!$A$2:$U$21,21,FALSE)*IF(F348="H",Priors!$H$28,Priors!$H$29)</f>
        <v>1.565584246681728</v>
      </c>
      <c r="I348" s="37">
        <f>Priors!$H$27*VLOOKUP(E348,Team_26_27!$A$2:$U$21,20,FALSE)*VLOOKUP(D348,Team_26_27!$A$2:$U$21,21,FALSE)*IF(F348="H",Priors!$H$29,Priors!$H$28)</f>
        <v>1.2775754258510581</v>
      </c>
      <c r="J348" s="15"/>
      <c r="K348" s="15"/>
      <c r="L348" s="47" t="b">
        <v>0</v>
      </c>
      <c r="M348" s="45">
        <v>0</v>
      </c>
      <c r="N348" s="45"/>
      <c r="O348" s="45"/>
      <c r="P348" s="38">
        <f t="shared" si="25"/>
        <v>1.565584246681728</v>
      </c>
      <c r="Q348" s="38">
        <f t="shared" si="26"/>
        <v>1.2775754258510581</v>
      </c>
      <c r="R348" s="17">
        <f t="shared" si="27"/>
        <v>0.27871224039464204</v>
      </c>
      <c r="S348" s="17">
        <f t="shared" si="28"/>
        <v>0.20896588987393738</v>
      </c>
      <c r="T348" s="38" t="str">
        <f t="shared" si="29"/>
        <v/>
      </c>
      <c r="U348" s="31" t="s">
        <v>1876</v>
      </c>
      <c r="V348" s="31"/>
    </row>
    <row r="349" spans="1:22" ht="30">
      <c r="A349" s="7">
        <v>18</v>
      </c>
      <c r="B349" s="7">
        <v>174</v>
      </c>
      <c r="C349" s="7">
        <v>46386.833333333336</v>
      </c>
      <c r="D349" s="7" t="s">
        <v>47</v>
      </c>
      <c r="E349" s="7" t="s">
        <v>53</v>
      </c>
      <c r="F349" s="7" t="s">
        <v>1743</v>
      </c>
      <c r="G349" s="7">
        <v>4</v>
      </c>
      <c r="H349" s="37">
        <f>Priors!$H$27*VLOOKUP(D349,Team_26_27!$A$2:$U$21,20,FALSE)*VLOOKUP(E349,Team_26_27!$A$2:$U$21,21,FALSE)*IF(F349="H",Priors!$H$28,Priors!$H$29)</f>
        <v>1.2775754258510581</v>
      </c>
      <c r="I349" s="37">
        <f>Priors!$H$27*VLOOKUP(E349,Team_26_27!$A$2:$U$21,20,FALSE)*VLOOKUP(D349,Team_26_27!$A$2:$U$21,21,FALSE)*IF(F349="H",Priors!$H$29,Priors!$H$28)</f>
        <v>1.565584246681728</v>
      </c>
      <c r="J349" s="15"/>
      <c r="K349" s="15"/>
      <c r="L349" s="47" t="b">
        <v>0</v>
      </c>
      <c r="M349" s="45">
        <v>0</v>
      </c>
      <c r="N349" s="45"/>
      <c r="O349" s="45"/>
      <c r="P349" s="38">
        <f t="shared" si="25"/>
        <v>1.2775754258510581</v>
      </c>
      <c r="Q349" s="38">
        <f t="shared" si="26"/>
        <v>1.565584246681728</v>
      </c>
      <c r="R349" s="17">
        <f t="shared" si="27"/>
        <v>0.20896588987393738</v>
      </c>
      <c r="S349" s="17">
        <f t="shared" si="28"/>
        <v>0.27871224039464204</v>
      </c>
      <c r="T349" s="38" t="str">
        <f t="shared" si="29"/>
        <v/>
      </c>
      <c r="U349" s="31" t="s">
        <v>1876</v>
      </c>
      <c r="V349" s="31"/>
    </row>
    <row r="350" spans="1:22" ht="30">
      <c r="A350" s="7">
        <v>18</v>
      </c>
      <c r="B350" s="7">
        <v>175</v>
      </c>
      <c r="C350" s="7">
        <v>46386.833333333336</v>
      </c>
      <c r="D350" s="7" t="s">
        <v>39</v>
      </c>
      <c r="E350" s="7" t="s">
        <v>48</v>
      </c>
      <c r="F350" s="7" t="s">
        <v>1742</v>
      </c>
      <c r="G350" s="7">
        <v>3</v>
      </c>
      <c r="H350" s="37">
        <f>Priors!$H$27*VLOOKUP(D350,Team_26_27!$A$2:$U$21,20,FALSE)*VLOOKUP(E350,Team_26_27!$A$2:$U$21,21,FALSE)*IF(F350="H",Priors!$H$28,Priors!$H$29)</f>
        <v>1.4692627206483448</v>
      </c>
      <c r="I350" s="37">
        <f>Priors!$H$27*VLOOKUP(E350,Team_26_27!$A$2:$U$21,20,FALSE)*VLOOKUP(D350,Team_26_27!$A$2:$U$21,21,FALSE)*IF(F350="H",Priors!$H$29,Priors!$H$28)</f>
        <v>0.98414745290754413</v>
      </c>
      <c r="J350" s="15"/>
      <c r="K350" s="15"/>
      <c r="L350" s="47" t="b">
        <v>0</v>
      </c>
      <c r="M350" s="45">
        <v>0</v>
      </c>
      <c r="N350" s="45"/>
      <c r="O350" s="45"/>
      <c r="P350" s="38">
        <f t="shared" si="25"/>
        <v>1.4692627206483448</v>
      </c>
      <c r="Q350" s="38">
        <f t="shared" si="26"/>
        <v>0.98414745290754413</v>
      </c>
      <c r="R350" s="17">
        <f t="shared" si="27"/>
        <v>0.37375773721700939</v>
      </c>
      <c r="S350" s="17">
        <f t="shared" si="28"/>
        <v>0.23009506700627649</v>
      </c>
      <c r="T350" s="38" t="str">
        <f t="shared" si="29"/>
        <v/>
      </c>
      <c r="U350" s="31" t="s">
        <v>1876</v>
      </c>
      <c r="V350" s="31"/>
    </row>
    <row r="351" spans="1:22" ht="30">
      <c r="A351" s="7">
        <v>18</v>
      </c>
      <c r="B351" s="7">
        <v>175</v>
      </c>
      <c r="C351" s="7">
        <v>46386.833333333336</v>
      </c>
      <c r="D351" s="7" t="s">
        <v>48</v>
      </c>
      <c r="E351" s="7" t="s">
        <v>39</v>
      </c>
      <c r="F351" s="7" t="s">
        <v>1743</v>
      </c>
      <c r="G351" s="7">
        <v>4</v>
      </c>
      <c r="H351" s="37">
        <f>Priors!$H$27*VLOOKUP(D351,Team_26_27!$A$2:$U$21,20,FALSE)*VLOOKUP(E351,Team_26_27!$A$2:$U$21,21,FALSE)*IF(F351="H",Priors!$H$28,Priors!$H$29)</f>
        <v>0.98414745290754413</v>
      </c>
      <c r="I351" s="37">
        <f>Priors!$H$27*VLOOKUP(E351,Team_26_27!$A$2:$U$21,20,FALSE)*VLOOKUP(D351,Team_26_27!$A$2:$U$21,21,FALSE)*IF(F351="H",Priors!$H$29,Priors!$H$28)</f>
        <v>1.4692627206483448</v>
      </c>
      <c r="J351" s="15"/>
      <c r="K351" s="15"/>
      <c r="L351" s="47" t="b">
        <v>0</v>
      </c>
      <c r="M351" s="45">
        <v>0</v>
      </c>
      <c r="N351" s="45"/>
      <c r="O351" s="45"/>
      <c r="P351" s="38">
        <f t="shared" si="25"/>
        <v>0.98414745290754413</v>
      </c>
      <c r="Q351" s="38">
        <f t="shared" si="26"/>
        <v>1.4692627206483448</v>
      </c>
      <c r="R351" s="17">
        <f t="shared" si="27"/>
        <v>0.23009506700627649</v>
      </c>
      <c r="S351" s="17">
        <f t="shared" si="28"/>
        <v>0.37375773721700939</v>
      </c>
      <c r="T351" s="38" t="str">
        <f t="shared" si="29"/>
        <v/>
      </c>
      <c r="U351" s="31" t="s">
        <v>1876</v>
      </c>
      <c r="V351" s="31"/>
    </row>
    <row r="352" spans="1:22" ht="30">
      <c r="A352" s="7">
        <v>18</v>
      </c>
      <c r="B352" s="7">
        <v>176</v>
      </c>
      <c r="C352" s="7">
        <v>46386.833333333336</v>
      </c>
      <c r="D352" s="7" t="s">
        <v>51</v>
      </c>
      <c r="E352" s="7" t="s">
        <v>49</v>
      </c>
      <c r="F352" s="7" t="s">
        <v>1742</v>
      </c>
      <c r="G352" s="7">
        <v>2</v>
      </c>
      <c r="H352" s="37">
        <f>Priors!$H$27*VLOOKUP(D352,Team_26_27!$A$2:$U$21,20,FALSE)*VLOOKUP(E352,Team_26_27!$A$2:$U$21,21,FALSE)*IF(F352="H",Priors!$H$28,Priors!$H$29)</f>
        <v>1.7428812852355604</v>
      </c>
      <c r="I352" s="37">
        <f>Priors!$H$27*VLOOKUP(E352,Team_26_27!$A$2:$U$21,20,FALSE)*VLOOKUP(D352,Team_26_27!$A$2:$U$21,21,FALSE)*IF(F352="H",Priors!$H$29,Priors!$H$28)</f>
        <v>1.1095709534455369</v>
      </c>
      <c r="J352" s="15"/>
      <c r="K352" s="15"/>
      <c r="L352" s="47" t="b">
        <v>0</v>
      </c>
      <c r="M352" s="45">
        <v>0</v>
      </c>
      <c r="N352" s="45"/>
      <c r="O352" s="45"/>
      <c r="P352" s="38">
        <f t="shared" si="25"/>
        <v>1.7428812852355604</v>
      </c>
      <c r="Q352" s="38">
        <f t="shared" si="26"/>
        <v>1.1095709534455369</v>
      </c>
      <c r="R352" s="17">
        <f t="shared" si="27"/>
        <v>0.32970038754903197</v>
      </c>
      <c r="S352" s="17">
        <f t="shared" si="28"/>
        <v>0.17501540414696115</v>
      </c>
      <c r="T352" s="38" t="str">
        <f t="shared" si="29"/>
        <v/>
      </c>
      <c r="U352" s="31" t="s">
        <v>1876</v>
      </c>
      <c r="V352" s="31"/>
    </row>
    <row r="353" spans="1:22" ht="30">
      <c r="A353" s="7">
        <v>18</v>
      </c>
      <c r="B353" s="7">
        <v>176</v>
      </c>
      <c r="C353" s="7">
        <v>46386.833333333336</v>
      </c>
      <c r="D353" s="7" t="s">
        <v>49</v>
      </c>
      <c r="E353" s="7" t="s">
        <v>51</v>
      </c>
      <c r="F353" s="7" t="s">
        <v>1743</v>
      </c>
      <c r="G353" s="7">
        <v>2</v>
      </c>
      <c r="H353" s="37">
        <f>Priors!$H$27*VLOOKUP(D353,Team_26_27!$A$2:$U$21,20,FALSE)*VLOOKUP(E353,Team_26_27!$A$2:$U$21,21,FALSE)*IF(F353="H",Priors!$H$28,Priors!$H$29)</f>
        <v>1.1095709534455369</v>
      </c>
      <c r="I353" s="37">
        <f>Priors!$H$27*VLOOKUP(E353,Team_26_27!$A$2:$U$21,20,FALSE)*VLOOKUP(D353,Team_26_27!$A$2:$U$21,21,FALSE)*IF(F353="H",Priors!$H$29,Priors!$H$28)</f>
        <v>1.7428812852355604</v>
      </c>
      <c r="J353" s="15"/>
      <c r="K353" s="15"/>
      <c r="L353" s="47" t="b">
        <v>0</v>
      </c>
      <c r="M353" s="45">
        <v>0</v>
      </c>
      <c r="N353" s="45"/>
      <c r="O353" s="45"/>
      <c r="P353" s="38">
        <f t="shared" si="25"/>
        <v>1.1095709534455369</v>
      </c>
      <c r="Q353" s="38">
        <f t="shared" si="26"/>
        <v>1.7428812852355604</v>
      </c>
      <c r="R353" s="17">
        <f t="shared" si="27"/>
        <v>0.17501540414696115</v>
      </c>
      <c r="S353" s="17">
        <f t="shared" si="28"/>
        <v>0.32970038754903197</v>
      </c>
      <c r="T353" s="38" t="str">
        <f t="shared" si="29"/>
        <v/>
      </c>
      <c r="U353" s="31" t="s">
        <v>1876</v>
      </c>
      <c r="V353" s="31"/>
    </row>
    <row r="354" spans="1:22" ht="30">
      <c r="A354" s="7">
        <v>18</v>
      </c>
      <c r="B354" s="7">
        <v>177</v>
      </c>
      <c r="C354" s="7">
        <v>46386.833333333336</v>
      </c>
      <c r="D354" s="7" t="s">
        <v>44</v>
      </c>
      <c r="E354" s="7" t="s">
        <v>50</v>
      </c>
      <c r="F354" s="7" t="s">
        <v>1742</v>
      </c>
      <c r="G354" s="7">
        <v>2</v>
      </c>
      <c r="H354" s="37">
        <f>Priors!$H$27*VLOOKUP(D354,Team_26_27!$A$2:$U$21,20,FALSE)*VLOOKUP(E354,Team_26_27!$A$2:$U$21,21,FALSE)*IF(F354="H",Priors!$H$28,Priors!$H$29)</f>
        <v>1.7669530114919809</v>
      </c>
      <c r="I354" s="37">
        <f>Priors!$H$27*VLOOKUP(E354,Team_26_27!$A$2:$U$21,20,FALSE)*VLOOKUP(D354,Team_26_27!$A$2:$U$21,21,FALSE)*IF(F354="H",Priors!$H$29,Priors!$H$28)</f>
        <v>1.1625221123859644</v>
      </c>
      <c r="J354" s="15"/>
      <c r="K354" s="15"/>
      <c r="L354" s="47" t="b">
        <v>0</v>
      </c>
      <c r="M354" s="45">
        <v>0</v>
      </c>
      <c r="N354" s="45"/>
      <c r="O354" s="45"/>
      <c r="P354" s="38">
        <f t="shared" si="25"/>
        <v>1.7669530114919809</v>
      </c>
      <c r="Q354" s="38">
        <f t="shared" si="26"/>
        <v>1.1625221123859644</v>
      </c>
      <c r="R354" s="17">
        <f t="shared" si="27"/>
        <v>0.31269652971605072</v>
      </c>
      <c r="S354" s="17">
        <f t="shared" si="28"/>
        <v>0.1708527829861608</v>
      </c>
      <c r="T354" s="38" t="str">
        <f t="shared" si="29"/>
        <v/>
      </c>
      <c r="U354" s="31" t="s">
        <v>1876</v>
      </c>
      <c r="V354" s="31"/>
    </row>
    <row r="355" spans="1:22" ht="30">
      <c r="A355" s="7">
        <v>18</v>
      </c>
      <c r="B355" s="7">
        <v>177</v>
      </c>
      <c r="C355" s="7">
        <v>46386.833333333336</v>
      </c>
      <c r="D355" s="7" t="s">
        <v>50</v>
      </c>
      <c r="E355" s="7" t="s">
        <v>44</v>
      </c>
      <c r="F355" s="7" t="s">
        <v>1743</v>
      </c>
      <c r="G355" s="7">
        <v>4</v>
      </c>
      <c r="H355" s="37">
        <f>Priors!$H$27*VLOOKUP(D355,Team_26_27!$A$2:$U$21,20,FALSE)*VLOOKUP(E355,Team_26_27!$A$2:$U$21,21,FALSE)*IF(F355="H",Priors!$H$28,Priors!$H$29)</f>
        <v>1.1625221123859644</v>
      </c>
      <c r="I355" s="37">
        <f>Priors!$H$27*VLOOKUP(E355,Team_26_27!$A$2:$U$21,20,FALSE)*VLOOKUP(D355,Team_26_27!$A$2:$U$21,21,FALSE)*IF(F355="H",Priors!$H$29,Priors!$H$28)</f>
        <v>1.7669530114919809</v>
      </c>
      <c r="J355" s="15"/>
      <c r="K355" s="15"/>
      <c r="L355" s="47" t="b">
        <v>0</v>
      </c>
      <c r="M355" s="45">
        <v>0</v>
      </c>
      <c r="N355" s="45"/>
      <c r="O355" s="45"/>
      <c r="P355" s="38">
        <f t="shared" si="25"/>
        <v>1.1625221123859644</v>
      </c>
      <c r="Q355" s="38">
        <f t="shared" si="26"/>
        <v>1.7669530114919809</v>
      </c>
      <c r="R355" s="17">
        <f t="shared" si="27"/>
        <v>0.1708527829861608</v>
      </c>
      <c r="S355" s="17">
        <f t="shared" si="28"/>
        <v>0.31269652971605072</v>
      </c>
      <c r="T355" s="38" t="str">
        <f t="shared" si="29"/>
        <v/>
      </c>
      <c r="U355" s="31" t="s">
        <v>1876</v>
      </c>
      <c r="V355" s="31"/>
    </row>
    <row r="356" spans="1:22" ht="30">
      <c r="A356" s="7">
        <v>18</v>
      </c>
      <c r="B356" s="7">
        <v>178</v>
      </c>
      <c r="C356" s="7">
        <v>46386.833333333336</v>
      </c>
      <c r="D356" s="7" t="s">
        <v>58</v>
      </c>
      <c r="E356" s="7" t="s">
        <v>54</v>
      </c>
      <c r="F356" s="7" t="s">
        <v>1742</v>
      </c>
      <c r="G356" s="7">
        <v>4</v>
      </c>
      <c r="H356" s="37">
        <f>Priors!$H$27*VLOOKUP(D356,Team_26_27!$A$2:$U$21,20,FALSE)*VLOOKUP(E356,Team_26_27!$A$2:$U$21,21,FALSE)*IF(F356="H",Priors!$H$28,Priors!$H$29)</f>
        <v>0.96145279366518532</v>
      </c>
      <c r="I356" s="37">
        <f>Priors!$H$27*VLOOKUP(E356,Team_26_27!$A$2:$U$21,20,FALSE)*VLOOKUP(D356,Team_26_27!$A$2:$U$21,21,FALSE)*IF(F356="H",Priors!$H$29,Priors!$H$28)</f>
        <v>1.8146214053171617</v>
      </c>
      <c r="J356" s="15"/>
      <c r="K356" s="15"/>
      <c r="L356" s="47" t="b">
        <v>0</v>
      </c>
      <c r="M356" s="45">
        <v>0</v>
      </c>
      <c r="N356" s="45"/>
      <c r="O356" s="45"/>
      <c r="P356" s="38">
        <f t="shared" si="25"/>
        <v>0.96145279366518532</v>
      </c>
      <c r="Q356" s="38">
        <f t="shared" si="26"/>
        <v>1.8146214053171617</v>
      </c>
      <c r="R356" s="17">
        <f t="shared" si="27"/>
        <v>0.16289956962804988</v>
      </c>
      <c r="S356" s="17">
        <f t="shared" si="28"/>
        <v>0.38233702548898635</v>
      </c>
      <c r="T356" s="38" t="str">
        <f t="shared" si="29"/>
        <v/>
      </c>
      <c r="U356" s="31" t="s">
        <v>1876</v>
      </c>
      <c r="V356" s="31"/>
    </row>
    <row r="357" spans="1:22" ht="30">
      <c r="A357" s="7">
        <v>18</v>
      </c>
      <c r="B357" s="7">
        <v>178</v>
      </c>
      <c r="C357" s="7">
        <v>46386.833333333336</v>
      </c>
      <c r="D357" s="7" t="s">
        <v>54</v>
      </c>
      <c r="E357" s="7" t="s">
        <v>58</v>
      </c>
      <c r="F357" s="7" t="s">
        <v>1743</v>
      </c>
      <c r="G357" s="7">
        <v>2</v>
      </c>
      <c r="H357" s="37">
        <f>Priors!$H$27*VLOOKUP(D357,Team_26_27!$A$2:$U$21,20,FALSE)*VLOOKUP(E357,Team_26_27!$A$2:$U$21,21,FALSE)*IF(F357="H",Priors!$H$28,Priors!$H$29)</f>
        <v>1.8146214053171617</v>
      </c>
      <c r="I357" s="37">
        <f>Priors!$H$27*VLOOKUP(E357,Team_26_27!$A$2:$U$21,20,FALSE)*VLOOKUP(D357,Team_26_27!$A$2:$U$21,21,FALSE)*IF(F357="H",Priors!$H$29,Priors!$H$28)</f>
        <v>0.96145279366518532</v>
      </c>
      <c r="J357" s="15"/>
      <c r="K357" s="15"/>
      <c r="L357" s="47" t="b">
        <v>0</v>
      </c>
      <c r="M357" s="45">
        <v>0</v>
      </c>
      <c r="N357" s="45"/>
      <c r="O357" s="45"/>
      <c r="P357" s="38">
        <f t="shared" si="25"/>
        <v>1.8146214053171617</v>
      </c>
      <c r="Q357" s="38">
        <f t="shared" si="26"/>
        <v>0.96145279366518532</v>
      </c>
      <c r="R357" s="17">
        <f t="shared" si="27"/>
        <v>0.38233702548898635</v>
      </c>
      <c r="S357" s="17">
        <f t="shared" si="28"/>
        <v>0.16289956962804988</v>
      </c>
      <c r="T357" s="38" t="str">
        <f t="shared" si="29"/>
        <v/>
      </c>
      <c r="U357" s="31" t="s">
        <v>1876</v>
      </c>
      <c r="V357" s="31"/>
    </row>
    <row r="358" spans="1:22" ht="30">
      <c r="A358" s="7">
        <v>18</v>
      </c>
      <c r="B358" s="7">
        <v>179</v>
      </c>
      <c r="C358" s="7">
        <v>46386.833333333336</v>
      </c>
      <c r="D358" s="7" t="s">
        <v>56</v>
      </c>
      <c r="E358" s="7" t="s">
        <v>55</v>
      </c>
      <c r="F358" s="7" t="s">
        <v>1742</v>
      </c>
      <c r="G358" s="7">
        <v>3</v>
      </c>
      <c r="H358" s="37">
        <f>Priors!$H$27*VLOOKUP(D358,Team_26_27!$A$2:$U$21,20,FALSE)*VLOOKUP(E358,Team_26_27!$A$2:$U$21,21,FALSE)*IF(F358="H",Priors!$H$28,Priors!$H$29)</f>
        <v>1.1433514357934866</v>
      </c>
      <c r="I358" s="37">
        <f>Priors!$H$27*VLOOKUP(E358,Team_26_27!$A$2:$U$21,20,FALSE)*VLOOKUP(D358,Team_26_27!$A$2:$U$21,21,FALSE)*IF(F358="H",Priors!$H$29,Priors!$H$28)</f>
        <v>1.6702959395019248</v>
      </c>
      <c r="J358" s="15"/>
      <c r="K358" s="15"/>
      <c r="L358" s="47" t="b">
        <v>0</v>
      </c>
      <c r="M358" s="45">
        <v>0</v>
      </c>
      <c r="N358" s="45"/>
      <c r="O358" s="45"/>
      <c r="P358" s="38">
        <f t="shared" si="25"/>
        <v>1.1433514357934866</v>
      </c>
      <c r="Q358" s="38">
        <f t="shared" si="26"/>
        <v>1.6702959395019248</v>
      </c>
      <c r="R358" s="17">
        <f t="shared" si="27"/>
        <v>0.1881913641384465</v>
      </c>
      <c r="S358" s="17">
        <f t="shared" si="28"/>
        <v>0.31874896301741645</v>
      </c>
      <c r="T358" s="38" t="str">
        <f t="shared" si="29"/>
        <v/>
      </c>
      <c r="U358" s="31" t="s">
        <v>1876</v>
      </c>
      <c r="V358" s="31"/>
    </row>
    <row r="359" spans="1:22" ht="30">
      <c r="A359" s="7">
        <v>18</v>
      </c>
      <c r="B359" s="7">
        <v>179</v>
      </c>
      <c r="C359" s="7">
        <v>46386.833333333336</v>
      </c>
      <c r="D359" s="7" t="s">
        <v>55</v>
      </c>
      <c r="E359" s="7" t="s">
        <v>56</v>
      </c>
      <c r="F359" s="7" t="s">
        <v>1743</v>
      </c>
      <c r="G359" s="7">
        <v>3</v>
      </c>
      <c r="H359" s="37">
        <f>Priors!$H$27*VLOOKUP(D359,Team_26_27!$A$2:$U$21,20,FALSE)*VLOOKUP(E359,Team_26_27!$A$2:$U$21,21,FALSE)*IF(F359="H",Priors!$H$28,Priors!$H$29)</f>
        <v>1.6702959395019248</v>
      </c>
      <c r="I359" s="37">
        <f>Priors!$H$27*VLOOKUP(E359,Team_26_27!$A$2:$U$21,20,FALSE)*VLOOKUP(D359,Team_26_27!$A$2:$U$21,21,FALSE)*IF(F359="H",Priors!$H$29,Priors!$H$28)</f>
        <v>1.1433514357934866</v>
      </c>
      <c r="J359" s="15"/>
      <c r="K359" s="15"/>
      <c r="L359" s="47" t="b">
        <v>0</v>
      </c>
      <c r="M359" s="45">
        <v>0</v>
      </c>
      <c r="N359" s="45"/>
      <c r="O359" s="45"/>
      <c r="P359" s="38">
        <f t="shared" si="25"/>
        <v>1.6702959395019248</v>
      </c>
      <c r="Q359" s="38">
        <f t="shared" si="26"/>
        <v>1.1433514357934866</v>
      </c>
      <c r="R359" s="17">
        <f t="shared" si="27"/>
        <v>0.31874896301741645</v>
      </c>
      <c r="S359" s="17">
        <f t="shared" si="28"/>
        <v>0.1881913641384465</v>
      </c>
      <c r="T359" s="38" t="str">
        <f t="shared" si="29"/>
        <v/>
      </c>
      <c r="U359" s="31" t="s">
        <v>1876</v>
      </c>
      <c r="V359" s="31"/>
    </row>
    <row r="360" spans="1:22" ht="30">
      <c r="A360" s="7">
        <v>18</v>
      </c>
      <c r="B360" s="7">
        <v>180</v>
      </c>
      <c r="C360" s="7">
        <v>46386.833333333336</v>
      </c>
      <c r="D360" s="7" t="s">
        <v>43</v>
      </c>
      <c r="E360" s="7" t="s">
        <v>57</v>
      </c>
      <c r="F360" s="7" t="s">
        <v>1742</v>
      </c>
      <c r="G360" s="7">
        <v>3</v>
      </c>
      <c r="H360" s="37">
        <f>Priors!$H$27*VLOOKUP(D360,Team_26_27!$A$2:$U$21,20,FALSE)*VLOOKUP(E360,Team_26_27!$A$2:$U$21,21,FALSE)*IF(F360="H",Priors!$H$28,Priors!$H$29)</f>
        <v>1.3229180443377575</v>
      </c>
      <c r="I360" s="37">
        <f>Priors!$H$27*VLOOKUP(E360,Team_26_27!$A$2:$U$21,20,FALSE)*VLOOKUP(D360,Team_26_27!$A$2:$U$21,21,FALSE)*IF(F360="H",Priors!$H$29,Priors!$H$28)</f>
        <v>1.2044522849378458</v>
      </c>
      <c r="J360" s="15"/>
      <c r="K360" s="15"/>
      <c r="L360" s="47" t="b">
        <v>0</v>
      </c>
      <c r="M360" s="45">
        <v>0</v>
      </c>
      <c r="N360" s="45"/>
      <c r="O360" s="45"/>
      <c r="P360" s="38">
        <f t="shared" si="25"/>
        <v>1.3229180443377575</v>
      </c>
      <c r="Q360" s="38">
        <f t="shared" si="26"/>
        <v>1.2044522849378458</v>
      </c>
      <c r="R360" s="17">
        <f t="shared" si="27"/>
        <v>0.29985619029616462</v>
      </c>
      <c r="S360" s="17">
        <f t="shared" si="28"/>
        <v>0.26635692553132922</v>
      </c>
      <c r="T360" s="38" t="str">
        <f t="shared" si="29"/>
        <v/>
      </c>
      <c r="U360" s="31" t="s">
        <v>1876</v>
      </c>
      <c r="V360" s="31"/>
    </row>
    <row r="361" spans="1:22" ht="30">
      <c r="A361" s="7">
        <v>18</v>
      </c>
      <c r="B361" s="7">
        <v>180</v>
      </c>
      <c r="C361" s="7">
        <v>46386.833333333336</v>
      </c>
      <c r="D361" s="7" t="s">
        <v>57</v>
      </c>
      <c r="E361" s="7" t="s">
        <v>43</v>
      </c>
      <c r="F361" s="7" t="s">
        <v>1743</v>
      </c>
      <c r="G361" s="7">
        <v>2</v>
      </c>
      <c r="H361" s="37">
        <f>Priors!$H$27*VLOOKUP(D361,Team_26_27!$A$2:$U$21,20,FALSE)*VLOOKUP(E361,Team_26_27!$A$2:$U$21,21,FALSE)*IF(F361="H",Priors!$H$28,Priors!$H$29)</f>
        <v>1.2044522849378458</v>
      </c>
      <c r="I361" s="37">
        <f>Priors!$H$27*VLOOKUP(E361,Team_26_27!$A$2:$U$21,20,FALSE)*VLOOKUP(D361,Team_26_27!$A$2:$U$21,21,FALSE)*IF(F361="H",Priors!$H$29,Priors!$H$28)</f>
        <v>1.3229180443377575</v>
      </c>
      <c r="J361" s="15"/>
      <c r="K361" s="15"/>
      <c r="L361" s="47" t="b">
        <v>0</v>
      </c>
      <c r="M361" s="45">
        <v>0</v>
      </c>
      <c r="N361" s="45"/>
      <c r="O361" s="45"/>
      <c r="P361" s="38">
        <f t="shared" si="25"/>
        <v>1.2044522849378458</v>
      </c>
      <c r="Q361" s="38">
        <f t="shared" si="26"/>
        <v>1.3229180443377575</v>
      </c>
      <c r="R361" s="17">
        <f t="shared" si="27"/>
        <v>0.26635692553132922</v>
      </c>
      <c r="S361" s="17">
        <f t="shared" si="28"/>
        <v>0.29985619029616462</v>
      </c>
      <c r="T361" s="38" t="str">
        <f t="shared" si="29"/>
        <v/>
      </c>
      <c r="U361" s="31" t="s">
        <v>1876</v>
      </c>
      <c r="V361" s="31"/>
    </row>
    <row r="362" spans="1:22" ht="30">
      <c r="A362" s="7">
        <v>19</v>
      </c>
      <c r="B362" s="7">
        <v>181</v>
      </c>
      <c r="C362" s="7">
        <v>46389.625</v>
      </c>
      <c r="D362" s="7" t="s">
        <v>50</v>
      </c>
      <c r="E362" s="7" t="s">
        <v>39</v>
      </c>
      <c r="F362" s="7" t="s">
        <v>1742</v>
      </c>
      <c r="G362" s="7">
        <v>5</v>
      </c>
      <c r="H362" s="37">
        <f>Priors!$H$27*VLOOKUP(D362,Team_26_27!$A$2:$U$21,20,FALSE)*VLOOKUP(E362,Team_26_27!$A$2:$U$21,21,FALSE)*IF(F362="H",Priors!$H$28,Priors!$H$29)</f>
        <v>0.64554088562107448</v>
      </c>
      <c r="I362" s="37">
        <f>Priors!$H$27*VLOOKUP(E362,Team_26_27!$A$2:$U$21,20,FALSE)*VLOOKUP(D362,Team_26_27!$A$2:$U$21,21,FALSE)*IF(F362="H",Priors!$H$29,Priors!$H$28)</f>
        <v>2.2088369493072815</v>
      </c>
      <c r="J362" s="15"/>
      <c r="K362" s="15"/>
      <c r="L362" s="47" t="b">
        <v>0</v>
      </c>
      <c r="M362" s="45">
        <v>0</v>
      </c>
      <c r="N362" s="45"/>
      <c r="O362" s="45"/>
      <c r="P362" s="38">
        <f t="shared" si="25"/>
        <v>0.64554088562107448</v>
      </c>
      <c r="Q362" s="38">
        <f t="shared" si="26"/>
        <v>2.2088369493072815</v>
      </c>
      <c r="R362" s="17">
        <f t="shared" si="27"/>
        <v>0.10982831015484755</v>
      </c>
      <c r="S362" s="17">
        <f t="shared" si="28"/>
        <v>0.52437883641473237</v>
      </c>
      <c r="T362" s="38" t="str">
        <f t="shared" si="29"/>
        <v/>
      </c>
      <c r="U362" s="31" t="s">
        <v>1876</v>
      </c>
      <c r="V362" s="31"/>
    </row>
    <row r="363" spans="1:22" ht="30">
      <c r="A363" s="7">
        <v>19</v>
      </c>
      <c r="B363" s="7">
        <v>181</v>
      </c>
      <c r="C363" s="7">
        <v>46389.625</v>
      </c>
      <c r="D363" s="7" t="s">
        <v>39</v>
      </c>
      <c r="E363" s="7" t="s">
        <v>50</v>
      </c>
      <c r="F363" s="7" t="s">
        <v>1743</v>
      </c>
      <c r="G363" s="7">
        <v>2</v>
      </c>
      <c r="H363" s="37">
        <f>Priors!$H$27*VLOOKUP(D363,Team_26_27!$A$2:$U$21,20,FALSE)*VLOOKUP(E363,Team_26_27!$A$2:$U$21,21,FALSE)*IF(F363="H",Priors!$H$28,Priors!$H$29)</f>
        <v>2.2088369493072815</v>
      </c>
      <c r="I363" s="37">
        <f>Priors!$H$27*VLOOKUP(E363,Team_26_27!$A$2:$U$21,20,FALSE)*VLOOKUP(D363,Team_26_27!$A$2:$U$21,21,FALSE)*IF(F363="H",Priors!$H$29,Priors!$H$28)</f>
        <v>0.64554088562107448</v>
      </c>
      <c r="J363" s="15"/>
      <c r="K363" s="15"/>
      <c r="L363" s="47" t="b">
        <v>0</v>
      </c>
      <c r="M363" s="45">
        <v>0</v>
      </c>
      <c r="N363" s="45"/>
      <c r="O363" s="45"/>
      <c r="P363" s="38">
        <f t="shared" si="25"/>
        <v>2.2088369493072815</v>
      </c>
      <c r="Q363" s="38">
        <f t="shared" si="26"/>
        <v>0.64554088562107448</v>
      </c>
      <c r="R363" s="17">
        <f t="shared" si="27"/>
        <v>0.52437883641473237</v>
      </c>
      <c r="S363" s="17">
        <f t="shared" si="28"/>
        <v>0.10982831015484755</v>
      </c>
      <c r="T363" s="38" t="str">
        <f t="shared" si="29"/>
        <v/>
      </c>
      <c r="U363" s="31" t="s">
        <v>1876</v>
      </c>
      <c r="V363" s="31"/>
    </row>
    <row r="364" spans="1:22" ht="30">
      <c r="A364" s="7">
        <v>19</v>
      </c>
      <c r="B364" s="7">
        <v>182</v>
      </c>
      <c r="C364" s="7">
        <v>46389.625</v>
      </c>
      <c r="D364" s="7" t="s">
        <v>40</v>
      </c>
      <c r="E364" s="7" t="s">
        <v>41</v>
      </c>
      <c r="F364" s="7" t="s">
        <v>1742</v>
      </c>
      <c r="G364" s="7">
        <v>3</v>
      </c>
      <c r="H364" s="37">
        <f>Priors!$H$27*VLOOKUP(D364,Team_26_27!$A$2:$U$21,20,FALSE)*VLOOKUP(E364,Team_26_27!$A$2:$U$21,21,FALSE)*IF(F364="H",Priors!$H$28,Priors!$H$29)</f>
        <v>1.2213571015101294</v>
      </c>
      <c r="I364" s="37">
        <f>Priors!$H$27*VLOOKUP(E364,Team_26_27!$A$2:$U$21,20,FALSE)*VLOOKUP(D364,Team_26_27!$A$2:$U$21,21,FALSE)*IF(F364="H",Priors!$H$29,Priors!$H$28)</f>
        <v>1.6946936796895518</v>
      </c>
      <c r="J364" s="15"/>
      <c r="K364" s="15"/>
      <c r="L364" s="47" t="b">
        <v>0</v>
      </c>
      <c r="M364" s="45">
        <v>0</v>
      </c>
      <c r="N364" s="45"/>
      <c r="O364" s="45"/>
      <c r="P364" s="38">
        <f t="shared" si="25"/>
        <v>1.2213571015101294</v>
      </c>
      <c r="Q364" s="38">
        <f t="shared" si="26"/>
        <v>1.6946936796895518</v>
      </c>
      <c r="R364" s="17">
        <f t="shared" si="27"/>
        <v>0.1836554778151849</v>
      </c>
      <c r="S364" s="17">
        <f t="shared" si="28"/>
        <v>0.29482978136202126</v>
      </c>
      <c r="T364" s="38" t="str">
        <f t="shared" si="29"/>
        <v/>
      </c>
      <c r="U364" s="31" t="s">
        <v>1876</v>
      </c>
      <c r="V364" s="31"/>
    </row>
    <row r="365" spans="1:22" ht="30">
      <c r="A365" s="7">
        <v>19</v>
      </c>
      <c r="B365" s="7">
        <v>182</v>
      </c>
      <c r="C365" s="7">
        <v>46389.625</v>
      </c>
      <c r="D365" s="7" t="s">
        <v>41</v>
      </c>
      <c r="E365" s="7" t="s">
        <v>40</v>
      </c>
      <c r="F365" s="7" t="s">
        <v>1743</v>
      </c>
      <c r="G365" s="7">
        <v>3</v>
      </c>
      <c r="H365" s="37">
        <f>Priors!$H$27*VLOOKUP(D365,Team_26_27!$A$2:$U$21,20,FALSE)*VLOOKUP(E365,Team_26_27!$A$2:$U$21,21,FALSE)*IF(F365="H",Priors!$H$28,Priors!$H$29)</f>
        <v>1.6946936796895518</v>
      </c>
      <c r="I365" s="37">
        <f>Priors!$H$27*VLOOKUP(E365,Team_26_27!$A$2:$U$21,20,FALSE)*VLOOKUP(D365,Team_26_27!$A$2:$U$21,21,FALSE)*IF(F365="H",Priors!$H$29,Priors!$H$28)</f>
        <v>1.2213571015101294</v>
      </c>
      <c r="J365" s="15"/>
      <c r="K365" s="15"/>
      <c r="L365" s="47" t="b">
        <v>0</v>
      </c>
      <c r="M365" s="45">
        <v>0</v>
      </c>
      <c r="N365" s="45"/>
      <c r="O365" s="45"/>
      <c r="P365" s="38">
        <f t="shared" si="25"/>
        <v>1.6946936796895518</v>
      </c>
      <c r="Q365" s="38">
        <f t="shared" si="26"/>
        <v>1.2213571015101294</v>
      </c>
      <c r="R365" s="17">
        <f t="shared" si="27"/>
        <v>0.29482978136202126</v>
      </c>
      <c r="S365" s="17">
        <f t="shared" si="28"/>
        <v>0.1836554778151849</v>
      </c>
      <c r="T365" s="38" t="str">
        <f t="shared" si="29"/>
        <v/>
      </c>
      <c r="U365" s="31" t="s">
        <v>1876</v>
      </c>
      <c r="V365" s="31"/>
    </row>
    <row r="366" spans="1:22" ht="30">
      <c r="A366" s="7">
        <v>19</v>
      </c>
      <c r="B366" s="7">
        <v>183</v>
      </c>
      <c r="C366" s="7">
        <v>46389.625</v>
      </c>
      <c r="D366" s="7" t="s">
        <v>46</v>
      </c>
      <c r="E366" s="7" t="s">
        <v>42</v>
      </c>
      <c r="F366" s="7" t="s">
        <v>1742</v>
      </c>
      <c r="G366" s="7">
        <v>3</v>
      </c>
      <c r="H366" s="37">
        <f>Priors!$H$27*VLOOKUP(D366,Team_26_27!$A$2:$U$21,20,FALSE)*VLOOKUP(E366,Team_26_27!$A$2:$U$21,21,FALSE)*IF(F366="H",Priors!$H$28,Priors!$H$29)</f>
        <v>1.3465971645312802</v>
      </c>
      <c r="I366" s="37">
        <f>Priors!$H$27*VLOOKUP(E366,Team_26_27!$A$2:$U$21,20,FALSE)*VLOOKUP(D366,Team_26_27!$A$2:$U$21,21,FALSE)*IF(F366="H",Priors!$H$29,Priors!$H$28)</f>
        <v>1.6619116038065367</v>
      </c>
      <c r="J366" s="15"/>
      <c r="K366" s="15"/>
      <c r="L366" s="47" t="b">
        <v>0</v>
      </c>
      <c r="M366" s="45">
        <v>0</v>
      </c>
      <c r="N366" s="45"/>
      <c r="O366" s="45"/>
      <c r="P366" s="38">
        <f t="shared" si="25"/>
        <v>1.3465971645312802</v>
      </c>
      <c r="Q366" s="38">
        <f t="shared" si="26"/>
        <v>1.6619116038065367</v>
      </c>
      <c r="R366" s="17">
        <f t="shared" si="27"/>
        <v>0.18977585688782417</v>
      </c>
      <c r="S366" s="17">
        <f t="shared" si="28"/>
        <v>0.26012391521261424</v>
      </c>
      <c r="T366" s="38" t="str">
        <f t="shared" si="29"/>
        <v/>
      </c>
      <c r="U366" s="31" t="s">
        <v>1876</v>
      </c>
      <c r="V366" s="31"/>
    </row>
    <row r="367" spans="1:22" ht="30">
      <c r="A367" s="7">
        <v>19</v>
      </c>
      <c r="B367" s="7">
        <v>183</v>
      </c>
      <c r="C367" s="7">
        <v>46389.625</v>
      </c>
      <c r="D367" s="7" t="s">
        <v>42</v>
      </c>
      <c r="E367" s="7" t="s">
        <v>46</v>
      </c>
      <c r="F367" s="7" t="s">
        <v>1743</v>
      </c>
      <c r="G367" s="7">
        <v>3</v>
      </c>
      <c r="H367" s="37">
        <f>Priors!$H$27*VLOOKUP(D367,Team_26_27!$A$2:$U$21,20,FALSE)*VLOOKUP(E367,Team_26_27!$A$2:$U$21,21,FALSE)*IF(F367="H",Priors!$H$28,Priors!$H$29)</f>
        <v>1.6619116038065367</v>
      </c>
      <c r="I367" s="37">
        <f>Priors!$H$27*VLOOKUP(E367,Team_26_27!$A$2:$U$21,20,FALSE)*VLOOKUP(D367,Team_26_27!$A$2:$U$21,21,FALSE)*IF(F367="H",Priors!$H$29,Priors!$H$28)</f>
        <v>1.3465971645312802</v>
      </c>
      <c r="J367" s="15"/>
      <c r="K367" s="15"/>
      <c r="L367" s="47" t="b">
        <v>0</v>
      </c>
      <c r="M367" s="45">
        <v>0</v>
      </c>
      <c r="N367" s="45"/>
      <c r="O367" s="45"/>
      <c r="P367" s="38">
        <f t="shared" si="25"/>
        <v>1.6619116038065367</v>
      </c>
      <c r="Q367" s="38">
        <f t="shared" si="26"/>
        <v>1.3465971645312802</v>
      </c>
      <c r="R367" s="17">
        <f t="shared" si="27"/>
        <v>0.26012391521261424</v>
      </c>
      <c r="S367" s="17">
        <f t="shared" si="28"/>
        <v>0.18977585688782417</v>
      </c>
      <c r="T367" s="38" t="str">
        <f t="shared" si="29"/>
        <v/>
      </c>
      <c r="U367" s="31" t="s">
        <v>1876</v>
      </c>
      <c r="V367" s="31"/>
    </row>
    <row r="368" spans="1:22" ht="30">
      <c r="A368" s="7">
        <v>19</v>
      </c>
      <c r="B368" s="7">
        <v>184</v>
      </c>
      <c r="C368" s="7">
        <v>46389.625</v>
      </c>
      <c r="D368" s="7" t="s">
        <v>54</v>
      </c>
      <c r="E368" s="7" t="s">
        <v>43</v>
      </c>
      <c r="F368" s="7" t="s">
        <v>1742</v>
      </c>
      <c r="G368" s="7">
        <v>3</v>
      </c>
      <c r="H368" s="37">
        <f>Priors!$H$27*VLOOKUP(D368,Team_26_27!$A$2:$U$21,20,FALSE)*VLOOKUP(E368,Team_26_27!$A$2:$U$21,21,FALSE)*IF(F368="H",Priors!$H$28,Priors!$H$29)</f>
        <v>1.3827139048588712</v>
      </c>
      <c r="I368" s="37">
        <f>Priors!$H$27*VLOOKUP(E368,Team_26_27!$A$2:$U$21,20,FALSE)*VLOOKUP(D368,Team_26_27!$A$2:$U$21,21,FALSE)*IF(F368="H",Priors!$H$29,Priors!$H$28)</f>
        <v>1.5372003284085676</v>
      </c>
      <c r="J368" s="15"/>
      <c r="K368" s="15"/>
      <c r="L368" s="47" t="b">
        <v>0</v>
      </c>
      <c r="M368" s="45">
        <v>0</v>
      </c>
      <c r="N368" s="45"/>
      <c r="O368" s="45"/>
      <c r="P368" s="38">
        <f t="shared" si="25"/>
        <v>1.3827139048588712</v>
      </c>
      <c r="Q368" s="38">
        <f t="shared" si="26"/>
        <v>1.5372003284085676</v>
      </c>
      <c r="R368" s="17">
        <f t="shared" si="27"/>
        <v>0.2149821390678015</v>
      </c>
      <c r="S368" s="17">
        <f t="shared" si="28"/>
        <v>0.25089671843785832</v>
      </c>
      <c r="T368" s="38" t="str">
        <f t="shared" si="29"/>
        <v/>
      </c>
      <c r="U368" s="31" t="s">
        <v>1876</v>
      </c>
      <c r="V368" s="31"/>
    </row>
    <row r="369" spans="1:22" ht="30">
      <c r="A369" s="7">
        <v>19</v>
      </c>
      <c r="B369" s="7">
        <v>184</v>
      </c>
      <c r="C369" s="7">
        <v>46389.625</v>
      </c>
      <c r="D369" s="7" t="s">
        <v>43</v>
      </c>
      <c r="E369" s="7" t="s">
        <v>54</v>
      </c>
      <c r="F369" s="7" t="s">
        <v>1743</v>
      </c>
      <c r="G369" s="7">
        <v>4</v>
      </c>
      <c r="H369" s="37">
        <f>Priors!$H$27*VLOOKUP(D369,Team_26_27!$A$2:$U$21,20,FALSE)*VLOOKUP(E369,Team_26_27!$A$2:$U$21,21,FALSE)*IF(F369="H",Priors!$H$28,Priors!$H$29)</f>
        <v>1.5372003284085676</v>
      </c>
      <c r="I369" s="37">
        <f>Priors!$H$27*VLOOKUP(E369,Team_26_27!$A$2:$U$21,20,FALSE)*VLOOKUP(D369,Team_26_27!$A$2:$U$21,21,FALSE)*IF(F369="H",Priors!$H$29,Priors!$H$28)</f>
        <v>1.3827139048588712</v>
      </c>
      <c r="J369" s="15"/>
      <c r="K369" s="15"/>
      <c r="L369" s="47" t="b">
        <v>0</v>
      </c>
      <c r="M369" s="45">
        <v>0</v>
      </c>
      <c r="N369" s="45"/>
      <c r="O369" s="45"/>
      <c r="P369" s="38">
        <f t="shared" si="25"/>
        <v>1.5372003284085676</v>
      </c>
      <c r="Q369" s="38">
        <f t="shared" si="26"/>
        <v>1.3827139048588712</v>
      </c>
      <c r="R369" s="17">
        <f t="shared" si="27"/>
        <v>0.25089671843785832</v>
      </c>
      <c r="S369" s="17">
        <f t="shared" si="28"/>
        <v>0.2149821390678015</v>
      </c>
      <c r="T369" s="38" t="str">
        <f t="shared" si="29"/>
        <v/>
      </c>
      <c r="U369" s="31" t="s">
        <v>1876</v>
      </c>
      <c r="V369" s="31"/>
    </row>
    <row r="370" spans="1:22" ht="30">
      <c r="A370" s="7">
        <v>19</v>
      </c>
      <c r="B370" s="7">
        <v>185</v>
      </c>
      <c r="C370" s="7">
        <v>46389.625</v>
      </c>
      <c r="D370" s="7" t="s">
        <v>55</v>
      </c>
      <c r="E370" s="7" t="s">
        <v>44</v>
      </c>
      <c r="F370" s="7" t="s">
        <v>1742</v>
      </c>
      <c r="G370" s="7">
        <v>4</v>
      </c>
      <c r="H370" s="37">
        <f>Priors!$H$27*VLOOKUP(D370,Team_26_27!$A$2:$U$21,20,FALSE)*VLOOKUP(E370,Team_26_27!$A$2:$U$21,21,FALSE)*IF(F370="H",Priors!$H$28,Priors!$H$29)</f>
        <v>1.2987893437959837</v>
      </c>
      <c r="I370" s="37">
        <f>Priors!$H$27*VLOOKUP(E370,Team_26_27!$A$2:$U$21,20,FALSE)*VLOOKUP(D370,Team_26_27!$A$2:$U$21,21,FALSE)*IF(F370="H",Priors!$H$29,Priors!$H$28)</f>
        <v>1.7176770550803371</v>
      </c>
      <c r="J370" s="15"/>
      <c r="K370" s="15"/>
      <c r="L370" s="47" t="b">
        <v>0</v>
      </c>
      <c r="M370" s="45">
        <v>0</v>
      </c>
      <c r="N370" s="45"/>
      <c r="O370" s="45"/>
      <c r="P370" s="38">
        <f t="shared" si="25"/>
        <v>1.2987893437959837</v>
      </c>
      <c r="Q370" s="38">
        <f t="shared" si="26"/>
        <v>1.7176770550803371</v>
      </c>
      <c r="R370" s="17">
        <f t="shared" si="27"/>
        <v>0.17948259221138957</v>
      </c>
      <c r="S370" s="17">
        <f t="shared" si="28"/>
        <v>0.27286193514401397</v>
      </c>
      <c r="T370" s="38" t="str">
        <f t="shared" si="29"/>
        <v/>
      </c>
      <c r="U370" s="31" t="s">
        <v>1876</v>
      </c>
      <c r="V370" s="31"/>
    </row>
    <row r="371" spans="1:22" ht="30">
      <c r="A371" s="7">
        <v>19</v>
      </c>
      <c r="B371" s="7">
        <v>185</v>
      </c>
      <c r="C371" s="7">
        <v>46389.625</v>
      </c>
      <c r="D371" s="7" t="s">
        <v>44</v>
      </c>
      <c r="E371" s="7" t="s">
        <v>55</v>
      </c>
      <c r="F371" s="7" t="s">
        <v>1743</v>
      </c>
      <c r="G371" s="7">
        <v>2</v>
      </c>
      <c r="H371" s="37">
        <f>Priors!$H$27*VLOOKUP(D371,Team_26_27!$A$2:$U$21,20,FALSE)*VLOOKUP(E371,Team_26_27!$A$2:$U$21,21,FALSE)*IF(F371="H",Priors!$H$28,Priors!$H$29)</f>
        <v>1.7176770550803371</v>
      </c>
      <c r="I371" s="37">
        <f>Priors!$H$27*VLOOKUP(E371,Team_26_27!$A$2:$U$21,20,FALSE)*VLOOKUP(D371,Team_26_27!$A$2:$U$21,21,FALSE)*IF(F371="H",Priors!$H$29,Priors!$H$28)</f>
        <v>1.2987893437959837</v>
      </c>
      <c r="J371" s="15"/>
      <c r="K371" s="15"/>
      <c r="L371" s="47" t="b">
        <v>0</v>
      </c>
      <c r="M371" s="45">
        <v>0</v>
      </c>
      <c r="N371" s="45"/>
      <c r="O371" s="45"/>
      <c r="P371" s="38">
        <f t="shared" si="25"/>
        <v>1.7176770550803371</v>
      </c>
      <c r="Q371" s="38">
        <f t="shared" si="26"/>
        <v>1.2987893437959837</v>
      </c>
      <c r="R371" s="17">
        <f t="shared" si="27"/>
        <v>0.27286193514401397</v>
      </c>
      <c r="S371" s="17">
        <f t="shared" si="28"/>
        <v>0.17948259221138957</v>
      </c>
      <c r="T371" s="38" t="str">
        <f t="shared" si="29"/>
        <v/>
      </c>
      <c r="U371" s="31" t="s">
        <v>1876</v>
      </c>
      <c r="V371" s="31"/>
    </row>
    <row r="372" spans="1:22" ht="30">
      <c r="A372" s="7">
        <v>19</v>
      </c>
      <c r="B372" s="7">
        <v>186</v>
      </c>
      <c r="C372" s="7">
        <v>46389.625</v>
      </c>
      <c r="D372" s="7" t="s">
        <v>47</v>
      </c>
      <c r="E372" s="7" t="s">
        <v>51</v>
      </c>
      <c r="F372" s="7" t="s">
        <v>1742</v>
      </c>
      <c r="G372" s="7">
        <v>3</v>
      </c>
      <c r="H372" s="37">
        <f>Priors!$H$27*VLOOKUP(D372,Team_26_27!$A$2:$U$21,20,FALSE)*VLOOKUP(E372,Team_26_27!$A$2:$U$21,21,FALSE)*IF(F372="H",Priors!$H$28,Priors!$H$29)</f>
        <v>1.1908295144844601</v>
      </c>
      <c r="I372" s="37">
        <f>Priors!$H$27*VLOOKUP(E372,Team_26_27!$A$2:$U$21,20,FALSE)*VLOOKUP(D372,Team_26_27!$A$2:$U$21,21,FALSE)*IF(F372="H",Priors!$H$29,Priors!$H$28)</f>
        <v>1.6290512221991009</v>
      </c>
      <c r="J372" s="15"/>
      <c r="K372" s="15"/>
      <c r="L372" s="47" t="b">
        <v>0</v>
      </c>
      <c r="M372" s="45">
        <v>0</v>
      </c>
      <c r="N372" s="45"/>
      <c r="O372" s="45"/>
      <c r="P372" s="38">
        <f t="shared" si="25"/>
        <v>1.1908295144844601</v>
      </c>
      <c r="Q372" s="38">
        <f t="shared" si="26"/>
        <v>1.6290512221991009</v>
      </c>
      <c r="R372" s="17">
        <f t="shared" si="27"/>
        <v>0.19611555597115174</v>
      </c>
      <c r="S372" s="17">
        <f t="shared" si="28"/>
        <v>0.30396901275920102</v>
      </c>
      <c r="T372" s="38" t="str">
        <f t="shared" si="29"/>
        <v/>
      </c>
      <c r="U372" s="31" t="s">
        <v>1876</v>
      </c>
      <c r="V372" s="31"/>
    </row>
    <row r="373" spans="1:22" ht="30">
      <c r="A373" s="7">
        <v>19</v>
      </c>
      <c r="B373" s="7">
        <v>186</v>
      </c>
      <c r="C373" s="7">
        <v>46389.625</v>
      </c>
      <c r="D373" s="7" t="s">
        <v>51</v>
      </c>
      <c r="E373" s="7" t="s">
        <v>47</v>
      </c>
      <c r="F373" s="7" t="s">
        <v>1743</v>
      </c>
      <c r="G373" s="7">
        <v>3</v>
      </c>
      <c r="H373" s="37">
        <f>Priors!$H$27*VLOOKUP(D373,Team_26_27!$A$2:$U$21,20,FALSE)*VLOOKUP(E373,Team_26_27!$A$2:$U$21,21,FALSE)*IF(F373="H",Priors!$H$28,Priors!$H$29)</f>
        <v>1.6290512221991009</v>
      </c>
      <c r="I373" s="37">
        <f>Priors!$H$27*VLOOKUP(E373,Team_26_27!$A$2:$U$21,20,FALSE)*VLOOKUP(D373,Team_26_27!$A$2:$U$21,21,FALSE)*IF(F373="H",Priors!$H$29,Priors!$H$28)</f>
        <v>1.1908295144844601</v>
      </c>
      <c r="J373" s="15"/>
      <c r="K373" s="15"/>
      <c r="L373" s="47" t="b">
        <v>0</v>
      </c>
      <c r="M373" s="45">
        <v>0</v>
      </c>
      <c r="N373" s="45"/>
      <c r="O373" s="45"/>
      <c r="P373" s="38">
        <f t="shared" si="25"/>
        <v>1.6290512221991009</v>
      </c>
      <c r="Q373" s="38">
        <f t="shared" si="26"/>
        <v>1.1908295144844601</v>
      </c>
      <c r="R373" s="17">
        <f t="shared" si="27"/>
        <v>0.30396901275920102</v>
      </c>
      <c r="S373" s="17">
        <f t="shared" si="28"/>
        <v>0.19611555597115174</v>
      </c>
      <c r="T373" s="38" t="str">
        <f t="shared" si="29"/>
        <v/>
      </c>
      <c r="U373" s="31" t="s">
        <v>1876</v>
      </c>
      <c r="V373" s="31"/>
    </row>
    <row r="374" spans="1:22" ht="30">
      <c r="A374" s="7">
        <v>19</v>
      </c>
      <c r="B374" s="7">
        <v>187</v>
      </c>
      <c r="C374" s="7">
        <v>46389.625</v>
      </c>
      <c r="D374" s="7" t="s">
        <v>45</v>
      </c>
      <c r="E374" s="7" t="s">
        <v>52</v>
      </c>
      <c r="F374" s="7" t="s">
        <v>1742</v>
      </c>
      <c r="G374" s="7">
        <v>4</v>
      </c>
      <c r="H374" s="37">
        <f>Priors!$H$27*VLOOKUP(D374,Team_26_27!$A$2:$U$21,20,FALSE)*VLOOKUP(E374,Team_26_27!$A$2:$U$21,21,FALSE)*IF(F374="H",Priors!$H$28,Priors!$H$29)</f>
        <v>0.93426621736532467</v>
      </c>
      <c r="I374" s="37">
        <f>Priors!$H$27*VLOOKUP(E374,Team_26_27!$A$2:$U$21,20,FALSE)*VLOOKUP(D374,Team_26_27!$A$2:$U$21,21,FALSE)*IF(F374="H",Priors!$H$29,Priors!$H$28)</f>
        <v>2.0953111448504229</v>
      </c>
      <c r="J374" s="15"/>
      <c r="K374" s="15"/>
      <c r="L374" s="47" t="b">
        <v>0</v>
      </c>
      <c r="M374" s="45">
        <v>0</v>
      </c>
      <c r="N374" s="45"/>
      <c r="O374" s="45"/>
      <c r="P374" s="38">
        <f t="shared" si="25"/>
        <v>0.93426621736532467</v>
      </c>
      <c r="Q374" s="38">
        <f t="shared" si="26"/>
        <v>2.0953111448504229</v>
      </c>
      <c r="R374" s="17">
        <f t="shared" si="27"/>
        <v>0.12303195693808064</v>
      </c>
      <c r="S374" s="17">
        <f t="shared" si="28"/>
        <v>0.3928740439394896</v>
      </c>
      <c r="T374" s="38" t="str">
        <f t="shared" si="29"/>
        <v/>
      </c>
      <c r="U374" s="31" t="s">
        <v>1876</v>
      </c>
      <c r="V374" s="31"/>
    </row>
    <row r="375" spans="1:22" ht="30">
      <c r="A375" s="7">
        <v>19</v>
      </c>
      <c r="B375" s="7">
        <v>187</v>
      </c>
      <c r="C375" s="7">
        <v>46389.625</v>
      </c>
      <c r="D375" s="7" t="s">
        <v>52</v>
      </c>
      <c r="E375" s="7" t="s">
        <v>45</v>
      </c>
      <c r="F375" s="7" t="s">
        <v>1743</v>
      </c>
      <c r="G375" s="7">
        <v>2</v>
      </c>
      <c r="H375" s="37">
        <f>Priors!$H$27*VLOOKUP(D375,Team_26_27!$A$2:$U$21,20,FALSE)*VLOOKUP(E375,Team_26_27!$A$2:$U$21,21,FALSE)*IF(F375="H",Priors!$H$28,Priors!$H$29)</f>
        <v>2.0953111448504229</v>
      </c>
      <c r="I375" s="37">
        <f>Priors!$H$27*VLOOKUP(E375,Team_26_27!$A$2:$U$21,20,FALSE)*VLOOKUP(D375,Team_26_27!$A$2:$U$21,21,FALSE)*IF(F375="H",Priors!$H$29,Priors!$H$28)</f>
        <v>0.93426621736532467</v>
      </c>
      <c r="J375" s="15"/>
      <c r="K375" s="15"/>
      <c r="L375" s="47" t="b">
        <v>0</v>
      </c>
      <c r="M375" s="45">
        <v>0</v>
      </c>
      <c r="N375" s="45"/>
      <c r="O375" s="45"/>
      <c r="P375" s="38">
        <f t="shared" si="25"/>
        <v>2.0953111448504229</v>
      </c>
      <c r="Q375" s="38">
        <f t="shared" si="26"/>
        <v>0.93426621736532467</v>
      </c>
      <c r="R375" s="17">
        <f t="shared" si="27"/>
        <v>0.3928740439394896</v>
      </c>
      <c r="S375" s="17">
        <f t="shared" si="28"/>
        <v>0.12303195693808064</v>
      </c>
      <c r="T375" s="38" t="str">
        <f t="shared" si="29"/>
        <v/>
      </c>
      <c r="U375" s="31" t="s">
        <v>1876</v>
      </c>
      <c r="V375" s="31"/>
    </row>
    <row r="376" spans="1:22" ht="30">
      <c r="A376" s="7">
        <v>19</v>
      </c>
      <c r="B376" s="7">
        <v>188</v>
      </c>
      <c r="C376" s="7">
        <v>46389.625</v>
      </c>
      <c r="D376" s="7" t="s">
        <v>57</v>
      </c>
      <c r="E376" s="7" t="s">
        <v>53</v>
      </c>
      <c r="F376" s="7" t="s">
        <v>1742</v>
      </c>
      <c r="G376" s="7">
        <v>5</v>
      </c>
      <c r="H376" s="37">
        <f>Priors!$H$27*VLOOKUP(D376,Team_26_27!$A$2:$U$21,20,FALSE)*VLOOKUP(E376,Team_26_27!$A$2:$U$21,21,FALSE)*IF(F376="H",Priors!$H$28,Priors!$H$29)</f>
        <v>0.94446416240580255</v>
      </c>
      <c r="I376" s="37">
        <f>Priors!$H$27*VLOOKUP(E376,Team_26_27!$A$2:$U$21,20,FALSE)*VLOOKUP(D376,Team_26_27!$A$2:$U$21,21,FALSE)*IF(F376="H",Priors!$H$29,Priors!$H$28)</f>
        <v>1.8121001880353944</v>
      </c>
      <c r="J376" s="15"/>
      <c r="K376" s="15"/>
      <c r="L376" s="47" t="b">
        <v>0</v>
      </c>
      <c r="M376" s="45">
        <v>0</v>
      </c>
      <c r="N376" s="45"/>
      <c r="O376" s="45"/>
      <c r="P376" s="38">
        <f t="shared" si="25"/>
        <v>0.94446416240580255</v>
      </c>
      <c r="Q376" s="38">
        <f t="shared" si="26"/>
        <v>1.8121001880353944</v>
      </c>
      <c r="R376" s="17">
        <f t="shared" si="27"/>
        <v>0.16331079301211018</v>
      </c>
      <c r="S376" s="17">
        <f t="shared" si="28"/>
        <v>0.38888789583712025</v>
      </c>
      <c r="T376" s="38" t="str">
        <f t="shared" si="29"/>
        <v/>
      </c>
      <c r="U376" s="31" t="s">
        <v>1876</v>
      </c>
      <c r="V376" s="31"/>
    </row>
    <row r="377" spans="1:22" ht="30">
      <c r="A377" s="7">
        <v>19</v>
      </c>
      <c r="B377" s="7">
        <v>188</v>
      </c>
      <c r="C377" s="7">
        <v>46389.625</v>
      </c>
      <c r="D377" s="7" t="s">
        <v>53</v>
      </c>
      <c r="E377" s="7" t="s">
        <v>57</v>
      </c>
      <c r="F377" s="7" t="s">
        <v>1743</v>
      </c>
      <c r="G377" s="7">
        <v>3</v>
      </c>
      <c r="H377" s="37">
        <f>Priors!$H$27*VLOOKUP(D377,Team_26_27!$A$2:$U$21,20,FALSE)*VLOOKUP(E377,Team_26_27!$A$2:$U$21,21,FALSE)*IF(F377="H",Priors!$H$28,Priors!$H$29)</f>
        <v>1.8121001880353944</v>
      </c>
      <c r="I377" s="37">
        <f>Priors!$H$27*VLOOKUP(E377,Team_26_27!$A$2:$U$21,20,FALSE)*VLOOKUP(D377,Team_26_27!$A$2:$U$21,21,FALSE)*IF(F377="H",Priors!$H$29,Priors!$H$28)</f>
        <v>0.94446416240580255</v>
      </c>
      <c r="J377" s="15"/>
      <c r="K377" s="15"/>
      <c r="L377" s="47" t="b">
        <v>0</v>
      </c>
      <c r="M377" s="45">
        <v>0</v>
      </c>
      <c r="N377" s="45"/>
      <c r="O377" s="45"/>
      <c r="P377" s="38">
        <f t="shared" si="25"/>
        <v>1.8121001880353944</v>
      </c>
      <c r="Q377" s="38">
        <f t="shared" si="26"/>
        <v>0.94446416240580255</v>
      </c>
      <c r="R377" s="17">
        <f t="shared" si="27"/>
        <v>0.38888789583712025</v>
      </c>
      <c r="S377" s="17">
        <f t="shared" si="28"/>
        <v>0.16331079301211018</v>
      </c>
      <c r="T377" s="38" t="str">
        <f t="shared" si="29"/>
        <v/>
      </c>
      <c r="U377" s="31" t="s">
        <v>1876</v>
      </c>
      <c r="V377" s="31"/>
    </row>
    <row r="378" spans="1:22" ht="30">
      <c r="A378" s="7">
        <v>19</v>
      </c>
      <c r="B378" s="7">
        <v>189</v>
      </c>
      <c r="C378" s="7">
        <v>46389.625</v>
      </c>
      <c r="D378" s="7" t="s">
        <v>48</v>
      </c>
      <c r="E378" s="7" t="s">
        <v>56</v>
      </c>
      <c r="F378" s="7" t="s">
        <v>1742</v>
      </c>
      <c r="G378" s="7">
        <v>3</v>
      </c>
      <c r="H378" s="37">
        <f>Priors!$H$27*VLOOKUP(D378,Team_26_27!$A$2:$U$21,20,FALSE)*VLOOKUP(E378,Team_26_27!$A$2:$U$21,21,FALSE)*IF(F378="H",Priors!$H$28,Priors!$H$29)</f>
        <v>1.2483656868970998</v>
      </c>
      <c r="I378" s="37">
        <f>Priors!$H$27*VLOOKUP(E378,Team_26_27!$A$2:$U$21,20,FALSE)*VLOOKUP(D378,Team_26_27!$A$2:$U$21,21,FALSE)*IF(F378="H",Priors!$H$29,Priors!$H$28)</f>
        <v>1.4283990599035359</v>
      </c>
      <c r="J378" s="15"/>
      <c r="K378" s="15"/>
      <c r="L378" s="47" t="b">
        <v>0</v>
      </c>
      <c r="M378" s="45">
        <v>0</v>
      </c>
      <c r="N378" s="45"/>
      <c r="O378" s="45"/>
      <c r="P378" s="38">
        <f t="shared" si="25"/>
        <v>1.2483656868970998</v>
      </c>
      <c r="Q378" s="38">
        <f t="shared" si="26"/>
        <v>1.4283990599035359</v>
      </c>
      <c r="R378" s="17">
        <f t="shared" si="27"/>
        <v>0.23969234833202183</v>
      </c>
      <c r="S378" s="17">
        <f t="shared" si="28"/>
        <v>0.28697341823646372</v>
      </c>
      <c r="T378" s="38" t="str">
        <f t="shared" si="29"/>
        <v/>
      </c>
      <c r="U378" s="31" t="s">
        <v>1876</v>
      </c>
      <c r="V378" s="31"/>
    </row>
    <row r="379" spans="1:22" ht="30">
      <c r="A379" s="7">
        <v>19</v>
      </c>
      <c r="B379" s="7">
        <v>189</v>
      </c>
      <c r="C379" s="7">
        <v>46389.625</v>
      </c>
      <c r="D379" s="7" t="s">
        <v>56</v>
      </c>
      <c r="E379" s="7" t="s">
        <v>48</v>
      </c>
      <c r="F379" s="7" t="s">
        <v>1743</v>
      </c>
      <c r="G379" s="7">
        <v>2</v>
      </c>
      <c r="H379" s="37">
        <f>Priors!$H$27*VLOOKUP(D379,Team_26_27!$A$2:$U$21,20,FALSE)*VLOOKUP(E379,Team_26_27!$A$2:$U$21,21,FALSE)*IF(F379="H",Priors!$H$28,Priors!$H$29)</f>
        <v>1.4283990599035359</v>
      </c>
      <c r="I379" s="37">
        <f>Priors!$H$27*VLOOKUP(E379,Team_26_27!$A$2:$U$21,20,FALSE)*VLOOKUP(D379,Team_26_27!$A$2:$U$21,21,FALSE)*IF(F379="H",Priors!$H$29,Priors!$H$28)</f>
        <v>1.2483656868970998</v>
      </c>
      <c r="J379" s="15"/>
      <c r="K379" s="15"/>
      <c r="L379" s="47" t="b">
        <v>0</v>
      </c>
      <c r="M379" s="45">
        <v>0</v>
      </c>
      <c r="N379" s="45"/>
      <c r="O379" s="45"/>
      <c r="P379" s="38">
        <f t="shared" si="25"/>
        <v>1.4283990599035359</v>
      </c>
      <c r="Q379" s="38">
        <f t="shared" si="26"/>
        <v>1.2483656868970998</v>
      </c>
      <c r="R379" s="17">
        <f t="shared" si="27"/>
        <v>0.28697341823646372</v>
      </c>
      <c r="S379" s="17">
        <f t="shared" si="28"/>
        <v>0.23969234833202183</v>
      </c>
      <c r="T379" s="38" t="str">
        <f t="shared" si="29"/>
        <v/>
      </c>
      <c r="U379" s="31" t="s">
        <v>1876</v>
      </c>
      <c r="V379" s="31"/>
    </row>
    <row r="380" spans="1:22" ht="30">
      <c r="A380" s="7">
        <v>19</v>
      </c>
      <c r="B380" s="7">
        <v>190</v>
      </c>
      <c r="C380" s="7">
        <v>46389.625</v>
      </c>
      <c r="D380" s="7" t="s">
        <v>49</v>
      </c>
      <c r="E380" s="7" t="s">
        <v>58</v>
      </c>
      <c r="F380" s="7" t="s">
        <v>1742</v>
      </c>
      <c r="G380" s="7">
        <v>3</v>
      </c>
      <c r="H380" s="37">
        <f>Priors!$H$27*VLOOKUP(D380,Team_26_27!$A$2:$U$21,20,FALSE)*VLOOKUP(E380,Team_26_27!$A$2:$U$21,21,FALSE)*IF(F380="H",Priors!$H$28,Priors!$H$29)</f>
        <v>0.89278965982883218</v>
      </c>
      <c r="I380" s="37">
        <f>Priors!$H$27*VLOOKUP(E380,Team_26_27!$A$2:$U$21,20,FALSE)*VLOOKUP(D380,Team_26_27!$A$2:$U$21,21,FALSE)*IF(F380="H",Priors!$H$29,Priors!$H$28)</f>
        <v>1.7067049337450997</v>
      </c>
      <c r="J380" s="15"/>
      <c r="K380" s="15"/>
      <c r="L380" s="47" t="b">
        <v>0</v>
      </c>
      <c r="M380" s="45">
        <v>0</v>
      </c>
      <c r="N380" s="45"/>
      <c r="O380" s="45"/>
      <c r="P380" s="38">
        <f t="shared" si="25"/>
        <v>0.89278965982883218</v>
      </c>
      <c r="Q380" s="38">
        <f t="shared" si="26"/>
        <v>1.7067049337450997</v>
      </c>
      <c r="R380" s="17">
        <f t="shared" si="27"/>
        <v>0.18146274033807486</v>
      </c>
      <c r="S380" s="17">
        <f t="shared" si="28"/>
        <v>0.40951175931358264</v>
      </c>
      <c r="T380" s="38" t="str">
        <f t="shared" si="29"/>
        <v/>
      </c>
      <c r="U380" s="31" t="s">
        <v>1876</v>
      </c>
      <c r="V380" s="31"/>
    </row>
    <row r="381" spans="1:22" ht="30">
      <c r="A381" s="7">
        <v>19</v>
      </c>
      <c r="B381" s="7">
        <v>190</v>
      </c>
      <c r="C381" s="7">
        <v>46389.625</v>
      </c>
      <c r="D381" s="7" t="s">
        <v>58</v>
      </c>
      <c r="E381" s="7" t="s">
        <v>49</v>
      </c>
      <c r="F381" s="7" t="s">
        <v>1743</v>
      </c>
      <c r="G381" s="7">
        <v>2</v>
      </c>
      <c r="H381" s="37">
        <f>Priors!$H$27*VLOOKUP(D381,Team_26_27!$A$2:$U$21,20,FALSE)*VLOOKUP(E381,Team_26_27!$A$2:$U$21,21,FALSE)*IF(F381="H",Priors!$H$28,Priors!$H$29)</f>
        <v>1.7067049337450997</v>
      </c>
      <c r="I381" s="37">
        <f>Priors!$H$27*VLOOKUP(E381,Team_26_27!$A$2:$U$21,20,FALSE)*VLOOKUP(D381,Team_26_27!$A$2:$U$21,21,FALSE)*IF(F381="H",Priors!$H$29,Priors!$H$28)</f>
        <v>0.89278965982883218</v>
      </c>
      <c r="J381" s="15"/>
      <c r="K381" s="15"/>
      <c r="L381" s="47" t="b">
        <v>0</v>
      </c>
      <c r="M381" s="45">
        <v>0</v>
      </c>
      <c r="N381" s="45"/>
      <c r="O381" s="45"/>
      <c r="P381" s="38">
        <f t="shared" si="25"/>
        <v>1.7067049337450997</v>
      </c>
      <c r="Q381" s="38">
        <f t="shared" si="26"/>
        <v>0.89278965982883218</v>
      </c>
      <c r="R381" s="17">
        <f t="shared" si="27"/>
        <v>0.40951175931358264</v>
      </c>
      <c r="S381" s="17">
        <f t="shared" si="28"/>
        <v>0.18146274033807486</v>
      </c>
      <c r="T381" s="38" t="str">
        <f t="shared" si="29"/>
        <v/>
      </c>
      <c r="U381" s="31" t="s">
        <v>1876</v>
      </c>
      <c r="V381" s="31"/>
    </row>
    <row r="382" spans="1:22" ht="30">
      <c r="A382" s="7">
        <v>20</v>
      </c>
      <c r="B382" s="7">
        <v>191</v>
      </c>
      <c r="C382" s="7">
        <v>46393.833333333336</v>
      </c>
      <c r="D382" s="7" t="s">
        <v>42</v>
      </c>
      <c r="E382" s="7" t="s">
        <v>39</v>
      </c>
      <c r="F382" s="7" t="s">
        <v>1742</v>
      </c>
      <c r="G382" s="7">
        <v>5</v>
      </c>
      <c r="H382" s="37">
        <f>Priors!$H$27*VLOOKUP(D382,Team_26_27!$A$2:$U$21,20,FALSE)*VLOOKUP(E382,Team_26_27!$A$2:$U$21,21,FALSE)*IF(F382="H",Priors!$H$28,Priors!$H$29)</f>
        <v>0.92671968823852902</v>
      </c>
      <c r="I382" s="37">
        <f>Priors!$H$27*VLOOKUP(E382,Team_26_27!$A$2:$U$21,20,FALSE)*VLOOKUP(D382,Team_26_27!$A$2:$U$21,21,FALSE)*IF(F382="H",Priors!$H$29,Priors!$H$28)</f>
        <v>1.8208032993702841</v>
      </c>
      <c r="J382" s="15"/>
      <c r="K382" s="15"/>
      <c r="L382" s="47" t="b">
        <v>0</v>
      </c>
      <c r="M382" s="45">
        <v>0</v>
      </c>
      <c r="N382" s="45"/>
      <c r="O382" s="45"/>
      <c r="P382" s="38">
        <f t="shared" si="25"/>
        <v>0.92671968823852902</v>
      </c>
      <c r="Q382" s="38">
        <f t="shared" si="26"/>
        <v>1.8208032993702841</v>
      </c>
      <c r="R382" s="17">
        <f t="shared" si="27"/>
        <v>0.16189564801297918</v>
      </c>
      <c r="S382" s="17">
        <f t="shared" si="28"/>
        <v>0.39585009465810383</v>
      </c>
      <c r="T382" s="38" t="str">
        <f t="shared" si="29"/>
        <v/>
      </c>
      <c r="U382" s="31" t="s">
        <v>1876</v>
      </c>
      <c r="V382" s="31"/>
    </row>
    <row r="383" spans="1:22" ht="30">
      <c r="A383" s="7">
        <v>20</v>
      </c>
      <c r="B383" s="7">
        <v>191</v>
      </c>
      <c r="C383" s="7">
        <v>46393.833333333336</v>
      </c>
      <c r="D383" s="7" t="s">
        <v>39</v>
      </c>
      <c r="E383" s="7" t="s">
        <v>42</v>
      </c>
      <c r="F383" s="7" t="s">
        <v>1743</v>
      </c>
      <c r="G383" s="7">
        <v>3</v>
      </c>
      <c r="H383" s="37">
        <f>Priors!$H$27*VLOOKUP(D383,Team_26_27!$A$2:$U$21,20,FALSE)*VLOOKUP(E383,Team_26_27!$A$2:$U$21,21,FALSE)*IF(F383="H",Priors!$H$28,Priors!$H$29)</f>
        <v>1.8208032993702841</v>
      </c>
      <c r="I383" s="37">
        <f>Priors!$H$27*VLOOKUP(E383,Team_26_27!$A$2:$U$21,20,FALSE)*VLOOKUP(D383,Team_26_27!$A$2:$U$21,21,FALSE)*IF(F383="H",Priors!$H$29,Priors!$H$28)</f>
        <v>0.92671968823852902</v>
      </c>
      <c r="J383" s="15"/>
      <c r="K383" s="15"/>
      <c r="L383" s="47" t="b">
        <v>0</v>
      </c>
      <c r="M383" s="45">
        <v>0</v>
      </c>
      <c r="N383" s="45"/>
      <c r="O383" s="45"/>
      <c r="P383" s="38">
        <f t="shared" si="25"/>
        <v>1.8208032993702841</v>
      </c>
      <c r="Q383" s="38">
        <f t="shared" si="26"/>
        <v>0.92671968823852902</v>
      </c>
      <c r="R383" s="17">
        <f t="shared" si="27"/>
        <v>0.39585009465810383</v>
      </c>
      <c r="S383" s="17">
        <f t="shared" si="28"/>
        <v>0.16189564801297918</v>
      </c>
      <c r="T383" s="38" t="str">
        <f t="shared" si="29"/>
        <v/>
      </c>
      <c r="U383" s="31" t="s">
        <v>1876</v>
      </c>
      <c r="V383" s="31"/>
    </row>
    <row r="384" spans="1:22" ht="30">
      <c r="A384" s="7">
        <v>20</v>
      </c>
      <c r="B384" s="7">
        <v>192</v>
      </c>
      <c r="C384" s="7">
        <v>46393.833333333336</v>
      </c>
      <c r="D384" s="7" t="s">
        <v>41</v>
      </c>
      <c r="E384" s="7" t="s">
        <v>43</v>
      </c>
      <c r="F384" s="7" t="s">
        <v>1742</v>
      </c>
      <c r="G384" s="7">
        <v>3</v>
      </c>
      <c r="H384" s="37">
        <f>Priors!$H$27*VLOOKUP(D384,Team_26_27!$A$2:$U$21,20,FALSE)*VLOOKUP(E384,Team_26_27!$A$2:$U$21,21,FALSE)*IF(F384="H",Priors!$H$28,Priors!$H$29)</f>
        <v>1.2997528650470429</v>
      </c>
      <c r="I384" s="37">
        <f>Priors!$H$27*VLOOKUP(E384,Team_26_27!$A$2:$U$21,20,FALSE)*VLOOKUP(D384,Team_26_27!$A$2:$U$21,21,FALSE)*IF(F384="H",Priors!$H$29,Priors!$H$28)</f>
        <v>1.696822432594123</v>
      </c>
      <c r="J384" s="15"/>
      <c r="K384" s="15"/>
      <c r="L384" s="47" t="b">
        <v>0</v>
      </c>
      <c r="M384" s="45">
        <v>0</v>
      </c>
      <c r="N384" s="45"/>
      <c r="O384" s="45"/>
      <c r="P384" s="38">
        <f t="shared" si="25"/>
        <v>1.2997528650470429</v>
      </c>
      <c r="Q384" s="38">
        <f t="shared" si="26"/>
        <v>1.696822432594123</v>
      </c>
      <c r="R384" s="17">
        <f t="shared" si="27"/>
        <v>0.18326493651379128</v>
      </c>
      <c r="S384" s="17">
        <f t="shared" si="28"/>
        <v>0.27259915348908198</v>
      </c>
      <c r="T384" s="38" t="str">
        <f t="shared" si="29"/>
        <v/>
      </c>
      <c r="U384" s="31" t="s">
        <v>1876</v>
      </c>
      <c r="V384" s="31"/>
    </row>
    <row r="385" spans="1:22" ht="30">
      <c r="A385" s="7">
        <v>20</v>
      </c>
      <c r="B385" s="7">
        <v>192</v>
      </c>
      <c r="C385" s="7">
        <v>46393.833333333336</v>
      </c>
      <c r="D385" s="7" t="s">
        <v>43</v>
      </c>
      <c r="E385" s="7" t="s">
        <v>41</v>
      </c>
      <c r="F385" s="7" t="s">
        <v>1743</v>
      </c>
      <c r="G385" s="7">
        <v>3</v>
      </c>
      <c r="H385" s="37">
        <f>Priors!$H$27*VLOOKUP(D385,Team_26_27!$A$2:$U$21,20,FALSE)*VLOOKUP(E385,Team_26_27!$A$2:$U$21,21,FALSE)*IF(F385="H",Priors!$H$28,Priors!$H$29)</f>
        <v>1.696822432594123</v>
      </c>
      <c r="I385" s="37">
        <f>Priors!$H$27*VLOOKUP(E385,Team_26_27!$A$2:$U$21,20,FALSE)*VLOOKUP(D385,Team_26_27!$A$2:$U$21,21,FALSE)*IF(F385="H",Priors!$H$29,Priors!$H$28)</f>
        <v>1.2997528650470429</v>
      </c>
      <c r="J385" s="15"/>
      <c r="K385" s="15"/>
      <c r="L385" s="47" t="b">
        <v>0</v>
      </c>
      <c r="M385" s="45">
        <v>0</v>
      </c>
      <c r="N385" s="45"/>
      <c r="O385" s="45"/>
      <c r="P385" s="38">
        <f t="shared" si="25"/>
        <v>1.696822432594123</v>
      </c>
      <c r="Q385" s="38">
        <f t="shared" si="26"/>
        <v>1.2997528650470429</v>
      </c>
      <c r="R385" s="17">
        <f t="shared" si="27"/>
        <v>0.27259915348908198</v>
      </c>
      <c r="S385" s="17">
        <f t="shared" si="28"/>
        <v>0.18326493651379128</v>
      </c>
      <c r="T385" s="38" t="str">
        <f t="shared" si="29"/>
        <v/>
      </c>
      <c r="U385" s="31" t="s">
        <v>1876</v>
      </c>
      <c r="V385" s="31"/>
    </row>
    <row r="386" spans="1:22" ht="30">
      <c r="A386" s="7">
        <v>20</v>
      </c>
      <c r="B386" s="7">
        <v>193</v>
      </c>
      <c r="C386" s="7">
        <v>46393.833333333336</v>
      </c>
      <c r="D386" s="7" t="s">
        <v>44</v>
      </c>
      <c r="E386" s="7" t="s">
        <v>46</v>
      </c>
      <c r="F386" s="7" t="s">
        <v>1742</v>
      </c>
      <c r="G386" s="7">
        <v>3</v>
      </c>
      <c r="H386" s="37">
        <f>Priors!$H$27*VLOOKUP(D386,Team_26_27!$A$2:$U$21,20,FALSE)*VLOOKUP(E386,Team_26_27!$A$2:$U$21,21,FALSE)*IF(F386="H",Priors!$H$28,Priors!$H$29)</f>
        <v>1.4142708644041972</v>
      </c>
      <c r="I386" s="37">
        <f>Priors!$H$27*VLOOKUP(E386,Team_26_27!$A$2:$U$21,20,FALSE)*VLOOKUP(D386,Team_26_27!$A$2:$U$21,21,FALSE)*IF(F386="H",Priors!$H$29,Priors!$H$28)</f>
        <v>1.6047745582016675</v>
      </c>
      <c r="J386" s="15"/>
      <c r="K386" s="15"/>
      <c r="L386" s="47" t="b">
        <v>0</v>
      </c>
      <c r="M386" s="45">
        <v>0</v>
      </c>
      <c r="N386" s="45"/>
      <c r="O386" s="45"/>
      <c r="P386" s="38">
        <f t="shared" ref="P386:P449" si="30">IF(N386&lt;&gt;"",N386,IF(L386=TRUE,M386*J386+(1-M386)*H386,H386))</f>
        <v>1.4142708644041972</v>
      </c>
      <c r="Q386" s="38">
        <f t="shared" ref="Q386:Q449" si="31">IF(O386&lt;&gt;"",O386,IF(L386=TRUE,M386*K386+(1-M386)*I386,I386))</f>
        <v>1.6047745582016675</v>
      </c>
      <c r="R386" s="17">
        <f t="shared" ref="R386:R449" si="32">EXP(-Q386)</f>
        <v>0.20093484891814672</v>
      </c>
      <c r="S386" s="17">
        <f t="shared" ref="S386:S449" si="33">EXP(-P386)</f>
        <v>0.24310280375066823</v>
      </c>
      <c r="T386" s="38" t="str">
        <f t="shared" ref="T386:T449" si="34">IF(L386=TRUE,J386-H386,"")</f>
        <v/>
      </c>
      <c r="U386" s="31" t="s">
        <v>1876</v>
      </c>
      <c r="V386" s="31"/>
    </row>
    <row r="387" spans="1:22" ht="30">
      <c r="A387" s="7">
        <v>20</v>
      </c>
      <c r="B387" s="7">
        <v>193</v>
      </c>
      <c r="C387" s="7">
        <v>46393.833333333336</v>
      </c>
      <c r="D387" s="7" t="s">
        <v>46</v>
      </c>
      <c r="E387" s="7" t="s">
        <v>44</v>
      </c>
      <c r="F387" s="7" t="s">
        <v>1743</v>
      </c>
      <c r="G387" s="7">
        <v>4</v>
      </c>
      <c r="H387" s="37">
        <f>Priors!$H$27*VLOOKUP(D387,Team_26_27!$A$2:$U$21,20,FALSE)*VLOOKUP(E387,Team_26_27!$A$2:$U$21,21,FALSE)*IF(F387="H",Priors!$H$28,Priors!$H$29)</f>
        <v>1.6047745582016675</v>
      </c>
      <c r="I387" s="37">
        <f>Priors!$H$27*VLOOKUP(E387,Team_26_27!$A$2:$U$21,20,FALSE)*VLOOKUP(D387,Team_26_27!$A$2:$U$21,21,FALSE)*IF(F387="H",Priors!$H$29,Priors!$H$28)</f>
        <v>1.4142708644041972</v>
      </c>
      <c r="J387" s="15"/>
      <c r="K387" s="15"/>
      <c r="L387" s="47" t="b">
        <v>0</v>
      </c>
      <c r="M387" s="45">
        <v>0</v>
      </c>
      <c r="N387" s="45"/>
      <c r="O387" s="45"/>
      <c r="P387" s="38">
        <f t="shared" si="30"/>
        <v>1.6047745582016675</v>
      </c>
      <c r="Q387" s="38">
        <f t="shared" si="31"/>
        <v>1.4142708644041972</v>
      </c>
      <c r="R387" s="17">
        <f t="shared" si="32"/>
        <v>0.24310280375066823</v>
      </c>
      <c r="S387" s="17">
        <f t="shared" si="33"/>
        <v>0.20093484891814672</v>
      </c>
      <c r="T387" s="38" t="str">
        <f t="shared" si="34"/>
        <v/>
      </c>
      <c r="U387" s="31" t="s">
        <v>1876</v>
      </c>
      <c r="V387" s="31"/>
    </row>
    <row r="388" spans="1:22" ht="30">
      <c r="A388" s="7">
        <v>20</v>
      </c>
      <c r="B388" s="7">
        <v>194</v>
      </c>
      <c r="C388" s="7">
        <v>46393.833333333336</v>
      </c>
      <c r="D388" s="7" t="s">
        <v>40</v>
      </c>
      <c r="E388" s="7" t="s">
        <v>47</v>
      </c>
      <c r="F388" s="7" t="s">
        <v>1742</v>
      </c>
      <c r="G388" s="7">
        <v>3</v>
      </c>
      <c r="H388" s="37">
        <f>Priors!$H$27*VLOOKUP(D388,Team_26_27!$A$2:$U$21,20,FALSE)*VLOOKUP(E388,Team_26_27!$A$2:$U$21,21,FALSE)*IF(F388="H",Priors!$H$28,Priors!$H$29)</f>
        <v>1.2289488109960016</v>
      </c>
      <c r="I388" s="37">
        <f>Priors!$H$27*VLOOKUP(E388,Team_26_27!$A$2:$U$21,20,FALSE)*VLOOKUP(D388,Team_26_27!$A$2:$U$21,21,FALSE)*IF(F388="H",Priors!$H$29,Priors!$H$28)</f>
        <v>1.4220692350015112</v>
      </c>
      <c r="J388" s="15"/>
      <c r="K388" s="15"/>
      <c r="L388" s="47" t="b">
        <v>0</v>
      </c>
      <c r="M388" s="45">
        <v>0</v>
      </c>
      <c r="N388" s="45"/>
      <c r="O388" s="45"/>
      <c r="P388" s="38">
        <f t="shared" si="30"/>
        <v>1.2289488109960016</v>
      </c>
      <c r="Q388" s="38">
        <f t="shared" si="31"/>
        <v>1.4220692350015112</v>
      </c>
      <c r="R388" s="17">
        <f t="shared" si="32"/>
        <v>0.24121437091367504</v>
      </c>
      <c r="S388" s="17">
        <f t="shared" si="33"/>
        <v>0.29259999397247266</v>
      </c>
      <c r="T388" s="38" t="str">
        <f t="shared" si="34"/>
        <v/>
      </c>
      <c r="U388" s="31" t="s">
        <v>1876</v>
      </c>
      <c r="V388" s="31"/>
    </row>
    <row r="389" spans="1:22" ht="30">
      <c r="A389" s="7">
        <v>20</v>
      </c>
      <c r="B389" s="7">
        <v>194</v>
      </c>
      <c r="C389" s="7">
        <v>46393.833333333336</v>
      </c>
      <c r="D389" s="7" t="s">
        <v>47</v>
      </c>
      <c r="E389" s="7" t="s">
        <v>40</v>
      </c>
      <c r="F389" s="7" t="s">
        <v>1743</v>
      </c>
      <c r="G389" s="7">
        <v>3</v>
      </c>
      <c r="H389" s="37">
        <f>Priors!$H$27*VLOOKUP(D389,Team_26_27!$A$2:$U$21,20,FALSE)*VLOOKUP(E389,Team_26_27!$A$2:$U$21,21,FALSE)*IF(F389="H",Priors!$H$28,Priors!$H$29)</f>
        <v>1.4220692350015112</v>
      </c>
      <c r="I389" s="37">
        <f>Priors!$H$27*VLOOKUP(E389,Team_26_27!$A$2:$U$21,20,FALSE)*VLOOKUP(D389,Team_26_27!$A$2:$U$21,21,FALSE)*IF(F389="H",Priors!$H$29,Priors!$H$28)</f>
        <v>1.2289488109960016</v>
      </c>
      <c r="J389" s="15"/>
      <c r="K389" s="15"/>
      <c r="L389" s="47" t="b">
        <v>0</v>
      </c>
      <c r="M389" s="45">
        <v>0</v>
      </c>
      <c r="N389" s="45"/>
      <c r="O389" s="45"/>
      <c r="P389" s="38">
        <f t="shared" si="30"/>
        <v>1.4220692350015112</v>
      </c>
      <c r="Q389" s="38">
        <f t="shared" si="31"/>
        <v>1.2289488109960016</v>
      </c>
      <c r="R389" s="17">
        <f t="shared" si="32"/>
        <v>0.29259999397247266</v>
      </c>
      <c r="S389" s="17">
        <f t="shared" si="33"/>
        <v>0.24121437091367504</v>
      </c>
      <c r="T389" s="38" t="str">
        <f t="shared" si="34"/>
        <v/>
      </c>
      <c r="U389" s="31" t="s">
        <v>1876</v>
      </c>
      <c r="V389" s="31"/>
    </row>
    <row r="390" spans="1:22" ht="30">
      <c r="A390" s="7">
        <v>20</v>
      </c>
      <c r="B390" s="7">
        <v>195</v>
      </c>
      <c r="C390" s="7">
        <v>46393.833333333336</v>
      </c>
      <c r="D390" s="7" t="s">
        <v>57</v>
      </c>
      <c r="E390" s="7" t="s">
        <v>48</v>
      </c>
      <c r="F390" s="7" t="s">
        <v>1742</v>
      </c>
      <c r="G390" s="7">
        <v>3</v>
      </c>
      <c r="H390" s="37">
        <f>Priors!$H$27*VLOOKUP(D390,Team_26_27!$A$2:$U$21,20,FALSE)*VLOOKUP(E390,Team_26_27!$A$2:$U$21,21,FALSE)*IF(F390="H",Priors!$H$28,Priors!$H$29)</f>
        <v>1.0435891404821709</v>
      </c>
      <c r="I390" s="37">
        <f>Priors!$H$27*VLOOKUP(E390,Team_26_27!$A$2:$U$21,20,FALSE)*VLOOKUP(D390,Team_26_27!$A$2:$U$21,21,FALSE)*IF(F390="H",Priors!$H$29,Priors!$H$28)</f>
        <v>1.4466990960651414</v>
      </c>
      <c r="J390" s="15"/>
      <c r="K390" s="15"/>
      <c r="L390" s="47" t="b">
        <v>0</v>
      </c>
      <c r="M390" s="45">
        <v>0</v>
      </c>
      <c r="N390" s="45"/>
      <c r="O390" s="45"/>
      <c r="P390" s="38">
        <f t="shared" si="30"/>
        <v>1.0435891404821709</v>
      </c>
      <c r="Q390" s="38">
        <f t="shared" si="31"/>
        <v>1.4466990960651414</v>
      </c>
      <c r="R390" s="17">
        <f t="shared" si="32"/>
        <v>0.23534586142307629</v>
      </c>
      <c r="S390" s="17">
        <f t="shared" si="33"/>
        <v>0.35218835731905485</v>
      </c>
      <c r="T390" s="38" t="str">
        <f t="shared" si="34"/>
        <v/>
      </c>
      <c r="U390" s="31" t="s">
        <v>1876</v>
      </c>
      <c r="V390" s="31"/>
    </row>
    <row r="391" spans="1:22" ht="30">
      <c r="A391" s="7">
        <v>20</v>
      </c>
      <c r="B391" s="7">
        <v>195</v>
      </c>
      <c r="C391" s="7">
        <v>46393.833333333336</v>
      </c>
      <c r="D391" s="7" t="s">
        <v>48</v>
      </c>
      <c r="E391" s="7" t="s">
        <v>57</v>
      </c>
      <c r="F391" s="7" t="s">
        <v>1743</v>
      </c>
      <c r="G391" s="7">
        <v>3</v>
      </c>
      <c r="H391" s="37">
        <f>Priors!$H$27*VLOOKUP(D391,Team_26_27!$A$2:$U$21,20,FALSE)*VLOOKUP(E391,Team_26_27!$A$2:$U$21,21,FALSE)*IF(F391="H",Priors!$H$28,Priors!$H$29)</f>
        <v>1.4466990960651414</v>
      </c>
      <c r="I391" s="37">
        <f>Priors!$H$27*VLOOKUP(E391,Team_26_27!$A$2:$U$21,20,FALSE)*VLOOKUP(D391,Team_26_27!$A$2:$U$21,21,FALSE)*IF(F391="H",Priors!$H$29,Priors!$H$28)</f>
        <v>1.0435891404821709</v>
      </c>
      <c r="J391" s="15"/>
      <c r="K391" s="15"/>
      <c r="L391" s="47" t="b">
        <v>0</v>
      </c>
      <c r="M391" s="45">
        <v>0</v>
      </c>
      <c r="N391" s="45"/>
      <c r="O391" s="45"/>
      <c r="P391" s="38">
        <f t="shared" si="30"/>
        <v>1.4466990960651414</v>
      </c>
      <c r="Q391" s="38">
        <f t="shared" si="31"/>
        <v>1.0435891404821709</v>
      </c>
      <c r="R391" s="17">
        <f t="shared" si="32"/>
        <v>0.35218835731905485</v>
      </c>
      <c r="S391" s="17">
        <f t="shared" si="33"/>
        <v>0.23534586142307629</v>
      </c>
      <c r="T391" s="38" t="str">
        <f t="shared" si="34"/>
        <v/>
      </c>
      <c r="U391" s="31" t="s">
        <v>1876</v>
      </c>
      <c r="V391" s="31"/>
    </row>
    <row r="392" spans="1:22" ht="30">
      <c r="A392" s="7">
        <v>20</v>
      </c>
      <c r="B392" s="7">
        <v>196</v>
      </c>
      <c r="C392" s="7">
        <v>46393.833333333336</v>
      </c>
      <c r="D392" s="7" t="s">
        <v>45</v>
      </c>
      <c r="E392" s="7" t="s">
        <v>50</v>
      </c>
      <c r="F392" s="7" t="s">
        <v>1742</v>
      </c>
      <c r="G392" s="7">
        <v>2</v>
      </c>
      <c r="H392" s="37">
        <f>Priors!$H$27*VLOOKUP(D392,Team_26_27!$A$2:$U$21,20,FALSE)*VLOOKUP(E392,Team_26_27!$A$2:$U$21,21,FALSE)*IF(F392="H",Priors!$H$28,Priors!$H$29)</f>
        <v>1.2250591933648129</v>
      </c>
      <c r="I392" s="37">
        <f>Priors!$H$27*VLOOKUP(E392,Team_26_27!$A$2:$U$21,20,FALSE)*VLOOKUP(D392,Team_26_27!$A$2:$U$21,21,FALSE)*IF(F392="H",Priors!$H$29,Priors!$H$28)</f>
        <v>1.472955159300209</v>
      </c>
      <c r="J392" s="15"/>
      <c r="K392" s="15"/>
      <c r="L392" s="47" t="b">
        <v>0</v>
      </c>
      <c r="M392" s="45">
        <v>0</v>
      </c>
      <c r="N392" s="45"/>
      <c r="O392" s="45"/>
      <c r="P392" s="38">
        <f t="shared" si="30"/>
        <v>1.2250591933648129</v>
      </c>
      <c r="Q392" s="38">
        <f t="shared" si="31"/>
        <v>1.472955159300209</v>
      </c>
      <c r="R392" s="17">
        <f t="shared" si="32"/>
        <v>0.22924702172836844</v>
      </c>
      <c r="S392" s="17">
        <f t="shared" si="33"/>
        <v>0.29374031233144293</v>
      </c>
      <c r="T392" s="38" t="str">
        <f t="shared" si="34"/>
        <v/>
      </c>
      <c r="U392" s="31" t="s">
        <v>1876</v>
      </c>
      <c r="V392" s="31"/>
    </row>
    <row r="393" spans="1:22" ht="30">
      <c r="A393" s="7">
        <v>20</v>
      </c>
      <c r="B393" s="7">
        <v>196</v>
      </c>
      <c r="C393" s="7">
        <v>46393.833333333336</v>
      </c>
      <c r="D393" s="7" t="s">
        <v>50</v>
      </c>
      <c r="E393" s="7" t="s">
        <v>45</v>
      </c>
      <c r="F393" s="7" t="s">
        <v>1743</v>
      </c>
      <c r="G393" s="7">
        <v>2</v>
      </c>
      <c r="H393" s="37">
        <f>Priors!$H$27*VLOOKUP(D393,Team_26_27!$A$2:$U$21,20,FALSE)*VLOOKUP(E393,Team_26_27!$A$2:$U$21,21,FALSE)*IF(F393="H",Priors!$H$28,Priors!$H$29)</f>
        <v>1.472955159300209</v>
      </c>
      <c r="I393" s="37">
        <f>Priors!$H$27*VLOOKUP(E393,Team_26_27!$A$2:$U$21,20,FALSE)*VLOOKUP(D393,Team_26_27!$A$2:$U$21,21,FALSE)*IF(F393="H",Priors!$H$29,Priors!$H$28)</f>
        <v>1.2250591933648129</v>
      </c>
      <c r="J393" s="15"/>
      <c r="K393" s="15"/>
      <c r="L393" s="47" t="b">
        <v>0</v>
      </c>
      <c r="M393" s="45">
        <v>0</v>
      </c>
      <c r="N393" s="45"/>
      <c r="O393" s="45"/>
      <c r="P393" s="38">
        <f t="shared" si="30"/>
        <v>1.472955159300209</v>
      </c>
      <c r="Q393" s="38">
        <f t="shared" si="31"/>
        <v>1.2250591933648129</v>
      </c>
      <c r="R393" s="17">
        <f t="shared" si="32"/>
        <v>0.29374031233144293</v>
      </c>
      <c r="S393" s="17">
        <f t="shared" si="33"/>
        <v>0.22924702172836844</v>
      </c>
      <c r="T393" s="38" t="str">
        <f t="shared" si="34"/>
        <v/>
      </c>
      <c r="U393" s="31" t="s">
        <v>1876</v>
      </c>
      <c r="V393" s="31"/>
    </row>
    <row r="394" spans="1:22" ht="30">
      <c r="A394" s="7">
        <v>20</v>
      </c>
      <c r="B394" s="7">
        <v>197</v>
      </c>
      <c r="C394" s="7">
        <v>46393.833333333336</v>
      </c>
      <c r="D394" s="7" t="s">
        <v>53</v>
      </c>
      <c r="E394" s="7" t="s">
        <v>51</v>
      </c>
      <c r="F394" s="7" t="s">
        <v>1742</v>
      </c>
      <c r="G394" s="7">
        <v>3</v>
      </c>
      <c r="H394" s="37">
        <f>Priors!$H$27*VLOOKUP(D394,Team_26_27!$A$2:$U$21,20,FALSE)*VLOOKUP(E394,Team_26_27!$A$2:$U$21,21,FALSE)*IF(F394="H",Priors!$H$28,Priors!$H$29)</f>
        <v>1.549782947613668</v>
      </c>
      <c r="I394" s="37">
        <f>Priors!$H$27*VLOOKUP(E394,Team_26_27!$A$2:$U$21,20,FALSE)*VLOOKUP(D394,Team_26_27!$A$2:$U$21,21,FALSE)*IF(F394="H",Priors!$H$29,Priors!$H$28)</f>
        <v>1.4155198345818654</v>
      </c>
      <c r="J394" s="15"/>
      <c r="K394" s="15"/>
      <c r="L394" s="47" t="b">
        <v>0</v>
      </c>
      <c r="M394" s="45">
        <v>0</v>
      </c>
      <c r="N394" s="45"/>
      <c r="O394" s="45"/>
      <c r="P394" s="38">
        <f t="shared" si="30"/>
        <v>1.549782947613668</v>
      </c>
      <c r="Q394" s="38">
        <f t="shared" si="31"/>
        <v>1.4155198345818654</v>
      </c>
      <c r="R394" s="17">
        <f t="shared" si="32"/>
        <v>0.24279936513101466</v>
      </c>
      <c r="S394" s="17">
        <f t="shared" si="33"/>
        <v>0.21229404775600355</v>
      </c>
      <c r="T394" s="38" t="str">
        <f t="shared" si="34"/>
        <v/>
      </c>
      <c r="U394" s="31" t="s">
        <v>1876</v>
      </c>
      <c r="V394" s="31"/>
    </row>
    <row r="395" spans="1:22" ht="30">
      <c r="A395" s="7">
        <v>20</v>
      </c>
      <c r="B395" s="7">
        <v>197</v>
      </c>
      <c r="C395" s="7">
        <v>46393.833333333336</v>
      </c>
      <c r="D395" s="7" t="s">
        <v>51</v>
      </c>
      <c r="E395" s="7" t="s">
        <v>53</v>
      </c>
      <c r="F395" s="7" t="s">
        <v>1743</v>
      </c>
      <c r="G395" s="7">
        <v>4</v>
      </c>
      <c r="H395" s="37">
        <f>Priors!$H$27*VLOOKUP(D395,Team_26_27!$A$2:$U$21,20,FALSE)*VLOOKUP(E395,Team_26_27!$A$2:$U$21,21,FALSE)*IF(F395="H",Priors!$H$28,Priors!$H$29)</f>
        <v>1.4155198345818654</v>
      </c>
      <c r="I395" s="37">
        <f>Priors!$H$27*VLOOKUP(E395,Team_26_27!$A$2:$U$21,20,FALSE)*VLOOKUP(D395,Team_26_27!$A$2:$U$21,21,FALSE)*IF(F395="H",Priors!$H$29,Priors!$H$28)</f>
        <v>1.549782947613668</v>
      </c>
      <c r="J395" s="15"/>
      <c r="K395" s="15"/>
      <c r="L395" s="47" t="b">
        <v>0</v>
      </c>
      <c r="M395" s="45">
        <v>0</v>
      </c>
      <c r="N395" s="45"/>
      <c r="O395" s="45"/>
      <c r="P395" s="38">
        <f t="shared" si="30"/>
        <v>1.4155198345818654</v>
      </c>
      <c r="Q395" s="38">
        <f t="shared" si="31"/>
        <v>1.549782947613668</v>
      </c>
      <c r="R395" s="17">
        <f t="shared" si="32"/>
        <v>0.21229404775600355</v>
      </c>
      <c r="S395" s="17">
        <f t="shared" si="33"/>
        <v>0.24279936513101466</v>
      </c>
      <c r="T395" s="38" t="str">
        <f t="shared" si="34"/>
        <v/>
      </c>
      <c r="U395" s="31" t="s">
        <v>1876</v>
      </c>
      <c r="V395" s="31"/>
    </row>
    <row r="396" spans="1:22" ht="30">
      <c r="A396" s="7">
        <v>20</v>
      </c>
      <c r="B396" s="7">
        <v>198</v>
      </c>
      <c r="C396" s="7">
        <v>46393.833333333336</v>
      </c>
      <c r="D396" s="7" t="s">
        <v>55</v>
      </c>
      <c r="E396" s="7" t="s">
        <v>54</v>
      </c>
      <c r="F396" s="7" t="s">
        <v>1742</v>
      </c>
      <c r="G396" s="7">
        <v>4</v>
      </c>
      <c r="H396" s="37">
        <f>Priors!$H$27*VLOOKUP(D396,Team_26_27!$A$2:$U$21,20,FALSE)*VLOOKUP(E396,Team_26_27!$A$2:$U$21,21,FALSE)*IF(F396="H",Priors!$H$28,Priors!$H$29)</f>
        <v>1.2319038534683926</v>
      </c>
      <c r="I396" s="37">
        <f>Priors!$H$27*VLOOKUP(E396,Team_26_27!$A$2:$U$21,20,FALSE)*VLOOKUP(D396,Team_26_27!$A$2:$U$21,21,FALSE)*IF(F396="H",Priors!$H$29,Priors!$H$28)</f>
        <v>1.7508663437699725</v>
      </c>
      <c r="J396" s="15"/>
      <c r="K396" s="15"/>
      <c r="L396" s="47" t="b">
        <v>0</v>
      </c>
      <c r="M396" s="45">
        <v>0</v>
      </c>
      <c r="N396" s="45"/>
      <c r="O396" s="45"/>
      <c r="P396" s="38">
        <f t="shared" si="30"/>
        <v>1.2319038534683926</v>
      </c>
      <c r="Q396" s="38">
        <f t="shared" si="31"/>
        <v>1.7508663437699725</v>
      </c>
      <c r="R396" s="17">
        <f t="shared" si="32"/>
        <v>0.17362346067147438</v>
      </c>
      <c r="S396" s="17">
        <f t="shared" si="33"/>
        <v>0.29173662483735918</v>
      </c>
      <c r="T396" s="38" t="str">
        <f t="shared" si="34"/>
        <v/>
      </c>
      <c r="U396" s="31" t="s">
        <v>1876</v>
      </c>
      <c r="V396" s="31"/>
    </row>
    <row r="397" spans="1:22" ht="30">
      <c r="A397" s="7">
        <v>20</v>
      </c>
      <c r="B397" s="7">
        <v>198</v>
      </c>
      <c r="C397" s="7">
        <v>46393.833333333336</v>
      </c>
      <c r="D397" s="7" t="s">
        <v>54</v>
      </c>
      <c r="E397" s="7" t="s">
        <v>55</v>
      </c>
      <c r="F397" s="7" t="s">
        <v>1743</v>
      </c>
      <c r="G397" s="7">
        <v>2</v>
      </c>
      <c r="H397" s="37">
        <f>Priors!$H$27*VLOOKUP(D397,Team_26_27!$A$2:$U$21,20,FALSE)*VLOOKUP(E397,Team_26_27!$A$2:$U$21,21,FALSE)*IF(F397="H",Priors!$H$28,Priors!$H$29)</f>
        <v>1.7508663437699725</v>
      </c>
      <c r="I397" s="37">
        <f>Priors!$H$27*VLOOKUP(E397,Team_26_27!$A$2:$U$21,20,FALSE)*VLOOKUP(D397,Team_26_27!$A$2:$U$21,21,FALSE)*IF(F397="H",Priors!$H$29,Priors!$H$28)</f>
        <v>1.2319038534683926</v>
      </c>
      <c r="J397" s="15"/>
      <c r="K397" s="15"/>
      <c r="L397" s="47" t="b">
        <v>0</v>
      </c>
      <c r="M397" s="45">
        <v>0</v>
      </c>
      <c r="N397" s="45"/>
      <c r="O397" s="45"/>
      <c r="P397" s="38">
        <f t="shared" si="30"/>
        <v>1.7508663437699725</v>
      </c>
      <c r="Q397" s="38">
        <f t="shared" si="31"/>
        <v>1.2319038534683926</v>
      </c>
      <c r="R397" s="17">
        <f t="shared" si="32"/>
        <v>0.29173662483735918</v>
      </c>
      <c r="S397" s="17">
        <f t="shared" si="33"/>
        <v>0.17362346067147438</v>
      </c>
      <c r="T397" s="38" t="str">
        <f t="shared" si="34"/>
        <v/>
      </c>
      <c r="U397" s="31" t="s">
        <v>1876</v>
      </c>
      <c r="V397" s="31"/>
    </row>
    <row r="398" spans="1:22" ht="30">
      <c r="A398" s="7">
        <v>20</v>
      </c>
      <c r="B398" s="7">
        <v>199</v>
      </c>
      <c r="C398" s="7">
        <v>46393.833333333336</v>
      </c>
      <c r="D398" s="7" t="s">
        <v>49</v>
      </c>
      <c r="E398" s="7" t="s">
        <v>56</v>
      </c>
      <c r="F398" s="7" t="s">
        <v>1742</v>
      </c>
      <c r="G398" s="7">
        <v>3</v>
      </c>
      <c r="H398" s="37">
        <f>Priors!$H$27*VLOOKUP(D398,Team_26_27!$A$2:$U$21,20,FALSE)*VLOOKUP(E398,Team_26_27!$A$2:$U$21,21,FALSE)*IF(F398="H",Priors!$H$28,Priors!$H$29)</f>
        <v>0.91596703443185512</v>
      </c>
      <c r="I398" s="37">
        <f>Priors!$H$27*VLOOKUP(E398,Team_26_27!$A$2:$U$21,20,FALSE)*VLOOKUP(D398,Team_26_27!$A$2:$U$21,21,FALSE)*IF(F398="H",Priors!$H$29,Priors!$H$28)</f>
        <v>1.9453937258251748</v>
      </c>
      <c r="J398" s="15"/>
      <c r="K398" s="15"/>
      <c r="L398" s="47" t="b">
        <v>0</v>
      </c>
      <c r="M398" s="45">
        <v>0</v>
      </c>
      <c r="N398" s="45"/>
      <c r="O398" s="45"/>
      <c r="P398" s="38">
        <f t="shared" si="30"/>
        <v>0.91596703443185512</v>
      </c>
      <c r="Q398" s="38">
        <f t="shared" si="31"/>
        <v>1.9453937258251748</v>
      </c>
      <c r="R398" s="17">
        <f t="shared" si="32"/>
        <v>0.14293093665708173</v>
      </c>
      <c r="S398" s="17">
        <f t="shared" si="33"/>
        <v>0.40012949993518815</v>
      </c>
      <c r="T398" s="38" t="str">
        <f t="shared" si="34"/>
        <v/>
      </c>
      <c r="U398" s="31" t="s">
        <v>1876</v>
      </c>
      <c r="V398" s="31"/>
    </row>
    <row r="399" spans="1:22" ht="30">
      <c r="A399" s="7">
        <v>20</v>
      </c>
      <c r="B399" s="7">
        <v>199</v>
      </c>
      <c r="C399" s="7">
        <v>46393.833333333336</v>
      </c>
      <c r="D399" s="7" t="s">
        <v>56</v>
      </c>
      <c r="E399" s="7" t="s">
        <v>49</v>
      </c>
      <c r="F399" s="7" t="s">
        <v>1743</v>
      </c>
      <c r="G399" s="7">
        <v>2</v>
      </c>
      <c r="H399" s="37">
        <f>Priors!$H$27*VLOOKUP(D399,Team_26_27!$A$2:$U$21,20,FALSE)*VLOOKUP(E399,Team_26_27!$A$2:$U$21,21,FALSE)*IF(F399="H",Priors!$H$28,Priors!$H$29)</f>
        <v>1.9453937258251748</v>
      </c>
      <c r="I399" s="37">
        <f>Priors!$H$27*VLOOKUP(E399,Team_26_27!$A$2:$U$21,20,FALSE)*VLOOKUP(D399,Team_26_27!$A$2:$U$21,21,FALSE)*IF(F399="H",Priors!$H$29,Priors!$H$28)</f>
        <v>0.91596703443185512</v>
      </c>
      <c r="J399" s="15"/>
      <c r="K399" s="15"/>
      <c r="L399" s="47" t="b">
        <v>0</v>
      </c>
      <c r="M399" s="45">
        <v>0</v>
      </c>
      <c r="N399" s="45"/>
      <c r="O399" s="45"/>
      <c r="P399" s="38">
        <f t="shared" si="30"/>
        <v>1.9453937258251748</v>
      </c>
      <c r="Q399" s="38">
        <f t="shared" si="31"/>
        <v>0.91596703443185512</v>
      </c>
      <c r="R399" s="17">
        <f t="shared" si="32"/>
        <v>0.40012949993518815</v>
      </c>
      <c r="S399" s="17">
        <f t="shared" si="33"/>
        <v>0.14293093665708173</v>
      </c>
      <c r="T399" s="38" t="str">
        <f t="shared" si="34"/>
        <v/>
      </c>
      <c r="U399" s="31" t="s">
        <v>1876</v>
      </c>
      <c r="V399" s="31"/>
    </row>
    <row r="400" spans="1:22" ht="30">
      <c r="A400" s="7">
        <v>20</v>
      </c>
      <c r="B400" s="7">
        <v>200</v>
      </c>
      <c r="C400" s="7">
        <v>46393.833333333336</v>
      </c>
      <c r="D400" s="7" t="s">
        <v>52</v>
      </c>
      <c r="E400" s="7" t="s">
        <v>58</v>
      </c>
      <c r="F400" s="7" t="s">
        <v>1742</v>
      </c>
      <c r="G400" s="7">
        <v>3</v>
      </c>
      <c r="H400" s="37">
        <f>Priors!$H$27*VLOOKUP(D400,Team_26_27!$A$2:$U$21,20,FALSE)*VLOOKUP(E400,Team_26_27!$A$2:$U$21,21,FALSE)*IF(F400="H",Priors!$H$28,Priors!$H$29)</f>
        <v>1.3876626035984483</v>
      </c>
      <c r="I400" s="37">
        <f>Priors!$H$27*VLOOKUP(E400,Team_26_27!$A$2:$U$21,20,FALSE)*VLOOKUP(D400,Team_26_27!$A$2:$U$21,21,FALSE)*IF(F400="H",Priors!$H$29,Priors!$H$28)</f>
        <v>1.175514751891378</v>
      </c>
      <c r="J400" s="15"/>
      <c r="K400" s="15"/>
      <c r="L400" s="47" t="b">
        <v>0</v>
      </c>
      <c r="M400" s="45">
        <v>0</v>
      </c>
      <c r="N400" s="45"/>
      <c r="O400" s="45"/>
      <c r="P400" s="38">
        <f t="shared" si="30"/>
        <v>1.3876626035984483</v>
      </c>
      <c r="Q400" s="38">
        <f t="shared" si="31"/>
        <v>1.175514751891378</v>
      </c>
      <c r="R400" s="17">
        <f t="shared" si="32"/>
        <v>0.30866005544091957</v>
      </c>
      <c r="S400" s="17">
        <f t="shared" si="33"/>
        <v>0.24965817328460418</v>
      </c>
      <c r="T400" s="38" t="str">
        <f t="shared" si="34"/>
        <v/>
      </c>
      <c r="U400" s="31" t="s">
        <v>1876</v>
      </c>
      <c r="V400" s="31"/>
    </row>
    <row r="401" spans="1:22" ht="30">
      <c r="A401" s="7">
        <v>20</v>
      </c>
      <c r="B401" s="7">
        <v>200</v>
      </c>
      <c r="C401" s="7">
        <v>46393.833333333336</v>
      </c>
      <c r="D401" s="7" t="s">
        <v>58</v>
      </c>
      <c r="E401" s="7" t="s">
        <v>52</v>
      </c>
      <c r="F401" s="7" t="s">
        <v>1743</v>
      </c>
      <c r="G401" s="7">
        <v>4</v>
      </c>
      <c r="H401" s="37">
        <f>Priors!$H$27*VLOOKUP(D401,Team_26_27!$A$2:$U$21,20,FALSE)*VLOOKUP(E401,Team_26_27!$A$2:$U$21,21,FALSE)*IF(F401="H",Priors!$H$28,Priors!$H$29)</f>
        <v>1.175514751891378</v>
      </c>
      <c r="I401" s="37">
        <f>Priors!$H$27*VLOOKUP(E401,Team_26_27!$A$2:$U$21,20,FALSE)*VLOOKUP(D401,Team_26_27!$A$2:$U$21,21,FALSE)*IF(F401="H",Priors!$H$29,Priors!$H$28)</f>
        <v>1.3876626035984483</v>
      </c>
      <c r="J401" s="15"/>
      <c r="K401" s="15"/>
      <c r="L401" s="47" t="b">
        <v>0</v>
      </c>
      <c r="M401" s="45">
        <v>0</v>
      </c>
      <c r="N401" s="45"/>
      <c r="O401" s="45"/>
      <c r="P401" s="38">
        <f t="shared" si="30"/>
        <v>1.175514751891378</v>
      </c>
      <c r="Q401" s="38">
        <f t="shared" si="31"/>
        <v>1.3876626035984483</v>
      </c>
      <c r="R401" s="17">
        <f t="shared" si="32"/>
        <v>0.24965817328460418</v>
      </c>
      <c r="S401" s="17">
        <f t="shared" si="33"/>
        <v>0.30866005544091957</v>
      </c>
      <c r="T401" s="38" t="str">
        <f t="shared" si="34"/>
        <v/>
      </c>
      <c r="U401" s="31" t="s">
        <v>1876</v>
      </c>
      <c r="V401" s="31"/>
    </row>
    <row r="402" spans="1:22" ht="30">
      <c r="A402" s="7">
        <v>21</v>
      </c>
      <c r="B402" s="7">
        <v>201</v>
      </c>
      <c r="C402" s="7">
        <v>46403.625</v>
      </c>
      <c r="D402" s="7" t="s">
        <v>54</v>
      </c>
      <c r="E402" s="7" t="s">
        <v>40</v>
      </c>
      <c r="F402" s="7" t="s">
        <v>1742</v>
      </c>
      <c r="G402" s="7">
        <v>4</v>
      </c>
      <c r="H402" s="37">
        <f>Priors!$H$27*VLOOKUP(D402,Team_26_27!$A$2:$U$21,20,FALSE)*VLOOKUP(E402,Team_26_27!$A$2:$U$21,21,FALSE)*IF(F402="H",Priors!$H$28,Priors!$H$29)</f>
        <v>1.4750698316711008</v>
      </c>
      <c r="I402" s="37">
        <f>Priors!$H$27*VLOOKUP(E402,Team_26_27!$A$2:$U$21,20,FALSE)*VLOOKUP(D402,Team_26_27!$A$2:$U$21,21,FALSE)*IF(F402="H",Priors!$H$29,Priors!$H$28)</f>
        <v>1.3523431612390198</v>
      </c>
      <c r="J402" s="15"/>
      <c r="K402" s="15"/>
      <c r="L402" s="47" t="b">
        <v>0</v>
      </c>
      <c r="M402" s="45">
        <v>0</v>
      </c>
      <c r="N402" s="45"/>
      <c r="O402" s="45"/>
      <c r="P402" s="38">
        <f t="shared" si="30"/>
        <v>1.4750698316711008</v>
      </c>
      <c r="Q402" s="38">
        <f t="shared" si="31"/>
        <v>1.3523431612390198</v>
      </c>
      <c r="R402" s="17">
        <f t="shared" si="32"/>
        <v>0.25863353002698675</v>
      </c>
      <c r="S402" s="17">
        <f t="shared" si="33"/>
        <v>0.22876275160220297</v>
      </c>
      <c r="T402" s="38" t="str">
        <f t="shared" si="34"/>
        <v/>
      </c>
      <c r="U402" s="31" t="s">
        <v>1876</v>
      </c>
      <c r="V402" s="31"/>
    </row>
    <row r="403" spans="1:22" ht="30">
      <c r="A403" s="7">
        <v>21</v>
      </c>
      <c r="B403" s="7">
        <v>201</v>
      </c>
      <c r="C403" s="7">
        <v>46403.625</v>
      </c>
      <c r="D403" s="7" t="s">
        <v>40</v>
      </c>
      <c r="E403" s="7" t="s">
        <v>54</v>
      </c>
      <c r="F403" s="7" t="s">
        <v>1743</v>
      </c>
      <c r="G403" s="7">
        <v>4</v>
      </c>
      <c r="H403" s="37">
        <f>Priors!$H$27*VLOOKUP(D403,Team_26_27!$A$2:$U$21,20,FALSE)*VLOOKUP(E403,Team_26_27!$A$2:$U$21,21,FALSE)*IF(F403="H",Priors!$H$28,Priors!$H$29)</f>
        <v>1.3523431612390198</v>
      </c>
      <c r="I403" s="37">
        <f>Priors!$H$27*VLOOKUP(E403,Team_26_27!$A$2:$U$21,20,FALSE)*VLOOKUP(D403,Team_26_27!$A$2:$U$21,21,FALSE)*IF(F403="H",Priors!$H$29,Priors!$H$28)</f>
        <v>1.4750698316711008</v>
      </c>
      <c r="J403" s="15"/>
      <c r="K403" s="15"/>
      <c r="L403" s="47" t="b">
        <v>0</v>
      </c>
      <c r="M403" s="45">
        <v>0</v>
      </c>
      <c r="N403" s="45"/>
      <c r="O403" s="45"/>
      <c r="P403" s="38">
        <f t="shared" si="30"/>
        <v>1.3523431612390198</v>
      </c>
      <c r="Q403" s="38">
        <f t="shared" si="31"/>
        <v>1.4750698316711008</v>
      </c>
      <c r="R403" s="17">
        <f t="shared" si="32"/>
        <v>0.22876275160220297</v>
      </c>
      <c r="S403" s="17">
        <f t="shared" si="33"/>
        <v>0.25863353002698675</v>
      </c>
      <c r="T403" s="38" t="str">
        <f t="shared" si="34"/>
        <v/>
      </c>
      <c r="U403" s="31" t="s">
        <v>1876</v>
      </c>
      <c r="V403" s="31"/>
    </row>
    <row r="404" spans="1:22" ht="30">
      <c r="A404" s="7">
        <v>21</v>
      </c>
      <c r="B404" s="7">
        <v>202</v>
      </c>
      <c r="C404" s="7">
        <v>46403.625</v>
      </c>
      <c r="D404" s="7" t="s">
        <v>50</v>
      </c>
      <c r="E404" s="7" t="s">
        <v>41</v>
      </c>
      <c r="F404" s="7" t="s">
        <v>1742</v>
      </c>
      <c r="G404" s="7">
        <v>3</v>
      </c>
      <c r="H404" s="37">
        <f>Priors!$H$27*VLOOKUP(D404,Team_26_27!$A$2:$U$21,20,FALSE)*VLOOKUP(E404,Team_26_27!$A$2:$U$21,21,FALSE)*IF(F404="H",Priors!$H$28,Priors!$H$29)</f>
        <v>0.99585262431131727</v>
      </c>
      <c r="I404" s="37">
        <f>Priors!$H$27*VLOOKUP(E404,Team_26_27!$A$2:$U$21,20,FALSE)*VLOOKUP(D404,Team_26_27!$A$2:$U$21,21,FALSE)*IF(F404="H",Priors!$H$29,Priors!$H$28)</f>
        <v>2.0692602235806796</v>
      </c>
      <c r="J404" s="15"/>
      <c r="K404" s="15"/>
      <c r="L404" s="47" t="b">
        <v>0</v>
      </c>
      <c r="M404" s="45">
        <v>0</v>
      </c>
      <c r="N404" s="45"/>
      <c r="O404" s="45"/>
      <c r="P404" s="38">
        <f t="shared" si="30"/>
        <v>0.99585262431131727</v>
      </c>
      <c r="Q404" s="38">
        <f t="shared" si="31"/>
        <v>2.0692602235806796</v>
      </c>
      <c r="R404" s="17">
        <f t="shared" si="32"/>
        <v>0.12627916550810653</v>
      </c>
      <c r="S404" s="17">
        <f t="shared" si="33"/>
        <v>0.36940834369718706</v>
      </c>
      <c r="T404" s="38" t="str">
        <f t="shared" si="34"/>
        <v/>
      </c>
      <c r="U404" s="31" t="s">
        <v>1876</v>
      </c>
      <c r="V404" s="31"/>
    </row>
    <row r="405" spans="1:22" ht="30">
      <c r="A405" s="7">
        <v>21</v>
      </c>
      <c r="B405" s="7">
        <v>202</v>
      </c>
      <c r="C405" s="7">
        <v>46403.625</v>
      </c>
      <c r="D405" s="7" t="s">
        <v>41</v>
      </c>
      <c r="E405" s="7" t="s">
        <v>50</v>
      </c>
      <c r="F405" s="7" t="s">
        <v>1743</v>
      </c>
      <c r="G405" s="7">
        <v>2</v>
      </c>
      <c r="H405" s="37">
        <f>Priors!$H$27*VLOOKUP(D405,Team_26_27!$A$2:$U$21,20,FALSE)*VLOOKUP(E405,Team_26_27!$A$2:$U$21,21,FALSE)*IF(F405="H",Priors!$H$28,Priors!$H$29)</f>
        <v>2.0692602235806796</v>
      </c>
      <c r="I405" s="37">
        <f>Priors!$H$27*VLOOKUP(E405,Team_26_27!$A$2:$U$21,20,FALSE)*VLOOKUP(D405,Team_26_27!$A$2:$U$21,21,FALSE)*IF(F405="H",Priors!$H$29,Priors!$H$28)</f>
        <v>0.99585262431131727</v>
      </c>
      <c r="J405" s="15"/>
      <c r="K405" s="15"/>
      <c r="L405" s="47" t="b">
        <v>0</v>
      </c>
      <c r="M405" s="45">
        <v>0</v>
      </c>
      <c r="N405" s="45"/>
      <c r="O405" s="45"/>
      <c r="P405" s="38">
        <f t="shared" si="30"/>
        <v>2.0692602235806796</v>
      </c>
      <c r="Q405" s="38">
        <f t="shared" si="31"/>
        <v>0.99585262431131727</v>
      </c>
      <c r="R405" s="17">
        <f t="shared" si="32"/>
        <v>0.36940834369718706</v>
      </c>
      <c r="S405" s="17">
        <f t="shared" si="33"/>
        <v>0.12627916550810653</v>
      </c>
      <c r="T405" s="38" t="str">
        <f t="shared" si="34"/>
        <v/>
      </c>
      <c r="U405" s="31" t="s">
        <v>1876</v>
      </c>
      <c r="V405" s="31"/>
    </row>
    <row r="406" spans="1:22" ht="30">
      <c r="A406" s="7">
        <v>21</v>
      </c>
      <c r="B406" s="7">
        <v>203</v>
      </c>
      <c r="C406" s="7">
        <v>46403.625</v>
      </c>
      <c r="D406" s="7" t="s">
        <v>43</v>
      </c>
      <c r="E406" s="7" t="s">
        <v>42</v>
      </c>
      <c r="F406" s="7" t="s">
        <v>1742</v>
      </c>
      <c r="G406" s="7">
        <v>3</v>
      </c>
      <c r="H406" s="37">
        <f>Priors!$H$27*VLOOKUP(D406,Team_26_27!$A$2:$U$21,20,FALSE)*VLOOKUP(E406,Team_26_27!$A$2:$U$21,21,FALSE)*IF(F406="H",Priors!$H$28,Priors!$H$29)</f>
        <v>1.3599283789146688</v>
      </c>
      <c r="I406" s="37">
        <f>Priors!$H$27*VLOOKUP(E406,Team_26_27!$A$2:$U$21,20,FALSE)*VLOOKUP(D406,Team_26_27!$A$2:$U$21,21,FALSE)*IF(F406="H",Priors!$H$29,Priors!$H$28)</f>
        <v>1.5940288439929249</v>
      </c>
      <c r="J406" s="15"/>
      <c r="K406" s="15"/>
      <c r="L406" s="47" t="b">
        <v>0</v>
      </c>
      <c r="M406" s="45">
        <v>0</v>
      </c>
      <c r="N406" s="45"/>
      <c r="O406" s="45"/>
      <c r="P406" s="38">
        <f t="shared" si="30"/>
        <v>1.3599283789146688</v>
      </c>
      <c r="Q406" s="38">
        <f t="shared" si="31"/>
        <v>1.5940288439929249</v>
      </c>
      <c r="R406" s="17">
        <f t="shared" si="32"/>
        <v>0.20310568005584853</v>
      </c>
      <c r="S406" s="17">
        <f t="shared" si="33"/>
        <v>0.25667915993525992</v>
      </c>
      <c r="T406" s="38" t="str">
        <f t="shared" si="34"/>
        <v/>
      </c>
      <c r="U406" s="31" t="s">
        <v>1876</v>
      </c>
      <c r="V406" s="31"/>
    </row>
    <row r="407" spans="1:22" ht="30">
      <c r="A407" s="7">
        <v>21</v>
      </c>
      <c r="B407" s="7">
        <v>203</v>
      </c>
      <c r="C407" s="7">
        <v>46403.625</v>
      </c>
      <c r="D407" s="7" t="s">
        <v>42</v>
      </c>
      <c r="E407" s="7" t="s">
        <v>43</v>
      </c>
      <c r="F407" s="7" t="s">
        <v>1743</v>
      </c>
      <c r="G407" s="7">
        <v>2</v>
      </c>
      <c r="H407" s="37">
        <f>Priors!$H$27*VLOOKUP(D407,Team_26_27!$A$2:$U$21,20,FALSE)*VLOOKUP(E407,Team_26_27!$A$2:$U$21,21,FALSE)*IF(F407="H",Priors!$H$28,Priors!$H$29)</f>
        <v>1.5940288439929249</v>
      </c>
      <c r="I407" s="37">
        <f>Priors!$H$27*VLOOKUP(E407,Team_26_27!$A$2:$U$21,20,FALSE)*VLOOKUP(D407,Team_26_27!$A$2:$U$21,21,FALSE)*IF(F407="H",Priors!$H$29,Priors!$H$28)</f>
        <v>1.3599283789146688</v>
      </c>
      <c r="J407" s="15"/>
      <c r="K407" s="15"/>
      <c r="L407" s="47" t="b">
        <v>0</v>
      </c>
      <c r="M407" s="45">
        <v>0</v>
      </c>
      <c r="N407" s="45"/>
      <c r="O407" s="45"/>
      <c r="P407" s="38">
        <f t="shared" si="30"/>
        <v>1.5940288439929249</v>
      </c>
      <c r="Q407" s="38">
        <f t="shared" si="31"/>
        <v>1.3599283789146688</v>
      </c>
      <c r="R407" s="17">
        <f t="shared" si="32"/>
        <v>0.25667915993525992</v>
      </c>
      <c r="S407" s="17">
        <f t="shared" si="33"/>
        <v>0.20310568005584853</v>
      </c>
      <c r="T407" s="38" t="str">
        <f t="shared" si="34"/>
        <v/>
      </c>
      <c r="U407" s="31" t="s">
        <v>1876</v>
      </c>
      <c r="V407" s="31"/>
    </row>
    <row r="408" spans="1:22" ht="30">
      <c r="A408" s="7">
        <v>21</v>
      </c>
      <c r="B408" s="7">
        <v>204</v>
      </c>
      <c r="C408" s="7">
        <v>46403.625</v>
      </c>
      <c r="D408" s="7" t="s">
        <v>58</v>
      </c>
      <c r="E408" s="7" t="s">
        <v>44</v>
      </c>
      <c r="F408" s="7" t="s">
        <v>1742</v>
      </c>
      <c r="G408" s="7">
        <v>4</v>
      </c>
      <c r="H408" s="37">
        <f>Priors!$H$27*VLOOKUP(D408,Team_26_27!$A$2:$U$21,20,FALSE)*VLOOKUP(E408,Team_26_27!$A$2:$U$21,21,FALSE)*IF(F408="H",Priors!$H$28,Priors!$H$29)</f>
        <v>1.0136543038318049</v>
      </c>
      <c r="I408" s="37">
        <f>Priors!$H$27*VLOOKUP(E408,Team_26_27!$A$2:$U$21,20,FALSE)*VLOOKUP(D408,Team_26_27!$A$2:$U$21,21,FALSE)*IF(F408="H",Priors!$H$29,Priors!$H$28)</f>
        <v>1.780223580550147</v>
      </c>
      <c r="J408" s="15"/>
      <c r="K408" s="15"/>
      <c r="L408" s="47" t="b">
        <v>0</v>
      </c>
      <c r="M408" s="45">
        <v>0</v>
      </c>
      <c r="N408" s="45"/>
      <c r="O408" s="45"/>
      <c r="P408" s="38">
        <f t="shared" si="30"/>
        <v>1.0136543038318049</v>
      </c>
      <c r="Q408" s="38">
        <f t="shared" si="31"/>
        <v>1.780223580550147</v>
      </c>
      <c r="R408" s="17">
        <f t="shared" si="32"/>
        <v>0.16860044727350329</v>
      </c>
      <c r="S408" s="17">
        <f t="shared" si="33"/>
        <v>0.36289044167785073</v>
      </c>
      <c r="T408" s="38" t="str">
        <f t="shared" si="34"/>
        <v/>
      </c>
      <c r="U408" s="31" t="s">
        <v>1876</v>
      </c>
      <c r="V408" s="31"/>
    </row>
    <row r="409" spans="1:22" ht="30">
      <c r="A409" s="7">
        <v>21</v>
      </c>
      <c r="B409" s="7">
        <v>204</v>
      </c>
      <c r="C409" s="7">
        <v>46403.625</v>
      </c>
      <c r="D409" s="7" t="s">
        <v>44</v>
      </c>
      <c r="E409" s="7" t="s">
        <v>58</v>
      </c>
      <c r="F409" s="7" t="s">
        <v>1743</v>
      </c>
      <c r="G409" s="7">
        <v>2</v>
      </c>
      <c r="H409" s="37">
        <f>Priors!$H$27*VLOOKUP(D409,Team_26_27!$A$2:$U$21,20,FALSE)*VLOOKUP(E409,Team_26_27!$A$2:$U$21,21,FALSE)*IF(F409="H",Priors!$H$28,Priors!$H$29)</f>
        <v>1.780223580550147</v>
      </c>
      <c r="I409" s="37">
        <f>Priors!$H$27*VLOOKUP(E409,Team_26_27!$A$2:$U$21,20,FALSE)*VLOOKUP(D409,Team_26_27!$A$2:$U$21,21,FALSE)*IF(F409="H",Priors!$H$29,Priors!$H$28)</f>
        <v>1.0136543038318049</v>
      </c>
      <c r="J409" s="15"/>
      <c r="K409" s="15"/>
      <c r="L409" s="47" t="b">
        <v>0</v>
      </c>
      <c r="M409" s="45">
        <v>0</v>
      </c>
      <c r="N409" s="45"/>
      <c r="O409" s="45"/>
      <c r="P409" s="38">
        <f t="shared" si="30"/>
        <v>1.780223580550147</v>
      </c>
      <c r="Q409" s="38">
        <f t="shared" si="31"/>
        <v>1.0136543038318049</v>
      </c>
      <c r="R409" s="17">
        <f t="shared" si="32"/>
        <v>0.36289044167785073</v>
      </c>
      <c r="S409" s="17">
        <f t="shared" si="33"/>
        <v>0.16860044727350329</v>
      </c>
      <c r="T409" s="38" t="str">
        <f t="shared" si="34"/>
        <v/>
      </c>
      <c r="U409" s="31" t="s">
        <v>1876</v>
      </c>
      <c r="V409" s="31"/>
    </row>
    <row r="410" spans="1:22" ht="30">
      <c r="A410" s="7">
        <v>21</v>
      </c>
      <c r="B410" s="7">
        <v>205</v>
      </c>
      <c r="C410" s="7">
        <v>46403.625</v>
      </c>
      <c r="D410" s="7" t="s">
        <v>47</v>
      </c>
      <c r="E410" s="7" t="s">
        <v>45</v>
      </c>
      <c r="F410" s="7" t="s">
        <v>1742</v>
      </c>
      <c r="G410" s="7">
        <v>2</v>
      </c>
      <c r="H410" s="37">
        <f>Priors!$H$27*VLOOKUP(D410,Team_26_27!$A$2:$U$21,20,FALSE)*VLOOKUP(E410,Team_26_27!$A$2:$U$21,21,FALSE)*IF(F410="H",Priors!$H$28,Priors!$H$29)</f>
        <v>1.4467993366009646</v>
      </c>
      <c r="I410" s="37">
        <f>Priors!$H$27*VLOOKUP(E410,Team_26_27!$A$2:$U$21,20,FALSE)*VLOOKUP(D410,Team_26_27!$A$2:$U$21,21,FALSE)*IF(F410="H",Priors!$H$29,Priors!$H$28)</f>
        <v>1.2678501871590113</v>
      </c>
      <c r="J410" s="15"/>
      <c r="K410" s="15"/>
      <c r="L410" s="47" t="b">
        <v>0</v>
      </c>
      <c r="M410" s="45">
        <v>0</v>
      </c>
      <c r="N410" s="45"/>
      <c r="O410" s="45"/>
      <c r="P410" s="38">
        <f t="shared" si="30"/>
        <v>1.4467993366009646</v>
      </c>
      <c r="Q410" s="38">
        <f t="shared" si="31"/>
        <v>1.2678501871590113</v>
      </c>
      <c r="R410" s="17">
        <f t="shared" si="32"/>
        <v>0.28143600662941792</v>
      </c>
      <c r="S410" s="17">
        <f t="shared" si="33"/>
        <v>0.23532227141018097</v>
      </c>
      <c r="T410" s="38" t="str">
        <f t="shared" si="34"/>
        <v/>
      </c>
      <c r="U410" s="31" t="s">
        <v>1876</v>
      </c>
      <c r="V410" s="31"/>
    </row>
    <row r="411" spans="1:22" ht="30">
      <c r="A411" s="7">
        <v>21</v>
      </c>
      <c r="B411" s="7">
        <v>205</v>
      </c>
      <c r="C411" s="7">
        <v>46403.625</v>
      </c>
      <c r="D411" s="7" t="s">
        <v>45</v>
      </c>
      <c r="E411" s="7" t="s">
        <v>47</v>
      </c>
      <c r="F411" s="7" t="s">
        <v>1743</v>
      </c>
      <c r="G411" s="7">
        <v>3</v>
      </c>
      <c r="H411" s="37">
        <f>Priors!$H$27*VLOOKUP(D411,Team_26_27!$A$2:$U$21,20,FALSE)*VLOOKUP(E411,Team_26_27!$A$2:$U$21,21,FALSE)*IF(F411="H",Priors!$H$28,Priors!$H$29)</f>
        <v>1.2678501871590113</v>
      </c>
      <c r="I411" s="37">
        <f>Priors!$H$27*VLOOKUP(E411,Team_26_27!$A$2:$U$21,20,FALSE)*VLOOKUP(D411,Team_26_27!$A$2:$U$21,21,FALSE)*IF(F411="H",Priors!$H$29,Priors!$H$28)</f>
        <v>1.4467993366009646</v>
      </c>
      <c r="J411" s="15"/>
      <c r="K411" s="15"/>
      <c r="L411" s="47" t="b">
        <v>0</v>
      </c>
      <c r="M411" s="45">
        <v>0</v>
      </c>
      <c r="N411" s="45"/>
      <c r="O411" s="45"/>
      <c r="P411" s="38">
        <f t="shared" si="30"/>
        <v>1.2678501871590113</v>
      </c>
      <c r="Q411" s="38">
        <f t="shared" si="31"/>
        <v>1.4467993366009646</v>
      </c>
      <c r="R411" s="17">
        <f t="shared" si="32"/>
        <v>0.23532227141018097</v>
      </c>
      <c r="S411" s="17">
        <f t="shared" si="33"/>
        <v>0.28143600662941792</v>
      </c>
      <c r="T411" s="38" t="str">
        <f t="shared" si="34"/>
        <v/>
      </c>
      <c r="U411" s="31" t="s">
        <v>1876</v>
      </c>
      <c r="V411" s="31"/>
    </row>
    <row r="412" spans="1:22" ht="30">
      <c r="A412" s="7">
        <v>21</v>
      </c>
      <c r="B412" s="7">
        <v>206</v>
      </c>
      <c r="C412" s="7">
        <v>46403.625</v>
      </c>
      <c r="D412" s="7" t="s">
        <v>39</v>
      </c>
      <c r="E412" s="7" t="s">
        <v>49</v>
      </c>
      <c r="F412" s="7" t="s">
        <v>1742</v>
      </c>
      <c r="G412" s="7">
        <v>2</v>
      </c>
      <c r="H412" s="37">
        <f>Priors!$H$27*VLOOKUP(D412,Team_26_27!$A$2:$U$21,20,FALSE)*VLOOKUP(E412,Team_26_27!$A$2:$U$21,21,FALSE)*IF(F412="H",Priors!$H$28,Priors!$H$29)</f>
        <v>2.0010475773703922</v>
      </c>
      <c r="I412" s="37">
        <f>Priors!$H$27*VLOOKUP(E412,Team_26_27!$A$2:$U$21,20,FALSE)*VLOOKUP(D412,Team_26_27!$A$2:$U$21,21,FALSE)*IF(F412="H",Priors!$H$29,Priors!$H$28)</f>
        <v>0.72210141094473324</v>
      </c>
      <c r="J412" s="15"/>
      <c r="K412" s="15"/>
      <c r="L412" s="47" t="b">
        <v>0</v>
      </c>
      <c r="M412" s="45">
        <v>0</v>
      </c>
      <c r="N412" s="45"/>
      <c r="O412" s="45"/>
      <c r="P412" s="38">
        <f t="shared" si="30"/>
        <v>2.0010475773703922</v>
      </c>
      <c r="Q412" s="38">
        <f t="shared" si="31"/>
        <v>0.72210141094473324</v>
      </c>
      <c r="R412" s="17">
        <f t="shared" si="32"/>
        <v>0.48573046342094967</v>
      </c>
      <c r="S412" s="17">
        <f t="shared" si="33"/>
        <v>0.13519358329026568</v>
      </c>
      <c r="T412" s="38" t="str">
        <f t="shared" si="34"/>
        <v/>
      </c>
      <c r="U412" s="31" t="s">
        <v>1876</v>
      </c>
      <c r="V412" s="31"/>
    </row>
    <row r="413" spans="1:22" ht="30">
      <c r="A413" s="7">
        <v>21</v>
      </c>
      <c r="B413" s="7">
        <v>206</v>
      </c>
      <c r="C413" s="7">
        <v>46403.625</v>
      </c>
      <c r="D413" s="7" t="s">
        <v>49</v>
      </c>
      <c r="E413" s="7" t="s">
        <v>39</v>
      </c>
      <c r="F413" s="7" t="s">
        <v>1743</v>
      </c>
      <c r="G413" s="7">
        <v>4</v>
      </c>
      <c r="H413" s="37">
        <f>Priors!$H$27*VLOOKUP(D413,Team_26_27!$A$2:$U$21,20,FALSE)*VLOOKUP(E413,Team_26_27!$A$2:$U$21,21,FALSE)*IF(F413="H",Priors!$H$28,Priors!$H$29)</f>
        <v>0.72210141094473324</v>
      </c>
      <c r="I413" s="37">
        <f>Priors!$H$27*VLOOKUP(E413,Team_26_27!$A$2:$U$21,20,FALSE)*VLOOKUP(D413,Team_26_27!$A$2:$U$21,21,FALSE)*IF(F413="H",Priors!$H$29,Priors!$H$28)</f>
        <v>2.0010475773703922</v>
      </c>
      <c r="J413" s="15"/>
      <c r="K413" s="15"/>
      <c r="L413" s="47" t="b">
        <v>0</v>
      </c>
      <c r="M413" s="45">
        <v>0</v>
      </c>
      <c r="N413" s="45"/>
      <c r="O413" s="45"/>
      <c r="P413" s="38">
        <f t="shared" si="30"/>
        <v>0.72210141094473324</v>
      </c>
      <c r="Q413" s="38">
        <f t="shared" si="31"/>
        <v>2.0010475773703922</v>
      </c>
      <c r="R413" s="17">
        <f t="shared" si="32"/>
        <v>0.13519358329026568</v>
      </c>
      <c r="S413" s="17">
        <f t="shared" si="33"/>
        <v>0.48573046342094967</v>
      </c>
      <c r="T413" s="38" t="str">
        <f t="shared" si="34"/>
        <v/>
      </c>
      <c r="U413" s="31" t="s">
        <v>1876</v>
      </c>
      <c r="V413" s="31"/>
    </row>
    <row r="414" spans="1:22" ht="30">
      <c r="A414" s="7">
        <v>21</v>
      </c>
      <c r="B414" s="7">
        <v>207</v>
      </c>
      <c r="C414" s="7">
        <v>46403.625</v>
      </c>
      <c r="D414" s="7" t="s">
        <v>46</v>
      </c>
      <c r="E414" s="7" t="s">
        <v>52</v>
      </c>
      <c r="F414" s="7" t="s">
        <v>1742</v>
      </c>
      <c r="G414" s="7">
        <v>4</v>
      </c>
      <c r="H414" s="37">
        <f>Priors!$H$27*VLOOKUP(D414,Team_26_27!$A$2:$U$21,20,FALSE)*VLOOKUP(E414,Team_26_27!$A$2:$U$21,21,FALSE)*IF(F414="H",Priors!$H$28,Priors!$H$29)</f>
        <v>1.2458102334866747</v>
      </c>
      <c r="I414" s="37">
        <f>Priors!$H$27*VLOOKUP(E414,Team_26_27!$A$2:$U$21,20,FALSE)*VLOOKUP(D414,Team_26_27!$A$2:$U$21,21,FALSE)*IF(F414="H",Priors!$H$29,Priors!$H$28)</f>
        <v>1.646805395275643</v>
      </c>
      <c r="J414" s="15"/>
      <c r="K414" s="15"/>
      <c r="L414" s="47" t="b">
        <v>0</v>
      </c>
      <c r="M414" s="45">
        <v>0</v>
      </c>
      <c r="N414" s="45"/>
      <c r="O414" s="45"/>
      <c r="P414" s="38">
        <f t="shared" si="30"/>
        <v>1.2458102334866747</v>
      </c>
      <c r="Q414" s="38">
        <f t="shared" si="31"/>
        <v>1.646805395275643</v>
      </c>
      <c r="R414" s="17">
        <f t="shared" si="32"/>
        <v>0.19266441319314095</v>
      </c>
      <c r="S414" s="17">
        <f t="shared" si="33"/>
        <v>0.28770770325277772</v>
      </c>
      <c r="T414" s="38" t="str">
        <f t="shared" si="34"/>
        <v/>
      </c>
      <c r="U414" s="31" t="s">
        <v>1876</v>
      </c>
      <c r="V414" s="31"/>
    </row>
    <row r="415" spans="1:22" ht="30">
      <c r="A415" s="7">
        <v>21</v>
      </c>
      <c r="B415" s="7">
        <v>207</v>
      </c>
      <c r="C415" s="7">
        <v>46403.625</v>
      </c>
      <c r="D415" s="7" t="s">
        <v>52</v>
      </c>
      <c r="E415" s="7" t="s">
        <v>46</v>
      </c>
      <c r="F415" s="7" t="s">
        <v>1743</v>
      </c>
      <c r="G415" s="7">
        <v>3</v>
      </c>
      <c r="H415" s="37">
        <f>Priors!$H$27*VLOOKUP(D415,Team_26_27!$A$2:$U$21,20,FALSE)*VLOOKUP(E415,Team_26_27!$A$2:$U$21,21,FALSE)*IF(F415="H",Priors!$H$28,Priors!$H$29)</f>
        <v>1.646805395275643</v>
      </c>
      <c r="I415" s="37">
        <f>Priors!$H$27*VLOOKUP(E415,Team_26_27!$A$2:$U$21,20,FALSE)*VLOOKUP(D415,Team_26_27!$A$2:$U$21,21,FALSE)*IF(F415="H",Priors!$H$29,Priors!$H$28)</f>
        <v>1.2458102334866747</v>
      </c>
      <c r="J415" s="15"/>
      <c r="K415" s="15"/>
      <c r="L415" s="47" t="b">
        <v>0</v>
      </c>
      <c r="M415" s="45">
        <v>0</v>
      </c>
      <c r="N415" s="45"/>
      <c r="O415" s="45"/>
      <c r="P415" s="38">
        <f t="shared" si="30"/>
        <v>1.646805395275643</v>
      </c>
      <c r="Q415" s="38">
        <f t="shared" si="31"/>
        <v>1.2458102334866747</v>
      </c>
      <c r="R415" s="17">
        <f t="shared" si="32"/>
        <v>0.28770770325277772</v>
      </c>
      <c r="S415" s="17">
        <f t="shared" si="33"/>
        <v>0.19266441319314095</v>
      </c>
      <c r="T415" s="38" t="str">
        <f t="shared" si="34"/>
        <v/>
      </c>
      <c r="U415" s="31" t="s">
        <v>1876</v>
      </c>
      <c r="V415" s="31"/>
    </row>
    <row r="416" spans="1:22" ht="30">
      <c r="A416" s="7">
        <v>21</v>
      </c>
      <c r="B416" s="7">
        <v>208</v>
      </c>
      <c r="C416" s="7">
        <v>46403.625</v>
      </c>
      <c r="D416" s="7" t="s">
        <v>56</v>
      </c>
      <c r="E416" s="7" t="s">
        <v>53</v>
      </c>
      <c r="F416" s="7" t="s">
        <v>1742</v>
      </c>
      <c r="G416" s="7">
        <v>5</v>
      </c>
      <c r="H416" s="37">
        <f>Priors!$H$27*VLOOKUP(D416,Team_26_27!$A$2:$U$21,20,FALSE)*VLOOKUP(E416,Team_26_27!$A$2:$U$21,21,FALSE)*IF(F416="H",Priors!$H$28,Priors!$H$29)</f>
        <v>1.0576824837430698</v>
      </c>
      <c r="I416" s="37">
        <f>Priors!$H$27*VLOOKUP(E416,Team_26_27!$A$2:$U$21,20,FALSE)*VLOOKUP(D416,Team_26_27!$A$2:$U$21,21,FALSE)*IF(F416="H",Priors!$H$29,Priors!$H$28)</f>
        <v>1.9111553653628914</v>
      </c>
      <c r="J416" s="15"/>
      <c r="K416" s="15"/>
      <c r="L416" s="47" t="b">
        <v>0</v>
      </c>
      <c r="M416" s="45">
        <v>0</v>
      </c>
      <c r="N416" s="45"/>
      <c r="O416" s="45"/>
      <c r="P416" s="38">
        <f t="shared" si="30"/>
        <v>1.0576824837430698</v>
      </c>
      <c r="Q416" s="38">
        <f t="shared" si="31"/>
        <v>1.9111553653628914</v>
      </c>
      <c r="R416" s="17">
        <f t="shared" si="32"/>
        <v>0.14790939844178216</v>
      </c>
      <c r="S416" s="17">
        <f t="shared" si="33"/>
        <v>0.34725965840851919</v>
      </c>
      <c r="T416" s="38" t="str">
        <f t="shared" si="34"/>
        <v/>
      </c>
      <c r="U416" s="31" t="s">
        <v>1876</v>
      </c>
      <c r="V416" s="31"/>
    </row>
    <row r="417" spans="1:22" ht="30">
      <c r="A417" s="7">
        <v>21</v>
      </c>
      <c r="B417" s="7">
        <v>208</v>
      </c>
      <c r="C417" s="7">
        <v>46403.625</v>
      </c>
      <c r="D417" s="7" t="s">
        <v>53</v>
      </c>
      <c r="E417" s="7" t="s">
        <v>56</v>
      </c>
      <c r="F417" s="7" t="s">
        <v>1743</v>
      </c>
      <c r="G417" s="7">
        <v>3</v>
      </c>
      <c r="H417" s="37">
        <f>Priors!$H$27*VLOOKUP(D417,Team_26_27!$A$2:$U$21,20,FALSE)*VLOOKUP(E417,Team_26_27!$A$2:$U$21,21,FALSE)*IF(F417="H",Priors!$H$28,Priors!$H$29)</f>
        <v>1.9111553653628914</v>
      </c>
      <c r="I417" s="37">
        <f>Priors!$H$27*VLOOKUP(E417,Team_26_27!$A$2:$U$21,20,FALSE)*VLOOKUP(D417,Team_26_27!$A$2:$U$21,21,FALSE)*IF(F417="H",Priors!$H$29,Priors!$H$28)</f>
        <v>1.0576824837430698</v>
      </c>
      <c r="J417" s="15"/>
      <c r="K417" s="15"/>
      <c r="L417" s="47" t="b">
        <v>0</v>
      </c>
      <c r="M417" s="45">
        <v>0</v>
      </c>
      <c r="N417" s="45"/>
      <c r="O417" s="45"/>
      <c r="P417" s="38">
        <f t="shared" si="30"/>
        <v>1.9111553653628914</v>
      </c>
      <c r="Q417" s="38">
        <f t="shared" si="31"/>
        <v>1.0576824837430698</v>
      </c>
      <c r="R417" s="17">
        <f t="shared" si="32"/>
        <v>0.34725965840851919</v>
      </c>
      <c r="S417" s="17">
        <f t="shared" si="33"/>
        <v>0.14790939844178216</v>
      </c>
      <c r="T417" s="38" t="str">
        <f t="shared" si="34"/>
        <v/>
      </c>
      <c r="U417" s="31" t="s">
        <v>1876</v>
      </c>
      <c r="V417" s="31"/>
    </row>
    <row r="418" spans="1:22" ht="30">
      <c r="A418" s="7">
        <v>21</v>
      </c>
      <c r="B418" s="7">
        <v>209</v>
      </c>
      <c r="C418" s="7">
        <v>46403.625</v>
      </c>
      <c r="D418" s="7" t="s">
        <v>48</v>
      </c>
      <c r="E418" s="7" t="s">
        <v>55</v>
      </c>
      <c r="F418" s="7" t="s">
        <v>1742</v>
      </c>
      <c r="G418" s="7">
        <v>3</v>
      </c>
      <c r="H418" s="37">
        <f>Priors!$H$27*VLOOKUP(D418,Team_26_27!$A$2:$U$21,20,FALSE)*VLOOKUP(E418,Team_26_27!$A$2:$U$21,21,FALSE)*IF(F418="H",Priors!$H$28,Priors!$H$29)</f>
        <v>1.1740270299610573</v>
      </c>
      <c r="I418" s="37">
        <f>Priors!$H$27*VLOOKUP(E418,Team_26_27!$A$2:$U$21,20,FALSE)*VLOOKUP(D418,Team_26_27!$A$2:$U$21,21,FALSE)*IF(F418="H",Priors!$H$29,Priors!$H$28)</f>
        <v>1.6056442811092611</v>
      </c>
      <c r="J418" s="15"/>
      <c r="K418" s="15"/>
      <c r="L418" s="47" t="b">
        <v>0</v>
      </c>
      <c r="M418" s="45">
        <v>0</v>
      </c>
      <c r="N418" s="45"/>
      <c r="O418" s="45"/>
      <c r="P418" s="38">
        <f t="shared" si="30"/>
        <v>1.1740270299610573</v>
      </c>
      <c r="Q418" s="38">
        <f t="shared" si="31"/>
        <v>1.6056442811092611</v>
      </c>
      <c r="R418" s="17">
        <f t="shared" si="32"/>
        <v>0.20076016725044377</v>
      </c>
      <c r="S418" s="17">
        <f t="shared" si="33"/>
        <v>0.30911959752507195</v>
      </c>
      <c r="T418" s="38" t="str">
        <f t="shared" si="34"/>
        <v/>
      </c>
      <c r="U418" s="31" t="s">
        <v>1876</v>
      </c>
      <c r="V418" s="31"/>
    </row>
    <row r="419" spans="1:22" ht="30">
      <c r="A419" s="7">
        <v>21</v>
      </c>
      <c r="B419" s="7">
        <v>209</v>
      </c>
      <c r="C419" s="7">
        <v>46403.625</v>
      </c>
      <c r="D419" s="7" t="s">
        <v>55</v>
      </c>
      <c r="E419" s="7" t="s">
        <v>48</v>
      </c>
      <c r="F419" s="7" t="s">
        <v>1743</v>
      </c>
      <c r="G419" s="7">
        <v>2</v>
      </c>
      <c r="H419" s="37">
        <f>Priors!$H$27*VLOOKUP(D419,Team_26_27!$A$2:$U$21,20,FALSE)*VLOOKUP(E419,Team_26_27!$A$2:$U$21,21,FALSE)*IF(F419="H",Priors!$H$28,Priors!$H$29)</f>
        <v>1.6056442811092611</v>
      </c>
      <c r="I419" s="37">
        <f>Priors!$H$27*VLOOKUP(E419,Team_26_27!$A$2:$U$21,20,FALSE)*VLOOKUP(D419,Team_26_27!$A$2:$U$21,21,FALSE)*IF(F419="H",Priors!$H$29,Priors!$H$28)</f>
        <v>1.1740270299610573</v>
      </c>
      <c r="J419" s="15"/>
      <c r="K419" s="15"/>
      <c r="L419" s="47" t="b">
        <v>0</v>
      </c>
      <c r="M419" s="45">
        <v>0</v>
      </c>
      <c r="N419" s="45"/>
      <c r="O419" s="45"/>
      <c r="P419" s="38">
        <f t="shared" si="30"/>
        <v>1.6056442811092611</v>
      </c>
      <c r="Q419" s="38">
        <f t="shared" si="31"/>
        <v>1.1740270299610573</v>
      </c>
      <c r="R419" s="17">
        <f t="shared" si="32"/>
        <v>0.30911959752507195</v>
      </c>
      <c r="S419" s="17">
        <f t="shared" si="33"/>
        <v>0.20076016725044377</v>
      </c>
      <c r="T419" s="38" t="str">
        <f t="shared" si="34"/>
        <v/>
      </c>
      <c r="U419" s="31" t="s">
        <v>1876</v>
      </c>
      <c r="V419" s="31"/>
    </row>
    <row r="420" spans="1:22" ht="30">
      <c r="A420" s="7">
        <v>21</v>
      </c>
      <c r="B420" s="7">
        <v>210</v>
      </c>
      <c r="C420" s="7">
        <v>46403.625</v>
      </c>
      <c r="D420" s="7" t="s">
        <v>51</v>
      </c>
      <c r="E420" s="7" t="s">
        <v>57</v>
      </c>
      <c r="F420" s="7" t="s">
        <v>1742</v>
      </c>
      <c r="G420" s="7">
        <v>3</v>
      </c>
      <c r="H420" s="37">
        <f>Priors!$H$27*VLOOKUP(D420,Team_26_27!$A$2:$U$21,20,FALSE)*VLOOKUP(E420,Team_26_27!$A$2:$U$21,21,FALSE)*IF(F420="H",Priors!$H$28,Priors!$H$29)</f>
        <v>1.2622348051397907</v>
      </c>
      <c r="I420" s="37">
        <f>Priors!$H$27*VLOOKUP(E420,Team_26_27!$A$2:$U$21,20,FALSE)*VLOOKUP(D420,Team_26_27!$A$2:$U$21,21,FALSE)*IF(F420="H",Priors!$H$29,Priors!$H$28)</f>
        <v>1.3150700140955325</v>
      </c>
      <c r="J420" s="15"/>
      <c r="K420" s="15"/>
      <c r="L420" s="47" t="b">
        <v>0</v>
      </c>
      <c r="M420" s="45">
        <v>0</v>
      </c>
      <c r="N420" s="45"/>
      <c r="O420" s="45"/>
      <c r="P420" s="38">
        <f t="shared" si="30"/>
        <v>1.2622348051397907</v>
      </c>
      <c r="Q420" s="38">
        <f t="shared" si="31"/>
        <v>1.3150700140955325</v>
      </c>
      <c r="R420" s="17">
        <f t="shared" si="32"/>
        <v>0.26845552691033298</v>
      </c>
      <c r="S420" s="17">
        <f t="shared" si="33"/>
        <v>0.28302082283037072</v>
      </c>
      <c r="T420" s="38" t="str">
        <f t="shared" si="34"/>
        <v/>
      </c>
      <c r="U420" s="31" t="s">
        <v>1876</v>
      </c>
      <c r="V420" s="31"/>
    </row>
    <row r="421" spans="1:22" ht="30">
      <c r="A421" s="7">
        <v>21</v>
      </c>
      <c r="B421" s="7">
        <v>210</v>
      </c>
      <c r="C421" s="7">
        <v>46403.625</v>
      </c>
      <c r="D421" s="7" t="s">
        <v>57</v>
      </c>
      <c r="E421" s="7" t="s">
        <v>51</v>
      </c>
      <c r="F421" s="7" t="s">
        <v>1743</v>
      </c>
      <c r="G421" s="7">
        <v>2</v>
      </c>
      <c r="H421" s="37">
        <f>Priors!$H$27*VLOOKUP(D421,Team_26_27!$A$2:$U$21,20,FALSE)*VLOOKUP(E421,Team_26_27!$A$2:$U$21,21,FALSE)*IF(F421="H",Priors!$H$28,Priors!$H$29)</f>
        <v>1.3150700140955325</v>
      </c>
      <c r="I421" s="37">
        <f>Priors!$H$27*VLOOKUP(E421,Team_26_27!$A$2:$U$21,20,FALSE)*VLOOKUP(D421,Team_26_27!$A$2:$U$21,21,FALSE)*IF(F421="H",Priors!$H$29,Priors!$H$28)</f>
        <v>1.2622348051397907</v>
      </c>
      <c r="J421" s="15"/>
      <c r="K421" s="15"/>
      <c r="L421" s="47" t="b">
        <v>0</v>
      </c>
      <c r="M421" s="45">
        <v>0</v>
      </c>
      <c r="N421" s="45"/>
      <c r="O421" s="45"/>
      <c r="P421" s="38">
        <f t="shared" si="30"/>
        <v>1.3150700140955325</v>
      </c>
      <c r="Q421" s="38">
        <f t="shared" si="31"/>
        <v>1.2622348051397907</v>
      </c>
      <c r="R421" s="17">
        <f t="shared" si="32"/>
        <v>0.28302082283037072</v>
      </c>
      <c r="S421" s="17">
        <f t="shared" si="33"/>
        <v>0.26845552691033298</v>
      </c>
      <c r="T421" s="38" t="str">
        <f t="shared" si="34"/>
        <v/>
      </c>
      <c r="U421" s="31" t="s">
        <v>1876</v>
      </c>
      <c r="V421" s="31"/>
    </row>
    <row r="422" spans="1:22" ht="30">
      <c r="A422" s="7">
        <v>22</v>
      </c>
      <c r="B422" s="7">
        <v>211</v>
      </c>
      <c r="C422" s="7">
        <v>46410.625</v>
      </c>
      <c r="D422" s="7" t="s">
        <v>55</v>
      </c>
      <c r="E422" s="7" t="s">
        <v>39</v>
      </c>
      <c r="F422" s="7" t="s">
        <v>1742</v>
      </c>
      <c r="G422" s="7">
        <v>5</v>
      </c>
      <c r="H422" s="37">
        <f>Priors!$H$27*VLOOKUP(D422,Team_26_27!$A$2:$U$21,20,FALSE)*VLOOKUP(E422,Team_26_27!$A$2:$U$21,21,FALSE)*IF(F422="H",Priors!$H$28,Priors!$H$29)</f>
        <v>0.88147789068654403</v>
      </c>
      <c r="I422" s="37">
        <f>Priors!$H$27*VLOOKUP(E422,Team_26_27!$A$2:$U$21,20,FALSE)*VLOOKUP(D422,Team_26_27!$A$2:$U$21,21,FALSE)*IF(F422="H",Priors!$H$29,Priors!$H$28)</f>
        <v>1.7568310426358893</v>
      </c>
      <c r="J422" s="15"/>
      <c r="K422" s="15"/>
      <c r="L422" s="47" t="b">
        <v>0</v>
      </c>
      <c r="M422" s="45">
        <v>0</v>
      </c>
      <c r="N422" s="45"/>
      <c r="O422" s="45"/>
      <c r="P422" s="38">
        <f t="shared" si="30"/>
        <v>0.88147789068654403</v>
      </c>
      <c r="Q422" s="38">
        <f t="shared" si="31"/>
        <v>1.7568310426358893</v>
      </c>
      <c r="R422" s="17">
        <f t="shared" si="32"/>
        <v>0.1725909314367321</v>
      </c>
      <c r="S422" s="17">
        <f t="shared" si="33"/>
        <v>0.41417036063270712</v>
      </c>
      <c r="T422" s="38" t="str">
        <f t="shared" si="34"/>
        <v/>
      </c>
      <c r="U422" s="31" t="s">
        <v>1876</v>
      </c>
      <c r="V422" s="31"/>
    </row>
    <row r="423" spans="1:22" ht="30">
      <c r="A423" s="7">
        <v>22</v>
      </c>
      <c r="B423" s="7">
        <v>211</v>
      </c>
      <c r="C423" s="7">
        <v>46410.625</v>
      </c>
      <c r="D423" s="7" t="s">
        <v>39</v>
      </c>
      <c r="E423" s="7" t="s">
        <v>55</v>
      </c>
      <c r="F423" s="7" t="s">
        <v>1743</v>
      </c>
      <c r="G423" s="7">
        <v>2</v>
      </c>
      <c r="H423" s="37">
        <f>Priors!$H$27*VLOOKUP(D423,Team_26_27!$A$2:$U$21,20,FALSE)*VLOOKUP(E423,Team_26_27!$A$2:$U$21,21,FALSE)*IF(F423="H",Priors!$H$28,Priors!$H$29)</f>
        <v>1.7568310426358893</v>
      </c>
      <c r="I423" s="37">
        <f>Priors!$H$27*VLOOKUP(E423,Team_26_27!$A$2:$U$21,20,FALSE)*VLOOKUP(D423,Team_26_27!$A$2:$U$21,21,FALSE)*IF(F423="H",Priors!$H$29,Priors!$H$28)</f>
        <v>0.88147789068654403</v>
      </c>
      <c r="J423" s="15"/>
      <c r="K423" s="15"/>
      <c r="L423" s="47" t="b">
        <v>0</v>
      </c>
      <c r="M423" s="45">
        <v>0</v>
      </c>
      <c r="N423" s="45"/>
      <c r="O423" s="45"/>
      <c r="P423" s="38">
        <f t="shared" si="30"/>
        <v>1.7568310426358893</v>
      </c>
      <c r="Q423" s="38">
        <f t="shared" si="31"/>
        <v>0.88147789068654403</v>
      </c>
      <c r="R423" s="17">
        <f t="shared" si="32"/>
        <v>0.41417036063270712</v>
      </c>
      <c r="S423" s="17">
        <f t="shared" si="33"/>
        <v>0.1725909314367321</v>
      </c>
      <c r="T423" s="38" t="str">
        <f t="shared" si="34"/>
        <v/>
      </c>
      <c r="U423" s="31" t="s">
        <v>1876</v>
      </c>
      <c r="V423" s="31"/>
    </row>
    <row r="424" spans="1:22" ht="30">
      <c r="A424" s="7">
        <v>22</v>
      </c>
      <c r="B424" s="7">
        <v>212</v>
      </c>
      <c r="C424" s="7">
        <v>46410.625</v>
      </c>
      <c r="D424" s="7" t="s">
        <v>53</v>
      </c>
      <c r="E424" s="7" t="s">
        <v>43</v>
      </c>
      <c r="F424" s="7" t="s">
        <v>1742</v>
      </c>
      <c r="G424" s="7">
        <v>3</v>
      </c>
      <c r="H424" s="37">
        <f>Priors!$H$27*VLOOKUP(D424,Team_26_27!$A$2:$U$21,20,FALSE)*VLOOKUP(E424,Team_26_27!$A$2:$U$21,21,FALSE)*IF(F424="H",Priors!$H$28,Priors!$H$29)</f>
        <v>1.4194222303021744</v>
      </c>
      <c r="I424" s="37">
        <f>Priors!$H$27*VLOOKUP(E424,Team_26_27!$A$2:$U$21,20,FALSE)*VLOOKUP(D424,Team_26_27!$A$2:$U$21,21,FALSE)*IF(F424="H",Priors!$H$29,Priors!$H$28)</f>
        <v>1.4835724095557308</v>
      </c>
      <c r="J424" s="15"/>
      <c r="K424" s="15"/>
      <c r="L424" s="47" t="b">
        <v>0</v>
      </c>
      <c r="M424" s="45">
        <v>0</v>
      </c>
      <c r="N424" s="45"/>
      <c r="O424" s="45"/>
      <c r="P424" s="38">
        <f t="shared" si="30"/>
        <v>1.4194222303021744</v>
      </c>
      <c r="Q424" s="38">
        <f t="shared" si="31"/>
        <v>1.4835724095557308</v>
      </c>
      <c r="R424" s="17">
        <f t="shared" si="32"/>
        <v>0.22682592417101982</v>
      </c>
      <c r="S424" s="17">
        <f t="shared" si="33"/>
        <v>0.24185371228353381</v>
      </c>
      <c r="T424" s="38" t="str">
        <f t="shared" si="34"/>
        <v/>
      </c>
      <c r="U424" s="31" t="s">
        <v>1876</v>
      </c>
      <c r="V424" s="31"/>
    </row>
    <row r="425" spans="1:22" ht="30">
      <c r="A425" s="7">
        <v>22</v>
      </c>
      <c r="B425" s="7">
        <v>212</v>
      </c>
      <c r="C425" s="7">
        <v>46410.625</v>
      </c>
      <c r="D425" s="7" t="s">
        <v>43</v>
      </c>
      <c r="E425" s="7" t="s">
        <v>53</v>
      </c>
      <c r="F425" s="7" t="s">
        <v>1743</v>
      </c>
      <c r="G425" s="7">
        <v>4</v>
      </c>
      <c r="H425" s="37">
        <f>Priors!$H$27*VLOOKUP(D425,Team_26_27!$A$2:$U$21,20,FALSE)*VLOOKUP(E425,Team_26_27!$A$2:$U$21,21,FALSE)*IF(F425="H",Priors!$H$28,Priors!$H$29)</f>
        <v>1.4835724095557308</v>
      </c>
      <c r="I425" s="37">
        <f>Priors!$H$27*VLOOKUP(E425,Team_26_27!$A$2:$U$21,20,FALSE)*VLOOKUP(D425,Team_26_27!$A$2:$U$21,21,FALSE)*IF(F425="H",Priors!$H$29,Priors!$H$28)</f>
        <v>1.4194222303021744</v>
      </c>
      <c r="J425" s="15"/>
      <c r="K425" s="15"/>
      <c r="L425" s="47" t="b">
        <v>0</v>
      </c>
      <c r="M425" s="45">
        <v>0</v>
      </c>
      <c r="N425" s="45"/>
      <c r="O425" s="45"/>
      <c r="P425" s="38">
        <f t="shared" si="30"/>
        <v>1.4835724095557308</v>
      </c>
      <c r="Q425" s="38">
        <f t="shared" si="31"/>
        <v>1.4194222303021744</v>
      </c>
      <c r="R425" s="17">
        <f t="shared" si="32"/>
        <v>0.24185371228353381</v>
      </c>
      <c r="S425" s="17">
        <f t="shared" si="33"/>
        <v>0.22682592417101982</v>
      </c>
      <c r="T425" s="38" t="str">
        <f t="shared" si="34"/>
        <v/>
      </c>
      <c r="U425" s="31" t="s">
        <v>1876</v>
      </c>
      <c r="V425" s="31"/>
    </row>
    <row r="426" spans="1:22" ht="30">
      <c r="A426" s="7">
        <v>22</v>
      </c>
      <c r="B426" s="7">
        <v>213</v>
      </c>
      <c r="C426" s="7">
        <v>46410.625</v>
      </c>
      <c r="D426" s="7" t="s">
        <v>57</v>
      </c>
      <c r="E426" s="7" t="s">
        <v>46</v>
      </c>
      <c r="F426" s="7" t="s">
        <v>1742</v>
      </c>
      <c r="G426" s="7">
        <v>3</v>
      </c>
      <c r="H426" s="37">
        <f>Priors!$H$27*VLOOKUP(D426,Team_26_27!$A$2:$U$21,20,FALSE)*VLOOKUP(E426,Team_26_27!$A$2:$U$21,21,FALSE)*IF(F426="H",Priors!$H$28,Priors!$H$29)</f>
        <v>1.0274274592740675</v>
      </c>
      <c r="I426" s="37">
        <f>Priors!$H$27*VLOOKUP(E426,Team_26_27!$A$2:$U$21,20,FALSE)*VLOOKUP(D426,Team_26_27!$A$2:$U$21,21,FALSE)*IF(F426="H",Priors!$H$29,Priors!$H$28)</f>
        <v>1.601049557328438</v>
      </c>
      <c r="J426" s="15"/>
      <c r="K426" s="15"/>
      <c r="L426" s="47" t="b">
        <v>0</v>
      </c>
      <c r="M426" s="45">
        <v>0</v>
      </c>
      <c r="N426" s="45"/>
      <c r="O426" s="45"/>
      <c r="P426" s="38">
        <f t="shared" si="30"/>
        <v>1.0274274592740675</v>
      </c>
      <c r="Q426" s="38">
        <f t="shared" si="31"/>
        <v>1.601049557328438</v>
      </c>
      <c r="R426" s="17">
        <f t="shared" si="32"/>
        <v>0.20168472718734684</v>
      </c>
      <c r="S426" s="17">
        <f t="shared" si="33"/>
        <v>0.35792655785823646</v>
      </c>
      <c r="T426" s="38" t="str">
        <f t="shared" si="34"/>
        <v/>
      </c>
      <c r="U426" s="31" t="s">
        <v>1876</v>
      </c>
      <c r="V426" s="31"/>
    </row>
    <row r="427" spans="1:22" ht="30">
      <c r="A427" s="7">
        <v>22</v>
      </c>
      <c r="B427" s="7">
        <v>213</v>
      </c>
      <c r="C427" s="7">
        <v>46410.625</v>
      </c>
      <c r="D427" s="7" t="s">
        <v>46</v>
      </c>
      <c r="E427" s="7" t="s">
        <v>57</v>
      </c>
      <c r="F427" s="7" t="s">
        <v>1743</v>
      </c>
      <c r="G427" s="7">
        <v>3</v>
      </c>
      <c r="H427" s="37">
        <f>Priors!$H$27*VLOOKUP(D427,Team_26_27!$A$2:$U$21,20,FALSE)*VLOOKUP(E427,Team_26_27!$A$2:$U$21,21,FALSE)*IF(F427="H",Priors!$H$28,Priors!$H$29)</f>
        <v>1.601049557328438</v>
      </c>
      <c r="I427" s="37">
        <f>Priors!$H$27*VLOOKUP(E427,Team_26_27!$A$2:$U$21,20,FALSE)*VLOOKUP(D427,Team_26_27!$A$2:$U$21,21,FALSE)*IF(F427="H",Priors!$H$29,Priors!$H$28)</f>
        <v>1.0274274592740675</v>
      </c>
      <c r="J427" s="15"/>
      <c r="K427" s="15"/>
      <c r="L427" s="47" t="b">
        <v>0</v>
      </c>
      <c r="M427" s="45">
        <v>0</v>
      </c>
      <c r="N427" s="45"/>
      <c r="O427" s="45"/>
      <c r="P427" s="38">
        <f t="shared" si="30"/>
        <v>1.601049557328438</v>
      </c>
      <c r="Q427" s="38">
        <f t="shared" si="31"/>
        <v>1.0274274592740675</v>
      </c>
      <c r="R427" s="17">
        <f t="shared" si="32"/>
        <v>0.35792655785823646</v>
      </c>
      <c r="S427" s="17">
        <f t="shared" si="33"/>
        <v>0.20168472718734684</v>
      </c>
      <c r="T427" s="38" t="str">
        <f t="shared" si="34"/>
        <v/>
      </c>
      <c r="U427" s="31" t="s">
        <v>1876</v>
      </c>
      <c r="V427" s="31"/>
    </row>
    <row r="428" spans="1:22" ht="30">
      <c r="A428" s="7">
        <v>22</v>
      </c>
      <c r="B428" s="7">
        <v>214</v>
      </c>
      <c r="C428" s="7">
        <v>46410.625</v>
      </c>
      <c r="D428" s="7" t="s">
        <v>42</v>
      </c>
      <c r="E428" s="7" t="s">
        <v>47</v>
      </c>
      <c r="F428" s="7" t="s">
        <v>1742</v>
      </c>
      <c r="G428" s="7">
        <v>3</v>
      </c>
      <c r="H428" s="37">
        <f>Priors!$H$27*VLOOKUP(D428,Team_26_27!$A$2:$U$21,20,FALSE)*VLOOKUP(E428,Team_26_27!$A$2:$U$21,21,FALSE)*IF(F428="H",Priors!$H$28,Priors!$H$29)</f>
        <v>1.4385032254492485</v>
      </c>
      <c r="I428" s="37">
        <f>Priors!$H$27*VLOOKUP(E428,Team_26_27!$A$2:$U$21,20,FALSE)*VLOOKUP(D428,Team_26_27!$A$2:$U$21,21,FALSE)*IF(F428="H",Priors!$H$29,Priors!$H$28)</f>
        <v>1.4313439740235934</v>
      </c>
      <c r="J428" s="15"/>
      <c r="K428" s="15"/>
      <c r="L428" s="47" t="b">
        <v>0</v>
      </c>
      <c r="M428" s="45">
        <v>0</v>
      </c>
      <c r="N428" s="45"/>
      <c r="O428" s="45"/>
      <c r="P428" s="38">
        <f t="shared" si="30"/>
        <v>1.4385032254492485</v>
      </c>
      <c r="Q428" s="38">
        <f t="shared" si="31"/>
        <v>1.4313439740235934</v>
      </c>
      <c r="R428" s="17">
        <f t="shared" si="32"/>
        <v>0.23898751329965987</v>
      </c>
      <c r="S428" s="17">
        <f t="shared" si="33"/>
        <v>0.23728265165281057</v>
      </c>
      <c r="T428" s="38" t="str">
        <f t="shared" si="34"/>
        <v/>
      </c>
      <c r="U428" s="31" t="s">
        <v>1876</v>
      </c>
      <c r="V428" s="31"/>
    </row>
    <row r="429" spans="1:22" ht="30">
      <c r="A429" s="7">
        <v>22</v>
      </c>
      <c r="B429" s="7">
        <v>214</v>
      </c>
      <c r="C429" s="7">
        <v>46410.625</v>
      </c>
      <c r="D429" s="7" t="s">
        <v>47</v>
      </c>
      <c r="E429" s="7" t="s">
        <v>42</v>
      </c>
      <c r="F429" s="7" t="s">
        <v>1743</v>
      </c>
      <c r="G429" s="7">
        <v>3</v>
      </c>
      <c r="H429" s="37">
        <f>Priors!$H$27*VLOOKUP(D429,Team_26_27!$A$2:$U$21,20,FALSE)*VLOOKUP(E429,Team_26_27!$A$2:$U$21,21,FALSE)*IF(F429="H",Priors!$H$28,Priors!$H$29)</f>
        <v>1.4313439740235934</v>
      </c>
      <c r="I429" s="37">
        <f>Priors!$H$27*VLOOKUP(E429,Team_26_27!$A$2:$U$21,20,FALSE)*VLOOKUP(D429,Team_26_27!$A$2:$U$21,21,FALSE)*IF(F429="H",Priors!$H$29,Priors!$H$28)</f>
        <v>1.4385032254492485</v>
      </c>
      <c r="J429" s="15"/>
      <c r="K429" s="15"/>
      <c r="L429" s="47" t="b">
        <v>0</v>
      </c>
      <c r="M429" s="45">
        <v>0</v>
      </c>
      <c r="N429" s="45"/>
      <c r="O429" s="45"/>
      <c r="P429" s="38">
        <f t="shared" si="30"/>
        <v>1.4313439740235934</v>
      </c>
      <c r="Q429" s="38">
        <f t="shared" si="31"/>
        <v>1.4385032254492485</v>
      </c>
      <c r="R429" s="17">
        <f t="shared" si="32"/>
        <v>0.23728265165281057</v>
      </c>
      <c r="S429" s="17">
        <f t="shared" si="33"/>
        <v>0.23898751329965987</v>
      </c>
      <c r="T429" s="38" t="str">
        <f t="shared" si="34"/>
        <v/>
      </c>
      <c r="U429" s="31" t="s">
        <v>1876</v>
      </c>
      <c r="V429" s="31"/>
    </row>
    <row r="430" spans="1:22" ht="30">
      <c r="A430" s="7">
        <v>22</v>
      </c>
      <c r="B430" s="7">
        <v>215</v>
      </c>
      <c r="C430" s="7">
        <v>46410.625</v>
      </c>
      <c r="D430" s="7" t="s">
        <v>40</v>
      </c>
      <c r="E430" s="7" t="s">
        <v>48</v>
      </c>
      <c r="F430" s="7" t="s">
        <v>1742</v>
      </c>
      <c r="G430" s="7">
        <v>3</v>
      </c>
      <c r="H430" s="37">
        <f>Priors!$H$27*VLOOKUP(D430,Team_26_27!$A$2:$U$21,20,FALSE)*VLOOKUP(E430,Team_26_27!$A$2:$U$21,21,FALSE)*IF(F430="H",Priors!$H$28,Priors!$H$29)</f>
        <v>1.1799377091291485</v>
      </c>
      <c r="I430" s="37">
        <f>Priors!$H$27*VLOOKUP(E430,Team_26_27!$A$2:$U$21,20,FALSE)*VLOOKUP(D430,Team_26_27!$A$2:$U$21,21,FALSE)*IF(F430="H",Priors!$H$29,Priors!$H$28)</f>
        <v>1.477535872275648</v>
      </c>
      <c r="J430" s="15"/>
      <c r="K430" s="15"/>
      <c r="L430" s="47" t="b">
        <v>0</v>
      </c>
      <c r="M430" s="45">
        <v>0</v>
      </c>
      <c r="N430" s="45"/>
      <c r="O430" s="45"/>
      <c r="P430" s="38">
        <f t="shared" si="30"/>
        <v>1.1799377091291485</v>
      </c>
      <c r="Q430" s="38">
        <f t="shared" si="31"/>
        <v>1.477535872275648</v>
      </c>
      <c r="R430" s="17">
        <f t="shared" si="32"/>
        <v>0.22819930839040489</v>
      </c>
      <c r="S430" s="17">
        <f t="shared" si="33"/>
        <v>0.30729787985750939</v>
      </c>
      <c r="T430" s="38" t="str">
        <f t="shared" si="34"/>
        <v/>
      </c>
      <c r="U430" s="31" t="s">
        <v>1876</v>
      </c>
      <c r="V430" s="31"/>
    </row>
    <row r="431" spans="1:22" ht="30">
      <c r="A431" s="7">
        <v>22</v>
      </c>
      <c r="B431" s="7">
        <v>215</v>
      </c>
      <c r="C431" s="7">
        <v>46410.625</v>
      </c>
      <c r="D431" s="7" t="s">
        <v>48</v>
      </c>
      <c r="E431" s="7" t="s">
        <v>40</v>
      </c>
      <c r="F431" s="7" t="s">
        <v>1743</v>
      </c>
      <c r="G431" s="7">
        <v>3</v>
      </c>
      <c r="H431" s="37">
        <f>Priors!$H$27*VLOOKUP(D431,Team_26_27!$A$2:$U$21,20,FALSE)*VLOOKUP(E431,Team_26_27!$A$2:$U$21,21,FALSE)*IF(F431="H",Priors!$H$28,Priors!$H$29)</f>
        <v>1.477535872275648</v>
      </c>
      <c r="I431" s="37">
        <f>Priors!$H$27*VLOOKUP(E431,Team_26_27!$A$2:$U$21,20,FALSE)*VLOOKUP(D431,Team_26_27!$A$2:$U$21,21,FALSE)*IF(F431="H",Priors!$H$29,Priors!$H$28)</f>
        <v>1.1799377091291485</v>
      </c>
      <c r="J431" s="15"/>
      <c r="K431" s="15"/>
      <c r="L431" s="47" t="b">
        <v>0</v>
      </c>
      <c r="M431" s="45">
        <v>0</v>
      </c>
      <c r="N431" s="45"/>
      <c r="O431" s="45"/>
      <c r="P431" s="38">
        <f t="shared" si="30"/>
        <v>1.477535872275648</v>
      </c>
      <c r="Q431" s="38">
        <f t="shared" si="31"/>
        <v>1.1799377091291485</v>
      </c>
      <c r="R431" s="17">
        <f t="shared" si="32"/>
        <v>0.30729787985750939</v>
      </c>
      <c r="S431" s="17">
        <f t="shared" si="33"/>
        <v>0.22819930839040489</v>
      </c>
      <c r="T431" s="38" t="str">
        <f t="shared" si="34"/>
        <v/>
      </c>
      <c r="U431" s="31" t="s">
        <v>1876</v>
      </c>
      <c r="V431" s="31"/>
    </row>
    <row r="432" spans="1:22" ht="30">
      <c r="A432" s="7">
        <v>22</v>
      </c>
      <c r="B432" s="7">
        <v>216</v>
      </c>
      <c r="C432" s="7">
        <v>46410.625</v>
      </c>
      <c r="D432" s="7" t="s">
        <v>49</v>
      </c>
      <c r="E432" s="7" t="s">
        <v>50</v>
      </c>
      <c r="F432" s="7" t="s">
        <v>1742</v>
      </c>
      <c r="G432" s="7">
        <v>2</v>
      </c>
      <c r="H432" s="37">
        <f>Priors!$H$27*VLOOKUP(D432,Team_26_27!$A$2:$U$21,20,FALSE)*VLOOKUP(E432,Team_26_27!$A$2:$U$21,21,FALSE)*IF(F432="H",Priors!$H$28,Priors!$H$29)</f>
        <v>1.0830531717903955</v>
      </c>
      <c r="I432" s="37">
        <f>Priors!$H$27*VLOOKUP(E432,Team_26_27!$A$2:$U$21,20,FALSE)*VLOOKUP(D432,Team_26_27!$A$2:$U$21,21,FALSE)*IF(F432="H",Priors!$H$29,Priors!$H$28)</f>
        <v>1.6014730031432045</v>
      </c>
      <c r="J432" s="15"/>
      <c r="K432" s="15"/>
      <c r="L432" s="47" t="b">
        <v>0</v>
      </c>
      <c r="M432" s="45">
        <v>0</v>
      </c>
      <c r="N432" s="45"/>
      <c r="O432" s="45"/>
      <c r="P432" s="38">
        <f t="shared" si="30"/>
        <v>1.0830531717903955</v>
      </c>
      <c r="Q432" s="38">
        <f t="shared" si="31"/>
        <v>1.6014730031432045</v>
      </c>
      <c r="R432" s="17">
        <f t="shared" si="32"/>
        <v>0.20159934271284205</v>
      </c>
      <c r="S432" s="17">
        <f t="shared" si="33"/>
        <v>0.33856026338687034</v>
      </c>
      <c r="T432" s="38" t="str">
        <f t="shared" si="34"/>
        <v/>
      </c>
      <c r="U432" s="31" t="s">
        <v>1876</v>
      </c>
      <c r="V432" s="31"/>
    </row>
    <row r="433" spans="1:22" ht="30">
      <c r="A433" s="7">
        <v>22</v>
      </c>
      <c r="B433" s="7">
        <v>216</v>
      </c>
      <c r="C433" s="7">
        <v>46410.625</v>
      </c>
      <c r="D433" s="7" t="s">
        <v>50</v>
      </c>
      <c r="E433" s="7" t="s">
        <v>49</v>
      </c>
      <c r="F433" s="7" t="s">
        <v>1743</v>
      </c>
      <c r="G433" s="7">
        <v>2</v>
      </c>
      <c r="H433" s="37">
        <f>Priors!$H$27*VLOOKUP(D433,Team_26_27!$A$2:$U$21,20,FALSE)*VLOOKUP(E433,Team_26_27!$A$2:$U$21,21,FALSE)*IF(F433="H",Priors!$H$28,Priors!$H$29)</f>
        <v>1.6014730031432045</v>
      </c>
      <c r="I433" s="37">
        <f>Priors!$H$27*VLOOKUP(E433,Team_26_27!$A$2:$U$21,20,FALSE)*VLOOKUP(D433,Team_26_27!$A$2:$U$21,21,FALSE)*IF(F433="H",Priors!$H$29,Priors!$H$28)</f>
        <v>1.0830531717903955</v>
      </c>
      <c r="J433" s="15"/>
      <c r="K433" s="15"/>
      <c r="L433" s="47" t="b">
        <v>0</v>
      </c>
      <c r="M433" s="45">
        <v>0</v>
      </c>
      <c r="N433" s="45"/>
      <c r="O433" s="45"/>
      <c r="P433" s="38">
        <f t="shared" si="30"/>
        <v>1.6014730031432045</v>
      </c>
      <c r="Q433" s="38">
        <f t="shared" si="31"/>
        <v>1.0830531717903955</v>
      </c>
      <c r="R433" s="17">
        <f t="shared" si="32"/>
        <v>0.33856026338687034</v>
      </c>
      <c r="S433" s="17">
        <f t="shared" si="33"/>
        <v>0.20159934271284205</v>
      </c>
      <c r="T433" s="38" t="str">
        <f t="shared" si="34"/>
        <v/>
      </c>
      <c r="U433" s="31" t="s">
        <v>1876</v>
      </c>
      <c r="V433" s="31"/>
    </row>
    <row r="434" spans="1:22" ht="30">
      <c r="A434" s="7">
        <v>22</v>
      </c>
      <c r="B434" s="7">
        <v>217</v>
      </c>
      <c r="C434" s="7">
        <v>46410.625</v>
      </c>
      <c r="D434" s="7" t="s">
        <v>44</v>
      </c>
      <c r="E434" s="7" t="s">
        <v>51</v>
      </c>
      <c r="F434" s="7" t="s">
        <v>1742</v>
      </c>
      <c r="G434" s="7">
        <v>3</v>
      </c>
      <c r="H434" s="37">
        <f>Priors!$H$27*VLOOKUP(D434,Team_26_27!$A$2:$U$21,20,FALSE)*VLOOKUP(E434,Team_26_27!$A$2:$U$21,21,FALSE)*IF(F434="H",Priors!$H$28,Priors!$H$29)</f>
        <v>1.4810854836947636</v>
      </c>
      <c r="I434" s="37">
        <f>Priors!$H$27*VLOOKUP(E434,Team_26_27!$A$2:$U$21,20,FALSE)*VLOOKUP(D434,Team_26_27!$A$2:$U$21,21,FALSE)*IF(F434="H",Priors!$H$29,Priors!$H$28)</f>
        <v>1.5463207464562987</v>
      </c>
      <c r="J434" s="15"/>
      <c r="K434" s="15"/>
      <c r="L434" s="47" t="b">
        <v>0</v>
      </c>
      <c r="M434" s="45">
        <v>0</v>
      </c>
      <c r="N434" s="45"/>
      <c r="O434" s="45"/>
      <c r="P434" s="38">
        <f t="shared" si="30"/>
        <v>1.4810854836947636</v>
      </c>
      <c r="Q434" s="38">
        <f t="shared" si="31"/>
        <v>1.5463207464562987</v>
      </c>
      <c r="R434" s="17">
        <f t="shared" si="32"/>
        <v>0.21303032629057353</v>
      </c>
      <c r="S434" s="17">
        <f t="shared" si="33"/>
        <v>0.22739072544612865</v>
      </c>
      <c r="T434" s="38" t="str">
        <f t="shared" si="34"/>
        <v/>
      </c>
      <c r="U434" s="31" t="s">
        <v>1876</v>
      </c>
      <c r="V434" s="31"/>
    </row>
    <row r="435" spans="1:22" ht="30">
      <c r="A435" s="7">
        <v>22</v>
      </c>
      <c r="B435" s="7">
        <v>217</v>
      </c>
      <c r="C435" s="7">
        <v>46410.625</v>
      </c>
      <c r="D435" s="7" t="s">
        <v>51</v>
      </c>
      <c r="E435" s="7" t="s">
        <v>44</v>
      </c>
      <c r="F435" s="7" t="s">
        <v>1743</v>
      </c>
      <c r="G435" s="7">
        <v>4</v>
      </c>
      <c r="H435" s="37">
        <f>Priors!$H$27*VLOOKUP(D435,Team_26_27!$A$2:$U$21,20,FALSE)*VLOOKUP(E435,Team_26_27!$A$2:$U$21,21,FALSE)*IF(F435="H",Priors!$H$28,Priors!$H$29)</f>
        <v>1.5463207464562987</v>
      </c>
      <c r="I435" s="37">
        <f>Priors!$H$27*VLOOKUP(E435,Team_26_27!$A$2:$U$21,20,FALSE)*VLOOKUP(D435,Team_26_27!$A$2:$U$21,21,FALSE)*IF(F435="H",Priors!$H$29,Priors!$H$28)</f>
        <v>1.4810854836947636</v>
      </c>
      <c r="J435" s="15"/>
      <c r="K435" s="15"/>
      <c r="L435" s="47" t="b">
        <v>0</v>
      </c>
      <c r="M435" s="45">
        <v>0</v>
      </c>
      <c r="N435" s="45"/>
      <c r="O435" s="45"/>
      <c r="P435" s="38">
        <f t="shared" si="30"/>
        <v>1.5463207464562987</v>
      </c>
      <c r="Q435" s="38">
        <f t="shared" si="31"/>
        <v>1.4810854836947636</v>
      </c>
      <c r="R435" s="17">
        <f t="shared" si="32"/>
        <v>0.22739072544612865</v>
      </c>
      <c r="S435" s="17">
        <f t="shared" si="33"/>
        <v>0.21303032629057353</v>
      </c>
      <c r="T435" s="38" t="str">
        <f t="shared" si="34"/>
        <v/>
      </c>
      <c r="U435" s="31" t="s">
        <v>1876</v>
      </c>
      <c r="V435" s="31"/>
    </row>
    <row r="436" spans="1:22" ht="30">
      <c r="A436" s="7">
        <v>22</v>
      </c>
      <c r="B436" s="7">
        <v>218</v>
      </c>
      <c r="C436" s="7">
        <v>46410.625</v>
      </c>
      <c r="D436" s="7" t="s">
        <v>52</v>
      </c>
      <c r="E436" s="7" t="s">
        <v>54</v>
      </c>
      <c r="F436" s="7" t="s">
        <v>1742</v>
      </c>
      <c r="G436" s="7">
        <v>4</v>
      </c>
      <c r="H436" s="37">
        <f>Priors!$H$27*VLOOKUP(D436,Team_26_27!$A$2:$U$21,20,FALSE)*VLOOKUP(E436,Team_26_27!$A$2:$U$21,21,FALSE)*IF(F436="H",Priors!$H$28,Priors!$H$29)</f>
        <v>1.2833589412372359</v>
      </c>
      <c r="I436" s="37">
        <f>Priors!$H$27*VLOOKUP(E436,Team_26_27!$A$2:$U$21,20,FALSE)*VLOOKUP(D436,Team_26_27!$A$2:$U$21,21,FALSE)*IF(F436="H",Priors!$H$29,Priors!$H$28)</f>
        <v>1.6788048988911841</v>
      </c>
      <c r="J436" s="15"/>
      <c r="K436" s="15"/>
      <c r="L436" s="47" t="b">
        <v>0</v>
      </c>
      <c r="M436" s="45">
        <v>0</v>
      </c>
      <c r="N436" s="45"/>
      <c r="O436" s="45"/>
      <c r="P436" s="38">
        <f t="shared" si="30"/>
        <v>1.2833589412372359</v>
      </c>
      <c r="Q436" s="38">
        <f t="shared" si="31"/>
        <v>1.6788048988911841</v>
      </c>
      <c r="R436" s="17">
        <f t="shared" si="32"/>
        <v>0.1865968449337341</v>
      </c>
      <c r="S436" s="17">
        <f t="shared" si="33"/>
        <v>0.27710495622055387</v>
      </c>
      <c r="T436" s="38" t="str">
        <f t="shared" si="34"/>
        <v/>
      </c>
      <c r="U436" s="31" t="s">
        <v>1876</v>
      </c>
      <c r="V436" s="31"/>
    </row>
    <row r="437" spans="1:22" ht="30">
      <c r="A437" s="7">
        <v>22</v>
      </c>
      <c r="B437" s="7">
        <v>218</v>
      </c>
      <c r="C437" s="7">
        <v>46410.625</v>
      </c>
      <c r="D437" s="7" t="s">
        <v>54</v>
      </c>
      <c r="E437" s="7" t="s">
        <v>52</v>
      </c>
      <c r="F437" s="7" t="s">
        <v>1743</v>
      </c>
      <c r="G437" s="7">
        <v>4</v>
      </c>
      <c r="H437" s="37">
        <f>Priors!$H$27*VLOOKUP(D437,Team_26_27!$A$2:$U$21,20,FALSE)*VLOOKUP(E437,Team_26_27!$A$2:$U$21,21,FALSE)*IF(F437="H",Priors!$H$28,Priors!$H$29)</f>
        <v>1.6788048988911841</v>
      </c>
      <c r="I437" s="37">
        <f>Priors!$H$27*VLOOKUP(E437,Team_26_27!$A$2:$U$21,20,FALSE)*VLOOKUP(D437,Team_26_27!$A$2:$U$21,21,FALSE)*IF(F437="H",Priors!$H$29,Priors!$H$28)</f>
        <v>1.2833589412372359</v>
      </c>
      <c r="J437" s="15"/>
      <c r="K437" s="15"/>
      <c r="L437" s="47" t="b">
        <v>0</v>
      </c>
      <c r="M437" s="45">
        <v>0</v>
      </c>
      <c r="N437" s="45"/>
      <c r="O437" s="45"/>
      <c r="P437" s="38">
        <f t="shared" si="30"/>
        <v>1.6788048988911841</v>
      </c>
      <c r="Q437" s="38">
        <f t="shared" si="31"/>
        <v>1.2833589412372359</v>
      </c>
      <c r="R437" s="17">
        <f t="shared" si="32"/>
        <v>0.27710495622055387</v>
      </c>
      <c r="S437" s="17">
        <f t="shared" si="33"/>
        <v>0.1865968449337341</v>
      </c>
      <c r="T437" s="38" t="str">
        <f t="shared" si="34"/>
        <v/>
      </c>
      <c r="U437" s="31" t="s">
        <v>1876</v>
      </c>
      <c r="V437" s="31"/>
    </row>
    <row r="438" spans="1:22" ht="30">
      <c r="A438" s="7">
        <v>22</v>
      </c>
      <c r="B438" s="7">
        <v>219</v>
      </c>
      <c r="C438" s="7">
        <v>46410.625</v>
      </c>
      <c r="D438" s="7" t="s">
        <v>41</v>
      </c>
      <c r="E438" s="7" t="s">
        <v>56</v>
      </c>
      <c r="F438" s="7" t="s">
        <v>1742</v>
      </c>
      <c r="G438" s="7">
        <v>3</v>
      </c>
      <c r="H438" s="37">
        <f>Priors!$H$27*VLOOKUP(D438,Team_26_27!$A$2:$U$21,20,FALSE)*VLOOKUP(E438,Team_26_27!$A$2:$U$21,21,FALSE)*IF(F438="H",Priors!$H$28,Priors!$H$29)</f>
        <v>1.4318416758758306</v>
      </c>
      <c r="I438" s="37">
        <f>Priors!$H$27*VLOOKUP(E438,Team_26_27!$A$2:$U$21,20,FALSE)*VLOOKUP(D438,Team_26_27!$A$2:$U$21,21,FALSE)*IF(F438="H",Priors!$H$29,Priors!$H$28)</f>
        <v>1.4785401992882872</v>
      </c>
      <c r="J438" s="15"/>
      <c r="K438" s="15"/>
      <c r="L438" s="47" t="b">
        <v>0</v>
      </c>
      <c r="M438" s="45">
        <v>0</v>
      </c>
      <c r="N438" s="45"/>
      <c r="O438" s="45"/>
      <c r="P438" s="38">
        <f t="shared" si="30"/>
        <v>1.4318416758758306</v>
      </c>
      <c r="Q438" s="38">
        <f t="shared" si="31"/>
        <v>1.4785401992882872</v>
      </c>
      <c r="R438" s="17">
        <f t="shared" si="32"/>
        <v>0.2279702367114152</v>
      </c>
      <c r="S438" s="17">
        <f t="shared" si="33"/>
        <v>0.23886859836617508</v>
      </c>
      <c r="T438" s="38" t="str">
        <f t="shared" si="34"/>
        <v/>
      </c>
      <c r="U438" s="31" t="s">
        <v>1876</v>
      </c>
      <c r="V438" s="31"/>
    </row>
    <row r="439" spans="1:22" ht="30">
      <c r="A439" s="7">
        <v>22</v>
      </c>
      <c r="B439" s="7">
        <v>219</v>
      </c>
      <c r="C439" s="7">
        <v>46410.625</v>
      </c>
      <c r="D439" s="7" t="s">
        <v>56</v>
      </c>
      <c r="E439" s="7" t="s">
        <v>41</v>
      </c>
      <c r="F439" s="7" t="s">
        <v>1743</v>
      </c>
      <c r="G439" s="7">
        <v>3</v>
      </c>
      <c r="H439" s="37">
        <f>Priors!$H$27*VLOOKUP(D439,Team_26_27!$A$2:$U$21,20,FALSE)*VLOOKUP(E439,Team_26_27!$A$2:$U$21,21,FALSE)*IF(F439="H",Priors!$H$28,Priors!$H$29)</f>
        <v>1.4785401992882872</v>
      </c>
      <c r="I439" s="37">
        <f>Priors!$H$27*VLOOKUP(E439,Team_26_27!$A$2:$U$21,20,FALSE)*VLOOKUP(D439,Team_26_27!$A$2:$U$21,21,FALSE)*IF(F439="H",Priors!$H$29,Priors!$H$28)</f>
        <v>1.4318416758758306</v>
      </c>
      <c r="J439" s="15"/>
      <c r="K439" s="15"/>
      <c r="L439" s="47" t="b">
        <v>0</v>
      </c>
      <c r="M439" s="45">
        <v>0</v>
      </c>
      <c r="N439" s="45"/>
      <c r="O439" s="45"/>
      <c r="P439" s="38">
        <f t="shared" si="30"/>
        <v>1.4785401992882872</v>
      </c>
      <c r="Q439" s="38">
        <f t="shared" si="31"/>
        <v>1.4318416758758306</v>
      </c>
      <c r="R439" s="17">
        <f t="shared" si="32"/>
        <v>0.23886859836617508</v>
      </c>
      <c r="S439" s="17">
        <f t="shared" si="33"/>
        <v>0.2279702367114152</v>
      </c>
      <c r="T439" s="38" t="str">
        <f t="shared" si="34"/>
        <v/>
      </c>
      <c r="U439" s="31" t="s">
        <v>1876</v>
      </c>
      <c r="V439" s="31"/>
    </row>
    <row r="440" spans="1:22" ht="30">
      <c r="A440" s="7">
        <v>22</v>
      </c>
      <c r="B440" s="7">
        <v>220</v>
      </c>
      <c r="C440" s="7">
        <v>46410.625</v>
      </c>
      <c r="D440" s="7" t="s">
        <v>45</v>
      </c>
      <c r="E440" s="7" t="s">
        <v>58</v>
      </c>
      <c r="F440" s="7" t="s">
        <v>1742</v>
      </c>
      <c r="G440" s="7">
        <v>3</v>
      </c>
      <c r="H440" s="37">
        <f>Priors!$H$27*VLOOKUP(D440,Team_26_27!$A$2:$U$21,20,FALSE)*VLOOKUP(E440,Team_26_27!$A$2:$U$21,21,FALSE)*IF(F440="H",Priors!$H$28,Priors!$H$29)</f>
        <v>1.0098490166519949</v>
      </c>
      <c r="I440" s="37">
        <f>Priors!$H$27*VLOOKUP(E440,Team_26_27!$A$2:$U$21,20,FALSE)*VLOOKUP(D440,Team_26_27!$A$2:$U$21,21,FALSE)*IF(F440="H",Priors!$H$29,Priors!$H$28)</f>
        <v>1.5697422514328654</v>
      </c>
      <c r="J440" s="15"/>
      <c r="K440" s="15"/>
      <c r="L440" s="47" t="b">
        <v>0</v>
      </c>
      <c r="M440" s="45">
        <v>0</v>
      </c>
      <c r="N440" s="45"/>
      <c r="O440" s="45"/>
      <c r="P440" s="38">
        <f t="shared" si="30"/>
        <v>1.0098490166519949</v>
      </c>
      <c r="Q440" s="38">
        <f t="shared" si="31"/>
        <v>1.5697422514328654</v>
      </c>
      <c r="R440" s="17">
        <f t="shared" si="32"/>
        <v>0.20809881261593655</v>
      </c>
      <c r="S440" s="17">
        <f t="shared" si="33"/>
        <v>0.36427397472403766</v>
      </c>
      <c r="T440" s="38" t="str">
        <f t="shared" si="34"/>
        <v/>
      </c>
      <c r="U440" s="31" t="s">
        <v>1876</v>
      </c>
      <c r="V440" s="31"/>
    </row>
    <row r="441" spans="1:22" ht="30">
      <c r="A441" s="7">
        <v>22</v>
      </c>
      <c r="B441" s="7">
        <v>220</v>
      </c>
      <c r="C441" s="7">
        <v>46410.625</v>
      </c>
      <c r="D441" s="7" t="s">
        <v>58</v>
      </c>
      <c r="E441" s="7" t="s">
        <v>45</v>
      </c>
      <c r="F441" s="7" t="s">
        <v>1743</v>
      </c>
      <c r="G441" s="7">
        <v>2</v>
      </c>
      <c r="H441" s="37">
        <f>Priors!$H$27*VLOOKUP(D441,Team_26_27!$A$2:$U$21,20,FALSE)*VLOOKUP(E441,Team_26_27!$A$2:$U$21,21,FALSE)*IF(F441="H",Priors!$H$28,Priors!$H$29)</f>
        <v>1.5697422514328654</v>
      </c>
      <c r="I441" s="37">
        <f>Priors!$H$27*VLOOKUP(E441,Team_26_27!$A$2:$U$21,20,FALSE)*VLOOKUP(D441,Team_26_27!$A$2:$U$21,21,FALSE)*IF(F441="H",Priors!$H$29,Priors!$H$28)</f>
        <v>1.0098490166519949</v>
      </c>
      <c r="J441" s="15"/>
      <c r="K441" s="15"/>
      <c r="L441" s="47" t="b">
        <v>0</v>
      </c>
      <c r="M441" s="45">
        <v>0</v>
      </c>
      <c r="N441" s="45"/>
      <c r="O441" s="45"/>
      <c r="P441" s="38">
        <f t="shared" si="30"/>
        <v>1.5697422514328654</v>
      </c>
      <c r="Q441" s="38">
        <f t="shared" si="31"/>
        <v>1.0098490166519949</v>
      </c>
      <c r="R441" s="17">
        <f t="shared" si="32"/>
        <v>0.36427397472403766</v>
      </c>
      <c r="S441" s="17">
        <f t="shared" si="33"/>
        <v>0.20809881261593655</v>
      </c>
      <c r="T441" s="38" t="str">
        <f t="shared" si="34"/>
        <v/>
      </c>
      <c r="U441" s="31" t="s">
        <v>1876</v>
      </c>
      <c r="V441" s="31"/>
    </row>
    <row r="442" spans="1:22" ht="30">
      <c r="A442" s="7">
        <v>23</v>
      </c>
      <c r="B442" s="7">
        <v>221</v>
      </c>
      <c r="C442" s="7">
        <v>46417.625</v>
      </c>
      <c r="D442" s="7" t="s">
        <v>50</v>
      </c>
      <c r="E442" s="7" t="s">
        <v>40</v>
      </c>
      <c r="F442" s="7" t="s">
        <v>1742</v>
      </c>
      <c r="G442" s="7">
        <v>4</v>
      </c>
      <c r="H442" s="37">
        <f>Priors!$H$27*VLOOKUP(D442,Team_26_27!$A$2:$U$21,20,FALSE)*VLOOKUP(E442,Team_26_27!$A$2:$U$21,21,FALSE)*IF(F442="H",Priors!$H$28,Priors!$H$29)</f>
        <v>0.96917368704030404</v>
      </c>
      <c r="I442" s="37">
        <f>Priors!$H$27*VLOOKUP(E442,Team_26_27!$A$2:$U$21,20,FALSE)*VLOOKUP(D442,Team_26_27!$A$2:$U$21,21,FALSE)*IF(F442="H",Priors!$H$29,Priors!$H$28)</f>
        <v>1.7738760898087496</v>
      </c>
      <c r="J442" s="15"/>
      <c r="K442" s="15"/>
      <c r="L442" s="47" t="b">
        <v>0</v>
      </c>
      <c r="M442" s="45">
        <v>0</v>
      </c>
      <c r="N442" s="45"/>
      <c r="O442" s="45"/>
      <c r="P442" s="38">
        <f t="shared" si="30"/>
        <v>0.96917368704030404</v>
      </c>
      <c r="Q442" s="38">
        <f t="shared" si="31"/>
        <v>1.7738760898087496</v>
      </c>
      <c r="R442" s="17">
        <f t="shared" si="32"/>
        <v>0.16967404075927797</v>
      </c>
      <c r="S442" s="17">
        <f t="shared" si="33"/>
        <v>0.3793964087838812</v>
      </c>
      <c r="T442" s="38" t="str">
        <f t="shared" si="34"/>
        <v/>
      </c>
      <c r="U442" s="31" t="s">
        <v>1876</v>
      </c>
      <c r="V442" s="31"/>
    </row>
    <row r="443" spans="1:22" ht="30">
      <c r="A443" s="7">
        <v>23</v>
      </c>
      <c r="B443" s="7">
        <v>221</v>
      </c>
      <c r="C443" s="7">
        <v>46417.625</v>
      </c>
      <c r="D443" s="7" t="s">
        <v>40</v>
      </c>
      <c r="E443" s="7" t="s">
        <v>50</v>
      </c>
      <c r="F443" s="7" t="s">
        <v>1743</v>
      </c>
      <c r="G443" s="7">
        <v>2</v>
      </c>
      <c r="H443" s="37">
        <f>Priors!$H$27*VLOOKUP(D443,Team_26_27!$A$2:$U$21,20,FALSE)*VLOOKUP(E443,Team_26_27!$A$2:$U$21,21,FALSE)*IF(F443="H",Priors!$H$28,Priors!$H$29)</f>
        <v>1.7738760898087496</v>
      </c>
      <c r="I443" s="37">
        <f>Priors!$H$27*VLOOKUP(E443,Team_26_27!$A$2:$U$21,20,FALSE)*VLOOKUP(D443,Team_26_27!$A$2:$U$21,21,FALSE)*IF(F443="H",Priors!$H$29,Priors!$H$28)</f>
        <v>0.96917368704030404</v>
      </c>
      <c r="J443" s="15"/>
      <c r="K443" s="15"/>
      <c r="L443" s="47" t="b">
        <v>0</v>
      </c>
      <c r="M443" s="45">
        <v>0</v>
      </c>
      <c r="N443" s="45"/>
      <c r="O443" s="45"/>
      <c r="P443" s="38">
        <f t="shared" si="30"/>
        <v>1.7738760898087496</v>
      </c>
      <c r="Q443" s="38">
        <f t="shared" si="31"/>
        <v>0.96917368704030404</v>
      </c>
      <c r="R443" s="17">
        <f t="shared" si="32"/>
        <v>0.3793964087838812</v>
      </c>
      <c r="S443" s="17">
        <f t="shared" si="33"/>
        <v>0.16967404075927797</v>
      </c>
      <c r="T443" s="38" t="str">
        <f t="shared" si="34"/>
        <v/>
      </c>
      <c r="U443" s="31" t="s">
        <v>1876</v>
      </c>
      <c r="V443" s="31"/>
    </row>
    <row r="444" spans="1:22" ht="30">
      <c r="A444" s="7">
        <v>23</v>
      </c>
      <c r="B444" s="7">
        <v>222</v>
      </c>
      <c r="C444" s="7">
        <v>46417.625</v>
      </c>
      <c r="D444" s="7" t="s">
        <v>48</v>
      </c>
      <c r="E444" s="7" t="s">
        <v>41</v>
      </c>
      <c r="F444" s="7" t="s">
        <v>1742</v>
      </c>
      <c r="G444" s="7">
        <v>3</v>
      </c>
      <c r="H444" s="37">
        <f>Priors!$H$27*VLOOKUP(D444,Team_26_27!$A$2:$U$21,20,FALSE)*VLOOKUP(E444,Team_26_27!$A$2:$U$21,21,FALSE)*IF(F444="H",Priors!$H$28,Priors!$H$29)</f>
        <v>1.2421707988190964</v>
      </c>
      <c r="I444" s="37">
        <f>Priors!$H$27*VLOOKUP(E444,Team_26_27!$A$2:$U$21,20,FALSE)*VLOOKUP(D444,Team_26_27!$A$2:$U$21,21,FALSE)*IF(F444="H",Priors!$H$29,Priors!$H$28)</f>
        <v>1.6822908632522779</v>
      </c>
      <c r="J444" s="15"/>
      <c r="K444" s="15"/>
      <c r="L444" s="47" t="b">
        <v>0</v>
      </c>
      <c r="M444" s="45">
        <v>0</v>
      </c>
      <c r="N444" s="45"/>
      <c r="O444" s="45"/>
      <c r="P444" s="38">
        <f t="shared" si="30"/>
        <v>1.2421707988190964</v>
      </c>
      <c r="Q444" s="38">
        <f t="shared" si="31"/>
        <v>1.6822908632522779</v>
      </c>
      <c r="R444" s="17">
        <f t="shared" si="32"/>
        <v>0.18594750742367122</v>
      </c>
      <c r="S444" s="17">
        <f t="shared" si="33"/>
        <v>0.28875670436976386</v>
      </c>
      <c r="T444" s="38" t="str">
        <f t="shared" si="34"/>
        <v/>
      </c>
      <c r="U444" s="31" t="s">
        <v>1876</v>
      </c>
      <c r="V444" s="31"/>
    </row>
    <row r="445" spans="1:22" ht="30">
      <c r="A445" s="7">
        <v>23</v>
      </c>
      <c r="B445" s="7">
        <v>222</v>
      </c>
      <c r="C445" s="7">
        <v>46417.625</v>
      </c>
      <c r="D445" s="7" t="s">
        <v>41</v>
      </c>
      <c r="E445" s="7" t="s">
        <v>48</v>
      </c>
      <c r="F445" s="7" t="s">
        <v>1743</v>
      </c>
      <c r="G445" s="7">
        <v>2</v>
      </c>
      <c r="H445" s="37">
        <f>Priors!$H$27*VLOOKUP(D445,Team_26_27!$A$2:$U$21,20,FALSE)*VLOOKUP(E445,Team_26_27!$A$2:$U$21,21,FALSE)*IF(F445="H",Priors!$H$28,Priors!$H$29)</f>
        <v>1.6822908632522779</v>
      </c>
      <c r="I445" s="37">
        <f>Priors!$H$27*VLOOKUP(E445,Team_26_27!$A$2:$U$21,20,FALSE)*VLOOKUP(D445,Team_26_27!$A$2:$U$21,21,FALSE)*IF(F445="H",Priors!$H$29,Priors!$H$28)</f>
        <v>1.2421707988190964</v>
      </c>
      <c r="J445" s="15"/>
      <c r="K445" s="15"/>
      <c r="L445" s="47" t="b">
        <v>0</v>
      </c>
      <c r="M445" s="45">
        <v>0</v>
      </c>
      <c r="N445" s="45"/>
      <c r="O445" s="45"/>
      <c r="P445" s="38">
        <f t="shared" si="30"/>
        <v>1.6822908632522779</v>
      </c>
      <c r="Q445" s="38">
        <f t="shared" si="31"/>
        <v>1.2421707988190964</v>
      </c>
      <c r="R445" s="17">
        <f t="shared" si="32"/>
        <v>0.28875670436976386</v>
      </c>
      <c r="S445" s="17">
        <f t="shared" si="33"/>
        <v>0.18594750742367122</v>
      </c>
      <c r="T445" s="38" t="str">
        <f t="shared" si="34"/>
        <v/>
      </c>
      <c r="U445" s="31" t="s">
        <v>1876</v>
      </c>
      <c r="V445" s="31"/>
    </row>
    <row r="446" spans="1:22" ht="30">
      <c r="A446" s="7">
        <v>23</v>
      </c>
      <c r="B446" s="7">
        <v>223</v>
      </c>
      <c r="C446" s="7">
        <v>46417.625</v>
      </c>
      <c r="D446" s="7" t="s">
        <v>54</v>
      </c>
      <c r="E446" s="7" t="s">
        <v>42</v>
      </c>
      <c r="F446" s="7" t="s">
        <v>1742</v>
      </c>
      <c r="G446" s="7">
        <v>3</v>
      </c>
      <c r="H446" s="37">
        <f>Priors!$H$27*VLOOKUP(D446,Team_26_27!$A$2:$U$21,20,FALSE)*VLOOKUP(E446,Team_26_27!$A$2:$U$21,21,FALSE)*IF(F446="H",Priors!$H$28,Priors!$H$29)</f>
        <v>1.4846902407140412</v>
      </c>
      <c r="I446" s="37">
        <f>Priors!$H$27*VLOOKUP(E446,Team_26_27!$A$2:$U$21,20,FALSE)*VLOOKUP(D446,Team_26_27!$A$2:$U$21,21,FALSE)*IF(F446="H",Priors!$H$29,Priors!$H$28)</f>
        <v>1.5829381842030943</v>
      </c>
      <c r="J446" s="15"/>
      <c r="K446" s="15"/>
      <c r="L446" s="47" t="b">
        <v>0</v>
      </c>
      <c r="M446" s="45">
        <v>0</v>
      </c>
      <c r="N446" s="45"/>
      <c r="O446" s="45"/>
      <c r="P446" s="38">
        <f t="shared" si="30"/>
        <v>1.4846902407140412</v>
      </c>
      <c r="Q446" s="38">
        <f t="shared" si="31"/>
        <v>1.5829381842030943</v>
      </c>
      <c r="R446" s="17">
        <f t="shared" si="32"/>
        <v>0.20537079363891489</v>
      </c>
      <c r="S446" s="17">
        <f t="shared" si="33"/>
        <v>0.22657251274744891</v>
      </c>
      <c r="T446" s="38" t="str">
        <f t="shared" si="34"/>
        <v/>
      </c>
      <c r="U446" s="31" t="s">
        <v>1876</v>
      </c>
      <c r="V446" s="31"/>
    </row>
    <row r="447" spans="1:22" ht="30">
      <c r="A447" s="7">
        <v>23</v>
      </c>
      <c r="B447" s="7">
        <v>223</v>
      </c>
      <c r="C447" s="7">
        <v>46417.625</v>
      </c>
      <c r="D447" s="7" t="s">
        <v>42</v>
      </c>
      <c r="E447" s="7" t="s">
        <v>54</v>
      </c>
      <c r="F447" s="7" t="s">
        <v>1743</v>
      </c>
      <c r="G447" s="7">
        <v>4</v>
      </c>
      <c r="H447" s="37">
        <f>Priors!$H$27*VLOOKUP(D447,Team_26_27!$A$2:$U$21,20,FALSE)*VLOOKUP(E447,Team_26_27!$A$2:$U$21,21,FALSE)*IF(F447="H",Priors!$H$28,Priors!$H$29)</f>
        <v>1.5829381842030943</v>
      </c>
      <c r="I447" s="37">
        <f>Priors!$H$27*VLOOKUP(E447,Team_26_27!$A$2:$U$21,20,FALSE)*VLOOKUP(D447,Team_26_27!$A$2:$U$21,21,FALSE)*IF(F447="H",Priors!$H$29,Priors!$H$28)</f>
        <v>1.4846902407140412</v>
      </c>
      <c r="J447" s="15"/>
      <c r="K447" s="15"/>
      <c r="L447" s="47" t="b">
        <v>0</v>
      </c>
      <c r="M447" s="45">
        <v>0</v>
      </c>
      <c r="N447" s="45"/>
      <c r="O447" s="45"/>
      <c r="P447" s="38">
        <f t="shared" si="30"/>
        <v>1.5829381842030943</v>
      </c>
      <c r="Q447" s="38">
        <f t="shared" si="31"/>
        <v>1.4846902407140412</v>
      </c>
      <c r="R447" s="17">
        <f t="shared" si="32"/>
        <v>0.22657251274744891</v>
      </c>
      <c r="S447" s="17">
        <f t="shared" si="33"/>
        <v>0.20537079363891489</v>
      </c>
      <c r="T447" s="38" t="str">
        <f t="shared" si="34"/>
        <v/>
      </c>
      <c r="U447" s="31" t="s">
        <v>1876</v>
      </c>
      <c r="V447" s="31"/>
    </row>
    <row r="448" spans="1:22" ht="30">
      <c r="A448" s="7">
        <v>23</v>
      </c>
      <c r="B448" s="7">
        <v>224</v>
      </c>
      <c r="C448" s="7">
        <v>46417.625</v>
      </c>
      <c r="D448" s="7" t="s">
        <v>56</v>
      </c>
      <c r="E448" s="7" t="s">
        <v>44</v>
      </c>
      <c r="F448" s="7" t="s">
        <v>1742</v>
      </c>
      <c r="G448" s="7">
        <v>4</v>
      </c>
      <c r="H448" s="37">
        <f>Priors!$H$27*VLOOKUP(D448,Team_26_27!$A$2:$U$21,20,FALSE)*VLOOKUP(E448,Team_26_27!$A$2:$U$21,21,FALSE)*IF(F448="H",Priors!$H$28,Priors!$H$29)</f>
        <v>1.1554174853780526</v>
      </c>
      <c r="I448" s="37">
        <f>Priors!$H$27*VLOOKUP(E448,Team_26_27!$A$2:$U$21,20,FALSE)*VLOOKUP(D448,Team_26_27!$A$2:$U$21,21,FALSE)*IF(F448="H",Priors!$H$29,Priors!$H$28)</f>
        <v>1.8264392914393792</v>
      </c>
      <c r="J448" s="15"/>
      <c r="K448" s="15"/>
      <c r="L448" s="47" t="b">
        <v>0</v>
      </c>
      <c r="M448" s="45">
        <v>0</v>
      </c>
      <c r="N448" s="45"/>
      <c r="O448" s="45"/>
      <c r="P448" s="38">
        <f t="shared" si="30"/>
        <v>1.1554174853780526</v>
      </c>
      <c r="Q448" s="38">
        <f t="shared" si="31"/>
        <v>1.8264392914393792</v>
      </c>
      <c r="R448" s="17">
        <f t="shared" si="32"/>
        <v>0.16098577186061802</v>
      </c>
      <c r="S448" s="17">
        <f t="shared" si="33"/>
        <v>0.31492603244101602</v>
      </c>
      <c r="T448" s="38" t="str">
        <f t="shared" si="34"/>
        <v/>
      </c>
      <c r="U448" s="31" t="s">
        <v>1876</v>
      </c>
      <c r="V448" s="31"/>
    </row>
    <row r="449" spans="1:22" ht="30">
      <c r="A449" s="7">
        <v>23</v>
      </c>
      <c r="B449" s="7">
        <v>224</v>
      </c>
      <c r="C449" s="7">
        <v>46417.625</v>
      </c>
      <c r="D449" s="7" t="s">
        <v>44</v>
      </c>
      <c r="E449" s="7" t="s">
        <v>56</v>
      </c>
      <c r="F449" s="7" t="s">
        <v>1743</v>
      </c>
      <c r="G449" s="7">
        <v>3</v>
      </c>
      <c r="H449" s="37">
        <f>Priors!$H$27*VLOOKUP(D449,Team_26_27!$A$2:$U$21,20,FALSE)*VLOOKUP(E449,Team_26_27!$A$2:$U$21,21,FALSE)*IF(F449="H",Priors!$H$28,Priors!$H$29)</f>
        <v>1.8264392914393792</v>
      </c>
      <c r="I449" s="37">
        <f>Priors!$H$27*VLOOKUP(E449,Team_26_27!$A$2:$U$21,20,FALSE)*VLOOKUP(D449,Team_26_27!$A$2:$U$21,21,FALSE)*IF(F449="H",Priors!$H$29,Priors!$H$28)</f>
        <v>1.1554174853780526</v>
      </c>
      <c r="J449" s="15"/>
      <c r="K449" s="15"/>
      <c r="L449" s="47" t="b">
        <v>0</v>
      </c>
      <c r="M449" s="45">
        <v>0</v>
      </c>
      <c r="N449" s="45"/>
      <c r="O449" s="45"/>
      <c r="P449" s="38">
        <f t="shared" si="30"/>
        <v>1.8264392914393792</v>
      </c>
      <c r="Q449" s="38">
        <f t="shared" si="31"/>
        <v>1.1554174853780526</v>
      </c>
      <c r="R449" s="17">
        <f t="shared" si="32"/>
        <v>0.31492603244101602</v>
      </c>
      <c r="S449" s="17">
        <f t="shared" si="33"/>
        <v>0.16098577186061802</v>
      </c>
      <c r="T449" s="38" t="str">
        <f t="shared" si="34"/>
        <v/>
      </c>
      <c r="U449" s="31" t="s">
        <v>1876</v>
      </c>
      <c r="V449" s="31"/>
    </row>
    <row r="450" spans="1:22" ht="30">
      <c r="A450" s="7">
        <v>23</v>
      </c>
      <c r="B450" s="7">
        <v>225</v>
      </c>
      <c r="C450" s="7">
        <v>46417.625</v>
      </c>
      <c r="D450" s="7" t="s">
        <v>51</v>
      </c>
      <c r="E450" s="7" t="s">
        <v>45</v>
      </c>
      <c r="F450" s="7" t="s">
        <v>1742</v>
      </c>
      <c r="G450" s="7">
        <v>2</v>
      </c>
      <c r="H450" s="37">
        <f>Priors!$H$27*VLOOKUP(D450,Team_26_27!$A$2:$U$21,20,FALSE)*VLOOKUP(E450,Team_26_27!$A$2:$U$21,21,FALSE)*IF(F450="H",Priors!$H$28,Priors!$H$29)</f>
        <v>1.6030154589536587</v>
      </c>
      <c r="I450" s="37">
        <f>Priors!$H$27*VLOOKUP(E450,Team_26_27!$A$2:$U$21,20,FALSE)*VLOOKUP(D450,Team_26_27!$A$2:$U$21,21,FALSE)*IF(F450="H",Priors!$H$29,Priors!$H$28)</f>
        <v>1.2550538908094171</v>
      </c>
      <c r="J450" s="15"/>
      <c r="K450" s="15"/>
      <c r="L450" s="47" t="b">
        <v>0</v>
      </c>
      <c r="M450" s="45">
        <v>0</v>
      </c>
      <c r="N450" s="45"/>
      <c r="O450" s="45"/>
      <c r="P450" s="38">
        <f t="shared" ref="P450:P513" si="35">IF(N450&lt;&gt;"",N450,IF(L450=TRUE,M450*J450+(1-M450)*H450,H450))</f>
        <v>1.6030154589536587</v>
      </c>
      <c r="Q450" s="38">
        <f t="shared" ref="Q450:Q513" si="36">IF(O450&lt;&gt;"",O450,IF(L450=TRUE,M450*K450+(1-M450)*I450,I450))</f>
        <v>1.2550538908094171</v>
      </c>
      <c r="R450" s="17">
        <f t="shared" ref="R450:R513" si="37">EXP(-Q450)</f>
        <v>0.28506048567020148</v>
      </c>
      <c r="S450" s="17">
        <f t="shared" ref="S450:S513" si="38">EXP(-P450)</f>
        <v>0.20128862433158148</v>
      </c>
      <c r="T450" s="38" t="str">
        <f t="shared" ref="T450:T513" si="39">IF(L450=TRUE,J450-H450,"")</f>
        <v/>
      </c>
      <c r="U450" s="31" t="s">
        <v>1876</v>
      </c>
      <c r="V450" s="31"/>
    </row>
    <row r="451" spans="1:22" ht="30">
      <c r="A451" s="7">
        <v>23</v>
      </c>
      <c r="B451" s="7">
        <v>225</v>
      </c>
      <c r="C451" s="7">
        <v>46417.625</v>
      </c>
      <c r="D451" s="7" t="s">
        <v>45</v>
      </c>
      <c r="E451" s="7" t="s">
        <v>51</v>
      </c>
      <c r="F451" s="7" t="s">
        <v>1743</v>
      </c>
      <c r="G451" s="7">
        <v>2</v>
      </c>
      <c r="H451" s="37">
        <f>Priors!$H$27*VLOOKUP(D451,Team_26_27!$A$2:$U$21,20,FALSE)*VLOOKUP(E451,Team_26_27!$A$2:$U$21,21,FALSE)*IF(F451="H",Priors!$H$28,Priors!$H$29)</f>
        <v>1.2550538908094171</v>
      </c>
      <c r="I451" s="37">
        <f>Priors!$H$27*VLOOKUP(E451,Team_26_27!$A$2:$U$21,20,FALSE)*VLOOKUP(D451,Team_26_27!$A$2:$U$21,21,FALSE)*IF(F451="H",Priors!$H$29,Priors!$H$28)</f>
        <v>1.6030154589536587</v>
      </c>
      <c r="J451" s="15"/>
      <c r="K451" s="15"/>
      <c r="L451" s="47" t="b">
        <v>0</v>
      </c>
      <c r="M451" s="45">
        <v>0</v>
      </c>
      <c r="N451" s="45"/>
      <c r="O451" s="45"/>
      <c r="P451" s="38">
        <f t="shared" si="35"/>
        <v>1.2550538908094171</v>
      </c>
      <c r="Q451" s="38">
        <f t="shared" si="36"/>
        <v>1.6030154589536587</v>
      </c>
      <c r="R451" s="17">
        <f t="shared" si="37"/>
        <v>0.20128862433158148</v>
      </c>
      <c r="S451" s="17">
        <f t="shared" si="38"/>
        <v>0.28506048567020148</v>
      </c>
      <c r="T451" s="38" t="str">
        <f t="shared" si="39"/>
        <v/>
      </c>
      <c r="U451" s="31" t="s">
        <v>1876</v>
      </c>
      <c r="V451" s="31"/>
    </row>
    <row r="452" spans="1:22" ht="30">
      <c r="A452" s="7">
        <v>23</v>
      </c>
      <c r="B452" s="7">
        <v>226</v>
      </c>
      <c r="C452" s="7">
        <v>46417.625</v>
      </c>
      <c r="D452" s="7" t="s">
        <v>46</v>
      </c>
      <c r="E452" s="7" t="s">
        <v>49</v>
      </c>
      <c r="F452" s="7" t="s">
        <v>1742</v>
      </c>
      <c r="G452" s="7">
        <v>2</v>
      </c>
      <c r="H452" s="37">
        <f>Priors!$H$27*VLOOKUP(D452,Team_26_27!$A$2:$U$21,20,FALSE)*VLOOKUP(E452,Team_26_27!$A$2:$U$21,21,FALSE)*IF(F452="H",Priors!$H$28,Priors!$H$29)</f>
        <v>1.8087654523950325</v>
      </c>
      <c r="I452" s="37">
        <f>Priors!$H$27*VLOOKUP(E452,Team_26_27!$A$2:$U$21,20,FALSE)*VLOOKUP(D452,Team_26_27!$A$2:$U$21,21,FALSE)*IF(F452="H",Priors!$H$29,Priors!$H$28)</f>
        <v>1.0595160702895743</v>
      </c>
      <c r="J452" s="15"/>
      <c r="K452" s="15"/>
      <c r="L452" s="47" t="b">
        <v>0</v>
      </c>
      <c r="M452" s="45">
        <v>0</v>
      </c>
      <c r="N452" s="45"/>
      <c r="O452" s="45"/>
      <c r="P452" s="38">
        <f t="shared" si="35"/>
        <v>1.8087654523950325</v>
      </c>
      <c r="Q452" s="38">
        <f t="shared" si="36"/>
        <v>1.0595160702895743</v>
      </c>
      <c r="R452" s="17">
        <f t="shared" si="37"/>
        <v>0.34662351116446111</v>
      </c>
      <c r="S452" s="17">
        <f t="shared" si="38"/>
        <v>0.1638563003899465</v>
      </c>
      <c r="T452" s="38" t="str">
        <f t="shared" si="39"/>
        <v/>
      </c>
      <c r="U452" s="31" t="s">
        <v>1876</v>
      </c>
      <c r="V452" s="31"/>
    </row>
    <row r="453" spans="1:22" ht="30">
      <c r="A453" s="7">
        <v>23</v>
      </c>
      <c r="B453" s="7">
        <v>226</v>
      </c>
      <c r="C453" s="7">
        <v>46417.625</v>
      </c>
      <c r="D453" s="7" t="s">
        <v>49</v>
      </c>
      <c r="E453" s="7" t="s">
        <v>46</v>
      </c>
      <c r="F453" s="7" t="s">
        <v>1743</v>
      </c>
      <c r="G453" s="7">
        <v>3</v>
      </c>
      <c r="H453" s="37">
        <f>Priors!$H$27*VLOOKUP(D453,Team_26_27!$A$2:$U$21,20,FALSE)*VLOOKUP(E453,Team_26_27!$A$2:$U$21,21,FALSE)*IF(F453="H",Priors!$H$28,Priors!$H$29)</f>
        <v>1.0595160702895743</v>
      </c>
      <c r="I453" s="37">
        <f>Priors!$H$27*VLOOKUP(E453,Team_26_27!$A$2:$U$21,20,FALSE)*VLOOKUP(D453,Team_26_27!$A$2:$U$21,21,FALSE)*IF(F453="H",Priors!$H$29,Priors!$H$28)</f>
        <v>1.8087654523950325</v>
      </c>
      <c r="J453" s="15"/>
      <c r="K453" s="15"/>
      <c r="L453" s="47" t="b">
        <v>0</v>
      </c>
      <c r="M453" s="45">
        <v>0</v>
      </c>
      <c r="N453" s="45"/>
      <c r="O453" s="45"/>
      <c r="P453" s="38">
        <f t="shared" si="35"/>
        <v>1.0595160702895743</v>
      </c>
      <c r="Q453" s="38">
        <f t="shared" si="36"/>
        <v>1.8087654523950325</v>
      </c>
      <c r="R453" s="17">
        <f t="shared" si="37"/>
        <v>0.1638563003899465</v>
      </c>
      <c r="S453" s="17">
        <f t="shared" si="38"/>
        <v>0.34662351116446111</v>
      </c>
      <c r="T453" s="38" t="str">
        <f t="shared" si="39"/>
        <v/>
      </c>
      <c r="U453" s="31" t="s">
        <v>1876</v>
      </c>
      <c r="V453" s="31"/>
    </row>
    <row r="454" spans="1:22" ht="30">
      <c r="A454" s="7">
        <v>23</v>
      </c>
      <c r="B454" s="7">
        <v>227</v>
      </c>
      <c r="C454" s="7">
        <v>46417.625</v>
      </c>
      <c r="D454" s="7" t="s">
        <v>47</v>
      </c>
      <c r="E454" s="7" t="s">
        <v>52</v>
      </c>
      <c r="F454" s="7" t="s">
        <v>1742</v>
      </c>
      <c r="G454" s="7">
        <v>4</v>
      </c>
      <c r="H454" s="37">
        <f>Priors!$H$27*VLOOKUP(D454,Team_26_27!$A$2:$U$21,20,FALSE)*VLOOKUP(E454,Team_26_27!$A$2:$U$21,21,FALSE)*IF(F454="H",Priors!$H$28,Priors!$H$29)</f>
        <v>1.0834479110495103</v>
      </c>
      <c r="I454" s="37">
        <f>Priors!$H$27*VLOOKUP(E454,Team_26_27!$A$2:$U$21,20,FALSE)*VLOOKUP(D454,Team_26_27!$A$2:$U$21,21,FALSE)*IF(F454="H",Priors!$H$29,Priors!$H$28)</f>
        <v>1.7421894388912835</v>
      </c>
      <c r="J454" s="15"/>
      <c r="K454" s="15"/>
      <c r="L454" s="47" t="b">
        <v>0</v>
      </c>
      <c r="M454" s="45">
        <v>0</v>
      </c>
      <c r="N454" s="45"/>
      <c r="O454" s="45"/>
      <c r="P454" s="38">
        <f t="shared" si="35"/>
        <v>1.0834479110495103</v>
      </c>
      <c r="Q454" s="38">
        <f t="shared" si="36"/>
        <v>1.7421894388912835</v>
      </c>
      <c r="R454" s="17">
        <f t="shared" si="37"/>
        <v>0.1751365298098545</v>
      </c>
      <c r="S454" s="17">
        <f t="shared" si="38"/>
        <v>0.33842664673293976</v>
      </c>
      <c r="T454" s="38" t="str">
        <f t="shared" si="39"/>
        <v/>
      </c>
      <c r="U454" s="31" t="s">
        <v>1876</v>
      </c>
      <c r="V454" s="31"/>
    </row>
    <row r="455" spans="1:22" ht="30">
      <c r="A455" s="7">
        <v>23</v>
      </c>
      <c r="B455" s="7">
        <v>227</v>
      </c>
      <c r="C455" s="7">
        <v>46417.625</v>
      </c>
      <c r="D455" s="7" t="s">
        <v>52</v>
      </c>
      <c r="E455" s="7" t="s">
        <v>47</v>
      </c>
      <c r="F455" s="7" t="s">
        <v>1743</v>
      </c>
      <c r="G455" s="7">
        <v>3</v>
      </c>
      <c r="H455" s="37">
        <f>Priors!$H$27*VLOOKUP(D455,Team_26_27!$A$2:$U$21,20,FALSE)*VLOOKUP(E455,Team_26_27!$A$2:$U$21,21,FALSE)*IF(F455="H",Priors!$H$28,Priors!$H$29)</f>
        <v>1.7421894388912835</v>
      </c>
      <c r="I455" s="37">
        <f>Priors!$H$27*VLOOKUP(E455,Team_26_27!$A$2:$U$21,20,FALSE)*VLOOKUP(D455,Team_26_27!$A$2:$U$21,21,FALSE)*IF(F455="H",Priors!$H$29,Priors!$H$28)</f>
        <v>1.0834479110495103</v>
      </c>
      <c r="J455" s="15"/>
      <c r="K455" s="15"/>
      <c r="L455" s="47" t="b">
        <v>0</v>
      </c>
      <c r="M455" s="45">
        <v>0</v>
      </c>
      <c r="N455" s="45"/>
      <c r="O455" s="45"/>
      <c r="P455" s="38">
        <f t="shared" si="35"/>
        <v>1.7421894388912835</v>
      </c>
      <c r="Q455" s="38">
        <f t="shared" si="36"/>
        <v>1.0834479110495103</v>
      </c>
      <c r="R455" s="17">
        <f t="shared" si="37"/>
        <v>0.33842664673293976</v>
      </c>
      <c r="S455" s="17">
        <f t="shared" si="38"/>
        <v>0.1751365298098545</v>
      </c>
      <c r="T455" s="38" t="str">
        <f t="shared" si="39"/>
        <v/>
      </c>
      <c r="U455" s="31" t="s">
        <v>1876</v>
      </c>
      <c r="V455" s="31"/>
    </row>
    <row r="456" spans="1:22" ht="30">
      <c r="A456" s="7">
        <v>23</v>
      </c>
      <c r="B456" s="7">
        <v>228</v>
      </c>
      <c r="C456" s="7">
        <v>46417.625</v>
      </c>
      <c r="D456" s="7" t="s">
        <v>39</v>
      </c>
      <c r="E456" s="7" t="s">
        <v>53</v>
      </c>
      <c r="F456" s="7" t="s">
        <v>1742</v>
      </c>
      <c r="G456" s="7">
        <v>5</v>
      </c>
      <c r="H456" s="37">
        <f>Priors!$H$27*VLOOKUP(D456,Team_26_27!$A$2:$U$21,20,FALSE)*VLOOKUP(E456,Team_26_27!$A$2:$U$21,21,FALSE)*IF(F456="H",Priors!$H$28,Priors!$H$29)</f>
        <v>1.3297052747885669</v>
      </c>
      <c r="I456" s="37">
        <f>Priors!$H$27*VLOOKUP(E456,Team_26_27!$A$2:$U$21,20,FALSE)*VLOOKUP(D456,Team_26_27!$A$2:$U$21,21,FALSE)*IF(F456="H",Priors!$H$29,Priors!$H$28)</f>
        <v>1.2327192222065328</v>
      </c>
      <c r="J456" s="15"/>
      <c r="K456" s="15"/>
      <c r="L456" s="47" t="b">
        <v>0</v>
      </c>
      <c r="M456" s="45">
        <v>0</v>
      </c>
      <c r="N456" s="45"/>
      <c r="O456" s="45"/>
      <c r="P456" s="38">
        <f t="shared" si="35"/>
        <v>1.3297052747885669</v>
      </c>
      <c r="Q456" s="38">
        <f t="shared" si="36"/>
        <v>1.2327192222065328</v>
      </c>
      <c r="R456" s="17">
        <f t="shared" si="37"/>
        <v>0.29149884886441707</v>
      </c>
      <c r="S456" s="17">
        <f t="shared" si="38"/>
        <v>0.26455522090434597</v>
      </c>
      <c r="T456" s="38" t="str">
        <f t="shared" si="39"/>
        <v/>
      </c>
      <c r="U456" s="31" t="s">
        <v>1876</v>
      </c>
      <c r="V456" s="31"/>
    </row>
    <row r="457" spans="1:22" ht="30">
      <c r="A457" s="7">
        <v>23</v>
      </c>
      <c r="B457" s="7">
        <v>228</v>
      </c>
      <c r="C457" s="7">
        <v>46417.625</v>
      </c>
      <c r="D457" s="7" t="s">
        <v>53</v>
      </c>
      <c r="E457" s="7" t="s">
        <v>39</v>
      </c>
      <c r="F457" s="7" t="s">
        <v>1743</v>
      </c>
      <c r="G457" s="7">
        <v>4</v>
      </c>
      <c r="H457" s="37">
        <f>Priors!$H$27*VLOOKUP(D457,Team_26_27!$A$2:$U$21,20,FALSE)*VLOOKUP(E457,Team_26_27!$A$2:$U$21,21,FALSE)*IF(F457="H",Priors!$H$28,Priors!$H$29)</f>
        <v>1.2327192222065328</v>
      </c>
      <c r="I457" s="37">
        <f>Priors!$H$27*VLOOKUP(E457,Team_26_27!$A$2:$U$21,20,FALSE)*VLOOKUP(D457,Team_26_27!$A$2:$U$21,21,FALSE)*IF(F457="H",Priors!$H$29,Priors!$H$28)</f>
        <v>1.3297052747885669</v>
      </c>
      <c r="J457" s="15"/>
      <c r="K457" s="15"/>
      <c r="L457" s="47" t="b">
        <v>0</v>
      </c>
      <c r="M457" s="45">
        <v>0</v>
      </c>
      <c r="N457" s="45"/>
      <c r="O457" s="45"/>
      <c r="P457" s="38">
        <f t="shared" si="35"/>
        <v>1.2327192222065328</v>
      </c>
      <c r="Q457" s="38">
        <f t="shared" si="36"/>
        <v>1.3297052747885669</v>
      </c>
      <c r="R457" s="17">
        <f t="shared" si="37"/>
        <v>0.26455522090434597</v>
      </c>
      <c r="S457" s="17">
        <f t="shared" si="38"/>
        <v>0.29149884886441707</v>
      </c>
      <c r="T457" s="38" t="str">
        <f t="shared" si="39"/>
        <v/>
      </c>
      <c r="U457" s="31" t="s">
        <v>1876</v>
      </c>
      <c r="V457" s="31"/>
    </row>
    <row r="458" spans="1:22" ht="30">
      <c r="A458" s="7">
        <v>23</v>
      </c>
      <c r="B458" s="7">
        <v>229</v>
      </c>
      <c r="C458" s="7">
        <v>46417.625</v>
      </c>
      <c r="D458" s="7" t="s">
        <v>43</v>
      </c>
      <c r="E458" s="7" t="s">
        <v>55</v>
      </c>
      <c r="F458" s="7" t="s">
        <v>1742</v>
      </c>
      <c r="G458" s="7">
        <v>3</v>
      </c>
      <c r="H458" s="37">
        <f>Priors!$H$27*VLOOKUP(D458,Team_26_27!$A$2:$U$21,20,FALSE)*VLOOKUP(E458,Team_26_27!$A$2:$U$21,21,FALSE)*IF(F458="H",Priors!$H$28,Priors!$H$29)</f>
        <v>1.3121485405178435</v>
      </c>
      <c r="I458" s="37">
        <f>Priors!$H$27*VLOOKUP(E458,Team_26_27!$A$2:$U$21,20,FALSE)*VLOOKUP(D458,Team_26_27!$A$2:$U$21,21,FALSE)*IF(F458="H",Priors!$H$29,Priors!$H$28)</f>
        <v>1.5162094869994105</v>
      </c>
      <c r="J458" s="15"/>
      <c r="K458" s="15"/>
      <c r="L458" s="47" t="b">
        <v>0</v>
      </c>
      <c r="M458" s="45">
        <v>0</v>
      </c>
      <c r="N458" s="45"/>
      <c r="O458" s="45"/>
      <c r="P458" s="38">
        <f t="shared" si="35"/>
        <v>1.3121485405178435</v>
      </c>
      <c r="Q458" s="38">
        <f t="shared" si="36"/>
        <v>1.5162094869994105</v>
      </c>
      <c r="R458" s="17">
        <f t="shared" si="37"/>
        <v>0.21954249041519477</v>
      </c>
      <c r="S458" s="17">
        <f t="shared" si="38"/>
        <v>0.26924095939046566</v>
      </c>
      <c r="T458" s="38" t="str">
        <f t="shared" si="39"/>
        <v/>
      </c>
      <c r="U458" s="31" t="s">
        <v>1876</v>
      </c>
      <c r="V458" s="31"/>
    </row>
    <row r="459" spans="1:22" ht="30">
      <c r="A459" s="7">
        <v>23</v>
      </c>
      <c r="B459" s="7">
        <v>229</v>
      </c>
      <c r="C459" s="7">
        <v>46417.625</v>
      </c>
      <c r="D459" s="7" t="s">
        <v>55</v>
      </c>
      <c r="E459" s="7" t="s">
        <v>43</v>
      </c>
      <c r="F459" s="7" t="s">
        <v>1743</v>
      </c>
      <c r="G459" s="7">
        <v>2</v>
      </c>
      <c r="H459" s="37">
        <f>Priors!$H$27*VLOOKUP(D459,Team_26_27!$A$2:$U$21,20,FALSE)*VLOOKUP(E459,Team_26_27!$A$2:$U$21,21,FALSE)*IF(F459="H",Priors!$H$28,Priors!$H$29)</f>
        <v>1.5162094869994105</v>
      </c>
      <c r="I459" s="37">
        <f>Priors!$H$27*VLOOKUP(E459,Team_26_27!$A$2:$U$21,20,FALSE)*VLOOKUP(D459,Team_26_27!$A$2:$U$21,21,FALSE)*IF(F459="H",Priors!$H$29,Priors!$H$28)</f>
        <v>1.3121485405178435</v>
      </c>
      <c r="J459" s="15"/>
      <c r="K459" s="15"/>
      <c r="L459" s="47" t="b">
        <v>0</v>
      </c>
      <c r="M459" s="45">
        <v>0</v>
      </c>
      <c r="N459" s="45"/>
      <c r="O459" s="45"/>
      <c r="P459" s="38">
        <f t="shared" si="35"/>
        <v>1.5162094869994105</v>
      </c>
      <c r="Q459" s="38">
        <f t="shared" si="36"/>
        <v>1.3121485405178435</v>
      </c>
      <c r="R459" s="17">
        <f t="shared" si="37"/>
        <v>0.26924095939046566</v>
      </c>
      <c r="S459" s="17">
        <f t="shared" si="38"/>
        <v>0.21954249041519477</v>
      </c>
      <c r="T459" s="38" t="str">
        <f t="shared" si="39"/>
        <v/>
      </c>
      <c r="U459" s="31" t="s">
        <v>1876</v>
      </c>
      <c r="V459" s="31"/>
    </row>
    <row r="460" spans="1:22" ht="30">
      <c r="A460" s="7">
        <v>23</v>
      </c>
      <c r="B460" s="7">
        <v>230</v>
      </c>
      <c r="C460" s="7">
        <v>46417.625</v>
      </c>
      <c r="D460" s="7" t="s">
        <v>58</v>
      </c>
      <c r="E460" s="7" t="s">
        <v>57</v>
      </c>
      <c r="F460" s="7" t="s">
        <v>1742</v>
      </c>
      <c r="G460" s="7">
        <v>3</v>
      </c>
      <c r="H460" s="37">
        <f>Priors!$H$27*VLOOKUP(D460,Team_26_27!$A$2:$U$21,20,FALSE)*VLOOKUP(E460,Team_26_27!$A$2:$U$21,21,FALSE)*IF(F460="H",Priors!$H$28,Priors!$H$29)</f>
        <v>1.0113014106184695</v>
      </c>
      <c r="I460" s="37">
        <f>Priors!$H$27*VLOOKUP(E460,Team_26_27!$A$2:$U$21,20,FALSE)*VLOOKUP(D460,Team_26_27!$A$2:$U$21,21,FALSE)*IF(F460="H",Priors!$H$29,Priors!$H$28)</f>
        <v>1.2932816735038668</v>
      </c>
      <c r="J460" s="15"/>
      <c r="K460" s="15"/>
      <c r="L460" s="47" t="b">
        <v>0</v>
      </c>
      <c r="M460" s="45">
        <v>0</v>
      </c>
      <c r="N460" s="45"/>
      <c r="O460" s="45"/>
      <c r="P460" s="38">
        <f t="shared" si="35"/>
        <v>1.0113014106184695</v>
      </c>
      <c r="Q460" s="38">
        <f t="shared" si="36"/>
        <v>1.2932816735038668</v>
      </c>
      <c r="R460" s="17">
        <f t="shared" si="37"/>
        <v>0.27436891488237813</v>
      </c>
      <c r="S460" s="17">
        <f t="shared" si="38"/>
        <v>0.36374528942361123</v>
      </c>
      <c r="T460" s="38" t="str">
        <f t="shared" si="39"/>
        <v/>
      </c>
      <c r="U460" s="31" t="s">
        <v>1876</v>
      </c>
      <c r="V460" s="31"/>
    </row>
    <row r="461" spans="1:22" ht="30">
      <c r="A461" s="7">
        <v>23</v>
      </c>
      <c r="B461" s="7">
        <v>230</v>
      </c>
      <c r="C461" s="7">
        <v>46417.625</v>
      </c>
      <c r="D461" s="7" t="s">
        <v>57</v>
      </c>
      <c r="E461" s="7" t="s">
        <v>58</v>
      </c>
      <c r="F461" s="7" t="s">
        <v>1743</v>
      </c>
      <c r="G461" s="7">
        <v>2</v>
      </c>
      <c r="H461" s="37">
        <f>Priors!$H$27*VLOOKUP(D461,Team_26_27!$A$2:$U$21,20,FALSE)*VLOOKUP(E461,Team_26_27!$A$2:$U$21,21,FALSE)*IF(F461="H",Priors!$H$28,Priors!$H$29)</f>
        <v>1.2932816735038668</v>
      </c>
      <c r="I461" s="37">
        <f>Priors!$H$27*VLOOKUP(E461,Team_26_27!$A$2:$U$21,20,FALSE)*VLOOKUP(D461,Team_26_27!$A$2:$U$21,21,FALSE)*IF(F461="H",Priors!$H$29,Priors!$H$28)</f>
        <v>1.0113014106184695</v>
      </c>
      <c r="J461" s="15"/>
      <c r="K461" s="15"/>
      <c r="L461" s="47" t="b">
        <v>0</v>
      </c>
      <c r="M461" s="45">
        <v>0</v>
      </c>
      <c r="N461" s="45"/>
      <c r="O461" s="45"/>
      <c r="P461" s="38">
        <f t="shared" si="35"/>
        <v>1.2932816735038668</v>
      </c>
      <c r="Q461" s="38">
        <f t="shared" si="36"/>
        <v>1.0113014106184695</v>
      </c>
      <c r="R461" s="17">
        <f t="shared" si="37"/>
        <v>0.36374528942361123</v>
      </c>
      <c r="S461" s="17">
        <f t="shared" si="38"/>
        <v>0.27436891488237813</v>
      </c>
      <c r="T461" s="38" t="str">
        <f t="shared" si="39"/>
        <v/>
      </c>
      <c r="U461" s="31" t="s">
        <v>1876</v>
      </c>
      <c r="V461" s="31"/>
    </row>
    <row r="462" spans="1:22" ht="30">
      <c r="A462" s="7">
        <v>24</v>
      </c>
      <c r="B462" s="7">
        <v>231</v>
      </c>
      <c r="C462" s="7">
        <v>46424.625</v>
      </c>
      <c r="D462" s="7" t="s">
        <v>52</v>
      </c>
      <c r="E462" s="7" t="s">
        <v>39</v>
      </c>
      <c r="F462" s="7" t="s">
        <v>1742</v>
      </c>
      <c r="G462" s="7">
        <v>5</v>
      </c>
      <c r="H462" s="37">
        <f>Priors!$H$27*VLOOKUP(D462,Team_26_27!$A$2:$U$21,20,FALSE)*VLOOKUP(E462,Team_26_27!$A$2:$U$21,21,FALSE)*IF(F462="H",Priors!$H$28,Priors!$H$29)</f>
        <v>0.91829612297299301</v>
      </c>
      <c r="I462" s="37">
        <f>Priors!$H$27*VLOOKUP(E462,Team_26_27!$A$2:$U$21,20,FALSE)*VLOOKUP(D462,Team_26_27!$A$2:$U$21,21,FALSE)*IF(F462="H",Priors!$H$29,Priors!$H$28)</f>
        <v>1.6845241051070914</v>
      </c>
      <c r="J462" s="15"/>
      <c r="K462" s="15"/>
      <c r="L462" s="47" t="b">
        <v>0</v>
      </c>
      <c r="M462" s="45">
        <v>0</v>
      </c>
      <c r="N462" s="45"/>
      <c r="O462" s="45"/>
      <c r="P462" s="38">
        <f t="shared" si="35"/>
        <v>0.91829612297299301</v>
      </c>
      <c r="Q462" s="38">
        <f t="shared" si="36"/>
        <v>1.6845241051070914</v>
      </c>
      <c r="R462" s="17">
        <f t="shared" si="37"/>
        <v>0.18553270501674049</v>
      </c>
      <c r="S462" s="17">
        <f t="shared" si="38"/>
        <v>0.3991986473417683</v>
      </c>
      <c r="T462" s="38" t="str">
        <f t="shared" si="39"/>
        <v/>
      </c>
      <c r="U462" s="31" t="s">
        <v>1876</v>
      </c>
      <c r="V462" s="31"/>
    </row>
    <row r="463" spans="1:22" ht="30">
      <c r="A463" s="7">
        <v>24</v>
      </c>
      <c r="B463" s="7">
        <v>231</v>
      </c>
      <c r="C463" s="7">
        <v>46424.625</v>
      </c>
      <c r="D463" s="7" t="s">
        <v>39</v>
      </c>
      <c r="E463" s="7" t="s">
        <v>52</v>
      </c>
      <c r="F463" s="7" t="s">
        <v>1743</v>
      </c>
      <c r="G463" s="7">
        <v>4</v>
      </c>
      <c r="H463" s="37">
        <f>Priors!$H$27*VLOOKUP(D463,Team_26_27!$A$2:$U$21,20,FALSE)*VLOOKUP(E463,Team_26_27!$A$2:$U$21,21,FALSE)*IF(F463="H",Priors!$H$28,Priors!$H$29)</f>
        <v>1.6845241051070914</v>
      </c>
      <c r="I463" s="37">
        <f>Priors!$H$27*VLOOKUP(E463,Team_26_27!$A$2:$U$21,20,FALSE)*VLOOKUP(D463,Team_26_27!$A$2:$U$21,21,FALSE)*IF(F463="H",Priors!$H$29,Priors!$H$28)</f>
        <v>0.91829612297299301</v>
      </c>
      <c r="J463" s="15"/>
      <c r="K463" s="15"/>
      <c r="L463" s="47" t="b">
        <v>0</v>
      </c>
      <c r="M463" s="45">
        <v>0</v>
      </c>
      <c r="N463" s="45"/>
      <c r="O463" s="45"/>
      <c r="P463" s="38">
        <f t="shared" si="35"/>
        <v>1.6845241051070914</v>
      </c>
      <c r="Q463" s="38">
        <f t="shared" si="36"/>
        <v>0.91829612297299301</v>
      </c>
      <c r="R463" s="17">
        <f t="shared" si="37"/>
        <v>0.3991986473417683</v>
      </c>
      <c r="S463" s="17">
        <f t="shared" si="38"/>
        <v>0.18553270501674049</v>
      </c>
      <c r="T463" s="38" t="str">
        <f t="shared" si="39"/>
        <v/>
      </c>
      <c r="U463" s="31" t="s">
        <v>1876</v>
      </c>
      <c r="V463" s="31"/>
    </row>
    <row r="464" spans="1:22" ht="30">
      <c r="A464" s="7">
        <v>24</v>
      </c>
      <c r="B464" s="7">
        <v>232</v>
      </c>
      <c r="C464" s="7">
        <v>46424.625</v>
      </c>
      <c r="D464" s="7" t="s">
        <v>49</v>
      </c>
      <c r="E464" s="7" t="s">
        <v>43</v>
      </c>
      <c r="F464" s="7" t="s">
        <v>1742</v>
      </c>
      <c r="G464" s="7">
        <v>3</v>
      </c>
      <c r="H464" s="37">
        <f>Priors!$H$27*VLOOKUP(D464,Team_26_27!$A$2:$U$21,20,FALSE)*VLOOKUP(E464,Team_26_27!$A$2:$U$21,21,FALSE)*IF(F464="H",Priors!$H$28,Priors!$H$29)</f>
        <v>0.83146816952595115</v>
      </c>
      <c r="I464" s="37">
        <f>Priors!$H$27*VLOOKUP(E464,Team_26_27!$A$2:$U$21,20,FALSE)*VLOOKUP(D464,Team_26_27!$A$2:$U$21,21,FALSE)*IF(F464="H",Priors!$H$29,Priors!$H$28)</f>
        <v>2.2325992325382749</v>
      </c>
      <c r="J464" s="15"/>
      <c r="K464" s="15"/>
      <c r="L464" s="47" t="b">
        <v>0</v>
      </c>
      <c r="M464" s="45">
        <v>0</v>
      </c>
      <c r="N464" s="45"/>
      <c r="O464" s="45"/>
      <c r="P464" s="38">
        <f t="shared" si="35"/>
        <v>0.83146816952595115</v>
      </c>
      <c r="Q464" s="38">
        <f t="shared" si="36"/>
        <v>2.2325992325382749</v>
      </c>
      <c r="R464" s="17">
        <f t="shared" si="37"/>
        <v>0.10724930165845625</v>
      </c>
      <c r="S464" s="17">
        <f t="shared" si="38"/>
        <v>0.43540956177449974</v>
      </c>
      <c r="T464" s="38" t="str">
        <f t="shared" si="39"/>
        <v/>
      </c>
      <c r="U464" s="31" t="s">
        <v>1876</v>
      </c>
      <c r="V464" s="31"/>
    </row>
    <row r="465" spans="1:22" ht="30">
      <c r="A465" s="7">
        <v>24</v>
      </c>
      <c r="B465" s="7">
        <v>232</v>
      </c>
      <c r="C465" s="7">
        <v>46424.625</v>
      </c>
      <c r="D465" s="7" t="s">
        <v>43</v>
      </c>
      <c r="E465" s="7" t="s">
        <v>49</v>
      </c>
      <c r="F465" s="7" t="s">
        <v>1743</v>
      </c>
      <c r="G465" s="7">
        <v>2</v>
      </c>
      <c r="H465" s="37">
        <f>Priors!$H$27*VLOOKUP(D465,Team_26_27!$A$2:$U$21,20,FALSE)*VLOOKUP(E465,Team_26_27!$A$2:$U$21,21,FALSE)*IF(F465="H",Priors!$H$28,Priors!$H$29)</f>
        <v>2.2325992325382749</v>
      </c>
      <c r="I465" s="37">
        <f>Priors!$H$27*VLOOKUP(E465,Team_26_27!$A$2:$U$21,20,FALSE)*VLOOKUP(D465,Team_26_27!$A$2:$U$21,21,FALSE)*IF(F465="H",Priors!$H$29,Priors!$H$28)</f>
        <v>0.83146816952595115</v>
      </c>
      <c r="J465" s="15"/>
      <c r="K465" s="15"/>
      <c r="L465" s="47" t="b">
        <v>0</v>
      </c>
      <c r="M465" s="45">
        <v>0</v>
      </c>
      <c r="N465" s="45"/>
      <c r="O465" s="45"/>
      <c r="P465" s="38">
        <f t="shared" si="35"/>
        <v>2.2325992325382749</v>
      </c>
      <c r="Q465" s="38">
        <f t="shared" si="36"/>
        <v>0.83146816952595115</v>
      </c>
      <c r="R465" s="17">
        <f t="shared" si="37"/>
        <v>0.43540956177449974</v>
      </c>
      <c r="S465" s="17">
        <f t="shared" si="38"/>
        <v>0.10724930165845625</v>
      </c>
      <c r="T465" s="38" t="str">
        <f t="shared" si="39"/>
        <v/>
      </c>
      <c r="U465" s="31" t="s">
        <v>1876</v>
      </c>
      <c r="V465" s="31"/>
    </row>
    <row r="466" spans="1:22" ht="30">
      <c r="A466" s="7">
        <v>24</v>
      </c>
      <c r="B466" s="7">
        <v>233</v>
      </c>
      <c r="C466" s="7">
        <v>46424.625</v>
      </c>
      <c r="D466" s="7" t="s">
        <v>45</v>
      </c>
      <c r="E466" s="7" t="s">
        <v>46</v>
      </c>
      <c r="F466" s="7" t="s">
        <v>1742</v>
      </c>
      <c r="G466" s="7">
        <v>3</v>
      </c>
      <c r="H466" s="37">
        <f>Priors!$H$27*VLOOKUP(D466,Team_26_27!$A$2:$U$21,20,FALSE)*VLOOKUP(E466,Team_26_27!$A$2:$U$21,21,FALSE)*IF(F466="H",Priors!$H$28,Priors!$H$29)</f>
        <v>0.98053853898662424</v>
      </c>
      <c r="I466" s="37">
        <f>Priors!$H$27*VLOOKUP(E466,Team_26_27!$A$2:$U$21,20,FALSE)*VLOOKUP(D466,Team_26_27!$A$2:$U$21,21,FALSE)*IF(F466="H",Priors!$H$29,Priors!$H$28)</f>
        <v>2.033304089300692</v>
      </c>
      <c r="J466" s="15"/>
      <c r="K466" s="15"/>
      <c r="L466" s="47" t="b">
        <v>0</v>
      </c>
      <c r="M466" s="45">
        <v>0</v>
      </c>
      <c r="N466" s="45"/>
      <c r="O466" s="45"/>
      <c r="P466" s="38">
        <f t="shared" si="35"/>
        <v>0.98053853898662424</v>
      </c>
      <c r="Q466" s="38">
        <f t="shared" si="36"/>
        <v>2.033304089300692</v>
      </c>
      <c r="R466" s="17">
        <f t="shared" si="37"/>
        <v>0.13090229296469844</v>
      </c>
      <c r="S466" s="17">
        <f t="shared" si="38"/>
        <v>0.3751090336074448</v>
      </c>
      <c r="T466" s="38" t="str">
        <f t="shared" si="39"/>
        <v/>
      </c>
      <c r="U466" s="31" t="s">
        <v>1876</v>
      </c>
      <c r="V466" s="31"/>
    </row>
    <row r="467" spans="1:22" ht="30">
      <c r="A467" s="7">
        <v>24</v>
      </c>
      <c r="B467" s="7">
        <v>233</v>
      </c>
      <c r="C467" s="7">
        <v>46424.625</v>
      </c>
      <c r="D467" s="7" t="s">
        <v>46</v>
      </c>
      <c r="E467" s="7" t="s">
        <v>45</v>
      </c>
      <c r="F467" s="7" t="s">
        <v>1743</v>
      </c>
      <c r="G467" s="7">
        <v>2</v>
      </c>
      <c r="H467" s="37">
        <f>Priors!$H$27*VLOOKUP(D467,Team_26_27!$A$2:$U$21,20,FALSE)*VLOOKUP(E467,Team_26_27!$A$2:$U$21,21,FALSE)*IF(F467="H",Priors!$H$28,Priors!$H$29)</f>
        <v>2.033304089300692</v>
      </c>
      <c r="I467" s="37">
        <f>Priors!$H$27*VLOOKUP(E467,Team_26_27!$A$2:$U$21,20,FALSE)*VLOOKUP(D467,Team_26_27!$A$2:$U$21,21,FALSE)*IF(F467="H",Priors!$H$29,Priors!$H$28)</f>
        <v>0.98053853898662424</v>
      </c>
      <c r="J467" s="15"/>
      <c r="K467" s="15"/>
      <c r="L467" s="47" t="b">
        <v>0</v>
      </c>
      <c r="M467" s="45">
        <v>0</v>
      </c>
      <c r="N467" s="45"/>
      <c r="O467" s="45"/>
      <c r="P467" s="38">
        <f t="shared" si="35"/>
        <v>2.033304089300692</v>
      </c>
      <c r="Q467" s="38">
        <f t="shared" si="36"/>
        <v>0.98053853898662424</v>
      </c>
      <c r="R467" s="17">
        <f t="shared" si="37"/>
        <v>0.3751090336074448</v>
      </c>
      <c r="S467" s="17">
        <f t="shared" si="38"/>
        <v>0.13090229296469844</v>
      </c>
      <c r="T467" s="38" t="str">
        <f t="shared" si="39"/>
        <v/>
      </c>
      <c r="U467" s="31" t="s">
        <v>1876</v>
      </c>
      <c r="V467" s="31"/>
    </row>
    <row r="468" spans="1:22" ht="30">
      <c r="A468" s="7">
        <v>24</v>
      </c>
      <c r="B468" s="7">
        <v>234</v>
      </c>
      <c r="C468" s="7">
        <v>46424.625</v>
      </c>
      <c r="D468" s="7" t="s">
        <v>55</v>
      </c>
      <c r="E468" s="7" t="s">
        <v>47</v>
      </c>
      <c r="F468" s="7" t="s">
        <v>1742</v>
      </c>
      <c r="G468" s="7">
        <v>3</v>
      </c>
      <c r="H468" s="37">
        <f>Priors!$H$27*VLOOKUP(D468,Team_26_27!$A$2:$U$21,20,FALSE)*VLOOKUP(E468,Team_26_27!$A$2:$U$21,21,FALSE)*IF(F468="H",Priors!$H$28,Priors!$H$29)</f>
        <v>1.3682765187874373</v>
      </c>
      <c r="I468" s="37">
        <f>Priors!$H$27*VLOOKUP(E468,Team_26_27!$A$2:$U$21,20,FALSE)*VLOOKUP(D468,Team_26_27!$A$2:$U$21,21,FALSE)*IF(F468="H",Priors!$H$29,Priors!$H$28)</f>
        <v>1.3810550140831463</v>
      </c>
      <c r="J468" s="15"/>
      <c r="K468" s="15"/>
      <c r="L468" s="47" t="b">
        <v>0</v>
      </c>
      <c r="M468" s="45">
        <v>0</v>
      </c>
      <c r="N468" s="45"/>
      <c r="O468" s="45"/>
      <c r="P468" s="38">
        <f t="shared" si="35"/>
        <v>1.3682765187874373</v>
      </c>
      <c r="Q468" s="38">
        <f t="shared" si="36"/>
        <v>1.3810550140831463</v>
      </c>
      <c r="R468" s="17">
        <f t="shared" si="37"/>
        <v>0.25131327410438364</v>
      </c>
      <c r="S468" s="17">
        <f t="shared" si="38"/>
        <v>0.25454528573854418</v>
      </c>
      <c r="T468" s="38" t="str">
        <f t="shared" si="39"/>
        <v/>
      </c>
      <c r="U468" s="31" t="s">
        <v>1876</v>
      </c>
      <c r="V468" s="31"/>
    </row>
    <row r="469" spans="1:22" ht="30">
      <c r="A469" s="7">
        <v>24</v>
      </c>
      <c r="B469" s="7">
        <v>234</v>
      </c>
      <c r="C469" s="7">
        <v>46424.625</v>
      </c>
      <c r="D469" s="7" t="s">
        <v>47</v>
      </c>
      <c r="E469" s="7" t="s">
        <v>55</v>
      </c>
      <c r="F469" s="7" t="s">
        <v>1743</v>
      </c>
      <c r="G469" s="7">
        <v>2</v>
      </c>
      <c r="H469" s="37">
        <f>Priors!$H$27*VLOOKUP(D469,Team_26_27!$A$2:$U$21,20,FALSE)*VLOOKUP(E469,Team_26_27!$A$2:$U$21,21,FALSE)*IF(F469="H",Priors!$H$28,Priors!$H$29)</f>
        <v>1.3810550140831463</v>
      </c>
      <c r="I469" s="37">
        <f>Priors!$H$27*VLOOKUP(E469,Team_26_27!$A$2:$U$21,20,FALSE)*VLOOKUP(D469,Team_26_27!$A$2:$U$21,21,FALSE)*IF(F469="H",Priors!$H$29,Priors!$H$28)</f>
        <v>1.3682765187874373</v>
      </c>
      <c r="J469" s="15"/>
      <c r="K469" s="15"/>
      <c r="L469" s="47" t="b">
        <v>0</v>
      </c>
      <c r="M469" s="45">
        <v>0</v>
      </c>
      <c r="N469" s="45"/>
      <c r="O469" s="45"/>
      <c r="P469" s="38">
        <f t="shared" si="35"/>
        <v>1.3810550140831463</v>
      </c>
      <c r="Q469" s="38">
        <f t="shared" si="36"/>
        <v>1.3682765187874373</v>
      </c>
      <c r="R469" s="17">
        <f t="shared" si="37"/>
        <v>0.25454528573854418</v>
      </c>
      <c r="S469" s="17">
        <f t="shared" si="38"/>
        <v>0.25131327410438364</v>
      </c>
      <c r="T469" s="38" t="str">
        <f t="shared" si="39"/>
        <v/>
      </c>
      <c r="U469" s="31" t="s">
        <v>1876</v>
      </c>
      <c r="V469" s="31"/>
    </row>
    <row r="470" spans="1:22" ht="30">
      <c r="A470" s="7">
        <v>24</v>
      </c>
      <c r="B470" s="7">
        <v>235</v>
      </c>
      <c r="C470" s="7">
        <v>46424.625</v>
      </c>
      <c r="D470" s="7" t="s">
        <v>53</v>
      </c>
      <c r="E470" s="7" t="s">
        <v>48</v>
      </c>
      <c r="F470" s="7" t="s">
        <v>1742</v>
      </c>
      <c r="G470" s="7">
        <v>3</v>
      </c>
      <c r="H470" s="37">
        <f>Priors!$H$27*VLOOKUP(D470,Team_26_27!$A$2:$U$21,20,FALSE)*VLOOKUP(E470,Team_26_27!$A$2:$U$21,21,FALSE)*IF(F470="H",Priors!$H$28,Priors!$H$29)</f>
        <v>1.5031479529087823</v>
      </c>
      <c r="I470" s="37">
        <f>Priors!$H$27*VLOOKUP(E470,Team_26_27!$A$2:$U$21,20,FALSE)*VLOOKUP(D470,Team_26_27!$A$2:$U$21,21,FALSE)*IF(F470="H",Priors!$H$29,Priors!$H$28)</f>
        <v>1.3274062013097201</v>
      </c>
      <c r="J470" s="15"/>
      <c r="K470" s="15"/>
      <c r="L470" s="47" t="b">
        <v>0</v>
      </c>
      <c r="M470" s="45">
        <v>0</v>
      </c>
      <c r="N470" s="45"/>
      <c r="O470" s="45"/>
      <c r="P470" s="38">
        <f t="shared" si="35"/>
        <v>1.5031479529087823</v>
      </c>
      <c r="Q470" s="38">
        <f t="shared" si="36"/>
        <v>1.3274062013097201</v>
      </c>
      <c r="R470" s="17">
        <f t="shared" si="37"/>
        <v>0.26516415251745756</v>
      </c>
      <c r="S470" s="17">
        <f t="shared" si="38"/>
        <v>0.22242886131873185</v>
      </c>
      <c r="T470" s="38" t="str">
        <f t="shared" si="39"/>
        <v/>
      </c>
      <c r="U470" s="31" t="s">
        <v>1876</v>
      </c>
      <c r="V470" s="31"/>
    </row>
    <row r="471" spans="1:22" ht="30">
      <c r="A471" s="7">
        <v>24</v>
      </c>
      <c r="B471" s="7">
        <v>235</v>
      </c>
      <c r="C471" s="7">
        <v>46424.625</v>
      </c>
      <c r="D471" s="7" t="s">
        <v>48</v>
      </c>
      <c r="E471" s="7" t="s">
        <v>53</v>
      </c>
      <c r="F471" s="7" t="s">
        <v>1743</v>
      </c>
      <c r="G471" s="7">
        <v>4</v>
      </c>
      <c r="H471" s="37">
        <f>Priors!$H$27*VLOOKUP(D471,Team_26_27!$A$2:$U$21,20,FALSE)*VLOOKUP(E471,Team_26_27!$A$2:$U$21,21,FALSE)*IF(F471="H",Priors!$H$28,Priors!$H$29)</f>
        <v>1.3274062013097201</v>
      </c>
      <c r="I471" s="37">
        <f>Priors!$H$27*VLOOKUP(E471,Team_26_27!$A$2:$U$21,20,FALSE)*VLOOKUP(D471,Team_26_27!$A$2:$U$21,21,FALSE)*IF(F471="H",Priors!$H$29,Priors!$H$28)</f>
        <v>1.5031479529087823</v>
      </c>
      <c r="J471" s="15"/>
      <c r="K471" s="15"/>
      <c r="L471" s="47" t="b">
        <v>0</v>
      </c>
      <c r="M471" s="45">
        <v>0</v>
      </c>
      <c r="N471" s="45"/>
      <c r="O471" s="45"/>
      <c r="P471" s="38">
        <f t="shared" si="35"/>
        <v>1.3274062013097201</v>
      </c>
      <c r="Q471" s="38">
        <f t="shared" si="36"/>
        <v>1.5031479529087823</v>
      </c>
      <c r="R471" s="17">
        <f t="shared" si="37"/>
        <v>0.22242886131873185</v>
      </c>
      <c r="S471" s="17">
        <f t="shared" si="38"/>
        <v>0.26516415251745756</v>
      </c>
      <c r="T471" s="38" t="str">
        <f t="shared" si="39"/>
        <v/>
      </c>
      <c r="U471" s="31" t="s">
        <v>1876</v>
      </c>
      <c r="V471" s="31"/>
    </row>
    <row r="472" spans="1:22" ht="30">
      <c r="A472" s="7">
        <v>24</v>
      </c>
      <c r="B472" s="7">
        <v>236</v>
      </c>
      <c r="C472" s="7">
        <v>46424.625</v>
      </c>
      <c r="D472" s="7" t="s">
        <v>57</v>
      </c>
      <c r="E472" s="7" t="s">
        <v>50</v>
      </c>
      <c r="F472" s="7" t="s">
        <v>1742</v>
      </c>
      <c r="G472" s="7">
        <v>2</v>
      </c>
      <c r="H472" s="37">
        <f>Priors!$H$27*VLOOKUP(D472,Team_26_27!$A$2:$U$21,20,FALSE)*VLOOKUP(E472,Team_26_27!$A$2:$U$21,21,FALSE)*IF(F472="H",Priors!$H$28,Priors!$H$29)</f>
        <v>1.2836409834538061</v>
      </c>
      <c r="I472" s="37">
        <f>Priors!$H$27*VLOOKUP(E472,Team_26_27!$A$2:$U$21,20,FALSE)*VLOOKUP(D472,Team_26_27!$A$2:$U$21,21,FALSE)*IF(F472="H",Priors!$H$29,Priors!$H$28)</f>
        <v>1.1598236673852913</v>
      </c>
      <c r="J472" s="15"/>
      <c r="K472" s="15"/>
      <c r="L472" s="47" t="b">
        <v>0</v>
      </c>
      <c r="M472" s="45">
        <v>0</v>
      </c>
      <c r="N472" s="45"/>
      <c r="O472" s="45"/>
      <c r="P472" s="38">
        <f t="shared" si="35"/>
        <v>1.2836409834538061</v>
      </c>
      <c r="Q472" s="38">
        <f t="shared" si="36"/>
        <v>1.1598236673852913</v>
      </c>
      <c r="R472" s="17">
        <f t="shared" si="37"/>
        <v>0.3135414635944847</v>
      </c>
      <c r="S472" s="17">
        <f t="shared" si="38"/>
        <v>0.27702681194498924</v>
      </c>
      <c r="T472" s="38" t="str">
        <f t="shared" si="39"/>
        <v/>
      </c>
      <c r="U472" s="31" t="s">
        <v>1876</v>
      </c>
      <c r="V472" s="31"/>
    </row>
    <row r="473" spans="1:22" ht="30">
      <c r="A473" s="7">
        <v>24</v>
      </c>
      <c r="B473" s="7">
        <v>236</v>
      </c>
      <c r="C473" s="7">
        <v>46424.625</v>
      </c>
      <c r="D473" s="7" t="s">
        <v>50</v>
      </c>
      <c r="E473" s="7" t="s">
        <v>57</v>
      </c>
      <c r="F473" s="7" t="s">
        <v>1743</v>
      </c>
      <c r="G473" s="7">
        <v>3</v>
      </c>
      <c r="H473" s="37">
        <f>Priors!$H$27*VLOOKUP(D473,Team_26_27!$A$2:$U$21,20,FALSE)*VLOOKUP(E473,Team_26_27!$A$2:$U$21,21,FALSE)*IF(F473="H",Priors!$H$28,Priors!$H$29)</f>
        <v>1.1598236673852913</v>
      </c>
      <c r="I473" s="37">
        <f>Priors!$H$27*VLOOKUP(E473,Team_26_27!$A$2:$U$21,20,FALSE)*VLOOKUP(D473,Team_26_27!$A$2:$U$21,21,FALSE)*IF(F473="H",Priors!$H$29,Priors!$H$28)</f>
        <v>1.2836409834538061</v>
      </c>
      <c r="J473" s="15"/>
      <c r="K473" s="15"/>
      <c r="L473" s="47" t="b">
        <v>0</v>
      </c>
      <c r="M473" s="45">
        <v>0</v>
      </c>
      <c r="N473" s="45"/>
      <c r="O473" s="45"/>
      <c r="P473" s="38">
        <f t="shared" si="35"/>
        <v>1.1598236673852913</v>
      </c>
      <c r="Q473" s="38">
        <f t="shared" si="36"/>
        <v>1.2836409834538061</v>
      </c>
      <c r="R473" s="17">
        <f t="shared" si="37"/>
        <v>0.27702681194498924</v>
      </c>
      <c r="S473" s="17">
        <f t="shared" si="38"/>
        <v>0.3135414635944847</v>
      </c>
      <c r="T473" s="38" t="str">
        <f t="shared" si="39"/>
        <v/>
      </c>
      <c r="U473" s="31" t="s">
        <v>1876</v>
      </c>
      <c r="V473" s="31"/>
    </row>
    <row r="474" spans="1:22" ht="30">
      <c r="A474" s="7">
        <v>24</v>
      </c>
      <c r="B474" s="7">
        <v>237</v>
      </c>
      <c r="C474" s="7">
        <v>46424.625</v>
      </c>
      <c r="D474" s="7" t="s">
        <v>41</v>
      </c>
      <c r="E474" s="7" t="s">
        <v>51</v>
      </c>
      <c r="F474" s="7" t="s">
        <v>1742</v>
      </c>
      <c r="G474" s="7">
        <v>3</v>
      </c>
      <c r="H474" s="37">
        <f>Priors!$H$27*VLOOKUP(D474,Team_26_27!$A$2:$U$21,20,FALSE)*VLOOKUP(E474,Team_26_27!$A$2:$U$21,21,FALSE)*IF(F474="H",Priors!$H$28,Priors!$H$29)</f>
        <v>1.4191230652581044</v>
      </c>
      <c r="I474" s="37">
        <f>Priors!$H$27*VLOOKUP(E474,Team_26_27!$A$2:$U$21,20,FALSE)*VLOOKUP(D474,Team_26_27!$A$2:$U$21,21,FALSE)*IF(F474="H",Priors!$H$29,Priors!$H$28)</f>
        <v>1.6189879197198729</v>
      </c>
      <c r="J474" s="15"/>
      <c r="K474" s="15"/>
      <c r="L474" s="47" t="b">
        <v>0</v>
      </c>
      <c r="M474" s="45">
        <v>0</v>
      </c>
      <c r="N474" s="45"/>
      <c r="O474" s="45"/>
      <c r="P474" s="38">
        <f t="shared" si="35"/>
        <v>1.4191230652581044</v>
      </c>
      <c r="Q474" s="38">
        <f t="shared" si="36"/>
        <v>1.6189879197198729</v>
      </c>
      <c r="R474" s="17">
        <f t="shared" si="37"/>
        <v>0.19809908984308289</v>
      </c>
      <c r="S474" s="17">
        <f t="shared" si="38"/>
        <v>0.24192607728402718</v>
      </c>
      <c r="T474" s="38" t="str">
        <f t="shared" si="39"/>
        <v/>
      </c>
      <c r="U474" s="31" t="s">
        <v>1876</v>
      </c>
      <c r="V474" s="31"/>
    </row>
    <row r="475" spans="1:22" ht="30">
      <c r="A475" s="7">
        <v>24</v>
      </c>
      <c r="B475" s="7">
        <v>237</v>
      </c>
      <c r="C475" s="7">
        <v>46424.625</v>
      </c>
      <c r="D475" s="7" t="s">
        <v>51</v>
      </c>
      <c r="E475" s="7" t="s">
        <v>41</v>
      </c>
      <c r="F475" s="7" t="s">
        <v>1743</v>
      </c>
      <c r="G475" s="7">
        <v>3</v>
      </c>
      <c r="H475" s="37">
        <f>Priors!$H$27*VLOOKUP(D475,Team_26_27!$A$2:$U$21,20,FALSE)*VLOOKUP(E475,Team_26_27!$A$2:$U$21,21,FALSE)*IF(F475="H",Priors!$H$28,Priors!$H$29)</f>
        <v>1.6189879197198729</v>
      </c>
      <c r="I475" s="37">
        <f>Priors!$H$27*VLOOKUP(E475,Team_26_27!$A$2:$U$21,20,FALSE)*VLOOKUP(D475,Team_26_27!$A$2:$U$21,21,FALSE)*IF(F475="H",Priors!$H$29,Priors!$H$28)</f>
        <v>1.4191230652581044</v>
      </c>
      <c r="J475" s="15"/>
      <c r="K475" s="15"/>
      <c r="L475" s="47" t="b">
        <v>0</v>
      </c>
      <c r="M475" s="45">
        <v>0</v>
      </c>
      <c r="N475" s="45"/>
      <c r="O475" s="45"/>
      <c r="P475" s="38">
        <f t="shared" si="35"/>
        <v>1.6189879197198729</v>
      </c>
      <c r="Q475" s="38">
        <f t="shared" si="36"/>
        <v>1.4191230652581044</v>
      </c>
      <c r="R475" s="17">
        <f t="shared" si="37"/>
        <v>0.24192607728402718</v>
      </c>
      <c r="S475" s="17">
        <f t="shared" si="38"/>
        <v>0.19809908984308289</v>
      </c>
      <c r="T475" s="38" t="str">
        <f t="shared" si="39"/>
        <v/>
      </c>
      <c r="U475" s="31" t="s">
        <v>1876</v>
      </c>
      <c r="V475" s="31"/>
    </row>
    <row r="476" spans="1:22" ht="30">
      <c r="A476" s="7">
        <v>24</v>
      </c>
      <c r="B476" s="7">
        <v>238</v>
      </c>
      <c r="C476" s="7">
        <v>46424.625</v>
      </c>
      <c r="D476" s="7" t="s">
        <v>44</v>
      </c>
      <c r="E476" s="7" t="s">
        <v>54</v>
      </c>
      <c r="F476" s="7" t="s">
        <v>1742</v>
      </c>
      <c r="G476" s="7">
        <v>4</v>
      </c>
      <c r="H476" s="37">
        <f>Priors!$H$27*VLOOKUP(D476,Team_26_27!$A$2:$U$21,20,FALSE)*VLOOKUP(E476,Team_26_27!$A$2:$U$21,21,FALSE)*IF(F476="H",Priors!$H$28,Priors!$H$29)</f>
        <v>1.3470652403796133</v>
      </c>
      <c r="I476" s="37">
        <f>Priors!$H$27*VLOOKUP(E476,Team_26_27!$A$2:$U$21,20,FALSE)*VLOOKUP(D476,Team_26_27!$A$2:$U$21,21,FALSE)*IF(F476="H",Priors!$H$29,Priors!$H$28)</f>
        <v>1.7693436373286362</v>
      </c>
      <c r="J476" s="15"/>
      <c r="K476" s="15"/>
      <c r="L476" s="47" t="b">
        <v>0</v>
      </c>
      <c r="M476" s="45">
        <v>0</v>
      </c>
      <c r="N476" s="45"/>
      <c r="O476" s="45"/>
      <c r="P476" s="38">
        <f t="shared" si="35"/>
        <v>1.3470652403796133</v>
      </c>
      <c r="Q476" s="38">
        <f t="shared" si="36"/>
        <v>1.7693436373286362</v>
      </c>
      <c r="R476" s="17">
        <f t="shared" si="37"/>
        <v>0.17044482573974912</v>
      </c>
      <c r="S476" s="17">
        <f t="shared" si="38"/>
        <v>0.26000218598180835</v>
      </c>
      <c r="T476" s="38" t="str">
        <f t="shared" si="39"/>
        <v/>
      </c>
      <c r="U476" s="31" t="s">
        <v>1876</v>
      </c>
      <c r="V476" s="31"/>
    </row>
    <row r="477" spans="1:22" ht="30">
      <c r="A477" s="7">
        <v>24</v>
      </c>
      <c r="B477" s="7">
        <v>238</v>
      </c>
      <c r="C477" s="7">
        <v>46424.625</v>
      </c>
      <c r="D477" s="7" t="s">
        <v>54</v>
      </c>
      <c r="E477" s="7" t="s">
        <v>44</v>
      </c>
      <c r="F477" s="7" t="s">
        <v>1743</v>
      </c>
      <c r="G477" s="7">
        <v>4</v>
      </c>
      <c r="H477" s="37">
        <f>Priors!$H$27*VLOOKUP(D477,Team_26_27!$A$2:$U$21,20,FALSE)*VLOOKUP(E477,Team_26_27!$A$2:$U$21,21,FALSE)*IF(F477="H",Priors!$H$28,Priors!$H$29)</f>
        <v>1.7693436373286362</v>
      </c>
      <c r="I477" s="37">
        <f>Priors!$H$27*VLOOKUP(E477,Team_26_27!$A$2:$U$21,20,FALSE)*VLOOKUP(D477,Team_26_27!$A$2:$U$21,21,FALSE)*IF(F477="H",Priors!$H$29,Priors!$H$28)</f>
        <v>1.3470652403796133</v>
      </c>
      <c r="J477" s="15"/>
      <c r="K477" s="15"/>
      <c r="L477" s="47" t="b">
        <v>0</v>
      </c>
      <c r="M477" s="45">
        <v>0</v>
      </c>
      <c r="N477" s="45"/>
      <c r="O477" s="45"/>
      <c r="P477" s="38">
        <f t="shared" si="35"/>
        <v>1.7693436373286362</v>
      </c>
      <c r="Q477" s="38">
        <f t="shared" si="36"/>
        <v>1.3470652403796133</v>
      </c>
      <c r="R477" s="17">
        <f t="shared" si="37"/>
        <v>0.26000218598180835</v>
      </c>
      <c r="S477" s="17">
        <f t="shared" si="38"/>
        <v>0.17044482573974912</v>
      </c>
      <c r="T477" s="38" t="str">
        <f t="shared" si="39"/>
        <v/>
      </c>
      <c r="U477" s="31" t="s">
        <v>1876</v>
      </c>
      <c r="V477" s="31"/>
    </row>
    <row r="478" spans="1:22" ht="30">
      <c r="A478" s="7">
        <v>24</v>
      </c>
      <c r="B478" s="7">
        <v>239</v>
      </c>
      <c r="C478" s="7">
        <v>46424.625</v>
      </c>
      <c r="D478" s="7" t="s">
        <v>42</v>
      </c>
      <c r="E478" s="7" t="s">
        <v>56</v>
      </c>
      <c r="F478" s="7" t="s">
        <v>1742</v>
      </c>
      <c r="G478" s="7">
        <v>3</v>
      </c>
      <c r="H478" s="37">
        <f>Priors!$H$27*VLOOKUP(D478,Team_26_27!$A$2:$U$21,20,FALSE)*VLOOKUP(E478,Team_26_27!$A$2:$U$21,21,FALSE)*IF(F478="H",Priors!$H$28,Priors!$H$29)</f>
        <v>1.4367467242007161</v>
      </c>
      <c r="I478" s="37">
        <f>Priors!$H$27*VLOOKUP(E478,Team_26_27!$A$2:$U$21,20,FALSE)*VLOOKUP(D478,Team_26_27!$A$2:$U$21,21,FALSE)*IF(F478="H",Priors!$H$29,Priors!$H$28)</f>
        <v>1.44831474507895</v>
      </c>
      <c r="J478" s="15"/>
      <c r="K478" s="15"/>
      <c r="L478" s="47" t="b">
        <v>0</v>
      </c>
      <c r="M478" s="45">
        <v>0</v>
      </c>
      <c r="N478" s="45"/>
      <c r="O478" s="45"/>
      <c r="P478" s="38">
        <f t="shared" si="35"/>
        <v>1.4367467242007161</v>
      </c>
      <c r="Q478" s="38">
        <f t="shared" si="36"/>
        <v>1.44831474507895</v>
      </c>
      <c r="R478" s="17">
        <f t="shared" si="37"/>
        <v>0.2349659321130165</v>
      </c>
      <c r="S478" s="17">
        <f t="shared" si="38"/>
        <v>0.23769980518479014</v>
      </c>
      <c r="T478" s="38" t="str">
        <f t="shared" si="39"/>
        <v/>
      </c>
      <c r="U478" s="31" t="s">
        <v>1876</v>
      </c>
      <c r="V478" s="31"/>
    </row>
    <row r="479" spans="1:22" ht="30">
      <c r="A479" s="7">
        <v>24</v>
      </c>
      <c r="B479" s="7">
        <v>239</v>
      </c>
      <c r="C479" s="7">
        <v>46424.625</v>
      </c>
      <c r="D479" s="7" t="s">
        <v>56</v>
      </c>
      <c r="E479" s="7" t="s">
        <v>42</v>
      </c>
      <c r="F479" s="7" t="s">
        <v>1743</v>
      </c>
      <c r="G479" s="7">
        <v>3</v>
      </c>
      <c r="H479" s="37">
        <f>Priors!$H$27*VLOOKUP(D479,Team_26_27!$A$2:$U$21,20,FALSE)*VLOOKUP(E479,Team_26_27!$A$2:$U$21,21,FALSE)*IF(F479="H",Priors!$H$28,Priors!$H$29)</f>
        <v>1.44831474507895</v>
      </c>
      <c r="I479" s="37">
        <f>Priors!$H$27*VLOOKUP(E479,Team_26_27!$A$2:$U$21,20,FALSE)*VLOOKUP(D479,Team_26_27!$A$2:$U$21,21,FALSE)*IF(F479="H",Priors!$H$29,Priors!$H$28)</f>
        <v>1.4367467242007161</v>
      </c>
      <c r="J479" s="15"/>
      <c r="K479" s="15"/>
      <c r="L479" s="47" t="b">
        <v>0</v>
      </c>
      <c r="M479" s="45">
        <v>0</v>
      </c>
      <c r="N479" s="45"/>
      <c r="O479" s="45"/>
      <c r="P479" s="38">
        <f t="shared" si="35"/>
        <v>1.44831474507895</v>
      </c>
      <c r="Q479" s="38">
        <f t="shared" si="36"/>
        <v>1.4367467242007161</v>
      </c>
      <c r="R479" s="17">
        <f t="shared" si="37"/>
        <v>0.23769980518479014</v>
      </c>
      <c r="S479" s="17">
        <f t="shared" si="38"/>
        <v>0.2349659321130165</v>
      </c>
      <c r="T479" s="38" t="str">
        <f t="shared" si="39"/>
        <v/>
      </c>
      <c r="U479" s="31" t="s">
        <v>1876</v>
      </c>
      <c r="V479" s="31"/>
    </row>
    <row r="480" spans="1:22" ht="30">
      <c r="A480" s="7">
        <v>24</v>
      </c>
      <c r="B480" s="7">
        <v>240</v>
      </c>
      <c r="C480" s="7">
        <v>46424.625</v>
      </c>
      <c r="D480" s="7" t="s">
        <v>40</v>
      </c>
      <c r="E480" s="7" t="s">
        <v>58</v>
      </c>
      <c r="F480" s="7" t="s">
        <v>1742</v>
      </c>
      <c r="G480" s="7">
        <v>3</v>
      </c>
      <c r="H480" s="37">
        <f>Priors!$H$27*VLOOKUP(D480,Team_26_27!$A$2:$U$21,20,FALSE)*VLOOKUP(E480,Team_26_27!$A$2:$U$21,21,FALSE)*IF(F480="H",Priors!$H$28,Priors!$H$29)</f>
        <v>1.1963891816911667</v>
      </c>
      <c r="I480" s="37">
        <f>Priors!$H$27*VLOOKUP(E480,Team_26_27!$A$2:$U$21,20,FALSE)*VLOOKUP(D480,Team_26_27!$A$2:$U$21,21,FALSE)*IF(F480="H",Priors!$H$29,Priors!$H$28)</f>
        <v>1.2623814735900756</v>
      </c>
      <c r="J480" s="15"/>
      <c r="K480" s="15"/>
      <c r="L480" s="47" t="b">
        <v>0</v>
      </c>
      <c r="M480" s="45">
        <v>0</v>
      </c>
      <c r="N480" s="45"/>
      <c r="O480" s="45"/>
      <c r="P480" s="38">
        <f t="shared" si="35"/>
        <v>1.1963891816911667</v>
      </c>
      <c r="Q480" s="38">
        <f t="shared" si="36"/>
        <v>1.2623814735900756</v>
      </c>
      <c r="R480" s="17">
        <f t="shared" si="37"/>
        <v>0.28297931564885925</v>
      </c>
      <c r="S480" s="17">
        <f t="shared" si="38"/>
        <v>0.30228373533889003</v>
      </c>
      <c r="T480" s="38" t="str">
        <f t="shared" si="39"/>
        <v/>
      </c>
      <c r="U480" s="31" t="s">
        <v>1876</v>
      </c>
      <c r="V480" s="31"/>
    </row>
    <row r="481" spans="1:22" ht="30">
      <c r="A481" s="7">
        <v>24</v>
      </c>
      <c r="B481" s="7">
        <v>240</v>
      </c>
      <c r="C481" s="7">
        <v>46424.625</v>
      </c>
      <c r="D481" s="7" t="s">
        <v>58</v>
      </c>
      <c r="E481" s="7" t="s">
        <v>40</v>
      </c>
      <c r="F481" s="7" t="s">
        <v>1743</v>
      </c>
      <c r="G481" s="7">
        <v>3</v>
      </c>
      <c r="H481" s="37">
        <f>Priors!$H$27*VLOOKUP(D481,Team_26_27!$A$2:$U$21,20,FALSE)*VLOOKUP(E481,Team_26_27!$A$2:$U$21,21,FALSE)*IF(F481="H",Priors!$H$28,Priors!$H$29)</f>
        <v>1.2623814735900756</v>
      </c>
      <c r="I481" s="37">
        <f>Priors!$H$27*VLOOKUP(E481,Team_26_27!$A$2:$U$21,20,FALSE)*VLOOKUP(D481,Team_26_27!$A$2:$U$21,21,FALSE)*IF(F481="H",Priors!$H$29,Priors!$H$28)</f>
        <v>1.1963891816911667</v>
      </c>
      <c r="J481" s="15"/>
      <c r="K481" s="15"/>
      <c r="L481" s="47" t="b">
        <v>0</v>
      </c>
      <c r="M481" s="45">
        <v>0</v>
      </c>
      <c r="N481" s="45"/>
      <c r="O481" s="45"/>
      <c r="P481" s="38">
        <f t="shared" si="35"/>
        <v>1.2623814735900756</v>
      </c>
      <c r="Q481" s="38">
        <f t="shared" si="36"/>
        <v>1.1963891816911667</v>
      </c>
      <c r="R481" s="17">
        <f t="shared" si="37"/>
        <v>0.30228373533889003</v>
      </c>
      <c r="S481" s="17">
        <f t="shared" si="38"/>
        <v>0.28297931564885925</v>
      </c>
      <c r="T481" s="38" t="str">
        <f t="shared" si="39"/>
        <v/>
      </c>
      <c r="U481" s="31" t="s">
        <v>1876</v>
      </c>
      <c r="V481" s="31"/>
    </row>
    <row r="482" spans="1:22" ht="30">
      <c r="A482" s="7">
        <v>25</v>
      </c>
      <c r="B482" s="7">
        <v>241</v>
      </c>
      <c r="C482" s="7">
        <v>46428.833333333336</v>
      </c>
      <c r="D482" s="7" t="s">
        <v>41</v>
      </c>
      <c r="E482" s="7" t="s">
        <v>40</v>
      </c>
      <c r="F482" s="7" t="s">
        <v>1742</v>
      </c>
      <c r="G482" s="7">
        <v>4</v>
      </c>
      <c r="H482" s="37">
        <f>Priors!$H$27*VLOOKUP(D482,Team_26_27!$A$2:$U$21,20,FALSE)*VLOOKUP(E482,Team_26_27!$A$2:$U$21,21,FALSE)*IF(F482="H",Priors!$H$28,Priors!$H$29)</f>
        <v>1.3865675561096331</v>
      </c>
      <c r="I482" s="37">
        <f>Priors!$H$27*VLOOKUP(E482,Team_26_27!$A$2:$U$21,20,FALSE)*VLOOKUP(D482,Team_26_27!$A$2:$U$21,21,FALSE)*IF(F482="H",Priors!$H$29,Priors!$H$28)</f>
        <v>1.4927697907346027</v>
      </c>
      <c r="J482" s="15"/>
      <c r="K482" s="15"/>
      <c r="L482" s="47" t="b">
        <v>0</v>
      </c>
      <c r="M482" s="45">
        <v>0</v>
      </c>
      <c r="N482" s="45"/>
      <c r="O482" s="45"/>
      <c r="P482" s="38">
        <f t="shared" si="35"/>
        <v>1.3865675561096331</v>
      </c>
      <c r="Q482" s="38">
        <f t="shared" si="36"/>
        <v>1.4927697907346027</v>
      </c>
      <c r="R482" s="17">
        <f t="shared" si="37"/>
        <v>0.22474928414897213</v>
      </c>
      <c r="S482" s="17">
        <f t="shared" si="38"/>
        <v>0.24993171058115266</v>
      </c>
      <c r="T482" s="38" t="str">
        <f t="shared" si="39"/>
        <v/>
      </c>
      <c r="U482" s="31" t="s">
        <v>1876</v>
      </c>
      <c r="V482" s="31"/>
    </row>
    <row r="483" spans="1:22" ht="30">
      <c r="A483" s="7">
        <v>25</v>
      </c>
      <c r="B483" s="7">
        <v>241</v>
      </c>
      <c r="C483" s="7">
        <v>46428.833333333336</v>
      </c>
      <c r="D483" s="7" t="s">
        <v>40</v>
      </c>
      <c r="E483" s="7" t="s">
        <v>41</v>
      </c>
      <c r="F483" s="7" t="s">
        <v>1743</v>
      </c>
      <c r="G483" s="7">
        <v>3</v>
      </c>
      <c r="H483" s="37">
        <f>Priors!$H$27*VLOOKUP(D483,Team_26_27!$A$2:$U$21,20,FALSE)*VLOOKUP(E483,Team_26_27!$A$2:$U$21,21,FALSE)*IF(F483="H",Priors!$H$28,Priors!$H$29)</f>
        <v>1.4927697907346027</v>
      </c>
      <c r="I483" s="37">
        <f>Priors!$H$27*VLOOKUP(E483,Team_26_27!$A$2:$U$21,20,FALSE)*VLOOKUP(D483,Team_26_27!$A$2:$U$21,21,FALSE)*IF(F483="H",Priors!$H$29,Priors!$H$28)</f>
        <v>1.3865675561096331</v>
      </c>
      <c r="J483" s="15"/>
      <c r="K483" s="15"/>
      <c r="L483" s="47" t="b">
        <v>0</v>
      </c>
      <c r="M483" s="45">
        <v>0</v>
      </c>
      <c r="N483" s="45"/>
      <c r="O483" s="45"/>
      <c r="P483" s="38">
        <f t="shared" si="35"/>
        <v>1.4927697907346027</v>
      </c>
      <c r="Q483" s="38">
        <f t="shared" si="36"/>
        <v>1.3865675561096331</v>
      </c>
      <c r="R483" s="17">
        <f t="shared" si="37"/>
        <v>0.24993171058115266</v>
      </c>
      <c r="S483" s="17">
        <f t="shared" si="38"/>
        <v>0.22474928414897213</v>
      </c>
      <c r="T483" s="38" t="str">
        <f t="shared" si="39"/>
        <v/>
      </c>
      <c r="U483" s="31" t="s">
        <v>1876</v>
      </c>
      <c r="V483" s="31"/>
    </row>
    <row r="484" spans="1:22" ht="30">
      <c r="A484" s="7">
        <v>25</v>
      </c>
      <c r="B484" s="7">
        <v>242</v>
      </c>
      <c r="C484" s="7">
        <v>46428.833333333336</v>
      </c>
      <c r="D484" s="7" t="s">
        <v>52</v>
      </c>
      <c r="E484" s="7" t="s">
        <v>45</v>
      </c>
      <c r="F484" s="7" t="s">
        <v>1742</v>
      </c>
      <c r="G484" s="7">
        <v>2</v>
      </c>
      <c r="H484" s="37">
        <f>Priors!$H$27*VLOOKUP(D484,Team_26_27!$A$2:$U$21,20,FALSE)*VLOOKUP(E484,Team_26_27!$A$2:$U$21,21,FALSE)*IF(F484="H",Priors!$H$28,Priors!$H$29)</f>
        <v>1.7143454821503459</v>
      </c>
      <c r="I484" s="37">
        <f>Priors!$H$27*VLOOKUP(E484,Team_26_27!$A$2:$U$21,20,FALSE)*VLOOKUP(D484,Team_26_27!$A$2:$U$21,21,FALSE)*IF(F484="H",Priors!$H$29,Priors!$H$28)</f>
        <v>1.1418809323353969</v>
      </c>
      <c r="J484" s="15"/>
      <c r="K484" s="15"/>
      <c r="L484" s="47" t="b">
        <v>0</v>
      </c>
      <c r="M484" s="45">
        <v>0</v>
      </c>
      <c r="N484" s="45"/>
      <c r="O484" s="45"/>
      <c r="P484" s="38">
        <f t="shared" si="35"/>
        <v>1.7143454821503459</v>
      </c>
      <c r="Q484" s="38">
        <f t="shared" si="36"/>
        <v>1.1418809323353969</v>
      </c>
      <c r="R484" s="17">
        <f t="shared" si="37"/>
        <v>0.31921802926704218</v>
      </c>
      <c r="S484" s="17">
        <f t="shared" si="38"/>
        <v>0.18008154873667498</v>
      </c>
      <c r="T484" s="38" t="str">
        <f t="shared" si="39"/>
        <v/>
      </c>
      <c r="U484" s="31" t="s">
        <v>1876</v>
      </c>
      <c r="V484" s="31"/>
    </row>
    <row r="485" spans="1:22" ht="30">
      <c r="A485" s="7">
        <v>25</v>
      </c>
      <c r="B485" s="7">
        <v>242</v>
      </c>
      <c r="C485" s="7">
        <v>46428.833333333336</v>
      </c>
      <c r="D485" s="7" t="s">
        <v>45</v>
      </c>
      <c r="E485" s="7" t="s">
        <v>52</v>
      </c>
      <c r="F485" s="7" t="s">
        <v>1743</v>
      </c>
      <c r="G485" s="7">
        <v>4</v>
      </c>
      <c r="H485" s="37">
        <f>Priors!$H$27*VLOOKUP(D485,Team_26_27!$A$2:$U$21,20,FALSE)*VLOOKUP(E485,Team_26_27!$A$2:$U$21,21,FALSE)*IF(F485="H",Priors!$H$28,Priors!$H$29)</f>
        <v>1.1418809323353969</v>
      </c>
      <c r="I485" s="37">
        <f>Priors!$H$27*VLOOKUP(E485,Team_26_27!$A$2:$U$21,20,FALSE)*VLOOKUP(D485,Team_26_27!$A$2:$U$21,21,FALSE)*IF(F485="H",Priors!$H$29,Priors!$H$28)</f>
        <v>1.7143454821503459</v>
      </c>
      <c r="J485" s="15"/>
      <c r="K485" s="15"/>
      <c r="L485" s="47" t="b">
        <v>0</v>
      </c>
      <c r="M485" s="45">
        <v>0</v>
      </c>
      <c r="N485" s="45"/>
      <c r="O485" s="45"/>
      <c r="P485" s="38">
        <f t="shared" si="35"/>
        <v>1.1418809323353969</v>
      </c>
      <c r="Q485" s="38">
        <f t="shared" si="36"/>
        <v>1.7143454821503459</v>
      </c>
      <c r="R485" s="17">
        <f t="shared" si="37"/>
        <v>0.18008154873667498</v>
      </c>
      <c r="S485" s="17">
        <f t="shared" si="38"/>
        <v>0.31921802926704218</v>
      </c>
      <c r="T485" s="38" t="str">
        <f t="shared" si="39"/>
        <v/>
      </c>
      <c r="U485" s="31" t="s">
        <v>1876</v>
      </c>
      <c r="V485" s="31"/>
    </row>
    <row r="486" spans="1:22" ht="30">
      <c r="A486" s="7">
        <v>25</v>
      </c>
      <c r="B486" s="7">
        <v>243</v>
      </c>
      <c r="C486" s="7">
        <v>46428.833333333336</v>
      </c>
      <c r="D486" s="7" t="s">
        <v>42</v>
      </c>
      <c r="E486" s="7" t="s">
        <v>46</v>
      </c>
      <c r="F486" s="7" t="s">
        <v>1742</v>
      </c>
      <c r="G486" s="7">
        <v>3</v>
      </c>
      <c r="H486" s="37">
        <f>Priors!$H$27*VLOOKUP(D486,Team_26_27!$A$2:$U$21,20,FALSE)*VLOOKUP(E486,Team_26_27!$A$2:$U$21,21,FALSE)*IF(F486="H",Priors!$H$28,Priors!$H$29)</f>
        <v>1.3597458576598935</v>
      </c>
      <c r="I486" s="37">
        <f>Priors!$H$27*VLOOKUP(E486,Team_26_27!$A$2:$U$21,20,FALSE)*VLOOKUP(D486,Team_26_27!$A$2:$U$21,21,FALSE)*IF(F486="H",Priors!$H$29,Priors!$H$28)</f>
        <v>1.6458409788715647</v>
      </c>
      <c r="J486" s="15"/>
      <c r="K486" s="15"/>
      <c r="L486" s="47" t="b">
        <v>0</v>
      </c>
      <c r="M486" s="45">
        <v>0</v>
      </c>
      <c r="N486" s="45"/>
      <c r="O486" s="45"/>
      <c r="P486" s="38">
        <f t="shared" si="35"/>
        <v>1.3597458576598935</v>
      </c>
      <c r="Q486" s="38">
        <f t="shared" si="36"/>
        <v>1.6458409788715647</v>
      </c>
      <c r="R486" s="17">
        <f t="shared" si="37"/>
        <v>0.19285031154100596</v>
      </c>
      <c r="S486" s="17">
        <f t="shared" si="38"/>
        <v>0.25672601361337199</v>
      </c>
      <c r="T486" s="38" t="str">
        <f t="shared" si="39"/>
        <v/>
      </c>
      <c r="U486" s="31" t="s">
        <v>1876</v>
      </c>
      <c r="V486" s="31"/>
    </row>
    <row r="487" spans="1:22" ht="30">
      <c r="A487" s="7">
        <v>25</v>
      </c>
      <c r="B487" s="7">
        <v>243</v>
      </c>
      <c r="C487" s="7">
        <v>46428.833333333336</v>
      </c>
      <c r="D487" s="7" t="s">
        <v>46</v>
      </c>
      <c r="E487" s="7" t="s">
        <v>42</v>
      </c>
      <c r="F487" s="7" t="s">
        <v>1743</v>
      </c>
      <c r="G487" s="7">
        <v>3</v>
      </c>
      <c r="H487" s="37">
        <f>Priors!$H$27*VLOOKUP(D487,Team_26_27!$A$2:$U$21,20,FALSE)*VLOOKUP(E487,Team_26_27!$A$2:$U$21,21,FALSE)*IF(F487="H",Priors!$H$28,Priors!$H$29)</f>
        <v>1.6458409788715647</v>
      </c>
      <c r="I487" s="37">
        <f>Priors!$H$27*VLOOKUP(E487,Team_26_27!$A$2:$U$21,20,FALSE)*VLOOKUP(D487,Team_26_27!$A$2:$U$21,21,FALSE)*IF(F487="H",Priors!$H$29,Priors!$H$28)</f>
        <v>1.3597458576598935</v>
      </c>
      <c r="J487" s="15"/>
      <c r="K487" s="15"/>
      <c r="L487" s="47" t="b">
        <v>0</v>
      </c>
      <c r="M487" s="45">
        <v>0</v>
      </c>
      <c r="N487" s="45"/>
      <c r="O487" s="45"/>
      <c r="P487" s="38">
        <f t="shared" si="35"/>
        <v>1.6458409788715647</v>
      </c>
      <c r="Q487" s="38">
        <f t="shared" si="36"/>
        <v>1.3597458576598935</v>
      </c>
      <c r="R487" s="17">
        <f t="shared" si="37"/>
        <v>0.25672601361337199</v>
      </c>
      <c r="S487" s="17">
        <f t="shared" si="38"/>
        <v>0.19285031154100596</v>
      </c>
      <c r="T487" s="38" t="str">
        <f t="shared" si="39"/>
        <v/>
      </c>
      <c r="U487" s="31" t="s">
        <v>1876</v>
      </c>
      <c r="V487" s="31"/>
    </row>
    <row r="488" spans="1:22" ht="30">
      <c r="A488" s="7">
        <v>25</v>
      </c>
      <c r="B488" s="7">
        <v>244</v>
      </c>
      <c r="C488" s="7">
        <v>46428.833333333336</v>
      </c>
      <c r="D488" s="7" t="s">
        <v>51</v>
      </c>
      <c r="E488" s="7" t="s">
        <v>47</v>
      </c>
      <c r="F488" s="7" t="s">
        <v>1742</v>
      </c>
      <c r="G488" s="7">
        <v>3</v>
      </c>
      <c r="H488" s="37">
        <f>Priors!$H$27*VLOOKUP(D488,Team_26_27!$A$2:$U$21,20,FALSE)*VLOOKUP(E488,Team_26_27!$A$2:$U$21,21,FALSE)*IF(F488="H",Priors!$H$28,Priors!$H$29)</f>
        <v>1.3328600908901735</v>
      </c>
      <c r="I488" s="37">
        <f>Priors!$H$27*VLOOKUP(E488,Team_26_27!$A$2:$U$21,20,FALSE)*VLOOKUP(D488,Team_26_27!$A$2:$U$21,21,FALSE)*IF(F488="H",Priors!$H$29,Priors!$H$28)</f>
        <v>1.4554582954810069</v>
      </c>
      <c r="J488" s="15"/>
      <c r="K488" s="15"/>
      <c r="L488" s="47" t="b">
        <v>0</v>
      </c>
      <c r="M488" s="45">
        <v>0</v>
      </c>
      <c r="N488" s="45"/>
      <c r="O488" s="45"/>
      <c r="P488" s="38">
        <f t="shared" si="35"/>
        <v>1.3328600908901735</v>
      </c>
      <c r="Q488" s="38">
        <f t="shared" si="36"/>
        <v>1.4554582954810069</v>
      </c>
      <c r="R488" s="17">
        <f t="shared" si="37"/>
        <v>0.23329342207645934</v>
      </c>
      <c r="S488" s="17">
        <f t="shared" si="38"/>
        <v>0.26372191299143338</v>
      </c>
      <c r="T488" s="38" t="str">
        <f t="shared" si="39"/>
        <v/>
      </c>
      <c r="U488" s="31" t="s">
        <v>1876</v>
      </c>
      <c r="V488" s="31"/>
    </row>
    <row r="489" spans="1:22" ht="30">
      <c r="A489" s="7">
        <v>25</v>
      </c>
      <c r="B489" s="7">
        <v>244</v>
      </c>
      <c r="C489" s="7">
        <v>46428.833333333336</v>
      </c>
      <c r="D489" s="7" t="s">
        <v>47</v>
      </c>
      <c r="E489" s="7" t="s">
        <v>51</v>
      </c>
      <c r="F489" s="7" t="s">
        <v>1743</v>
      </c>
      <c r="G489" s="7">
        <v>2</v>
      </c>
      <c r="H489" s="37">
        <f>Priors!$H$27*VLOOKUP(D489,Team_26_27!$A$2:$U$21,20,FALSE)*VLOOKUP(E489,Team_26_27!$A$2:$U$21,21,FALSE)*IF(F489="H",Priors!$H$28,Priors!$H$29)</f>
        <v>1.4554582954810069</v>
      </c>
      <c r="I489" s="37">
        <f>Priors!$H$27*VLOOKUP(E489,Team_26_27!$A$2:$U$21,20,FALSE)*VLOOKUP(D489,Team_26_27!$A$2:$U$21,21,FALSE)*IF(F489="H",Priors!$H$29,Priors!$H$28)</f>
        <v>1.3328600908901735</v>
      </c>
      <c r="J489" s="15"/>
      <c r="K489" s="15"/>
      <c r="L489" s="47" t="b">
        <v>0</v>
      </c>
      <c r="M489" s="45">
        <v>0</v>
      </c>
      <c r="N489" s="45"/>
      <c r="O489" s="45"/>
      <c r="P489" s="38">
        <f t="shared" si="35"/>
        <v>1.4554582954810069</v>
      </c>
      <c r="Q489" s="38">
        <f t="shared" si="36"/>
        <v>1.3328600908901735</v>
      </c>
      <c r="R489" s="17">
        <f t="shared" si="37"/>
        <v>0.26372191299143338</v>
      </c>
      <c r="S489" s="17">
        <f t="shared" si="38"/>
        <v>0.23329342207645934</v>
      </c>
      <c r="T489" s="38" t="str">
        <f t="shared" si="39"/>
        <v/>
      </c>
      <c r="U489" s="31" t="s">
        <v>1876</v>
      </c>
      <c r="V489" s="31"/>
    </row>
    <row r="490" spans="1:22" ht="30">
      <c r="A490" s="7">
        <v>25</v>
      </c>
      <c r="B490" s="7">
        <v>245</v>
      </c>
      <c r="C490" s="7">
        <v>46428.833333333336</v>
      </c>
      <c r="D490" s="7" t="s">
        <v>56</v>
      </c>
      <c r="E490" s="7" t="s">
        <v>48</v>
      </c>
      <c r="F490" s="7" t="s">
        <v>1742</v>
      </c>
      <c r="G490" s="7">
        <v>3</v>
      </c>
      <c r="H490" s="37">
        <f>Priors!$H$27*VLOOKUP(D490,Team_26_27!$A$2:$U$21,20,FALSE)*VLOOKUP(E490,Team_26_27!$A$2:$U$21,21,FALSE)*IF(F490="H",Priors!$H$28,Priors!$H$29)</f>
        <v>1.1686901399210747</v>
      </c>
      <c r="I490" s="37">
        <f>Priors!$H$27*VLOOKUP(E490,Team_26_27!$A$2:$U$21,20,FALSE)*VLOOKUP(D490,Team_26_27!$A$2:$U$21,21,FALSE)*IF(F490="H",Priors!$H$29,Priors!$H$28)</f>
        <v>1.5257802839853443</v>
      </c>
      <c r="J490" s="15"/>
      <c r="K490" s="15"/>
      <c r="L490" s="47" t="b">
        <v>0</v>
      </c>
      <c r="M490" s="45">
        <v>0</v>
      </c>
      <c r="N490" s="45"/>
      <c r="O490" s="45"/>
      <c r="P490" s="38">
        <f t="shared" si="35"/>
        <v>1.1686901399210747</v>
      </c>
      <c r="Q490" s="38">
        <f t="shared" si="36"/>
        <v>1.5257802839853443</v>
      </c>
      <c r="R490" s="17">
        <f t="shared" si="37"/>
        <v>0.21745131687099892</v>
      </c>
      <c r="S490" s="17">
        <f t="shared" si="38"/>
        <v>0.31077374490142429</v>
      </c>
      <c r="T490" s="38" t="str">
        <f t="shared" si="39"/>
        <v/>
      </c>
      <c r="U490" s="31" t="s">
        <v>1876</v>
      </c>
      <c r="V490" s="31"/>
    </row>
    <row r="491" spans="1:22" ht="30">
      <c r="A491" s="7">
        <v>25</v>
      </c>
      <c r="B491" s="7">
        <v>245</v>
      </c>
      <c r="C491" s="7">
        <v>46428.833333333336</v>
      </c>
      <c r="D491" s="7" t="s">
        <v>48</v>
      </c>
      <c r="E491" s="7" t="s">
        <v>56</v>
      </c>
      <c r="F491" s="7" t="s">
        <v>1743</v>
      </c>
      <c r="G491" s="7">
        <v>3</v>
      </c>
      <c r="H491" s="37">
        <f>Priors!$H$27*VLOOKUP(D491,Team_26_27!$A$2:$U$21,20,FALSE)*VLOOKUP(E491,Team_26_27!$A$2:$U$21,21,FALSE)*IF(F491="H",Priors!$H$28,Priors!$H$29)</f>
        <v>1.5257802839853443</v>
      </c>
      <c r="I491" s="37">
        <f>Priors!$H$27*VLOOKUP(E491,Team_26_27!$A$2:$U$21,20,FALSE)*VLOOKUP(D491,Team_26_27!$A$2:$U$21,21,FALSE)*IF(F491="H",Priors!$H$29,Priors!$H$28)</f>
        <v>1.1686901399210747</v>
      </c>
      <c r="J491" s="15"/>
      <c r="K491" s="15"/>
      <c r="L491" s="47" t="b">
        <v>0</v>
      </c>
      <c r="M491" s="45">
        <v>0</v>
      </c>
      <c r="N491" s="45"/>
      <c r="O491" s="45"/>
      <c r="P491" s="38">
        <f t="shared" si="35"/>
        <v>1.5257802839853443</v>
      </c>
      <c r="Q491" s="38">
        <f t="shared" si="36"/>
        <v>1.1686901399210747</v>
      </c>
      <c r="R491" s="17">
        <f t="shared" si="37"/>
        <v>0.31077374490142429</v>
      </c>
      <c r="S491" s="17">
        <f t="shared" si="38"/>
        <v>0.21745131687099892</v>
      </c>
      <c r="T491" s="38" t="str">
        <f t="shared" si="39"/>
        <v/>
      </c>
      <c r="U491" s="31" t="s">
        <v>1876</v>
      </c>
      <c r="V491" s="31"/>
    </row>
    <row r="492" spans="1:22" ht="30">
      <c r="A492" s="7">
        <v>25</v>
      </c>
      <c r="B492" s="7">
        <v>246</v>
      </c>
      <c r="C492" s="7">
        <v>46428.833333333336</v>
      </c>
      <c r="D492" s="7" t="s">
        <v>58</v>
      </c>
      <c r="E492" s="7" t="s">
        <v>49</v>
      </c>
      <c r="F492" s="7" t="s">
        <v>1742</v>
      </c>
      <c r="G492" s="7">
        <v>2</v>
      </c>
      <c r="H492" s="37">
        <f>Priors!$H$27*VLOOKUP(D492,Team_26_27!$A$2:$U$21,20,FALSE)*VLOOKUP(E492,Team_26_27!$A$2:$U$21,21,FALSE)*IF(F492="H",Priors!$H$28,Priors!$H$29)</f>
        <v>1.3963949457914451</v>
      </c>
      <c r="I492" s="37">
        <f>Priors!$H$27*VLOOKUP(E492,Team_26_27!$A$2:$U$21,20,FALSE)*VLOOKUP(D492,Team_26_27!$A$2:$U$21,21,FALSE)*IF(F492="H",Priors!$H$29,Priors!$H$28)</f>
        <v>1.0911873620130172</v>
      </c>
      <c r="J492" s="15"/>
      <c r="K492" s="15"/>
      <c r="L492" s="47" t="b">
        <v>0</v>
      </c>
      <c r="M492" s="45">
        <v>0</v>
      </c>
      <c r="N492" s="45"/>
      <c r="O492" s="45"/>
      <c r="P492" s="38">
        <f t="shared" si="35"/>
        <v>1.3963949457914451</v>
      </c>
      <c r="Q492" s="38">
        <f t="shared" si="36"/>
        <v>1.0911873620130172</v>
      </c>
      <c r="R492" s="17">
        <f t="shared" si="37"/>
        <v>0.33581751992398673</v>
      </c>
      <c r="S492" s="17">
        <f t="shared" si="38"/>
        <v>0.24748756372998842</v>
      </c>
      <c r="T492" s="38" t="str">
        <f t="shared" si="39"/>
        <v/>
      </c>
      <c r="U492" s="31" t="s">
        <v>1876</v>
      </c>
      <c r="V492" s="31"/>
    </row>
    <row r="493" spans="1:22" ht="30">
      <c r="A493" s="7">
        <v>25</v>
      </c>
      <c r="B493" s="7">
        <v>246</v>
      </c>
      <c r="C493" s="7">
        <v>46428.833333333336</v>
      </c>
      <c r="D493" s="7" t="s">
        <v>49</v>
      </c>
      <c r="E493" s="7" t="s">
        <v>58</v>
      </c>
      <c r="F493" s="7" t="s">
        <v>1743</v>
      </c>
      <c r="G493" s="7">
        <v>2</v>
      </c>
      <c r="H493" s="37">
        <f>Priors!$H$27*VLOOKUP(D493,Team_26_27!$A$2:$U$21,20,FALSE)*VLOOKUP(E493,Team_26_27!$A$2:$U$21,21,FALSE)*IF(F493="H",Priors!$H$28,Priors!$H$29)</f>
        <v>1.0911873620130172</v>
      </c>
      <c r="I493" s="37">
        <f>Priors!$H$27*VLOOKUP(E493,Team_26_27!$A$2:$U$21,20,FALSE)*VLOOKUP(D493,Team_26_27!$A$2:$U$21,21,FALSE)*IF(F493="H",Priors!$H$29,Priors!$H$28)</f>
        <v>1.3963949457914451</v>
      </c>
      <c r="J493" s="15"/>
      <c r="K493" s="15"/>
      <c r="L493" s="47" t="b">
        <v>0</v>
      </c>
      <c r="M493" s="45">
        <v>0</v>
      </c>
      <c r="N493" s="45"/>
      <c r="O493" s="45"/>
      <c r="P493" s="38">
        <f t="shared" si="35"/>
        <v>1.0911873620130172</v>
      </c>
      <c r="Q493" s="38">
        <f t="shared" si="36"/>
        <v>1.3963949457914451</v>
      </c>
      <c r="R493" s="17">
        <f t="shared" si="37"/>
        <v>0.24748756372998842</v>
      </c>
      <c r="S493" s="17">
        <f t="shared" si="38"/>
        <v>0.33581751992398673</v>
      </c>
      <c r="T493" s="38" t="str">
        <f t="shared" si="39"/>
        <v/>
      </c>
      <c r="U493" s="31" t="s">
        <v>1876</v>
      </c>
      <c r="V493" s="31"/>
    </row>
    <row r="494" spans="1:22" ht="30">
      <c r="A494" s="7">
        <v>25</v>
      </c>
      <c r="B494" s="7">
        <v>247</v>
      </c>
      <c r="C494" s="7">
        <v>46428.833333333336</v>
      </c>
      <c r="D494" s="7" t="s">
        <v>39</v>
      </c>
      <c r="E494" s="7" t="s">
        <v>50</v>
      </c>
      <c r="F494" s="7" t="s">
        <v>1742</v>
      </c>
      <c r="G494" s="7">
        <v>2</v>
      </c>
      <c r="H494" s="37">
        <f>Priors!$H$27*VLOOKUP(D494,Team_26_27!$A$2:$U$21,20,FALSE)*VLOOKUP(E494,Team_26_27!$A$2:$U$21,21,FALSE)*IF(F494="H",Priors!$H$28,Priors!$H$29)</f>
        <v>1.8072302312514119</v>
      </c>
      <c r="I494" s="37">
        <f>Priors!$H$27*VLOOKUP(E494,Team_26_27!$A$2:$U$21,20,FALSE)*VLOOKUP(D494,Team_26_27!$A$2:$U$21,21,FALSE)*IF(F494="H",Priors!$H$29,Priors!$H$28)</f>
        <v>0.78899441575909102</v>
      </c>
      <c r="J494" s="15"/>
      <c r="K494" s="15"/>
      <c r="L494" s="47" t="b">
        <v>0</v>
      </c>
      <c r="M494" s="45">
        <v>0</v>
      </c>
      <c r="N494" s="45"/>
      <c r="O494" s="45"/>
      <c r="P494" s="38">
        <f t="shared" si="35"/>
        <v>1.8072302312514119</v>
      </c>
      <c r="Q494" s="38">
        <f t="shared" si="36"/>
        <v>0.78899441575909102</v>
      </c>
      <c r="R494" s="17">
        <f t="shared" si="37"/>
        <v>0.45430140399709734</v>
      </c>
      <c r="S494" s="17">
        <f t="shared" si="38"/>
        <v>0.16410804924245556</v>
      </c>
      <c r="T494" s="38" t="str">
        <f t="shared" si="39"/>
        <v/>
      </c>
      <c r="U494" s="31" t="s">
        <v>1876</v>
      </c>
      <c r="V494" s="31"/>
    </row>
    <row r="495" spans="1:22" ht="30">
      <c r="A495" s="7">
        <v>25</v>
      </c>
      <c r="B495" s="7">
        <v>247</v>
      </c>
      <c r="C495" s="7">
        <v>46428.833333333336</v>
      </c>
      <c r="D495" s="7" t="s">
        <v>50</v>
      </c>
      <c r="E495" s="7" t="s">
        <v>39</v>
      </c>
      <c r="F495" s="7" t="s">
        <v>1743</v>
      </c>
      <c r="G495" s="7">
        <v>4</v>
      </c>
      <c r="H495" s="37">
        <f>Priors!$H$27*VLOOKUP(D495,Team_26_27!$A$2:$U$21,20,FALSE)*VLOOKUP(E495,Team_26_27!$A$2:$U$21,21,FALSE)*IF(F495="H",Priors!$H$28,Priors!$H$29)</f>
        <v>0.78899441575909102</v>
      </c>
      <c r="I495" s="37">
        <f>Priors!$H$27*VLOOKUP(E495,Team_26_27!$A$2:$U$21,20,FALSE)*VLOOKUP(D495,Team_26_27!$A$2:$U$21,21,FALSE)*IF(F495="H",Priors!$H$29,Priors!$H$28)</f>
        <v>1.8072302312514119</v>
      </c>
      <c r="J495" s="15"/>
      <c r="K495" s="15"/>
      <c r="L495" s="47" t="b">
        <v>0</v>
      </c>
      <c r="M495" s="45">
        <v>0</v>
      </c>
      <c r="N495" s="45"/>
      <c r="O495" s="45"/>
      <c r="P495" s="38">
        <f t="shared" si="35"/>
        <v>0.78899441575909102</v>
      </c>
      <c r="Q495" s="38">
        <f t="shared" si="36"/>
        <v>1.8072302312514119</v>
      </c>
      <c r="R495" s="17">
        <f t="shared" si="37"/>
        <v>0.16410804924245556</v>
      </c>
      <c r="S495" s="17">
        <f t="shared" si="38"/>
        <v>0.45430140399709734</v>
      </c>
      <c r="T495" s="38" t="str">
        <f t="shared" si="39"/>
        <v/>
      </c>
      <c r="U495" s="31" t="s">
        <v>1876</v>
      </c>
      <c r="V495" s="31"/>
    </row>
    <row r="496" spans="1:22" ht="30">
      <c r="A496" s="7">
        <v>25</v>
      </c>
      <c r="B496" s="7">
        <v>248</v>
      </c>
      <c r="C496" s="7">
        <v>46428.833333333336</v>
      </c>
      <c r="D496" s="7" t="s">
        <v>43</v>
      </c>
      <c r="E496" s="7" t="s">
        <v>54</v>
      </c>
      <c r="F496" s="7" t="s">
        <v>1742</v>
      </c>
      <c r="G496" s="7">
        <v>4</v>
      </c>
      <c r="H496" s="37">
        <f>Priors!$H$27*VLOOKUP(D496,Team_26_27!$A$2:$U$21,20,FALSE)*VLOOKUP(E496,Team_26_27!$A$2:$U$21,21,FALSE)*IF(F496="H",Priors!$H$28,Priors!$H$29)</f>
        <v>1.2577093596070097</v>
      </c>
      <c r="I496" s="37">
        <f>Priors!$H$27*VLOOKUP(E496,Team_26_27!$A$2:$U$21,20,FALSE)*VLOOKUP(D496,Team_26_27!$A$2:$U$21,21,FALSE)*IF(F496="H",Priors!$H$29,Priors!$H$28)</f>
        <v>1.6899836614941759</v>
      </c>
      <c r="J496" s="15"/>
      <c r="K496" s="15"/>
      <c r="L496" s="47" t="b">
        <v>0</v>
      </c>
      <c r="M496" s="45">
        <v>0</v>
      </c>
      <c r="N496" s="45"/>
      <c r="O496" s="45"/>
      <c r="P496" s="38">
        <f t="shared" si="35"/>
        <v>1.2577093596070097</v>
      </c>
      <c r="Q496" s="38">
        <f t="shared" si="36"/>
        <v>1.6899836614941759</v>
      </c>
      <c r="R496" s="17">
        <f t="shared" si="37"/>
        <v>0.18452253879093528</v>
      </c>
      <c r="S496" s="17">
        <f t="shared" si="38"/>
        <v>0.28430452061011702</v>
      </c>
      <c r="T496" s="38" t="str">
        <f t="shared" si="39"/>
        <v/>
      </c>
      <c r="U496" s="31" t="s">
        <v>1876</v>
      </c>
      <c r="V496" s="31"/>
    </row>
    <row r="497" spans="1:22" ht="30">
      <c r="A497" s="7">
        <v>25</v>
      </c>
      <c r="B497" s="7">
        <v>248</v>
      </c>
      <c r="C497" s="7">
        <v>46428.833333333336</v>
      </c>
      <c r="D497" s="7" t="s">
        <v>54</v>
      </c>
      <c r="E497" s="7" t="s">
        <v>43</v>
      </c>
      <c r="F497" s="7" t="s">
        <v>1743</v>
      </c>
      <c r="G497" s="7">
        <v>2</v>
      </c>
      <c r="H497" s="37">
        <f>Priors!$H$27*VLOOKUP(D497,Team_26_27!$A$2:$U$21,20,FALSE)*VLOOKUP(E497,Team_26_27!$A$2:$U$21,21,FALSE)*IF(F497="H",Priors!$H$28,Priors!$H$29)</f>
        <v>1.6899836614941759</v>
      </c>
      <c r="I497" s="37">
        <f>Priors!$H$27*VLOOKUP(E497,Team_26_27!$A$2:$U$21,20,FALSE)*VLOOKUP(D497,Team_26_27!$A$2:$U$21,21,FALSE)*IF(F497="H",Priors!$H$29,Priors!$H$28)</f>
        <v>1.2577093596070097</v>
      </c>
      <c r="J497" s="15"/>
      <c r="K497" s="15"/>
      <c r="L497" s="47" t="b">
        <v>0</v>
      </c>
      <c r="M497" s="45">
        <v>0</v>
      </c>
      <c r="N497" s="45"/>
      <c r="O497" s="45"/>
      <c r="P497" s="38">
        <f t="shared" si="35"/>
        <v>1.6899836614941759</v>
      </c>
      <c r="Q497" s="38">
        <f t="shared" si="36"/>
        <v>1.2577093596070097</v>
      </c>
      <c r="R497" s="17">
        <f t="shared" si="37"/>
        <v>0.28430452061011702</v>
      </c>
      <c r="S497" s="17">
        <f t="shared" si="38"/>
        <v>0.18452253879093528</v>
      </c>
      <c r="T497" s="38" t="str">
        <f t="shared" si="39"/>
        <v/>
      </c>
      <c r="U497" s="31" t="s">
        <v>1876</v>
      </c>
      <c r="V497" s="31"/>
    </row>
    <row r="498" spans="1:22" ht="30">
      <c r="A498" s="7">
        <v>25</v>
      </c>
      <c r="B498" s="7">
        <v>249</v>
      </c>
      <c r="C498" s="7">
        <v>46428.833333333336</v>
      </c>
      <c r="D498" s="7" t="s">
        <v>44</v>
      </c>
      <c r="E498" s="7" t="s">
        <v>55</v>
      </c>
      <c r="F498" s="7" t="s">
        <v>1742</v>
      </c>
      <c r="G498" s="7">
        <v>3</v>
      </c>
      <c r="H498" s="37">
        <f>Priors!$H$27*VLOOKUP(D498,Team_26_27!$A$2:$U$21,20,FALSE)*VLOOKUP(E498,Team_26_27!$A$2:$U$21,21,FALSE)*IF(F498="H",Priors!$H$28,Priors!$H$29)</f>
        <v>1.405372135974821</v>
      </c>
      <c r="I498" s="37">
        <f>Priors!$H$27*VLOOKUP(E498,Team_26_27!$A$2:$U$21,20,FALSE)*VLOOKUP(D498,Team_26_27!$A$2:$U$21,21,FALSE)*IF(F498="H",Priors!$H$29,Priors!$H$28)</f>
        <v>1.5874091979728691</v>
      </c>
      <c r="J498" s="15"/>
      <c r="K498" s="15"/>
      <c r="L498" s="47" t="b">
        <v>0</v>
      </c>
      <c r="M498" s="45">
        <v>0</v>
      </c>
      <c r="N498" s="45"/>
      <c r="O498" s="45"/>
      <c r="P498" s="38">
        <f t="shared" si="35"/>
        <v>1.405372135974821</v>
      </c>
      <c r="Q498" s="38">
        <f t="shared" si="36"/>
        <v>1.5874091979728691</v>
      </c>
      <c r="R498" s="17">
        <f t="shared" si="37"/>
        <v>0.20445462761427816</v>
      </c>
      <c r="S498" s="17">
        <f t="shared" si="38"/>
        <v>0.2452757635319279</v>
      </c>
      <c r="T498" s="38" t="str">
        <f t="shared" si="39"/>
        <v/>
      </c>
      <c r="U498" s="31" t="s">
        <v>1876</v>
      </c>
      <c r="V498" s="31"/>
    </row>
    <row r="499" spans="1:22" ht="30">
      <c r="A499" s="7">
        <v>25</v>
      </c>
      <c r="B499" s="7">
        <v>249</v>
      </c>
      <c r="C499" s="7">
        <v>46428.833333333336</v>
      </c>
      <c r="D499" s="7" t="s">
        <v>55</v>
      </c>
      <c r="E499" s="7" t="s">
        <v>44</v>
      </c>
      <c r="F499" s="7" t="s">
        <v>1743</v>
      </c>
      <c r="G499" s="7">
        <v>4</v>
      </c>
      <c r="H499" s="37">
        <f>Priors!$H$27*VLOOKUP(D499,Team_26_27!$A$2:$U$21,20,FALSE)*VLOOKUP(E499,Team_26_27!$A$2:$U$21,21,FALSE)*IF(F499="H",Priors!$H$28,Priors!$H$29)</f>
        <v>1.5874091979728691</v>
      </c>
      <c r="I499" s="37">
        <f>Priors!$H$27*VLOOKUP(E499,Team_26_27!$A$2:$U$21,20,FALSE)*VLOOKUP(D499,Team_26_27!$A$2:$U$21,21,FALSE)*IF(F499="H",Priors!$H$29,Priors!$H$28)</f>
        <v>1.405372135974821</v>
      </c>
      <c r="J499" s="15"/>
      <c r="K499" s="15"/>
      <c r="L499" s="47" t="b">
        <v>0</v>
      </c>
      <c r="M499" s="45">
        <v>0</v>
      </c>
      <c r="N499" s="45"/>
      <c r="O499" s="45"/>
      <c r="P499" s="38">
        <f t="shared" si="35"/>
        <v>1.5874091979728691</v>
      </c>
      <c r="Q499" s="38">
        <f t="shared" si="36"/>
        <v>1.405372135974821</v>
      </c>
      <c r="R499" s="17">
        <f t="shared" si="37"/>
        <v>0.2452757635319279</v>
      </c>
      <c r="S499" s="17">
        <f t="shared" si="38"/>
        <v>0.20445462761427816</v>
      </c>
      <c r="T499" s="38" t="str">
        <f t="shared" si="39"/>
        <v/>
      </c>
      <c r="U499" s="31" t="s">
        <v>1876</v>
      </c>
      <c r="V499" s="31"/>
    </row>
    <row r="500" spans="1:22" ht="30">
      <c r="A500" s="7">
        <v>25</v>
      </c>
      <c r="B500" s="7">
        <v>250</v>
      </c>
      <c r="C500" s="7">
        <v>46428.833333333336</v>
      </c>
      <c r="D500" s="7" t="s">
        <v>53</v>
      </c>
      <c r="E500" s="7" t="s">
        <v>57</v>
      </c>
      <c r="F500" s="7" t="s">
        <v>1742</v>
      </c>
      <c r="G500" s="7">
        <v>3</v>
      </c>
      <c r="H500" s="37">
        <f>Priors!$H$27*VLOOKUP(D500,Team_26_27!$A$2:$U$21,20,FALSE)*VLOOKUP(E500,Team_26_27!$A$2:$U$21,21,FALSE)*IF(F500="H",Priors!$H$28,Priors!$H$29)</f>
        <v>1.4826274265744135</v>
      </c>
      <c r="I500" s="37">
        <f>Priors!$H$27*VLOOKUP(E500,Team_26_27!$A$2:$U$21,20,FALSE)*VLOOKUP(D500,Team_26_27!$A$2:$U$21,21,FALSE)*IF(F500="H",Priors!$H$29,Priors!$H$28)</f>
        <v>1.15434508738487</v>
      </c>
      <c r="J500" s="15"/>
      <c r="K500" s="15"/>
      <c r="L500" s="47" t="b">
        <v>0</v>
      </c>
      <c r="M500" s="45">
        <v>0</v>
      </c>
      <c r="N500" s="45"/>
      <c r="O500" s="45"/>
      <c r="P500" s="38">
        <f t="shared" si="35"/>
        <v>1.4826274265744135</v>
      </c>
      <c r="Q500" s="38">
        <f t="shared" si="36"/>
        <v>1.15434508738487</v>
      </c>
      <c r="R500" s="17">
        <f t="shared" si="37"/>
        <v>0.31526393963932359</v>
      </c>
      <c r="S500" s="17">
        <f t="shared" si="38"/>
        <v>0.22704037211795475</v>
      </c>
      <c r="T500" s="38" t="str">
        <f t="shared" si="39"/>
        <v/>
      </c>
      <c r="U500" s="31" t="s">
        <v>1876</v>
      </c>
      <c r="V500" s="31"/>
    </row>
    <row r="501" spans="1:22" ht="30">
      <c r="A501" s="7">
        <v>25</v>
      </c>
      <c r="B501" s="7">
        <v>250</v>
      </c>
      <c r="C501" s="7">
        <v>46428.833333333336</v>
      </c>
      <c r="D501" s="7" t="s">
        <v>57</v>
      </c>
      <c r="E501" s="7" t="s">
        <v>53</v>
      </c>
      <c r="F501" s="7" t="s">
        <v>1743</v>
      </c>
      <c r="G501" s="7">
        <v>4</v>
      </c>
      <c r="H501" s="37">
        <f>Priors!$H$27*VLOOKUP(D501,Team_26_27!$A$2:$U$21,20,FALSE)*VLOOKUP(E501,Team_26_27!$A$2:$U$21,21,FALSE)*IF(F501="H",Priors!$H$28,Priors!$H$29)</f>
        <v>1.15434508738487</v>
      </c>
      <c r="I501" s="37">
        <f>Priors!$H$27*VLOOKUP(E501,Team_26_27!$A$2:$U$21,20,FALSE)*VLOOKUP(D501,Team_26_27!$A$2:$U$21,21,FALSE)*IF(F501="H",Priors!$H$29,Priors!$H$28)</f>
        <v>1.4826274265744135</v>
      </c>
      <c r="J501" s="15"/>
      <c r="K501" s="15"/>
      <c r="L501" s="47" t="b">
        <v>0</v>
      </c>
      <c r="M501" s="45">
        <v>0</v>
      </c>
      <c r="N501" s="45"/>
      <c r="O501" s="45"/>
      <c r="P501" s="38">
        <f t="shared" si="35"/>
        <v>1.15434508738487</v>
      </c>
      <c r="Q501" s="38">
        <f t="shared" si="36"/>
        <v>1.4826274265744135</v>
      </c>
      <c r="R501" s="17">
        <f t="shared" si="37"/>
        <v>0.22704037211795475</v>
      </c>
      <c r="S501" s="17">
        <f t="shared" si="38"/>
        <v>0.31526393963932359</v>
      </c>
      <c r="T501" s="38" t="str">
        <f t="shared" si="39"/>
        <v/>
      </c>
      <c r="U501" s="31" t="s">
        <v>1876</v>
      </c>
      <c r="V501" s="31"/>
    </row>
    <row r="502" spans="1:22" ht="30">
      <c r="A502" s="7">
        <v>26</v>
      </c>
      <c r="B502" s="7">
        <v>251</v>
      </c>
      <c r="C502" s="7">
        <v>46438.625</v>
      </c>
      <c r="D502" s="7" t="s">
        <v>48</v>
      </c>
      <c r="E502" s="7" t="s">
        <v>39</v>
      </c>
      <c r="F502" s="7" t="s">
        <v>1742</v>
      </c>
      <c r="G502" s="7">
        <v>5</v>
      </c>
      <c r="H502" s="37">
        <f>Priors!$H$27*VLOOKUP(D502,Team_26_27!$A$2:$U$21,20,FALSE)*VLOOKUP(E502,Team_26_27!$A$2:$U$21,21,FALSE)*IF(F502="H",Priors!$H$28,Priors!$H$29)</f>
        <v>0.80521155237889963</v>
      </c>
      <c r="I502" s="37">
        <f>Priors!$H$27*VLOOKUP(E502,Team_26_27!$A$2:$U$21,20,FALSE)*VLOOKUP(D502,Team_26_27!$A$2:$U$21,21,FALSE)*IF(F502="H",Priors!$H$29,Priors!$H$28)</f>
        <v>1.7957655474590881</v>
      </c>
      <c r="J502" s="15"/>
      <c r="K502" s="15"/>
      <c r="L502" s="47" t="b">
        <v>0</v>
      </c>
      <c r="M502" s="45">
        <v>0</v>
      </c>
      <c r="N502" s="45"/>
      <c r="O502" s="45"/>
      <c r="P502" s="38">
        <f t="shared" si="35"/>
        <v>0.80521155237889963</v>
      </c>
      <c r="Q502" s="38">
        <f t="shared" si="36"/>
        <v>1.7957655474590881</v>
      </c>
      <c r="R502" s="17">
        <f t="shared" si="37"/>
        <v>0.16600032256595335</v>
      </c>
      <c r="S502" s="17">
        <f t="shared" si="38"/>
        <v>0.44699335404878804</v>
      </c>
      <c r="T502" s="38" t="str">
        <f t="shared" si="39"/>
        <v/>
      </c>
      <c r="U502" s="31" t="s">
        <v>1876</v>
      </c>
      <c r="V502" s="31"/>
    </row>
    <row r="503" spans="1:22" ht="30">
      <c r="A503" s="7">
        <v>26</v>
      </c>
      <c r="B503" s="7">
        <v>251</v>
      </c>
      <c r="C503" s="7">
        <v>46438.625</v>
      </c>
      <c r="D503" s="7" t="s">
        <v>39</v>
      </c>
      <c r="E503" s="7" t="s">
        <v>48</v>
      </c>
      <c r="F503" s="7" t="s">
        <v>1743</v>
      </c>
      <c r="G503" s="7">
        <v>2</v>
      </c>
      <c r="H503" s="37">
        <f>Priors!$H$27*VLOOKUP(D503,Team_26_27!$A$2:$U$21,20,FALSE)*VLOOKUP(E503,Team_26_27!$A$2:$U$21,21,FALSE)*IF(F503="H",Priors!$H$28,Priors!$H$29)</f>
        <v>1.7957655474590881</v>
      </c>
      <c r="I503" s="37">
        <f>Priors!$H$27*VLOOKUP(E503,Team_26_27!$A$2:$U$21,20,FALSE)*VLOOKUP(D503,Team_26_27!$A$2:$U$21,21,FALSE)*IF(F503="H",Priors!$H$29,Priors!$H$28)</f>
        <v>0.80521155237889963</v>
      </c>
      <c r="J503" s="15"/>
      <c r="K503" s="15"/>
      <c r="L503" s="47" t="b">
        <v>0</v>
      </c>
      <c r="M503" s="45">
        <v>0</v>
      </c>
      <c r="N503" s="45"/>
      <c r="O503" s="45"/>
      <c r="P503" s="38">
        <f t="shared" si="35"/>
        <v>1.7957655474590881</v>
      </c>
      <c r="Q503" s="38">
        <f t="shared" si="36"/>
        <v>0.80521155237889963</v>
      </c>
      <c r="R503" s="17">
        <f t="shared" si="37"/>
        <v>0.44699335404878804</v>
      </c>
      <c r="S503" s="17">
        <f t="shared" si="38"/>
        <v>0.16600032256595335</v>
      </c>
      <c r="T503" s="38" t="str">
        <f t="shared" si="39"/>
        <v/>
      </c>
      <c r="U503" s="31" t="s">
        <v>1876</v>
      </c>
      <c r="V503" s="31"/>
    </row>
    <row r="504" spans="1:22" ht="30">
      <c r="A504" s="7">
        <v>26</v>
      </c>
      <c r="B504" s="7">
        <v>252</v>
      </c>
      <c r="C504" s="7">
        <v>46438.625</v>
      </c>
      <c r="D504" s="7" t="s">
        <v>46</v>
      </c>
      <c r="E504" s="7" t="s">
        <v>41</v>
      </c>
      <c r="F504" s="7" t="s">
        <v>1742</v>
      </c>
      <c r="G504" s="7">
        <v>3</v>
      </c>
      <c r="H504" s="37">
        <f>Priors!$H$27*VLOOKUP(D504,Team_26_27!$A$2:$U$21,20,FALSE)*VLOOKUP(E504,Team_26_27!$A$2:$U$21,21,FALSE)*IF(F504="H",Priors!$H$28,Priors!$H$29)</f>
        <v>1.3746998342536303</v>
      </c>
      <c r="I504" s="37">
        <f>Priors!$H$27*VLOOKUP(E504,Team_26_27!$A$2:$U$21,20,FALSE)*VLOOKUP(D504,Team_26_27!$A$2:$U$21,21,FALSE)*IF(F504="H",Priors!$H$29,Priors!$H$28)</f>
        <v>1.6562378433649432</v>
      </c>
      <c r="J504" s="15"/>
      <c r="K504" s="15"/>
      <c r="L504" s="47" t="b">
        <v>0</v>
      </c>
      <c r="M504" s="45">
        <v>0</v>
      </c>
      <c r="N504" s="45"/>
      <c r="O504" s="45"/>
      <c r="P504" s="38">
        <f t="shared" si="35"/>
        <v>1.3746998342536303</v>
      </c>
      <c r="Q504" s="38">
        <f t="shared" si="36"/>
        <v>1.6562378433649432</v>
      </c>
      <c r="R504" s="17">
        <f t="shared" si="37"/>
        <v>0.190855660012821</v>
      </c>
      <c r="S504" s="17">
        <f t="shared" si="38"/>
        <v>0.25291550098223026</v>
      </c>
      <c r="T504" s="38" t="str">
        <f t="shared" si="39"/>
        <v/>
      </c>
      <c r="U504" s="31" t="s">
        <v>1876</v>
      </c>
      <c r="V504" s="31"/>
    </row>
    <row r="505" spans="1:22" ht="30">
      <c r="A505" s="7">
        <v>26</v>
      </c>
      <c r="B505" s="7">
        <v>252</v>
      </c>
      <c r="C505" s="7">
        <v>46438.625</v>
      </c>
      <c r="D505" s="7" t="s">
        <v>41</v>
      </c>
      <c r="E505" s="7" t="s">
        <v>46</v>
      </c>
      <c r="F505" s="7" t="s">
        <v>1743</v>
      </c>
      <c r="G505" s="7">
        <v>3</v>
      </c>
      <c r="H505" s="37">
        <f>Priors!$H$27*VLOOKUP(D505,Team_26_27!$A$2:$U$21,20,FALSE)*VLOOKUP(E505,Team_26_27!$A$2:$U$21,21,FALSE)*IF(F505="H",Priors!$H$28,Priors!$H$29)</f>
        <v>1.6562378433649432</v>
      </c>
      <c r="I505" s="37">
        <f>Priors!$H$27*VLOOKUP(E505,Team_26_27!$A$2:$U$21,20,FALSE)*VLOOKUP(D505,Team_26_27!$A$2:$U$21,21,FALSE)*IF(F505="H",Priors!$H$29,Priors!$H$28)</f>
        <v>1.3746998342536303</v>
      </c>
      <c r="J505" s="15"/>
      <c r="K505" s="15"/>
      <c r="L505" s="47" t="b">
        <v>0</v>
      </c>
      <c r="M505" s="45">
        <v>0</v>
      </c>
      <c r="N505" s="45"/>
      <c r="O505" s="45"/>
      <c r="P505" s="38">
        <f t="shared" si="35"/>
        <v>1.6562378433649432</v>
      </c>
      <c r="Q505" s="38">
        <f t="shared" si="36"/>
        <v>1.3746998342536303</v>
      </c>
      <c r="R505" s="17">
        <f t="shared" si="37"/>
        <v>0.25291550098223026</v>
      </c>
      <c r="S505" s="17">
        <f t="shared" si="38"/>
        <v>0.190855660012821</v>
      </c>
      <c r="T505" s="38" t="str">
        <f t="shared" si="39"/>
        <v/>
      </c>
      <c r="U505" s="31" t="s">
        <v>1876</v>
      </c>
      <c r="V505" s="31"/>
    </row>
    <row r="506" spans="1:22" ht="30">
      <c r="A506" s="7">
        <v>26</v>
      </c>
      <c r="B506" s="7">
        <v>253</v>
      </c>
      <c r="C506" s="7">
        <v>46438.625</v>
      </c>
      <c r="D506" s="7" t="s">
        <v>45</v>
      </c>
      <c r="E506" s="7" t="s">
        <v>42</v>
      </c>
      <c r="F506" s="7" t="s">
        <v>1742</v>
      </c>
      <c r="G506" s="7">
        <v>3</v>
      </c>
      <c r="H506" s="37">
        <f>Priors!$H$27*VLOOKUP(D506,Team_26_27!$A$2:$U$21,20,FALSE)*VLOOKUP(E506,Team_26_27!$A$2:$U$21,21,FALSE)*IF(F506="H",Priors!$H$28,Priors!$H$29)</f>
        <v>1.0098490166519949</v>
      </c>
      <c r="I506" s="37">
        <f>Priors!$H$27*VLOOKUP(E506,Team_26_27!$A$2:$U$21,20,FALSE)*VLOOKUP(D506,Team_26_27!$A$2:$U$21,21,FALSE)*IF(F506="H",Priors!$H$29,Priors!$H$28)</f>
        <v>2.1145315136821137</v>
      </c>
      <c r="J506" s="15"/>
      <c r="K506" s="15"/>
      <c r="L506" s="47" t="b">
        <v>0</v>
      </c>
      <c r="M506" s="45">
        <v>0</v>
      </c>
      <c r="N506" s="45"/>
      <c r="O506" s="45"/>
      <c r="P506" s="38">
        <f t="shared" si="35"/>
        <v>1.0098490166519949</v>
      </c>
      <c r="Q506" s="38">
        <f t="shared" si="36"/>
        <v>2.1145315136821137</v>
      </c>
      <c r="R506" s="17">
        <f t="shared" si="37"/>
        <v>0.12068981783912594</v>
      </c>
      <c r="S506" s="17">
        <f t="shared" si="38"/>
        <v>0.36427397472403766</v>
      </c>
      <c r="T506" s="38" t="str">
        <f t="shared" si="39"/>
        <v/>
      </c>
      <c r="U506" s="31" t="s">
        <v>1876</v>
      </c>
      <c r="V506" s="31"/>
    </row>
    <row r="507" spans="1:22" ht="30">
      <c r="A507" s="7">
        <v>26</v>
      </c>
      <c r="B507" s="7">
        <v>253</v>
      </c>
      <c r="C507" s="7">
        <v>46438.625</v>
      </c>
      <c r="D507" s="7" t="s">
        <v>42</v>
      </c>
      <c r="E507" s="7" t="s">
        <v>45</v>
      </c>
      <c r="F507" s="7" t="s">
        <v>1743</v>
      </c>
      <c r="G507" s="7">
        <v>2</v>
      </c>
      <c r="H507" s="37">
        <f>Priors!$H$27*VLOOKUP(D507,Team_26_27!$A$2:$U$21,20,FALSE)*VLOOKUP(E507,Team_26_27!$A$2:$U$21,21,FALSE)*IF(F507="H",Priors!$H$28,Priors!$H$29)</f>
        <v>2.1145315136821137</v>
      </c>
      <c r="I507" s="37">
        <f>Priors!$H$27*VLOOKUP(E507,Team_26_27!$A$2:$U$21,20,FALSE)*VLOOKUP(D507,Team_26_27!$A$2:$U$21,21,FALSE)*IF(F507="H",Priors!$H$29,Priors!$H$28)</f>
        <v>1.0098490166519949</v>
      </c>
      <c r="J507" s="15"/>
      <c r="K507" s="15"/>
      <c r="L507" s="47" t="b">
        <v>0</v>
      </c>
      <c r="M507" s="45">
        <v>0</v>
      </c>
      <c r="N507" s="45"/>
      <c r="O507" s="45"/>
      <c r="P507" s="38">
        <f t="shared" si="35"/>
        <v>2.1145315136821137</v>
      </c>
      <c r="Q507" s="38">
        <f t="shared" si="36"/>
        <v>1.0098490166519949</v>
      </c>
      <c r="R507" s="17">
        <f t="shared" si="37"/>
        <v>0.36427397472403766</v>
      </c>
      <c r="S507" s="17">
        <f t="shared" si="38"/>
        <v>0.12068981783912594</v>
      </c>
      <c r="T507" s="38" t="str">
        <f t="shared" si="39"/>
        <v/>
      </c>
      <c r="U507" s="31" t="s">
        <v>1876</v>
      </c>
      <c r="V507" s="31"/>
    </row>
    <row r="508" spans="1:22" ht="30">
      <c r="A508" s="7">
        <v>26</v>
      </c>
      <c r="B508" s="7">
        <v>254</v>
      </c>
      <c r="C508" s="7">
        <v>46438.625</v>
      </c>
      <c r="D508" s="7" t="s">
        <v>57</v>
      </c>
      <c r="E508" s="7" t="s">
        <v>43</v>
      </c>
      <c r="F508" s="7" t="s">
        <v>1742</v>
      </c>
      <c r="G508" s="7">
        <v>3</v>
      </c>
      <c r="H508" s="37">
        <f>Priors!$H$27*VLOOKUP(D508,Team_26_27!$A$2:$U$21,20,FALSE)*VLOOKUP(E508,Team_26_27!$A$2:$U$21,21,FALSE)*IF(F508="H",Priors!$H$28,Priors!$H$29)</f>
        <v>0.98546096040369191</v>
      </c>
      <c r="I508" s="37">
        <f>Priors!$H$27*VLOOKUP(E508,Team_26_27!$A$2:$U$21,20,FALSE)*VLOOKUP(D508,Team_26_27!$A$2:$U$21,21,FALSE)*IF(F508="H",Priors!$H$29,Priors!$H$28)</f>
        <v>1.6168998319683705</v>
      </c>
      <c r="J508" s="15"/>
      <c r="K508" s="15"/>
      <c r="L508" s="47" t="b">
        <v>0</v>
      </c>
      <c r="M508" s="45">
        <v>0</v>
      </c>
      <c r="N508" s="45"/>
      <c r="O508" s="45"/>
      <c r="P508" s="38">
        <f t="shared" si="35"/>
        <v>0.98546096040369191</v>
      </c>
      <c r="Q508" s="38">
        <f t="shared" si="36"/>
        <v>1.6168998319683705</v>
      </c>
      <c r="R508" s="17">
        <f t="shared" si="37"/>
        <v>0.19851317029387366</v>
      </c>
      <c r="S508" s="17">
        <f t="shared" si="38"/>
        <v>0.37326712590878486</v>
      </c>
      <c r="T508" s="38" t="str">
        <f t="shared" si="39"/>
        <v/>
      </c>
      <c r="U508" s="31" t="s">
        <v>1876</v>
      </c>
      <c r="V508" s="31"/>
    </row>
    <row r="509" spans="1:22" ht="30">
      <c r="A509" s="7">
        <v>26</v>
      </c>
      <c r="B509" s="7">
        <v>254</v>
      </c>
      <c r="C509" s="7">
        <v>46438.625</v>
      </c>
      <c r="D509" s="7" t="s">
        <v>43</v>
      </c>
      <c r="E509" s="7" t="s">
        <v>57</v>
      </c>
      <c r="F509" s="7" t="s">
        <v>1743</v>
      </c>
      <c r="G509" s="7">
        <v>3</v>
      </c>
      <c r="H509" s="37">
        <f>Priors!$H$27*VLOOKUP(D509,Team_26_27!$A$2:$U$21,20,FALSE)*VLOOKUP(E509,Team_26_27!$A$2:$U$21,21,FALSE)*IF(F509="H",Priors!$H$28,Priors!$H$29)</f>
        <v>1.6168998319683705</v>
      </c>
      <c r="I509" s="37">
        <f>Priors!$H$27*VLOOKUP(E509,Team_26_27!$A$2:$U$21,20,FALSE)*VLOOKUP(D509,Team_26_27!$A$2:$U$21,21,FALSE)*IF(F509="H",Priors!$H$29,Priors!$H$28)</f>
        <v>0.98546096040369191</v>
      </c>
      <c r="J509" s="15"/>
      <c r="K509" s="15"/>
      <c r="L509" s="47" t="b">
        <v>0</v>
      </c>
      <c r="M509" s="45">
        <v>0</v>
      </c>
      <c r="N509" s="45"/>
      <c r="O509" s="45"/>
      <c r="P509" s="38">
        <f t="shared" si="35"/>
        <v>1.6168998319683705</v>
      </c>
      <c r="Q509" s="38">
        <f t="shared" si="36"/>
        <v>0.98546096040369191</v>
      </c>
      <c r="R509" s="17">
        <f t="shared" si="37"/>
        <v>0.37326712590878486</v>
      </c>
      <c r="S509" s="17">
        <f t="shared" si="38"/>
        <v>0.19851317029387366</v>
      </c>
      <c r="T509" s="38" t="str">
        <f t="shared" si="39"/>
        <v/>
      </c>
      <c r="U509" s="31" t="s">
        <v>1876</v>
      </c>
      <c r="V509" s="31"/>
    </row>
    <row r="510" spans="1:22" ht="30">
      <c r="A510" s="7">
        <v>26</v>
      </c>
      <c r="B510" s="7">
        <v>255</v>
      </c>
      <c r="C510" s="7">
        <v>46438.625</v>
      </c>
      <c r="D510" s="7" t="s">
        <v>50</v>
      </c>
      <c r="E510" s="7" t="s">
        <v>44</v>
      </c>
      <c r="F510" s="7" t="s">
        <v>1742</v>
      </c>
      <c r="G510" s="7">
        <v>4</v>
      </c>
      <c r="H510" s="37">
        <f>Priors!$H$27*VLOOKUP(D510,Team_26_27!$A$2:$U$21,20,FALSE)*VLOOKUP(E510,Team_26_27!$A$2:$U$21,21,FALSE)*IF(F510="H",Priors!$H$28,Priors!$H$29)</f>
        <v>0.9511544555885163</v>
      </c>
      <c r="I510" s="37">
        <f>Priors!$H$27*VLOOKUP(E510,Team_26_27!$A$2:$U$21,20,FALSE)*VLOOKUP(D510,Team_26_27!$A$2:$U$21,21,FALSE)*IF(F510="H",Priors!$H$29,Priors!$H$28)</f>
        <v>2.1596092362679769</v>
      </c>
      <c r="J510" s="15"/>
      <c r="K510" s="15"/>
      <c r="L510" s="47" t="b">
        <v>0</v>
      </c>
      <c r="M510" s="45">
        <v>0</v>
      </c>
      <c r="N510" s="45"/>
      <c r="O510" s="45"/>
      <c r="P510" s="38">
        <f t="shared" si="35"/>
        <v>0.9511544555885163</v>
      </c>
      <c r="Q510" s="38">
        <f t="shared" si="36"/>
        <v>2.1596092362679769</v>
      </c>
      <c r="R510" s="17">
        <f t="shared" si="37"/>
        <v>0.11537019471876167</v>
      </c>
      <c r="S510" s="17">
        <f t="shared" si="38"/>
        <v>0.38629480573749292</v>
      </c>
      <c r="T510" s="38" t="str">
        <f t="shared" si="39"/>
        <v/>
      </c>
      <c r="U510" s="31" t="s">
        <v>1876</v>
      </c>
      <c r="V510" s="31"/>
    </row>
    <row r="511" spans="1:22" ht="30">
      <c r="A511" s="7">
        <v>26</v>
      </c>
      <c r="B511" s="7">
        <v>255</v>
      </c>
      <c r="C511" s="7">
        <v>46438.625</v>
      </c>
      <c r="D511" s="7" t="s">
        <v>44</v>
      </c>
      <c r="E511" s="7" t="s">
        <v>50</v>
      </c>
      <c r="F511" s="7" t="s">
        <v>1743</v>
      </c>
      <c r="G511" s="7">
        <v>2</v>
      </c>
      <c r="H511" s="37">
        <f>Priors!$H$27*VLOOKUP(D511,Team_26_27!$A$2:$U$21,20,FALSE)*VLOOKUP(E511,Team_26_27!$A$2:$U$21,21,FALSE)*IF(F511="H",Priors!$H$28,Priors!$H$29)</f>
        <v>2.1596092362679769</v>
      </c>
      <c r="I511" s="37">
        <f>Priors!$H$27*VLOOKUP(E511,Team_26_27!$A$2:$U$21,20,FALSE)*VLOOKUP(D511,Team_26_27!$A$2:$U$21,21,FALSE)*IF(F511="H",Priors!$H$29,Priors!$H$28)</f>
        <v>0.9511544555885163</v>
      </c>
      <c r="J511" s="15"/>
      <c r="K511" s="15"/>
      <c r="L511" s="47" t="b">
        <v>0</v>
      </c>
      <c r="M511" s="45">
        <v>0</v>
      </c>
      <c r="N511" s="45"/>
      <c r="O511" s="45"/>
      <c r="P511" s="38">
        <f t="shared" si="35"/>
        <v>2.1596092362679769</v>
      </c>
      <c r="Q511" s="38">
        <f t="shared" si="36"/>
        <v>0.9511544555885163</v>
      </c>
      <c r="R511" s="17">
        <f t="shared" si="37"/>
        <v>0.38629480573749292</v>
      </c>
      <c r="S511" s="17">
        <f t="shared" si="38"/>
        <v>0.11537019471876167</v>
      </c>
      <c r="T511" s="38" t="str">
        <f t="shared" si="39"/>
        <v/>
      </c>
      <c r="U511" s="31" t="s">
        <v>1876</v>
      </c>
      <c r="V511" s="31"/>
    </row>
    <row r="512" spans="1:22" ht="30">
      <c r="A512" s="7">
        <v>26</v>
      </c>
      <c r="B512" s="7">
        <v>256</v>
      </c>
      <c r="C512" s="7">
        <v>46438.625</v>
      </c>
      <c r="D512" s="7" t="s">
        <v>40</v>
      </c>
      <c r="E512" s="7" t="s">
        <v>51</v>
      </c>
      <c r="F512" s="7" t="s">
        <v>1742</v>
      </c>
      <c r="G512" s="7">
        <v>3</v>
      </c>
      <c r="H512" s="37">
        <f>Priors!$H$27*VLOOKUP(D512,Team_26_27!$A$2:$U$21,20,FALSE)*VLOOKUP(E512,Team_26_27!$A$2:$U$21,21,FALSE)*IF(F512="H",Priors!$H$28,Priors!$H$29)</f>
        <v>1.2165451426893978</v>
      </c>
      <c r="I512" s="37">
        <f>Priors!$H$27*VLOOKUP(E512,Team_26_27!$A$2:$U$21,20,FALSE)*VLOOKUP(D512,Team_26_27!$A$2:$U$21,21,FALSE)*IF(F512="H",Priors!$H$29,Priors!$H$28)</f>
        <v>1.5756151594355838</v>
      </c>
      <c r="J512" s="15"/>
      <c r="K512" s="15"/>
      <c r="L512" s="47" t="b">
        <v>0</v>
      </c>
      <c r="M512" s="45">
        <v>0</v>
      </c>
      <c r="N512" s="45"/>
      <c r="O512" s="45"/>
      <c r="P512" s="38">
        <f t="shared" si="35"/>
        <v>1.2165451426893978</v>
      </c>
      <c r="Q512" s="38">
        <f t="shared" si="36"/>
        <v>1.5756151594355838</v>
      </c>
      <c r="R512" s="17">
        <f t="shared" si="37"/>
        <v>0.20688024919186954</v>
      </c>
      <c r="S512" s="17">
        <f t="shared" si="38"/>
        <v>0.29625190899475734</v>
      </c>
      <c r="T512" s="38" t="str">
        <f t="shared" si="39"/>
        <v/>
      </c>
      <c r="U512" s="31" t="s">
        <v>1876</v>
      </c>
      <c r="V512" s="31"/>
    </row>
    <row r="513" spans="1:22" ht="30">
      <c r="A513" s="7">
        <v>26</v>
      </c>
      <c r="B513" s="7">
        <v>256</v>
      </c>
      <c r="C513" s="7">
        <v>46438.625</v>
      </c>
      <c r="D513" s="7" t="s">
        <v>51</v>
      </c>
      <c r="E513" s="7" t="s">
        <v>40</v>
      </c>
      <c r="F513" s="7" t="s">
        <v>1743</v>
      </c>
      <c r="G513" s="7">
        <v>3</v>
      </c>
      <c r="H513" s="37">
        <f>Priors!$H$27*VLOOKUP(D513,Team_26_27!$A$2:$U$21,20,FALSE)*VLOOKUP(E513,Team_26_27!$A$2:$U$21,21,FALSE)*IF(F513="H",Priors!$H$28,Priors!$H$29)</f>
        <v>1.5756151594355838</v>
      </c>
      <c r="I513" s="37">
        <f>Priors!$H$27*VLOOKUP(E513,Team_26_27!$A$2:$U$21,20,FALSE)*VLOOKUP(D513,Team_26_27!$A$2:$U$21,21,FALSE)*IF(F513="H",Priors!$H$29,Priors!$H$28)</f>
        <v>1.2165451426893978</v>
      </c>
      <c r="J513" s="15"/>
      <c r="K513" s="15"/>
      <c r="L513" s="47" t="b">
        <v>0</v>
      </c>
      <c r="M513" s="45">
        <v>0</v>
      </c>
      <c r="N513" s="45"/>
      <c r="O513" s="45"/>
      <c r="P513" s="38">
        <f t="shared" si="35"/>
        <v>1.5756151594355838</v>
      </c>
      <c r="Q513" s="38">
        <f t="shared" si="36"/>
        <v>1.2165451426893978</v>
      </c>
      <c r="R513" s="17">
        <f t="shared" si="37"/>
        <v>0.29625190899475734</v>
      </c>
      <c r="S513" s="17">
        <f t="shared" si="38"/>
        <v>0.20688024919186954</v>
      </c>
      <c r="T513" s="38" t="str">
        <f t="shared" si="39"/>
        <v/>
      </c>
      <c r="U513" s="31" t="s">
        <v>1876</v>
      </c>
      <c r="V513" s="31"/>
    </row>
    <row r="514" spans="1:22" ht="30">
      <c r="A514" s="7">
        <v>26</v>
      </c>
      <c r="B514" s="7">
        <v>257</v>
      </c>
      <c r="C514" s="7">
        <v>46438.625</v>
      </c>
      <c r="D514" s="7" t="s">
        <v>49</v>
      </c>
      <c r="E514" s="7" t="s">
        <v>52</v>
      </c>
      <c r="F514" s="7" t="s">
        <v>1742</v>
      </c>
      <c r="G514" s="7">
        <v>4</v>
      </c>
      <c r="H514" s="37">
        <f>Priors!$H$27*VLOOKUP(D514,Team_26_27!$A$2:$U$21,20,FALSE)*VLOOKUP(E514,Team_26_27!$A$2:$U$21,21,FALSE)*IF(F514="H",Priors!$H$28,Priors!$H$29)</f>
        <v>0.82596824340781538</v>
      </c>
      <c r="I514" s="37">
        <f>Priors!$H$27*VLOOKUP(E514,Team_26_27!$A$2:$U$21,20,FALSE)*VLOOKUP(D514,Team_26_27!$A$2:$U$21,21,FALSE)*IF(F514="H",Priors!$H$29,Priors!$H$28)</f>
        <v>2.2781306073548415</v>
      </c>
      <c r="J514" s="15"/>
      <c r="K514" s="15"/>
      <c r="L514" s="47" t="b">
        <v>0</v>
      </c>
      <c r="M514" s="45">
        <v>0</v>
      </c>
      <c r="N514" s="45"/>
      <c r="O514" s="45"/>
      <c r="P514" s="38">
        <f t="shared" ref="P514:P577" si="40">IF(N514&lt;&gt;"",N514,IF(L514=TRUE,M514*J514+(1-M514)*H514,H514))</f>
        <v>0.82596824340781538</v>
      </c>
      <c r="Q514" s="38">
        <f t="shared" ref="Q514:Q577" si="41">IF(O514&lt;&gt;"",O514,IF(L514=TRUE,M514*K514+(1-M514)*I514,I514))</f>
        <v>2.2781306073548415</v>
      </c>
      <c r="R514" s="17">
        <f t="shared" ref="R514:R577" si="42">EXP(-Q514)</f>
        <v>0.10247559489337749</v>
      </c>
      <c r="S514" s="17">
        <f t="shared" ref="S514:S577" si="43">EXP(-P514)</f>
        <v>0.43781087967775983</v>
      </c>
      <c r="T514" s="38" t="str">
        <f t="shared" ref="T514:T577" si="44">IF(L514=TRUE,J514-H514,"")</f>
        <v/>
      </c>
      <c r="U514" s="31" t="s">
        <v>1876</v>
      </c>
      <c r="V514" s="31"/>
    </row>
    <row r="515" spans="1:22" ht="30">
      <c r="A515" s="7">
        <v>26</v>
      </c>
      <c r="B515" s="7">
        <v>257</v>
      </c>
      <c r="C515" s="7">
        <v>46438.625</v>
      </c>
      <c r="D515" s="7" t="s">
        <v>52</v>
      </c>
      <c r="E515" s="7" t="s">
        <v>49</v>
      </c>
      <c r="F515" s="7" t="s">
        <v>1743</v>
      </c>
      <c r="G515" s="7">
        <v>2</v>
      </c>
      <c r="H515" s="37">
        <f>Priors!$H$27*VLOOKUP(D515,Team_26_27!$A$2:$U$21,20,FALSE)*VLOOKUP(E515,Team_26_27!$A$2:$U$21,21,FALSE)*IF(F515="H",Priors!$H$28,Priors!$H$29)</f>
        <v>2.2781306073548415</v>
      </c>
      <c r="I515" s="37">
        <f>Priors!$H$27*VLOOKUP(E515,Team_26_27!$A$2:$U$21,20,FALSE)*VLOOKUP(D515,Team_26_27!$A$2:$U$21,21,FALSE)*IF(F515="H",Priors!$H$29,Priors!$H$28)</f>
        <v>0.82596824340781538</v>
      </c>
      <c r="J515" s="15"/>
      <c r="K515" s="15"/>
      <c r="L515" s="47" t="b">
        <v>0</v>
      </c>
      <c r="M515" s="45">
        <v>0</v>
      </c>
      <c r="N515" s="45"/>
      <c r="O515" s="45"/>
      <c r="P515" s="38">
        <f t="shared" si="40"/>
        <v>2.2781306073548415</v>
      </c>
      <c r="Q515" s="38">
        <f t="shared" si="41"/>
        <v>0.82596824340781538</v>
      </c>
      <c r="R515" s="17">
        <f t="shared" si="42"/>
        <v>0.43781087967775983</v>
      </c>
      <c r="S515" s="17">
        <f t="shared" si="43"/>
        <v>0.10247559489337749</v>
      </c>
      <c r="T515" s="38" t="str">
        <f t="shared" si="44"/>
        <v/>
      </c>
      <c r="U515" s="31" t="s">
        <v>1876</v>
      </c>
      <c r="V515" s="31"/>
    </row>
    <row r="516" spans="1:22" ht="30">
      <c r="A516" s="7">
        <v>26</v>
      </c>
      <c r="B516" s="7">
        <v>258</v>
      </c>
      <c r="C516" s="7">
        <v>46438.625</v>
      </c>
      <c r="D516" s="7" t="s">
        <v>55</v>
      </c>
      <c r="E516" s="7" t="s">
        <v>53</v>
      </c>
      <c r="F516" s="7" t="s">
        <v>1742</v>
      </c>
      <c r="G516" s="7">
        <v>5</v>
      </c>
      <c r="H516" s="37">
        <f>Priors!$H$27*VLOOKUP(D516,Team_26_27!$A$2:$U$21,20,FALSE)*VLOOKUP(E516,Team_26_27!$A$2:$U$21,21,FALSE)*IF(F516="H",Priors!$H$28,Priors!$H$29)</f>
        <v>1.188926735478381</v>
      </c>
      <c r="I516" s="37">
        <f>Priors!$H$27*VLOOKUP(E516,Team_26_27!$A$2:$U$21,20,FALSE)*VLOOKUP(D516,Team_26_27!$A$2:$U$21,21,FALSE)*IF(F516="H",Priors!$H$29,Priors!$H$28)</f>
        <v>1.7973483899322222</v>
      </c>
      <c r="J516" s="15"/>
      <c r="K516" s="15"/>
      <c r="L516" s="47" t="b">
        <v>0</v>
      </c>
      <c r="M516" s="45">
        <v>0</v>
      </c>
      <c r="N516" s="45"/>
      <c r="O516" s="45"/>
      <c r="P516" s="38">
        <f t="shared" si="40"/>
        <v>1.188926735478381</v>
      </c>
      <c r="Q516" s="38">
        <f t="shared" si="41"/>
        <v>1.7973483899322222</v>
      </c>
      <c r="R516" s="17">
        <f t="shared" si="42"/>
        <v>0.16573777804296774</v>
      </c>
      <c r="S516" s="17">
        <f t="shared" si="43"/>
        <v>0.30454794923459017</v>
      </c>
      <c r="T516" s="38" t="str">
        <f t="shared" si="44"/>
        <v/>
      </c>
      <c r="U516" s="31" t="s">
        <v>1876</v>
      </c>
      <c r="V516" s="31"/>
    </row>
    <row r="517" spans="1:22" ht="30">
      <c r="A517" s="7">
        <v>26</v>
      </c>
      <c r="B517" s="7">
        <v>258</v>
      </c>
      <c r="C517" s="7">
        <v>46438.625</v>
      </c>
      <c r="D517" s="7" t="s">
        <v>53</v>
      </c>
      <c r="E517" s="7" t="s">
        <v>55</v>
      </c>
      <c r="F517" s="7" t="s">
        <v>1743</v>
      </c>
      <c r="G517" s="7">
        <v>2</v>
      </c>
      <c r="H517" s="37">
        <f>Priors!$H$27*VLOOKUP(D517,Team_26_27!$A$2:$U$21,20,FALSE)*VLOOKUP(E517,Team_26_27!$A$2:$U$21,21,FALSE)*IF(F517="H",Priors!$H$28,Priors!$H$29)</f>
        <v>1.7973483899322222</v>
      </c>
      <c r="I517" s="37">
        <f>Priors!$H$27*VLOOKUP(E517,Team_26_27!$A$2:$U$21,20,FALSE)*VLOOKUP(D517,Team_26_27!$A$2:$U$21,21,FALSE)*IF(F517="H",Priors!$H$29,Priors!$H$28)</f>
        <v>1.188926735478381</v>
      </c>
      <c r="J517" s="15"/>
      <c r="K517" s="15"/>
      <c r="L517" s="47" t="b">
        <v>0</v>
      </c>
      <c r="M517" s="45">
        <v>0</v>
      </c>
      <c r="N517" s="45"/>
      <c r="O517" s="45"/>
      <c r="P517" s="38">
        <f t="shared" si="40"/>
        <v>1.7973483899322222</v>
      </c>
      <c r="Q517" s="38">
        <f t="shared" si="41"/>
        <v>1.188926735478381</v>
      </c>
      <c r="R517" s="17">
        <f t="shared" si="42"/>
        <v>0.30454794923459017</v>
      </c>
      <c r="S517" s="17">
        <f t="shared" si="43"/>
        <v>0.16573777804296774</v>
      </c>
      <c r="T517" s="38" t="str">
        <f t="shared" si="44"/>
        <v/>
      </c>
      <c r="U517" s="31" t="s">
        <v>1876</v>
      </c>
      <c r="V517" s="31"/>
    </row>
    <row r="518" spans="1:22" ht="30">
      <c r="A518" s="7">
        <v>26</v>
      </c>
      <c r="B518" s="7">
        <v>259</v>
      </c>
      <c r="C518" s="7">
        <v>46438.625</v>
      </c>
      <c r="D518" s="7" t="s">
        <v>54</v>
      </c>
      <c r="E518" s="7" t="s">
        <v>56</v>
      </c>
      <c r="F518" s="7" t="s">
        <v>1742</v>
      </c>
      <c r="G518" s="7">
        <v>3</v>
      </c>
      <c r="H518" s="37">
        <f>Priors!$H$27*VLOOKUP(D518,Team_26_27!$A$2:$U$21,20,FALSE)*VLOOKUP(E518,Team_26_27!$A$2:$U$21,21,FALSE)*IF(F518="H",Priors!$H$28,Priors!$H$29)</f>
        <v>1.5232337223725083</v>
      </c>
      <c r="I518" s="37">
        <f>Priors!$H$27*VLOOKUP(E518,Team_26_27!$A$2:$U$21,20,FALSE)*VLOOKUP(D518,Team_26_27!$A$2:$U$21,21,FALSE)*IF(F518="H",Priors!$H$29,Priors!$H$28)</f>
        <v>1.3394521643826454</v>
      </c>
      <c r="J518" s="15"/>
      <c r="K518" s="15"/>
      <c r="L518" s="47" t="b">
        <v>0</v>
      </c>
      <c r="M518" s="45">
        <v>0</v>
      </c>
      <c r="N518" s="45"/>
      <c r="O518" s="45"/>
      <c r="P518" s="38">
        <f t="shared" si="40"/>
        <v>1.5232337223725083</v>
      </c>
      <c r="Q518" s="38">
        <f t="shared" si="41"/>
        <v>1.3394521643826454</v>
      </c>
      <c r="R518" s="17">
        <f t="shared" si="42"/>
        <v>0.26198915626406755</v>
      </c>
      <c r="S518" s="17">
        <f t="shared" si="43"/>
        <v>0.2180057757293879</v>
      </c>
      <c r="T518" s="38" t="str">
        <f t="shared" si="44"/>
        <v/>
      </c>
      <c r="U518" s="31" t="s">
        <v>1876</v>
      </c>
      <c r="V518" s="31"/>
    </row>
    <row r="519" spans="1:22" ht="30">
      <c r="A519" s="7">
        <v>26</v>
      </c>
      <c r="B519" s="7">
        <v>259</v>
      </c>
      <c r="C519" s="7">
        <v>46438.625</v>
      </c>
      <c r="D519" s="7" t="s">
        <v>56</v>
      </c>
      <c r="E519" s="7" t="s">
        <v>54</v>
      </c>
      <c r="F519" s="7" t="s">
        <v>1743</v>
      </c>
      <c r="G519" s="7">
        <v>4</v>
      </c>
      <c r="H519" s="37">
        <f>Priors!$H$27*VLOOKUP(D519,Team_26_27!$A$2:$U$21,20,FALSE)*VLOOKUP(E519,Team_26_27!$A$2:$U$21,21,FALSE)*IF(F519="H",Priors!$H$28,Priors!$H$29)</f>
        <v>1.3394521643826454</v>
      </c>
      <c r="I519" s="37">
        <f>Priors!$H$27*VLOOKUP(E519,Team_26_27!$A$2:$U$21,20,FALSE)*VLOOKUP(D519,Team_26_27!$A$2:$U$21,21,FALSE)*IF(F519="H",Priors!$H$29,Priors!$H$28)</f>
        <v>1.5232337223725083</v>
      </c>
      <c r="J519" s="15"/>
      <c r="K519" s="15"/>
      <c r="L519" s="47" t="b">
        <v>0</v>
      </c>
      <c r="M519" s="45">
        <v>0</v>
      </c>
      <c r="N519" s="45"/>
      <c r="O519" s="45"/>
      <c r="P519" s="38">
        <f t="shared" si="40"/>
        <v>1.3394521643826454</v>
      </c>
      <c r="Q519" s="38">
        <f t="shared" si="41"/>
        <v>1.5232337223725083</v>
      </c>
      <c r="R519" s="17">
        <f t="shared" si="42"/>
        <v>0.2180057757293879</v>
      </c>
      <c r="S519" s="17">
        <f t="shared" si="43"/>
        <v>0.26198915626406755</v>
      </c>
      <c r="T519" s="38" t="str">
        <f t="shared" si="44"/>
        <v/>
      </c>
      <c r="U519" s="31" t="s">
        <v>1876</v>
      </c>
      <c r="V519" s="31"/>
    </row>
    <row r="520" spans="1:22" ht="30">
      <c r="A520" s="7">
        <v>26</v>
      </c>
      <c r="B520" s="7">
        <v>260</v>
      </c>
      <c r="C520" s="7">
        <v>46438.625</v>
      </c>
      <c r="D520" s="7" t="s">
        <v>47</v>
      </c>
      <c r="E520" s="7" t="s">
        <v>58</v>
      </c>
      <c r="F520" s="7" t="s">
        <v>1742</v>
      </c>
      <c r="G520" s="7">
        <v>3</v>
      </c>
      <c r="H520" s="37">
        <f>Priors!$H$27*VLOOKUP(D520,Team_26_27!$A$2:$U$21,20,FALSE)*VLOOKUP(E520,Team_26_27!$A$2:$U$21,21,FALSE)*IF(F520="H",Priors!$H$28,Priors!$H$29)</f>
        <v>1.1710996151102127</v>
      </c>
      <c r="I520" s="37">
        <f>Priors!$H$27*VLOOKUP(E520,Team_26_27!$A$2:$U$21,20,FALSE)*VLOOKUP(D520,Team_26_27!$A$2:$U$21,21,FALSE)*IF(F520="H",Priors!$H$29,Priors!$H$28)</f>
        <v>1.3051943998622653</v>
      </c>
      <c r="J520" s="15"/>
      <c r="K520" s="15"/>
      <c r="L520" s="47" t="b">
        <v>0</v>
      </c>
      <c r="M520" s="45">
        <v>0</v>
      </c>
      <c r="N520" s="45"/>
      <c r="O520" s="45"/>
      <c r="P520" s="38">
        <f t="shared" si="40"/>
        <v>1.1710996151102127</v>
      </c>
      <c r="Q520" s="38">
        <f t="shared" si="41"/>
        <v>1.3051943998622653</v>
      </c>
      <c r="R520" s="17">
        <f t="shared" si="42"/>
        <v>0.27111982426578707</v>
      </c>
      <c r="S520" s="17">
        <f t="shared" si="43"/>
        <v>0.31002584465902011</v>
      </c>
      <c r="T520" s="38" t="str">
        <f t="shared" si="44"/>
        <v/>
      </c>
      <c r="U520" s="31" t="s">
        <v>1876</v>
      </c>
      <c r="V520" s="31"/>
    </row>
    <row r="521" spans="1:22" ht="30">
      <c r="A521" s="7">
        <v>26</v>
      </c>
      <c r="B521" s="7">
        <v>260</v>
      </c>
      <c r="C521" s="7">
        <v>46438.625</v>
      </c>
      <c r="D521" s="7" t="s">
        <v>58</v>
      </c>
      <c r="E521" s="7" t="s">
        <v>47</v>
      </c>
      <c r="F521" s="7" t="s">
        <v>1743</v>
      </c>
      <c r="G521" s="7">
        <v>3</v>
      </c>
      <c r="H521" s="37">
        <f>Priors!$H$27*VLOOKUP(D521,Team_26_27!$A$2:$U$21,20,FALSE)*VLOOKUP(E521,Team_26_27!$A$2:$U$21,21,FALSE)*IF(F521="H",Priors!$H$28,Priors!$H$29)</f>
        <v>1.3051943998622653</v>
      </c>
      <c r="I521" s="37">
        <f>Priors!$H$27*VLOOKUP(E521,Team_26_27!$A$2:$U$21,20,FALSE)*VLOOKUP(D521,Team_26_27!$A$2:$U$21,21,FALSE)*IF(F521="H",Priors!$H$29,Priors!$H$28)</f>
        <v>1.1710996151102127</v>
      </c>
      <c r="J521" s="15"/>
      <c r="K521" s="15"/>
      <c r="L521" s="47" t="b">
        <v>0</v>
      </c>
      <c r="M521" s="45">
        <v>0</v>
      </c>
      <c r="N521" s="45"/>
      <c r="O521" s="45"/>
      <c r="P521" s="38">
        <f t="shared" si="40"/>
        <v>1.3051943998622653</v>
      </c>
      <c r="Q521" s="38">
        <f t="shared" si="41"/>
        <v>1.1710996151102127</v>
      </c>
      <c r="R521" s="17">
        <f t="shared" si="42"/>
        <v>0.31002584465902011</v>
      </c>
      <c r="S521" s="17">
        <f t="shared" si="43"/>
        <v>0.27111982426578707</v>
      </c>
      <c r="T521" s="38" t="str">
        <f t="shared" si="44"/>
        <v/>
      </c>
      <c r="U521" s="31" t="s">
        <v>1876</v>
      </c>
      <c r="V521" s="31"/>
    </row>
    <row r="522" spans="1:22" ht="30">
      <c r="A522" s="7">
        <v>27</v>
      </c>
      <c r="B522" s="7">
        <v>261</v>
      </c>
      <c r="C522" s="7">
        <v>46445.625</v>
      </c>
      <c r="D522" s="7" t="s">
        <v>44</v>
      </c>
      <c r="E522" s="7" t="s">
        <v>40</v>
      </c>
      <c r="F522" s="7" t="s">
        <v>1742</v>
      </c>
      <c r="G522" s="7">
        <v>4</v>
      </c>
      <c r="H522" s="37">
        <f>Priors!$H$27*VLOOKUP(D522,Team_26_27!$A$2:$U$21,20,FALSE)*VLOOKUP(E522,Team_26_27!$A$2:$U$21,21,FALSE)*IF(F522="H",Priors!$H$28,Priors!$H$29)</f>
        <v>1.4471085206007819</v>
      </c>
      <c r="I522" s="37">
        <f>Priors!$H$27*VLOOKUP(E522,Team_26_27!$A$2:$U$21,20,FALSE)*VLOOKUP(D522,Team_26_27!$A$2:$U$21,21,FALSE)*IF(F522="H",Priors!$H$29,Priors!$H$28)</f>
        <v>1.4257678324712515</v>
      </c>
      <c r="J522" s="15"/>
      <c r="K522" s="15"/>
      <c r="L522" s="47" t="b">
        <v>0</v>
      </c>
      <c r="M522" s="45">
        <v>0</v>
      </c>
      <c r="N522" s="45"/>
      <c r="O522" s="45"/>
      <c r="P522" s="38">
        <f t="shared" si="40"/>
        <v>1.4471085206007819</v>
      </c>
      <c r="Q522" s="38">
        <f t="shared" si="41"/>
        <v>1.4257678324712515</v>
      </c>
      <c r="R522" s="17">
        <f t="shared" si="42"/>
        <v>0.24032386388042851</v>
      </c>
      <c r="S522" s="17">
        <f t="shared" si="43"/>
        <v>0.2352495247756875</v>
      </c>
      <c r="T522" s="38" t="str">
        <f t="shared" si="44"/>
        <v/>
      </c>
      <c r="U522" s="31" t="s">
        <v>1876</v>
      </c>
      <c r="V522" s="31"/>
    </row>
    <row r="523" spans="1:22" ht="30">
      <c r="A523" s="7">
        <v>27</v>
      </c>
      <c r="B523" s="7">
        <v>261</v>
      </c>
      <c r="C523" s="7">
        <v>46445.625</v>
      </c>
      <c r="D523" s="7" t="s">
        <v>40</v>
      </c>
      <c r="E523" s="7" t="s">
        <v>44</v>
      </c>
      <c r="F523" s="7" t="s">
        <v>1743</v>
      </c>
      <c r="G523" s="7">
        <v>4</v>
      </c>
      <c r="H523" s="37">
        <f>Priors!$H$27*VLOOKUP(D523,Team_26_27!$A$2:$U$21,20,FALSE)*VLOOKUP(E523,Team_26_27!$A$2:$U$21,21,FALSE)*IF(F523="H",Priors!$H$28,Priors!$H$29)</f>
        <v>1.4257678324712515</v>
      </c>
      <c r="I523" s="37">
        <f>Priors!$H$27*VLOOKUP(E523,Team_26_27!$A$2:$U$21,20,FALSE)*VLOOKUP(D523,Team_26_27!$A$2:$U$21,21,FALSE)*IF(F523="H",Priors!$H$29,Priors!$H$28)</f>
        <v>1.4471085206007819</v>
      </c>
      <c r="J523" s="15"/>
      <c r="K523" s="15"/>
      <c r="L523" s="47" t="b">
        <v>0</v>
      </c>
      <c r="M523" s="45">
        <v>0</v>
      </c>
      <c r="N523" s="45"/>
      <c r="O523" s="45"/>
      <c r="P523" s="38">
        <f t="shared" si="40"/>
        <v>1.4257678324712515</v>
      </c>
      <c r="Q523" s="38">
        <f t="shared" si="41"/>
        <v>1.4471085206007819</v>
      </c>
      <c r="R523" s="17">
        <f t="shared" si="42"/>
        <v>0.2352495247756875</v>
      </c>
      <c r="S523" s="17">
        <f t="shared" si="43"/>
        <v>0.24032386388042851</v>
      </c>
      <c r="T523" s="38" t="str">
        <f t="shared" si="44"/>
        <v/>
      </c>
      <c r="U523" s="31" t="s">
        <v>1876</v>
      </c>
      <c r="V523" s="31"/>
    </row>
    <row r="524" spans="1:22" ht="30">
      <c r="A524" s="7">
        <v>27</v>
      </c>
      <c r="B524" s="7">
        <v>262</v>
      </c>
      <c r="C524" s="7">
        <v>46445.625</v>
      </c>
      <c r="D524" s="7" t="s">
        <v>41</v>
      </c>
      <c r="E524" s="7" t="s">
        <v>45</v>
      </c>
      <c r="F524" s="7" t="s">
        <v>1742</v>
      </c>
      <c r="G524" s="7">
        <v>2</v>
      </c>
      <c r="H524" s="37">
        <f>Priors!$H$27*VLOOKUP(D524,Team_26_27!$A$2:$U$21,20,FALSE)*VLOOKUP(E524,Team_26_27!$A$2:$U$21,21,FALSE)*IF(F524="H",Priors!$H$28,Priors!$H$29)</f>
        <v>1.7241647812696583</v>
      </c>
      <c r="I524" s="37">
        <f>Priors!$H$27*VLOOKUP(E524,Team_26_27!$A$2:$U$21,20,FALSE)*VLOOKUP(D524,Team_26_27!$A$2:$U$21,21,FALSE)*IF(F524="H",Priors!$H$29,Priors!$H$28)</f>
        <v>1.260018168277184</v>
      </c>
      <c r="J524" s="15"/>
      <c r="K524" s="15"/>
      <c r="L524" s="47" t="b">
        <v>0</v>
      </c>
      <c r="M524" s="45">
        <v>0</v>
      </c>
      <c r="N524" s="45"/>
      <c r="O524" s="45"/>
      <c r="P524" s="38">
        <f t="shared" si="40"/>
        <v>1.7241647812696583</v>
      </c>
      <c r="Q524" s="38">
        <f t="shared" si="41"/>
        <v>1.260018168277184</v>
      </c>
      <c r="R524" s="17">
        <f t="shared" si="42"/>
        <v>0.28364887304160741</v>
      </c>
      <c r="S524" s="17">
        <f t="shared" si="43"/>
        <v>0.17832192740618547</v>
      </c>
      <c r="T524" s="38" t="str">
        <f t="shared" si="44"/>
        <v/>
      </c>
      <c r="U524" s="31" t="s">
        <v>1876</v>
      </c>
      <c r="V524" s="31"/>
    </row>
    <row r="525" spans="1:22" ht="30">
      <c r="A525" s="7">
        <v>27</v>
      </c>
      <c r="B525" s="7">
        <v>262</v>
      </c>
      <c r="C525" s="7">
        <v>46445.625</v>
      </c>
      <c r="D525" s="7" t="s">
        <v>45</v>
      </c>
      <c r="E525" s="7" t="s">
        <v>41</v>
      </c>
      <c r="F525" s="7" t="s">
        <v>1743</v>
      </c>
      <c r="G525" s="7">
        <v>3</v>
      </c>
      <c r="H525" s="37">
        <f>Priors!$H$27*VLOOKUP(D525,Team_26_27!$A$2:$U$21,20,FALSE)*VLOOKUP(E525,Team_26_27!$A$2:$U$21,21,FALSE)*IF(F525="H",Priors!$H$28,Priors!$H$29)</f>
        <v>1.260018168277184</v>
      </c>
      <c r="I525" s="37">
        <f>Priors!$H$27*VLOOKUP(E525,Team_26_27!$A$2:$U$21,20,FALSE)*VLOOKUP(D525,Team_26_27!$A$2:$U$21,21,FALSE)*IF(F525="H",Priors!$H$29,Priors!$H$28)</f>
        <v>1.7241647812696583</v>
      </c>
      <c r="J525" s="15"/>
      <c r="K525" s="15"/>
      <c r="L525" s="47" t="b">
        <v>0</v>
      </c>
      <c r="M525" s="45">
        <v>0</v>
      </c>
      <c r="N525" s="45"/>
      <c r="O525" s="45"/>
      <c r="P525" s="38">
        <f t="shared" si="40"/>
        <v>1.260018168277184</v>
      </c>
      <c r="Q525" s="38">
        <f t="shared" si="41"/>
        <v>1.7241647812696583</v>
      </c>
      <c r="R525" s="17">
        <f t="shared" si="42"/>
        <v>0.17832192740618547</v>
      </c>
      <c r="S525" s="17">
        <f t="shared" si="43"/>
        <v>0.28364887304160741</v>
      </c>
      <c r="T525" s="38" t="str">
        <f t="shared" si="44"/>
        <v/>
      </c>
      <c r="U525" s="31" t="s">
        <v>1876</v>
      </c>
      <c r="V525" s="31"/>
    </row>
    <row r="526" spans="1:22" ht="30">
      <c r="A526" s="7">
        <v>27</v>
      </c>
      <c r="B526" s="7">
        <v>263</v>
      </c>
      <c r="C526" s="7">
        <v>46445.625</v>
      </c>
      <c r="D526" s="7" t="s">
        <v>58</v>
      </c>
      <c r="E526" s="7" t="s">
        <v>46</v>
      </c>
      <c r="F526" s="7" t="s">
        <v>1742</v>
      </c>
      <c r="G526" s="7">
        <v>3</v>
      </c>
      <c r="H526" s="37">
        <f>Priors!$H$27*VLOOKUP(D526,Team_26_27!$A$2:$U$21,20,FALSE)*VLOOKUP(E526,Team_26_27!$A$2:$U$21,21,FALSE)*IF(F526="H",Priors!$H$28,Priors!$H$29)</f>
        <v>1.0094200583763135</v>
      </c>
      <c r="I526" s="37">
        <f>Priors!$H$27*VLOOKUP(E526,Team_26_27!$A$2:$U$21,20,FALSE)*VLOOKUP(D526,Team_26_27!$A$2:$U$21,21,FALSE)*IF(F526="H",Priors!$H$29,Priors!$H$28)</f>
        <v>1.6458409788715647</v>
      </c>
      <c r="J526" s="15"/>
      <c r="K526" s="15"/>
      <c r="L526" s="47" t="b">
        <v>0</v>
      </c>
      <c r="M526" s="45">
        <v>0</v>
      </c>
      <c r="N526" s="45"/>
      <c r="O526" s="45"/>
      <c r="P526" s="38">
        <f t="shared" si="40"/>
        <v>1.0094200583763135</v>
      </c>
      <c r="Q526" s="38">
        <f t="shared" si="41"/>
        <v>1.6458409788715647</v>
      </c>
      <c r="R526" s="17">
        <f t="shared" si="42"/>
        <v>0.19285031154100596</v>
      </c>
      <c r="S526" s="17">
        <f t="shared" si="43"/>
        <v>0.36443026657905669</v>
      </c>
      <c r="T526" s="38" t="str">
        <f t="shared" si="44"/>
        <v/>
      </c>
      <c r="U526" s="31" t="s">
        <v>1876</v>
      </c>
      <c r="V526" s="31"/>
    </row>
    <row r="527" spans="1:22" ht="30">
      <c r="A527" s="7">
        <v>27</v>
      </c>
      <c r="B527" s="7">
        <v>263</v>
      </c>
      <c r="C527" s="7">
        <v>46445.625</v>
      </c>
      <c r="D527" s="7" t="s">
        <v>46</v>
      </c>
      <c r="E527" s="7" t="s">
        <v>58</v>
      </c>
      <c r="F527" s="7" t="s">
        <v>1743</v>
      </c>
      <c r="G527" s="7">
        <v>2</v>
      </c>
      <c r="H527" s="37">
        <f>Priors!$H$27*VLOOKUP(D527,Team_26_27!$A$2:$U$21,20,FALSE)*VLOOKUP(E527,Team_26_27!$A$2:$U$21,21,FALSE)*IF(F527="H",Priors!$H$28,Priors!$H$29)</f>
        <v>1.6458409788715647</v>
      </c>
      <c r="I527" s="37">
        <f>Priors!$H$27*VLOOKUP(E527,Team_26_27!$A$2:$U$21,20,FALSE)*VLOOKUP(D527,Team_26_27!$A$2:$U$21,21,FALSE)*IF(F527="H",Priors!$H$29,Priors!$H$28)</f>
        <v>1.0094200583763135</v>
      </c>
      <c r="J527" s="15"/>
      <c r="K527" s="15"/>
      <c r="L527" s="47" t="b">
        <v>0</v>
      </c>
      <c r="M527" s="45">
        <v>0</v>
      </c>
      <c r="N527" s="45"/>
      <c r="O527" s="45"/>
      <c r="P527" s="38">
        <f t="shared" si="40"/>
        <v>1.6458409788715647</v>
      </c>
      <c r="Q527" s="38">
        <f t="shared" si="41"/>
        <v>1.0094200583763135</v>
      </c>
      <c r="R527" s="17">
        <f t="shared" si="42"/>
        <v>0.36443026657905669</v>
      </c>
      <c r="S527" s="17">
        <f t="shared" si="43"/>
        <v>0.19285031154100596</v>
      </c>
      <c r="T527" s="38" t="str">
        <f t="shared" si="44"/>
        <v/>
      </c>
      <c r="U527" s="31" t="s">
        <v>1876</v>
      </c>
      <c r="V527" s="31"/>
    </row>
    <row r="528" spans="1:22" ht="30">
      <c r="A528" s="7">
        <v>27</v>
      </c>
      <c r="B528" s="7">
        <v>264</v>
      </c>
      <c r="C528" s="7">
        <v>46445.625</v>
      </c>
      <c r="D528" s="7" t="s">
        <v>56</v>
      </c>
      <c r="E528" s="7" t="s">
        <v>47</v>
      </c>
      <c r="F528" s="7" t="s">
        <v>1742</v>
      </c>
      <c r="G528" s="7">
        <v>3</v>
      </c>
      <c r="H528" s="37">
        <f>Priors!$H$27*VLOOKUP(D528,Team_26_27!$A$2:$U$21,20,FALSE)*VLOOKUP(E528,Team_26_27!$A$2:$U$21,21,FALSE)*IF(F528="H",Priors!$H$28,Priors!$H$29)</f>
        <v>1.2172340512269799</v>
      </c>
      <c r="I528" s="37">
        <f>Priors!$H$27*VLOOKUP(E528,Team_26_27!$A$2:$U$21,20,FALSE)*VLOOKUP(D528,Team_26_27!$A$2:$U$21,21,FALSE)*IF(F528="H",Priors!$H$29,Priors!$H$28)</f>
        <v>1.4685025534342069</v>
      </c>
      <c r="J528" s="15"/>
      <c r="K528" s="15"/>
      <c r="L528" s="47" t="b">
        <v>0</v>
      </c>
      <c r="M528" s="45">
        <v>0</v>
      </c>
      <c r="N528" s="45"/>
      <c r="O528" s="45"/>
      <c r="P528" s="38">
        <f t="shared" si="40"/>
        <v>1.2172340512269799</v>
      </c>
      <c r="Q528" s="38">
        <f t="shared" si="41"/>
        <v>1.4685025534342069</v>
      </c>
      <c r="R528" s="17">
        <f t="shared" si="42"/>
        <v>0.23027004422989791</v>
      </c>
      <c r="S528" s="17">
        <f t="shared" si="43"/>
        <v>0.29604788880906868</v>
      </c>
      <c r="T528" s="38" t="str">
        <f t="shared" si="44"/>
        <v/>
      </c>
      <c r="U528" s="31" t="s">
        <v>1876</v>
      </c>
      <c r="V528" s="31"/>
    </row>
    <row r="529" spans="1:22" ht="30">
      <c r="A529" s="7">
        <v>27</v>
      </c>
      <c r="B529" s="7">
        <v>264</v>
      </c>
      <c r="C529" s="7">
        <v>46445.625</v>
      </c>
      <c r="D529" s="7" t="s">
        <v>47</v>
      </c>
      <c r="E529" s="7" t="s">
        <v>56</v>
      </c>
      <c r="F529" s="7" t="s">
        <v>1743</v>
      </c>
      <c r="G529" s="7">
        <v>3</v>
      </c>
      <c r="H529" s="37">
        <f>Priors!$H$27*VLOOKUP(D529,Team_26_27!$A$2:$U$21,20,FALSE)*VLOOKUP(E529,Team_26_27!$A$2:$U$21,21,FALSE)*IF(F529="H",Priors!$H$28,Priors!$H$29)</f>
        <v>1.4685025534342069</v>
      </c>
      <c r="I529" s="37">
        <f>Priors!$H$27*VLOOKUP(E529,Team_26_27!$A$2:$U$21,20,FALSE)*VLOOKUP(D529,Team_26_27!$A$2:$U$21,21,FALSE)*IF(F529="H",Priors!$H$29,Priors!$H$28)</f>
        <v>1.2172340512269799</v>
      </c>
      <c r="J529" s="15"/>
      <c r="K529" s="15"/>
      <c r="L529" s="47" t="b">
        <v>0</v>
      </c>
      <c r="M529" s="45">
        <v>0</v>
      </c>
      <c r="N529" s="45"/>
      <c r="O529" s="45"/>
      <c r="P529" s="38">
        <f t="shared" si="40"/>
        <v>1.4685025534342069</v>
      </c>
      <c r="Q529" s="38">
        <f t="shared" si="41"/>
        <v>1.2172340512269799</v>
      </c>
      <c r="R529" s="17">
        <f t="shared" si="42"/>
        <v>0.29604788880906868</v>
      </c>
      <c r="S529" s="17">
        <f t="shared" si="43"/>
        <v>0.23027004422989791</v>
      </c>
      <c r="T529" s="38" t="str">
        <f t="shared" si="44"/>
        <v/>
      </c>
      <c r="U529" s="31" t="s">
        <v>1876</v>
      </c>
      <c r="V529" s="31"/>
    </row>
    <row r="530" spans="1:22" ht="30">
      <c r="A530" s="7">
        <v>27</v>
      </c>
      <c r="B530" s="7">
        <v>265</v>
      </c>
      <c r="C530" s="7">
        <v>46445.625</v>
      </c>
      <c r="D530" s="7" t="s">
        <v>51</v>
      </c>
      <c r="E530" s="7" t="s">
        <v>48</v>
      </c>
      <c r="F530" s="7" t="s">
        <v>1742</v>
      </c>
      <c r="G530" s="7">
        <v>3</v>
      </c>
      <c r="H530" s="37">
        <f>Priors!$H$27*VLOOKUP(D530,Team_26_27!$A$2:$U$21,20,FALSE)*VLOOKUP(E530,Team_26_27!$A$2:$U$21,21,FALSE)*IF(F530="H",Priors!$H$28,Priors!$H$29)</f>
        <v>1.2797049544805954</v>
      </c>
      <c r="I530" s="37">
        <f>Priors!$H$27*VLOOKUP(E530,Team_26_27!$A$2:$U$21,20,FALSE)*VLOOKUP(D530,Team_26_27!$A$2:$U$21,21,FALSE)*IF(F530="H",Priors!$H$29,Priors!$H$28)</f>
        <v>1.5122272455124677</v>
      </c>
      <c r="J530" s="15"/>
      <c r="K530" s="15"/>
      <c r="L530" s="47" t="b">
        <v>0</v>
      </c>
      <c r="M530" s="45">
        <v>0</v>
      </c>
      <c r="N530" s="45"/>
      <c r="O530" s="45"/>
      <c r="P530" s="38">
        <f t="shared" si="40"/>
        <v>1.2797049544805954</v>
      </c>
      <c r="Q530" s="38">
        <f t="shared" si="41"/>
        <v>1.5122272455124677</v>
      </c>
      <c r="R530" s="17">
        <f t="shared" si="42"/>
        <v>0.22041850472125865</v>
      </c>
      <c r="S530" s="17">
        <f t="shared" si="43"/>
        <v>0.27811934621594236</v>
      </c>
      <c r="T530" s="38" t="str">
        <f t="shared" si="44"/>
        <v/>
      </c>
      <c r="U530" s="31" t="s">
        <v>1876</v>
      </c>
      <c r="V530" s="31"/>
    </row>
    <row r="531" spans="1:22" ht="30">
      <c r="A531" s="7">
        <v>27</v>
      </c>
      <c r="B531" s="7">
        <v>265</v>
      </c>
      <c r="C531" s="7">
        <v>46445.625</v>
      </c>
      <c r="D531" s="7" t="s">
        <v>48</v>
      </c>
      <c r="E531" s="7" t="s">
        <v>51</v>
      </c>
      <c r="F531" s="7" t="s">
        <v>1743</v>
      </c>
      <c r="G531" s="7">
        <v>2</v>
      </c>
      <c r="H531" s="37">
        <f>Priors!$H$27*VLOOKUP(D531,Team_26_27!$A$2:$U$21,20,FALSE)*VLOOKUP(E531,Team_26_27!$A$2:$U$21,21,FALSE)*IF(F531="H",Priors!$H$28,Priors!$H$29)</f>
        <v>1.5122272455124677</v>
      </c>
      <c r="I531" s="37">
        <f>Priors!$H$27*VLOOKUP(E531,Team_26_27!$A$2:$U$21,20,FALSE)*VLOOKUP(D531,Team_26_27!$A$2:$U$21,21,FALSE)*IF(F531="H",Priors!$H$29,Priors!$H$28)</f>
        <v>1.2797049544805954</v>
      </c>
      <c r="J531" s="15"/>
      <c r="K531" s="15"/>
      <c r="L531" s="47" t="b">
        <v>0</v>
      </c>
      <c r="M531" s="45">
        <v>0</v>
      </c>
      <c r="N531" s="45"/>
      <c r="O531" s="45"/>
      <c r="P531" s="38">
        <f t="shared" si="40"/>
        <v>1.5122272455124677</v>
      </c>
      <c r="Q531" s="38">
        <f t="shared" si="41"/>
        <v>1.2797049544805954</v>
      </c>
      <c r="R531" s="17">
        <f t="shared" si="42"/>
        <v>0.27811934621594236</v>
      </c>
      <c r="S531" s="17">
        <f t="shared" si="43"/>
        <v>0.22041850472125865</v>
      </c>
      <c r="T531" s="38" t="str">
        <f t="shared" si="44"/>
        <v/>
      </c>
      <c r="U531" s="31" t="s">
        <v>1876</v>
      </c>
      <c r="V531" s="31"/>
    </row>
    <row r="532" spans="1:22" ht="30">
      <c r="A532" s="7">
        <v>27</v>
      </c>
      <c r="B532" s="7">
        <v>266</v>
      </c>
      <c r="C532" s="7">
        <v>46445.625</v>
      </c>
      <c r="D532" s="7" t="s">
        <v>53</v>
      </c>
      <c r="E532" s="7" t="s">
        <v>49</v>
      </c>
      <c r="F532" s="7" t="s">
        <v>1742</v>
      </c>
      <c r="G532" s="7">
        <v>2</v>
      </c>
      <c r="H532" s="37">
        <f>Priors!$H$27*VLOOKUP(D532,Team_26_27!$A$2:$U$21,20,FALSE)*VLOOKUP(E532,Team_26_27!$A$2:$U$21,21,FALSE)*IF(F532="H",Priors!$H$28,Priors!$H$29)</f>
        <v>2.0471972284644191</v>
      </c>
      <c r="I532" s="37">
        <f>Priors!$H$27*VLOOKUP(E532,Team_26_27!$A$2:$U$21,20,FALSE)*VLOOKUP(D532,Team_26_27!$A$2:$U$21,21,FALSE)*IF(F532="H",Priors!$H$29,Priors!$H$28)</f>
        <v>0.97396166400746254</v>
      </c>
      <c r="J532" s="15"/>
      <c r="K532" s="15"/>
      <c r="L532" s="47" t="b">
        <v>0</v>
      </c>
      <c r="M532" s="45">
        <v>0</v>
      </c>
      <c r="N532" s="45"/>
      <c r="O532" s="45"/>
      <c r="P532" s="38">
        <f t="shared" si="40"/>
        <v>2.0471972284644191</v>
      </c>
      <c r="Q532" s="38">
        <f t="shared" si="41"/>
        <v>0.97396166400746254</v>
      </c>
      <c r="R532" s="17">
        <f t="shared" si="42"/>
        <v>0.37758420936375592</v>
      </c>
      <c r="S532" s="17">
        <f t="shared" si="43"/>
        <v>0.1290962242242831</v>
      </c>
      <c r="T532" s="38" t="str">
        <f t="shared" si="44"/>
        <v/>
      </c>
      <c r="U532" s="31" t="s">
        <v>1876</v>
      </c>
      <c r="V532" s="31"/>
    </row>
    <row r="533" spans="1:22" ht="30">
      <c r="A533" s="7">
        <v>27</v>
      </c>
      <c r="B533" s="7">
        <v>266</v>
      </c>
      <c r="C533" s="7">
        <v>46445.625</v>
      </c>
      <c r="D533" s="7" t="s">
        <v>49</v>
      </c>
      <c r="E533" s="7" t="s">
        <v>53</v>
      </c>
      <c r="F533" s="7" t="s">
        <v>1743</v>
      </c>
      <c r="G533" s="7">
        <v>4</v>
      </c>
      <c r="H533" s="37">
        <f>Priors!$H$27*VLOOKUP(D533,Team_26_27!$A$2:$U$21,20,FALSE)*VLOOKUP(E533,Team_26_27!$A$2:$U$21,21,FALSE)*IF(F533="H",Priors!$H$28,Priors!$H$29)</f>
        <v>0.97396166400746254</v>
      </c>
      <c r="I533" s="37">
        <f>Priors!$H$27*VLOOKUP(E533,Team_26_27!$A$2:$U$21,20,FALSE)*VLOOKUP(D533,Team_26_27!$A$2:$U$21,21,FALSE)*IF(F533="H",Priors!$H$29,Priors!$H$28)</f>
        <v>2.0471972284644191</v>
      </c>
      <c r="J533" s="15"/>
      <c r="K533" s="15"/>
      <c r="L533" s="47" t="b">
        <v>0</v>
      </c>
      <c r="M533" s="45">
        <v>0</v>
      </c>
      <c r="N533" s="45"/>
      <c r="O533" s="45"/>
      <c r="P533" s="38">
        <f t="shared" si="40"/>
        <v>0.97396166400746254</v>
      </c>
      <c r="Q533" s="38">
        <f t="shared" si="41"/>
        <v>2.0471972284644191</v>
      </c>
      <c r="R533" s="17">
        <f t="shared" si="42"/>
        <v>0.1290962242242831</v>
      </c>
      <c r="S533" s="17">
        <f t="shared" si="43"/>
        <v>0.37758420936375592</v>
      </c>
      <c r="T533" s="38" t="str">
        <f t="shared" si="44"/>
        <v/>
      </c>
      <c r="U533" s="31" t="s">
        <v>1876</v>
      </c>
      <c r="V533" s="31"/>
    </row>
    <row r="534" spans="1:22" ht="30">
      <c r="A534" s="7">
        <v>27</v>
      </c>
      <c r="B534" s="7">
        <v>267</v>
      </c>
      <c r="C534" s="7">
        <v>46445.625</v>
      </c>
      <c r="D534" s="7" t="s">
        <v>43</v>
      </c>
      <c r="E534" s="7" t="s">
        <v>50</v>
      </c>
      <c r="F534" s="7" t="s">
        <v>1742</v>
      </c>
      <c r="G534" s="7">
        <v>2</v>
      </c>
      <c r="H534" s="37">
        <f>Priors!$H$27*VLOOKUP(D534,Team_26_27!$A$2:$U$21,20,FALSE)*VLOOKUP(E534,Team_26_27!$A$2:$U$21,21,FALSE)*IF(F534="H",Priors!$H$28,Priors!$H$29)</f>
        <v>1.6497444028122883</v>
      </c>
      <c r="I534" s="37">
        <f>Priors!$H$27*VLOOKUP(E534,Team_26_27!$A$2:$U$21,20,FALSE)*VLOOKUP(D534,Team_26_27!$A$2:$U$21,21,FALSE)*IF(F534="H",Priors!$H$29,Priors!$H$28)</f>
        <v>1.110379767168465</v>
      </c>
      <c r="J534" s="15"/>
      <c r="K534" s="15"/>
      <c r="L534" s="47" t="b">
        <v>0</v>
      </c>
      <c r="M534" s="45">
        <v>0</v>
      </c>
      <c r="N534" s="45"/>
      <c r="O534" s="45"/>
      <c r="P534" s="38">
        <f t="shared" si="40"/>
        <v>1.6497444028122883</v>
      </c>
      <c r="Q534" s="38">
        <f t="shared" si="41"/>
        <v>1.110379767168465</v>
      </c>
      <c r="R534" s="17">
        <f t="shared" si="42"/>
        <v>0.32943382916369907</v>
      </c>
      <c r="S534" s="17">
        <f t="shared" si="43"/>
        <v>0.19209900231113519</v>
      </c>
      <c r="T534" s="38" t="str">
        <f t="shared" si="44"/>
        <v/>
      </c>
      <c r="U534" s="31" t="s">
        <v>1876</v>
      </c>
      <c r="V534" s="31"/>
    </row>
    <row r="535" spans="1:22" ht="30">
      <c r="A535" s="7">
        <v>27</v>
      </c>
      <c r="B535" s="7">
        <v>267</v>
      </c>
      <c r="C535" s="7">
        <v>46445.625</v>
      </c>
      <c r="D535" s="7" t="s">
        <v>50</v>
      </c>
      <c r="E535" s="7" t="s">
        <v>43</v>
      </c>
      <c r="F535" s="7" t="s">
        <v>1743</v>
      </c>
      <c r="G535" s="7">
        <v>2</v>
      </c>
      <c r="H535" s="37">
        <f>Priors!$H$27*VLOOKUP(D535,Team_26_27!$A$2:$U$21,20,FALSE)*VLOOKUP(E535,Team_26_27!$A$2:$U$21,21,FALSE)*IF(F535="H",Priors!$H$28,Priors!$H$29)</f>
        <v>1.110379767168465</v>
      </c>
      <c r="I535" s="37">
        <f>Priors!$H$27*VLOOKUP(E535,Team_26_27!$A$2:$U$21,20,FALSE)*VLOOKUP(D535,Team_26_27!$A$2:$U$21,21,FALSE)*IF(F535="H",Priors!$H$29,Priors!$H$28)</f>
        <v>1.6497444028122883</v>
      </c>
      <c r="J535" s="15"/>
      <c r="K535" s="15"/>
      <c r="L535" s="47" t="b">
        <v>0</v>
      </c>
      <c r="M535" s="45">
        <v>0</v>
      </c>
      <c r="N535" s="45"/>
      <c r="O535" s="45"/>
      <c r="P535" s="38">
        <f t="shared" si="40"/>
        <v>1.110379767168465</v>
      </c>
      <c r="Q535" s="38">
        <f t="shared" si="41"/>
        <v>1.6497444028122883</v>
      </c>
      <c r="R535" s="17">
        <f t="shared" si="42"/>
        <v>0.19209900231113519</v>
      </c>
      <c r="S535" s="17">
        <f t="shared" si="43"/>
        <v>0.32943382916369907</v>
      </c>
      <c r="T535" s="38" t="str">
        <f t="shared" si="44"/>
        <v/>
      </c>
      <c r="U535" s="31" t="s">
        <v>1876</v>
      </c>
      <c r="V535" s="31"/>
    </row>
    <row r="536" spans="1:22" ht="30">
      <c r="A536" s="7">
        <v>27</v>
      </c>
      <c r="B536" s="7">
        <v>268</v>
      </c>
      <c r="C536" s="7">
        <v>46445.625</v>
      </c>
      <c r="D536" s="7" t="s">
        <v>39</v>
      </c>
      <c r="E536" s="7" t="s">
        <v>54</v>
      </c>
      <c r="F536" s="7" t="s">
        <v>1742</v>
      </c>
      <c r="G536" s="7">
        <v>4</v>
      </c>
      <c r="H536" s="37">
        <f>Priors!$H$27*VLOOKUP(D536,Team_26_27!$A$2:$U$21,20,FALSE)*VLOOKUP(E536,Team_26_27!$A$2:$U$21,21,FALSE)*IF(F536="H",Priors!$H$28,Priors!$H$29)</f>
        <v>1.3777712310676435</v>
      </c>
      <c r="I536" s="37">
        <f>Priors!$H$27*VLOOKUP(E536,Team_26_27!$A$2:$U$21,20,FALSE)*VLOOKUP(D536,Team_26_27!$A$2:$U$21,21,FALSE)*IF(F536="H",Priors!$H$29,Priors!$H$28)</f>
        <v>1.2008393083775519</v>
      </c>
      <c r="J536" s="15"/>
      <c r="K536" s="15"/>
      <c r="L536" s="47" t="b">
        <v>0</v>
      </c>
      <c r="M536" s="45">
        <v>0</v>
      </c>
      <c r="N536" s="45"/>
      <c r="O536" s="45"/>
      <c r="P536" s="38">
        <f t="shared" si="40"/>
        <v>1.3777712310676435</v>
      </c>
      <c r="Q536" s="38">
        <f t="shared" si="41"/>
        <v>1.2008393083775519</v>
      </c>
      <c r="R536" s="17">
        <f t="shared" si="42"/>
        <v>0.30094152314360789</v>
      </c>
      <c r="S536" s="17">
        <f t="shared" si="43"/>
        <v>0.25213988883436539</v>
      </c>
      <c r="T536" s="38" t="str">
        <f t="shared" si="44"/>
        <v/>
      </c>
      <c r="U536" s="31" t="s">
        <v>1876</v>
      </c>
      <c r="V536" s="31"/>
    </row>
    <row r="537" spans="1:22" ht="30">
      <c r="A537" s="7">
        <v>27</v>
      </c>
      <c r="B537" s="7">
        <v>268</v>
      </c>
      <c r="C537" s="7">
        <v>46445.625</v>
      </c>
      <c r="D537" s="7" t="s">
        <v>54</v>
      </c>
      <c r="E537" s="7" t="s">
        <v>39</v>
      </c>
      <c r="F537" s="7" t="s">
        <v>1743</v>
      </c>
      <c r="G537" s="7">
        <v>4</v>
      </c>
      <c r="H537" s="37">
        <f>Priors!$H$27*VLOOKUP(D537,Team_26_27!$A$2:$U$21,20,FALSE)*VLOOKUP(E537,Team_26_27!$A$2:$U$21,21,FALSE)*IF(F537="H",Priors!$H$28,Priors!$H$29)</f>
        <v>1.2008393083775519</v>
      </c>
      <c r="I537" s="37">
        <f>Priors!$H$27*VLOOKUP(E537,Team_26_27!$A$2:$U$21,20,FALSE)*VLOOKUP(D537,Team_26_27!$A$2:$U$21,21,FALSE)*IF(F537="H",Priors!$H$29,Priors!$H$28)</f>
        <v>1.3777712310676435</v>
      </c>
      <c r="J537" s="15"/>
      <c r="K537" s="15"/>
      <c r="L537" s="47" t="b">
        <v>0</v>
      </c>
      <c r="M537" s="45">
        <v>0</v>
      </c>
      <c r="N537" s="45"/>
      <c r="O537" s="45"/>
      <c r="P537" s="38">
        <f t="shared" si="40"/>
        <v>1.2008393083775519</v>
      </c>
      <c r="Q537" s="38">
        <f t="shared" si="41"/>
        <v>1.3777712310676435</v>
      </c>
      <c r="R537" s="17">
        <f t="shared" si="42"/>
        <v>0.25213988883436539</v>
      </c>
      <c r="S537" s="17">
        <f t="shared" si="43"/>
        <v>0.30094152314360789</v>
      </c>
      <c r="T537" s="38" t="str">
        <f t="shared" si="44"/>
        <v/>
      </c>
      <c r="U537" s="31" t="s">
        <v>1876</v>
      </c>
      <c r="V537" s="31"/>
    </row>
    <row r="538" spans="1:22" ht="30">
      <c r="A538" s="7">
        <v>27</v>
      </c>
      <c r="B538" s="7">
        <v>269</v>
      </c>
      <c r="C538" s="7">
        <v>46445.625</v>
      </c>
      <c r="D538" s="7" t="s">
        <v>42</v>
      </c>
      <c r="E538" s="7" t="s">
        <v>55</v>
      </c>
      <c r="F538" s="7" t="s">
        <v>1742</v>
      </c>
      <c r="G538" s="7">
        <v>3</v>
      </c>
      <c r="H538" s="37">
        <f>Priors!$H$27*VLOOKUP(D538,Team_26_27!$A$2:$U$21,20,FALSE)*VLOOKUP(E538,Team_26_27!$A$2:$U$21,21,FALSE)*IF(F538="H",Priors!$H$28,Priors!$H$29)</f>
        <v>1.3511902058220244</v>
      </c>
      <c r="I538" s="37">
        <f>Priors!$H$27*VLOOKUP(E538,Team_26_27!$A$2:$U$21,20,FALSE)*VLOOKUP(D538,Team_26_27!$A$2:$U$21,21,FALSE)*IF(F538="H",Priors!$H$29,Priors!$H$28)</f>
        <v>1.6280312364804272</v>
      </c>
      <c r="J538" s="15"/>
      <c r="K538" s="15"/>
      <c r="L538" s="47" t="b">
        <v>0</v>
      </c>
      <c r="M538" s="45">
        <v>0</v>
      </c>
      <c r="N538" s="45"/>
      <c r="O538" s="45"/>
      <c r="P538" s="38">
        <f t="shared" si="40"/>
        <v>1.3511902058220244</v>
      </c>
      <c r="Q538" s="38">
        <f t="shared" si="41"/>
        <v>1.6280312364804272</v>
      </c>
      <c r="R538" s="17">
        <f t="shared" si="42"/>
        <v>0.19631569308860145</v>
      </c>
      <c r="S538" s="17">
        <f t="shared" si="43"/>
        <v>0.25893189492410862</v>
      </c>
      <c r="T538" s="38" t="str">
        <f t="shared" si="44"/>
        <v/>
      </c>
      <c r="U538" s="31" t="s">
        <v>1876</v>
      </c>
      <c r="V538" s="31"/>
    </row>
    <row r="539" spans="1:22" ht="30">
      <c r="A539" s="7">
        <v>27</v>
      </c>
      <c r="B539" s="7">
        <v>269</v>
      </c>
      <c r="C539" s="7">
        <v>46445.625</v>
      </c>
      <c r="D539" s="7" t="s">
        <v>55</v>
      </c>
      <c r="E539" s="7" t="s">
        <v>42</v>
      </c>
      <c r="F539" s="7" t="s">
        <v>1743</v>
      </c>
      <c r="G539" s="7">
        <v>3</v>
      </c>
      <c r="H539" s="37">
        <f>Priors!$H$27*VLOOKUP(D539,Team_26_27!$A$2:$U$21,20,FALSE)*VLOOKUP(E539,Team_26_27!$A$2:$U$21,21,FALSE)*IF(F539="H",Priors!$H$28,Priors!$H$29)</f>
        <v>1.6280312364804272</v>
      </c>
      <c r="I539" s="37">
        <f>Priors!$H$27*VLOOKUP(E539,Team_26_27!$A$2:$U$21,20,FALSE)*VLOOKUP(D539,Team_26_27!$A$2:$U$21,21,FALSE)*IF(F539="H",Priors!$H$29,Priors!$H$28)</f>
        <v>1.3511902058220244</v>
      </c>
      <c r="J539" s="15"/>
      <c r="K539" s="15"/>
      <c r="L539" s="47" t="b">
        <v>0</v>
      </c>
      <c r="M539" s="45">
        <v>0</v>
      </c>
      <c r="N539" s="45"/>
      <c r="O539" s="45"/>
      <c r="P539" s="38">
        <f t="shared" si="40"/>
        <v>1.6280312364804272</v>
      </c>
      <c r="Q539" s="38">
        <f t="shared" si="41"/>
        <v>1.3511902058220244</v>
      </c>
      <c r="R539" s="17">
        <f t="shared" si="42"/>
        <v>0.25893189492410862</v>
      </c>
      <c r="S539" s="17">
        <f t="shared" si="43"/>
        <v>0.19631569308860145</v>
      </c>
      <c r="T539" s="38" t="str">
        <f t="shared" si="44"/>
        <v/>
      </c>
      <c r="U539" s="31" t="s">
        <v>1876</v>
      </c>
      <c r="V539" s="31"/>
    </row>
    <row r="540" spans="1:22" ht="30">
      <c r="A540" s="7">
        <v>27</v>
      </c>
      <c r="B540" s="7">
        <v>270</v>
      </c>
      <c r="C540" s="7">
        <v>46445.625</v>
      </c>
      <c r="D540" s="7" t="s">
        <v>52</v>
      </c>
      <c r="E540" s="7" t="s">
        <v>57</v>
      </c>
      <c r="F540" s="7" t="s">
        <v>1742</v>
      </c>
      <c r="G540" s="7">
        <v>3</v>
      </c>
      <c r="H540" s="37">
        <f>Priors!$H$27*VLOOKUP(D540,Team_26_27!$A$2:$U$21,20,FALSE)*VLOOKUP(E540,Team_26_27!$A$2:$U$21,21,FALSE)*IF(F540="H",Priors!$H$28,Priors!$H$29)</f>
        <v>1.3498974844676641</v>
      </c>
      <c r="I540" s="37">
        <f>Priors!$H$27*VLOOKUP(E540,Team_26_27!$A$2:$U$21,20,FALSE)*VLOOKUP(D540,Team_26_27!$A$2:$U$21,21,FALSE)*IF(F540="H",Priors!$H$29,Priors!$H$28)</f>
        <v>1.1964851746830363</v>
      </c>
      <c r="J540" s="15"/>
      <c r="K540" s="15"/>
      <c r="L540" s="47" t="b">
        <v>0</v>
      </c>
      <c r="M540" s="45">
        <v>0</v>
      </c>
      <c r="N540" s="45"/>
      <c r="O540" s="45"/>
      <c r="P540" s="38">
        <f t="shared" si="40"/>
        <v>1.3498974844676641</v>
      </c>
      <c r="Q540" s="38">
        <f t="shared" si="41"/>
        <v>1.1964851746830363</v>
      </c>
      <c r="R540" s="17">
        <f t="shared" si="42"/>
        <v>0.30225471961141687</v>
      </c>
      <c r="S540" s="17">
        <f t="shared" si="43"/>
        <v>0.25926683816149532</v>
      </c>
      <c r="T540" s="38" t="str">
        <f t="shared" si="44"/>
        <v/>
      </c>
      <c r="U540" s="31" t="s">
        <v>1876</v>
      </c>
      <c r="V540" s="31"/>
    </row>
    <row r="541" spans="1:22" ht="30">
      <c r="A541" s="7">
        <v>27</v>
      </c>
      <c r="B541" s="7">
        <v>270</v>
      </c>
      <c r="C541" s="7">
        <v>46445.625</v>
      </c>
      <c r="D541" s="7" t="s">
        <v>57</v>
      </c>
      <c r="E541" s="7" t="s">
        <v>52</v>
      </c>
      <c r="F541" s="7" t="s">
        <v>1743</v>
      </c>
      <c r="G541" s="7">
        <v>4</v>
      </c>
      <c r="H541" s="37">
        <f>Priors!$H$27*VLOOKUP(D541,Team_26_27!$A$2:$U$21,20,FALSE)*VLOOKUP(E541,Team_26_27!$A$2:$U$21,21,FALSE)*IF(F541="H",Priors!$H$28,Priors!$H$29)</f>
        <v>1.1964851746830363</v>
      </c>
      <c r="I541" s="37">
        <f>Priors!$H$27*VLOOKUP(E541,Team_26_27!$A$2:$U$21,20,FALSE)*VLOOKUP(D541,Team_26_27!$A$2:$U$21,21,FALSE)*IF(F541="H",Priors!$H$29,Priors!$H$28)</f>
        <v>1.3498974844676641</v>
      </c>
      <c r="J541" s="15"/>
      <c r="K541" s="15"/>
      <c r="L541" s="47" t="b">
        <v>0</v>
      </c>
      <c r="M541" s="45">
        <v>0</v>
      </c>
      <c r="N541" s="45"/>
      <c r="O541" s="45"/>
      <c r="P541" s="38">
        <f t="shared" si="40"/>
        <v>1.1964851746830363</v>
      </c>
      <c r="Q541" s="38">
        <f t="shared" si="41"/>
        <v>1.3498974844676641</v>
      </c>
      <c r="R541" s="17">
        <f t="shared" si="42"/>
        <v>0.25926683816149532</v>
      </c>
      <c r="S541" s="17">
        <f t="shared" si="43"/>
        <v>0.30225471961141687</v>
      </c>
      <c r="T541" s="38" t="str">
        <f t="shared" si="44"/>
        <v/>
      </c>
      <c r="U541" s="31" t="s">
        <v>1876</v>
      </c>
      <c r="V541" s="31"/>
    </row>
    <row r="542" spans="1:22" ht="30">
      <c r="A542" s="7">
        <v>28</v>
      </c>
      <c r="B542" s="7">
        <v>271</v>
      </c>
      <c r="C542" s="7">
        <v>46449.833333333336</v>
      </c>
      <c r="D542" s="7" t="s">
        <v>46</v>
      </c>
      <c r="E542" s="7" t="s">
        <v>39</v>
      </c>
      <c r="F542" s="7" t="s">
        <v>1742</v>
      </c>
      <c r="G542" s="7">
        <v>5</v>
      </c>
      <c r="H542" s="37">
        <f>Priors!$H$27*VLOOKUP(D542,Team_26_27!$A$2:$U$21,20,FALSE)*VLOOKUP(E542,Team_26_27!$A$2:$U$21,21,FALSE)*IF(F542="H",Priors!$H$28,Priors!$H$29)</f>
        <v>0.89112076104728066</v>
      </c>
      <c r="I542" s="37">
        <f>Priors!$H$27*VLOOKUP(E542,Team_26_27!$A$2:$U$21,20,FALSE)*VLOOKUP(D542,Team_26_27!$A$2:$U$21,21,FALSE)*IF(F542="H",Priors!$H$29,Priors!$H$28)</f>
        <v>1.767955186871089</v>
      </c>
      <c r="J542" s="15"/>
      <c r="K542" s="15"/>
      <c r="L542" s="47" t="b">
        <v>0</v>
      </c>
      <c r="M542" s="45">
        <v>0</v>
      </c>
      <c r="N542" s="45"/>
      <c r="O542" s="45"/>
      <c r="P542" s="38">
        <f t="shared" si="40"/>
        <v>0.89112076104728066</v>
      </c>
      <c r="Q542" s="38">
        <f t="shared" si="41"/>
        <v>1.767955186871089</v>
      </c>
      <c r="R542" s="17">
        <f t="shared" si="42"/>
        <v>0.17068164430341079</v>
      </c>
      <c r="S542" s="17">
        <f t="shared" si="43"/>
        <v>0.41019576359793175</v>
      </c>
      <c r="T542" s="38" t="str">
        <f t="shared" si="44"/>
        <v/>
      </c>
      <c r="U542" s="31" t="s">
        <v>1876</v>
      </c>
      <c r="V542" s="31"/>
    </row>
    <row r="543" spans="1:22" ht="30">
      <c r="A543" s="7">
        <v>28</v>
      </c>
      <c r="B543" s="7">
        <v>271</v>
      </c>
      <c r="C543" s="7">
        <v>46449.833333333336</v>
      </c>
      <c r="D543" s="7" t="s">
        <v>39</v>
      </c>
      <c r="E543" s="7" t="s">
        <v>46</v>
      </c>
      <c r="F543" s="7" t="s">
        <v>1743</v>
      </c>
      <c r="G543" s="7">
        <v>3</v>
      </c>
      <c r="H543" s="37">
        <f>Priors!$H$27*VLOOKUP(D543,Team_26_27!$A$2:$U$21,20,FALSE)*VLOOKUP(E543,Team_26_27!$A$2:$U$21,21,FALSE)*IF(F543="H",Priors!$H$28,Priors!$H$29)</f>
        <v>1.767955186871089</v>
      </c>
      <c r="I543" s="37">
        <f>Priors!$H$27*VLOOKUP(E543,Team_26_27!$A$2:$U$21,20,FALSE)*VLOOKUP(D543,Team_26_27!$A$2:$U$21,21,FALSE)*IF(F543="H",Priors!$H$29,Priors!$H$28)</f>
        <v>0.89112076104728066</v>
      </c>
      <c r="J543" s="15"/>
      <c r="K543" s="15"/>
      <c r="L543" s="47" t="b">
        <v>0</v>
      </c>
      <c r="M543" s="45">
        <v>0</v>
      </c>
      <c r="N543" s="45"/>
      <c r="O543" s="45"/>
      <c r="P543" s="38">
        <f t="shared" si="40"/>
        <v>1.767955186871089</v>
      </c>
      <c r="Q543" s="38">
        <f t="shared" si="41"/>
        <v>0.89112076104728066</v>
      </c>
      <c r="R543" s="17">
        <f t="shared" si="42"/>
        <v>0.41019576359793175</v>
      </c>
      <c r="S543" s="17">
        <f t="shared" si="43"/>
        <v>0.17068164430341079</v>
      </c>
      <c r="T543" s="38" t="str">
        <f t="shared" si="44"/>
        <v/>
      </c>
      <c r="U543" s="31" t="s">
        <v>1876</v>
      </c>
      <c r="V543" s="31"/>
    </row>
    <row r="544" spans="1:22" ht="30">
      <c r="A544" s="7">
        <v>28</v>
      </c>
      <c r="B544" s="7">
        <v>272</v>
      </c>
      <c r="C544" s="7">
        <v>46449.833333333336</v>
      </c>
      <c r="D544" s="7" t="s">
        <v>57</v>
      </c>
      <c r="E544" s="7" t="s">
        <v>41</v>
      </c>
      <c r="F544" s="7" t="s">
        <v>1742</v>
      </c>
      <c r="G544" s="7">
        <v>3</v>
      </c>
      <c r="H544" s="37">
        <f>Priors!$H$27*VLOOKUP(D544,Team_26_27!$A$2:$U$21,20,FALSE)*VLOOKUP(E544,Team_26_27!$A$2:$U$21,21,FALSE)*IF(F544="H",Priors!$H$28,Priors!$H$29)</f>
        <v>1.0802222845538725</v>
      </c>
      <c r="I544" s="37">
        <f>Priors!$H$27*VLOOKUP(E544,Team_26_27!$A$2:$U$21,20,FALSE)*VLOOKUP(D544,Team_26_27!$A$2:$U$21,21,FALSE)*IF(F544="H",Priors!$H$29,Priors!$H$28)</f>
        <v>1.6593247314788666</v>
      </c>
      <c r="J544" s="15"/>
      <c r="K544" s="15"/>
      <c r="L544" s="47" t="b">
        <v>0</v>
      </c>
      <c r="M544" s="45">
        <v>0</v>
      </c>
      <c r="N544" s="45"/>
      <c r="O544" s="45"/>
      <c r="P544" s="38">
        <f t="shared" si="40"/>
        <v>1.0802222845538725</v>
      </c>
      <c r="Q544" s="38">
        <f t="shared" si="41"/>
        <v>1.6593247314788666</v>
      </c>
      <c r="R544" s="17">
        <f t="shared" si="42"/>
        <v>0.19026741832968916</v>
      </c>
      <c r="S544" s="17">
        <f t="shared" si="43"/>
        <v>0.33952004719418172</v>
      </c>
      <c r="T544" s="38" t="str">
        <f t="shared" si="44"/>
        <v/>
      </c>
      <c r="U544" s="31" t="s">
        <v>1876</v>
      </c>
      <c r="V544" s="31"/>
    </row>
    <row r="545" spans="1:22" ht="30">
      <c r="A545" s="7">
        <v>28</v>
      </c>
      <c r="B545" s="7">
        <v>272</v>
      </c>
      <c r="C545" s="7">
        <v>46449.833333333336</v>
      </c>
      <c r="D545" s="7" t="s">
        <v>41</v>
      </c>
      <c r="E545" s="7" t="s">
        <v>57</v>
      </c>
      <c r="F545" s="7" t="s">
        <v>1743</v>
      </c>
      <c r="G545" s="7">
        <v>3</v>
      </c>
      <c r="H545" s="37">
        <f>Priors!$H$27*VLOOKUP(D545,Team_26_27!$A$2:$U$21,20,FALSE)*VLOOKUP(E545,Team_26_27!$A$2:$U$21,21,FALSE)*IF(F545="H",Priors!$H$28,Priors!$H$29)</f>
        <v>1.6593247314788666</v>
      </c>
      <c r="I545" s="37">
        <f>Priors!$H$27*VLOOKUP(E545,Team_26_27!$A$2:$U$21,20,FALSE)*VLOOKUP(D545,Team_26_27!$A$2:$U$21,21,FALSE)*IF(F545="H",Priors!$H$29,Priors!$H$28)</f>
        <v>1.0802222845538725</v>
      </c>
      <c r="J545" s="15"/>
      <c r="K545" s="15"/>
      <c r="L545" s="47" t="b">
        <v>0</v>
      </c>
      <c r="M545" s="45">
        <v>0</v>
      </c>
      <c r="N545" s="45"/>
      <c r="O545" s="45"/>
      <c r="P545" s="38">
        <f t="shared" si="40"/>
        <v>1.6593247314788666</v>
      </c>
      <c r="Q545" s="38">
        <f t="shared" si="41"/>
        <v>1.0802222845538725</v>
      </c>
      <c r="R545" s="17">
        <f t="shared" si="42"/>
        <v>0.33952004719418172</v>
      </c>
      <c r="S545" s="17">
        <f t="shared" si="43"/>
        <v>0.19026741832968916</v>
      </c>
      <c r="T545" s="38" t="str">
        <f t="shared" si="44"/>
        <v/>
      </c>
      <c r="U545" s="31" t="s">
        <v>1876</v>
      </c>
      <c r="V545" s="31"/>
    </row>
    <row r="546" spans="1:22" ht="30">
      <c r="A546" s="7">
        <v>28</v>
      </c>
      <c r="B546" s="7">
        <v>273</v>
      </c>
      <c r="C546" s="7">
        <v>46449.833333333336</v>
      </c>
      <c r="D546" s="7" t="s">
        <v>50</v>
      </c>
      <c r="E546" s="7" t="s">
        <v>42</v>
      </c>
      <c r="F546" s="7" t="s">
        <v>1742</v>
      </c>
      <c r="G546" s="7">
        <v>3</v>
      </c>
      <c r="H546" s="37">
        <f>Priors!$H$27*VLOOKUP(D546,Team_26_27!$A$2:$U$21,20,FALSE)*VLOOKUP(E546,Team_26_27!$A$2:$U$21,21,FALSE)*IF(F546="H",Priors!$H$28,Priors!$H$29)</f>
        <v>0.97549464019302334</v>
      </c>
      <c r="I546" s="37">
        <f>Priors!$H$27*VLOOKUP(E546,Team_26_27!$A$2:$U$21,20,FALSE)*VLOOKUP(D546,Team_26_27!$A$2:$U$21,21,FALSE)*IF(F546="H",Priors!$H$29,Priors!$H$28)</f>
        <v>2.0763488714140501</v>
      </c>
      <c r="J546" s="15"/>
      <c r="K546" s="15"/>
      <c r="L546" s="47" t="b">
        <v>0</v>
      </c>
      <c r="M546" s="45">
        <v>0</v>
      </c>
      <c r="N546" s="45"/>
      <c r="O546" s="45"/>
      <c r="P546" s="38">
        <f t="shared" si="40"/>
        <v>0.97549464019302334</v>
      </c>
      <c r="Q546" s="38">
        <f t="shared" si="41"/>
        <v>2.0763488714140501</v>
      </c>
      <c r="R546" s="17">
        <f t="shared" si="42"/>
        <v>0.1253871821880396</v>
      </c>
      <c r="S546" s="17">
        <f t="shared" si="43"/>
        <v>0.37700582520059928</v>
      </c>
      <c r="T546" s="38" t="str">
        <f t="shared" si="44"/>
        <v/>
      </c>
      <c r="U546" s="31" t="s">
        <v>1876</v>
      </c>
      <c r="V546" s="31"/>
    </row>
    <row r="547" spans="1:22" ht="30">
      <c r="A547" s="7">
        <v>28</v>
      </c>
      <c r="B547" s="7">
        <v>273</v>
      </c>
      <c r="C547" s="7">
        <v>46449.833333333336</v>
      </c>
      <c r="D547" s="7" t="s">
        <v>42</v>
      </c>
      <c r="E547" s="7" t="s">
        <v>50</v>
      </c>
      <c r="F547" s="7" t="s">
        <v>1743</v>
      </c>
      <c r="G547" s="7">
        <v>2</v>
      </c>
      <c r="H547" s="37">
        <f>Priors!$H$27*VLOOKUP(D547,Team_26_27!$A$2:$U$21,20,FALSE)*VLOOKUP(E547,Team_26_27!$A$2:$U$21,21,FALSE)*IF(F547="H",Priors!$H$28,Priors!$H$29)</f>
        <v>2.0763488714140501</v>
      </c>
      <c r="I547" s="37">
        <f>Priors!$H$27*VLOOKUP(E547,Team_26_27!$A$2:$U$21,20,FALSE)*VLOOKUP(D547,Team_26_27!$A$2:$U$21,21,FALSE)*IF(F547="H",Priors!$H$29,Priors!$H$28)</f>
        <v>0.97549464019302334</v>
      </c>
      <c r="J547" s="15"/>
      <c r="K547" s="15"/>
      <c r="L547" s="47" t="b">
        <v>0</v>
      </c>
      <c r="M547" s="45">
        <v>0</v>
      </c>
      <c r="N547" s="45"/>
      <c r="O547" s="45"/>
      <c r="P547" s="38">
        <f t="shared" si="40"/>
        <v>2.0763488714140501</v>
      </c>
      <c r="Q547" s="38">
        <f t="shared" si="41"/>
        <v>0.97549464019302334</v>
      </c>
      <c r="R547" s="17">
        <f t="shared" si="42"/>
        <v>0.37700582520059928</v>
      </c>
      <c r="S547" s="17">
        <f t="shared" si="43"/>
        <v>0.1253871821880396</v>
      </c>
      <c r="T547" s="38" t="str">
        <f t="shared" si="44"/>
        <v/>
      </c>
      <c r="U547" s="31" t="s">
        <v>1876</v>
      </c>
      <c r="V547" s="31"/>
    </row>
    <row r="548" spans="1:22" ht="30">
      <c r="A548" s="7">
        <v>28</v>
      </c>
      <c r="B548" s="7">
        <v>274</v>
      </c>
      <c r="C548" s="7">
        <v>46449.833333333336</v>
      </c>
      <c r="D548" s="7" t="s">
        <v>48</v>
      </c>
      <c r="E548" s="7" t="s">
        <v>43</v>
      </c>
      <c r="F548" s="7" t="s">
        <v>1742</v>
      </c>
      <c r="G548" s="7">
        <v>3</v>
      </c>
      <c r="H548" s="37">
        <f>Priors!$H$27*VLOOKUP(D548,Team_26_27!$A$2:$U$21,20,FALSE)*VLOOKUP(E548,Team_26_27!$A$2:$U$21,21,FALSE)*IF(F548="H",Priors!$H$28,Priors!$H$29)</f>
        <v>1.1332027175270143</v>
      </c>
      <c r="I548" s="37">
        <f>Priors!$H$27*VLOOKUP(E548,Team_26_27!$A$2:$U$21,20,FALSE)*VLOOKUP(D548,Team_26_27!$A$2:$U$21,21,FALSE)*IF(F548="H",Priors!$H$29,Priors!$H$28)</f>
        <v>1.639278775583763</v>
      </c>
      <c r="J548" s="15"/>
      <c r="K548" s="15"/>
      <c r="L548" s="47" t="b">
        <v>0</v>
      </c>
      <c r="M548" s="45">
        <v>0</v>
      </c>
      <c r="N548" s="45"/>
      <c r="O548" s="45"/>
      <c r="P548" s="38">
        <f t="shared" si="40"/>
        <v>1.1332027175270143</v>
      </c>
      <c r="Q548" s="38">
        <f t="shared" si="41"/>
        <v>1.639278775583763</v>
      </c>
      <c r="R548" s="17">
        <f t="shared" si="42"/>
        <v>0.19411999589656698</v>
      </c>
      <c r="S548" s="17">
        <f t="shared" si="43"/>
        <v>0.3220003271234162</v>
      </c>
      <c r="T548" s="38" t="str">
        <f t="shared" si="44"/>
        <v/>
      </c>
      <c r="U548" s="31" t="s">
        <v>1876</v>
      </c>
      <c r="V548" s="31"/>
    </row>
    <row r="549" spans="1:22" ht="30">
      <c r="A549" s="7">
        <v>28</v>
      </c>
      <c r="B549" s="7">
        <v>274</v>
      </c>
      <c r="C549" s="7">
        <v>46449.833333333336</v>
      </c>
      <c r="D549" s="7" t="s">
        <v>43</v>
      </c>
      <c r="E549" s="7" t="s">
        <v>48</v>
      </c>
      <c r="F549" s="7" t="s">
        <v>1743</v>
      </c>
      <c r="G549" s="7">
        <v>2</v>
      </c>
      <c r="H549" s="37">
        <f>Priors!$H$27*VLOOKUP(D549,Team_26_27!$A$2:$U$21,20,FALSE)*VLOOKUP(E549,Team_26_27!$A$2:$U$21,21,FALSE)*IF(F549="H",Priors!$H$28,Priors!$H$29)</f>
        <v>1.639278775583763</v>
      </c>
      <c r="I549" s="37">
        <f>Priors!$H$27*VLOOKUP(E549,Team_26_27!$A$2:$U$21,20,FALSE)*VLOOKUP(D549,Team_26_27!$A$2:$U$21,21,FALSE)*IF(F549="H",Priors!$H$29,Priors!$H$28)</f>
        <v>1.1332027175270143</v>
      </c>
      <c r="J549" s="15"/>
      <c r="K549" s="15"/>
      <c r="L549" s="47" t="b">
        <v>0</v>
      </c>
      <c r="M549" s="45">
        <v>0</v>
      </c>
      <c r="N549" s="45"/>
      <c r="O549" s="45"/>
      <c r="P549" s="38">
        <f t="shared" si="40"/>
        <v>1.639278775583763</v>
      </c>
      <c r="Q549" s="38">
        <f t="shared" si="41"/>
        <v>1.1332027175270143</v>
      </c>
      <c r="R549" s="17">
        <f t="shared" si="42"/>
        <v>0.3220003271234162</v>
      </c>
      <c r="S549" s="17">
        <f t="shared" si="43"/>
        <v>0.19411999589656698</v>
      </c>
      <c r="T549" s="38" t="str">
        <f t="shared" si="44"/>
        <v/>
      </c>
      <c r="U549" s="31" t="s">
        <v>1876</v>
      </c>
      <c r="V549" s="31"/>
    </row>
    <row r="550" spans="1:22" ht="30">
      <c r="A550" s="7">
        <v>28</v>
      </c>
      <c r="B550" s="7">
        <v>275</v>
      </c>
      <c r="C550" s="7">
        <v>46449.833333333336</v>
      </c>
      <c r="D550" s="7" t="s">
        <v>45</v>
      </c>
      <c r="E550" s="7" t="s">
        <v>44</v>
      </c>
      <c r="F550" s="7" t="s">
        <v>1742</v>
      </c>
      <c r="G550" s="7">
        <v>4</v>
      </c>
      <c r="H550" s="37">
        <f>Priors!$H$27*VLOOKUP(D550,Team_26_27!$A$2:$U$21,20,FALSE)*VLOOKUP(E550,Team_26_27!$A$2:$U$21,21,FALSE)*IF(F550="H",Priors!$H$28,Priors!$H$29)</f>
        <v>0.98465163424185087</v>
      </c>
      <c r="I550" s="37">
        <f>Priors!$H$27*VLOOKUP(E550,Team_26_27!$A$2:$U$21,20,FALSE)*VLOOKUP(D550,Team_26_27!$A$2:$U$21,21,FALSE)*IF(F550="H",Priors!$H$29,Priors!$H$28)</f>
        <v>2.1993229799661007</v>
      </c>
      <c r="J550" s="15"/>
      <c r="K550" s="15"/>
      <c r="L550" s="47" t="b">
        <v>0</v>
      </c>
      <c r="M550" s="45">
        <v>0</v>
      </c>
      <c r="N550" s="45"/>
      <c r="O550" s="45"/>
      <c r="P550" s="38">
        <f t="shared" si="40"/>
        <v>0.98465163424185087</v>
      </c>
      <c r="Q550" s="38">
        <f t="shared" si="41"/>
        <v>2.1993229799661007</v>
      </c>
      <c r="R550" s="17">
        <f t="shared" si="42"/>
        <v>0.11087819971974937</v>
      </c>
      <c r="S550" s="17">
        <f t="shared" si="43"/>
        <v>0.37356934303875672</v>
      </c>
      <c r="T550" s="38" t="str">
        <f t="shared" si="44"/>
        <v/>
      </c>
      <c r="U550" s="31" t="s">
        <v>1876</v>
      </c>
      <c r="V550" s="31"/>
    </row>
    <row r="551" spans="1:22" ht="30">
      <c r="A551" s="7">
        <v>28</v>
      </c>
      <c r="B551" s="7">
        <v>275</v>
      </c>
      <c r="C551" s="7">
        <v>46449.833333333336</v>
      </c>
      <c r="D551" s="7" t="s">
        <v>44</v>
      </c>
      <c r="E551" s="7" t="s">
        <v>45</v>
      </c>
      <c r="F551" s="7" t="s">
        <v>1743</v>
      </c>
      <c r="G551" s="7">
        <v>2</v>
      </c>
      <c r="H551" s="37">
        <f>Priors!$H$27*VLOOKUP(D551,Team_26_27!$A$2:$U$21,20,FALSE)*VLOOKUP(E551,Team_26_27!$A$2:$U$21,21,FALSE)*IF(F551="H",Priors!$H$28,Priors!$H$29)</f>
        <v>2.1993229799661007</v>
      </c>
      <c r="I551" s="37">
        <f>Priors!$H$27*VLOOKUP(E551,Team_26_27!$A$2:$U$21,20,FALSE)*VLOOKUP(D551,Team_26_27!$A$2:$U$21,21,FALSE)*IF(F551="H",Priors!$H$29,Priors!$H$28)</f>
        <v>0.98465163424185087</v>
      </c>
      <c r="J551" s="15"/>
      <c r="K551" s="15"/>
      <c r="L551" s="47" t="b">
        <v>0</v>
      </c>
      <c r="M551" s="45">
        <v>0</v>
      </c>
      <c r="N551" s="45"/>
      <c r="O551" s="45"/>
      <c r="P551" s="38">
        <f t="shared" si="40"/>
        <v>2.1993229799661007</v>
      </c>
      <c r="Q551" s="38">
        <f t="shared" si="41"/>
        <v>0.98465163424185087</v>
      </c>
      <c r="R551" s="17">
        <f t="shared" si="42"/>
        <v>0.37356934303875672</v>
      </c>
      <c r="S551" s="17">
        <f t="shared" si="43"/>
        <v>0.11087819971974937</v>
      </c>
      <c r="T551" s="38" t="str">
        <f t="shared" si="44"/>
        <v/>
      </c>
      <c r="U551" s="31" t="s">
        <v>1876</v>
      </c>
      <c r="V551" s="31"/>
    </row>
    <row r="552" spans="1:22" ht="30">
      <c r="A552" s="7">
        <v>28</v>
      </c>
      <c r="B552" s="7">
        <v>276</v>
      </c>
      <c r="C552" s="7">
        <v>46449.833333333336</v>
      </c>
      <c r="D552" s="7" t="s">
        <v>49</v>
      </c>
      <c r="E552" s="7" t="s">
        <v>51</v>
      </c>
      <c r="F552" s="7" t="s">
        <v>1742</v>
      </c>
      <c r="G552" s="7">
        <v>3</v>
      </c>
      <c r="H552" s="37">
        <f>Priors!$H$27*VLOOKUP(D552,Team_26_27!$A$2:$U$21,20,FALSE)*VLOOKUP(E552,Team_26_27!$A$2:$U$21,21,FALSE)*IF(F552="H",Priors!$H$28,Priors!$H$29)</f>
        <v>0.90783078009180296</v>
      </c>
      <c r="I552" s="37">
        <f>Priors!$H$27*VLOOKUP(E552,Team_26_27!$A$2:$U$21,20,FALSE)*VLOOKUP(D552,Team_26_27!$A$2:$U$21,21,FALSE)*IF(F552="H",Priors!$H$29,Priors!$H$28)</f>
        <v>2.1301882375101298</v>
      </c>
      <c r="J552" s="15"/>
      <c r="K552" s="15"/>
      <c r="L552" s="47" t="b">
        <v>0</v>
      </c>
      <c r="M552" s="45">
        <v>0</v>
      </c>
      <c r="N552" s="45"/>
      <c r="O552" s="45"/>
      <c r="P552" s="38">
        <f t="shared" si="40"/>
        <v>0.90783078009180296</v>
      </c>
      <c r="Q552" s="38">
        <f t="shared" si="41"/>
        <v>2.1301882375101298</v>
      </c>
      <c r="R552" s="17">
        <f t="shared" si="42"/>
        <v>0.11881492632137453</v>
      </c>
      <c r="S552" s="17">
        <f t="shared" si="43"/>
        <v>0.40339833532098257</v>
      </c>
      <c r="T552" s="38" t="str">
        <f t="shared" si="44"/>
        <v/>
      </c>
      <c r="U552" s="31" t="s">
        <v>1876</v>
      </c>
      <c r="V552" s="31"/>
    </row>
    <row r="553" spans="1:22" ht="30">
      <c r="A553" s="7">
        <v>28</v>
      </c>
      <c r="B553" s="7">
        <v>276</v>
      </c>
      <c r="C553" s="7">
        <v>46449.833333333336</v>
      </c>
      <c r="D553" s="7" t="s">
        <v>51</v>
      </c>
      <c r="E553" s="7" t="s">
        <v>49</v>
      </c>
      <c r="F553" s="7" t="s">
        <v>1743</v>
      </c>
      <c r="G553" s="7">
        <v>2</v>
      </c>
      <c r="H553" s="37">
        <f>Priors!$H$27*VLOOKUP(D553,Team_26_27!$A$2:$U$21,20,FALSE)*VLOOKUP(E553,Team_26_27!$A$2:$U$21,21,FALSE)*IF(F553="H",Priors!$H$28,Priors!$H$29)</f>
        <v>2.1301882375101298</v>
      </c>
      <c r="I553" s="37">
        <f>Priors!$H$27*VLOOKUP(E553,Team_26_27!$A$2:$U$21,20,FALSE)*VLOOKUP(D553,Team_26_27!$A$2:$U$21,21,FALSE)*IF(F553="H",Priors!$H$29,Priors!$H$28)</f>
        <v>0.90783078009180296</v>
      </c>
      <c r="J553" s="15"/>
      <c r="K553" s="15"/>
      <c r="L553" s="47" t="b">
        <v>0</v>
      </c>
      <c r="M553" s="45">
        <v>0</v>
      </c>
      <c r="N553" s="45"/>
      <c r="O553" s="45"/>
      <c r="P553" s="38">
        <f t="shared" si="40"/>
        <v>2.1301882375101298</v>
      </c>
      <c r="Q553" s="38">
        <f t="shared" si="41"/>
        <v>0.90783078009180296</v>
      </c>
      <c r="R553" s="17">
        <f t="shared" si="42"/>
        <v>0.40339833532098257</v>
      </c>
      <c r="S553" s="17">
        <f t="shared" si="43"/>
        <v>0.11881492632137453</v>
      </c>
      <c r="T553" s="38" t="str">
        <f t="shared" si="44"/>
        <v/>
      </c>
      <c r="U553" s="31" t="s">
        <v>1876</v>
      </c>
      <c r="V553" s="31"/>
    </row>
    <row r="554" spans="1:22" ht="30">
      <c r="A554" s="7">
        <v>28</v>
      </c>
      <c r="B554" s="7">
        <v>277</v>
      </c>
      <c r="C554" s="7">
        <v>46449.833333333336</v>
      </c>
      <c r="D554" s="7" t="s">
        <v>40</v>
      </c>
      <c r="E554" s="7" t="s">
        <v>52</v>
      </c>
      <c r="F554" s="7" t="s">
        <v>1742</v>
      </c>
      <c r="G554" s="7">
        <v>4</v>
      </c>
      <c r="H554" s="37">
        <f>Priors!$H$27*VLOOKUP(D554,Team_26_27!$A$2:$U$21,20,FALSE)*VLOOKUP(E554,Team_26_27!$A$2:$U$21,21,FALSE)*IF(F554="H",Priors!$H$28,Priors!$H$29)</f>
        <v>1.1068446637509477</v>
      </c>
      <c r="I554" s="37">
        <f>Priors!$H$27*VLOOKUP(E554,Team_26_27!$A$2:$U$21,20,FALSE)*VLOOKUP(D554,Team_26_27!$A$2:$U$21,21,FALSE)*IF(F554="H",Priors!$H$29,Priors!$H$28)</f>
        <v>1.6850422215822669</v>
      </c>
      <c r="J554" s="15"/>
      <c r="K554" s="15"/>
      <c r="L554" s="47" t="b">
        <v>0</v>
      </c>
      <c r="M554" s="45">
        <v>0</v>
      </c>
      <c r="N554" s="45"/>
      <c r="O554" s="45"/>
      <c r="P554" s="38">
        <f t="shared" si="40"/>
        <v>1.1068446637509477</v>
      </c>
      <c r="Q554" s="38">
        <f t="shared" si="41"/>
        <v>1.6850422215822669</v>
      </c>
      <c r="R554" s="17">
        <f t="shared" si="42"/>
        <v>0.18543660236392115</v>
      </c>
      <c r="S554" s="17">
        <f t="shared" si="43"/>
        <v>0.33060047270685217</v>
      </c>
      <c r="T554" s="38" t="str">
        <f t="shared" si="44"/>
        <v/>
      </c>
      <c r="U554" s="31" t="s">
        <v>1876</v>
      </c>
      <c r="V554" s="31"/>
    </row>
    <row r="555" spans="1:22" ht="30">
      <c r="A555" s="7">
        <v>28</v>
      </c>
      <c r="B555" s="7">
        <v>277</v>
      </c>
      <c r="C555" s="7">
        <v>46449.833333333336</v>
      </c>
      <c r="D555" s="7" t="s">
        <v>52</v>
      </c>
      <c r="E555" s="7" t="s">
        <v>40</v>
      </c>
      <c r="F555" s="7" t="s">
        <v>1743</v>
      </c>
      <c r="G555" s="7">
        <v>3</v>
      </c>
      <c r="H555" s="37">
        <f>Priors!$H$27*VLOOKUP(D555,Team_26_27!$A$2:$U$21,20,FALSE)*VLOOKUP(E555,Team_26_27!$A$2:$U$21,21,FALSE)*IF(F555="H",Priors!$H$28,Priors!$H$29)</f>
        <v>1.6850422215822669</v>
      </c>
      <c r="I555" s="37">
        <f>Priors!$H$27*VLOOKUP(E555,Team_26_27!$A$2:$U$21,20,FALSE)*VLOOKUP(D555,Team_26_27!$A$2:$U$21,21,FALSE)*IF(F555="H",Priors!$H$29,Priors!$H$28)</f>
        <v>1.1068446637509477</v>
      </c>
      <c r="J555" s="15"/>
      <c r="K555" s="15"/>
      <c r="L555" s="47" t="b">
        <v>0</v>
      </c>
      <c r="M555" s="45">
        <v>0</v>
      </c>
      <c r="N555" s="45"/>
      <c r="O555" s="45"/>
      <c r="P555" s="38">
        <f t="shared" si="40"/>
        <v>1.6850422215822669</v>
      </c>
      <c r="Q555" s="38">
        <f t="shared" si="41"/>
        <v>1.1068446637509477</v>
      </c>
      <c r="R555" s="17">
        <f t="shared" si="42"/>
        <v>0.33060047270685217</v>
      </c>
      <c r="S555" s="17">
        <f t="shared" si="43"/>
        <v>0.18543660236392115</v>
      </c>
      <c r="T555" s="38" t="str">
        <f t="shared" si="44"/>
        <v/>
      </c>
      <c r="U555" s="31" t="s">
        <v>1876</v>
      </c>
      <c r="V555" s="31"/>
    </row>
    <row r="556" spans="1:22" ht="30">
      <c r="A556" s="7">
        <v>28</v>
      </c>
      <c r="B556" s="7">
        <v>278</v>
      </c>
      <c r="C556" s="7">
        <v>46449.833333333336</v>
      </c>
      <c r="D556" s="7" t="s">
        <v>47</v>
      </c>
      <c r="E556" s="7" t="s">
        <v>53</v>
      </c>
      <c r="F556" s="7" t="s">
        <v>1742</v>
      </c>
      <c r="G556" s="7">
        <v>5</v>
      </c>
      <c r="H556" s="37">
        <f>Priors!$H$27*VLOOKUP(D556,Team_26_27!$A$2:$U$21,20,FALSE)*VLOOKUP(E556,Team_26_27!$A$2:$U$21,21,FALSE)*IF(F556="H",Priors!$H$28,Priors!$H$29)</f>
        <v>1.0452889847872293</v>
      </c>
      <c r="I556" s="37">
        <f>Priors!$H$27*VLOOKUP(E556,Team_26_27!$A$2:$U$21,20,FALSE)*VLOOKUP(D556,Team_26_27!$A$2:$U$21,21,FALSE)*IF(F556="H",Priors!$H$29,Priors!$H$28)</f>
        <v>1.9134918570554453</v>
      </c>
      <c r="J556" s="15"/>
      <c r="K556" s="15"/>
      <c r="L556" s="47" t="b">
        <v>0</v>
      </c>
      <c r="M556" s="45">
        <v>0</v>
      </c>
      <c r="N556" s="45"/>
      <c r="O556" s="45"/>
      <c r="P556" s="38">
        <f t="shared" si="40"/>
        <v>1.0452889847872293</v>
      </c>
      <c r="Q556" s="38">
        <f t="shared" si="41"/>
        <v>1.9134918570554453</v>
      </c>
      <c r="R556" s="17">
        <f t="shared" si="42"/>
        <v>0.14756421277982434</v>
      </c>
      <c r="S556" s="17">
        <f t="shared" si="43"/>
        <v>0.35159020047633915</v>
      </c>
      <c r="T556" s="38" t="str">
        <f t="shared" si="44"/>
        <v/>
      </c>
      <c r="U556" s="31" t="s">
        <v>1876</v>
      </c>
      <c r="V556" s="31"/>
    </row>
    <row r="557" spans="1:22" ht="30">
      <c r="A557" s="7">
        <v>28</v>
      </c>
      <c r="B557" s="7">
        <v>278</v>
      </c>
      <c r="C557" s="7">
        <v>46449.833333333336</v>
      </c>
      <c r="D557" s="7" t="s">
        <v>53</v>
      </c>
      <c r="E557" s="7" t="s">
        <v>47</v>
      </c>
      <c r="F557" s="7" t="s">
        <v>1743</v>
      </c>
      <c r="G557" s="7">
        <v>3</v>
      </c>
      <c r="H557" s="37">
        <f>Priors!$H$27*VLOOKUP(D557,Team_26_27!$A$2:$U$21,20,FALSE)*VLOOKUP(E557,Team_26_27!$A$2:$U$21,21,FALSE)*IF(F557="H",Priors!$H$28,Priors!$H$29)</f>
        <v>1.9134918570554453</v>
      </c>
      <c r="I557" s="37">
        <f>Priors!$H$27*VLOOKUP(E557,Team_26_27!$A$2:$U$21,20,FALSE)*VLOOKUP(D557,Team_26_27!$A$2:$U$21,21,FALSE)*IF(F557="H",Priors!$H$29,Priors!$H$28)</f>
        <v>1.0452889847872293</v>
      </c>
      <c r="J557" s="15"/>
      <c r="K557" s="15"/>
      <c r="L557" s="47" t="b">
        <v>0</v>
      </c>
      <c r="M557" s="45">
        <v>0</v>
      </c>
      <c r="N557" s="45"/>
      <c r="O557" s="45"/>
      <c r="P557" s="38">
        <f t="shared" si="40"/>
        <v>1.9134918570554453</v>
      </c>
      <c r="Q557" s="38">
        <f t="shared" si="41"/>
        <v>1.0452889847872293</v>
      </c>
      <c r="R557" s="17">
        <f t="shared" si="42"/>
        <v>0.35159020047633915</v>
      </c>
      <c r="S557" s="17">
        <f t="shared" si="43"/>
        <v>0.14756421277982434</v>
      </c>
      <c r="T557" s="38" t="str">
        <f t="shared" si="44"/>
        <v/>
      </c>
      <c r="U557" s="31" t="s">
        <v>1876</v>
      </c>
      <c r="V557" s="31"/>
    </row>
    <row r="558" spans="1:22" ht="30">
      <c r="A558" s="7">
        <v>28</v>
      </c>
      <c r="B558" s="7">
        <v>279</v>
      </c>
      <c r="C558" s="7">
        <v>46449.833333333336</v>
      </c>
      <c r="D558" s="7" t="s">
        <v>55</v>
      </c>
      <c r="E558" s="7" t="s">
        <v>56</v>
      </c>
      <c r="F558" s="7" t="s">
        <v>1742</v>
      </c>
      <c r="G558" s="7">
        <v>3</v>
      </c>
      <c r="H558" s="37">
        <f>Priors!$H$27*VLOOKUP(D558,Team_26_27!$A$2:$U$21,20,FALSE)*VLOOKUP(E558,Team_26_27!$A$2:$U$21,21,FALSE)*IF(F558="H",Priors!$H$28,Priors!$H$29)</f>
        <v>1.3666057686833928</v>
      </c>
      <c r="I558" s="37">
        <f>Priors!$H$27*VLOOKUP(E558,Team_26_27!$A$2:$U$21,20,FALSE)*VLOOKUP(D558,Team_26_27!$A$2:$U$21,21,FALSE)*IF(F558="H",Priors!$H$29,Priors!$H$28)</f>
        <v>1.3974295326364838</v>
      </c>
      <c r="J558" s="15"/>
      <c r="K558" s="15"/>
      <c r="L558" s="47" t="b">
        <v>0</v>
      </c>
      <c r="M558" s="45">
        <v>0</v>
      </c>
      <c r="N558" s="45"/>
      <c r="O558" s="45"/>
      <c r="P558" s="38">
        <f t="shared" si="40"/>
        <v>1.3666057686833928</v>
      </c>
      <c r="Q558" s="38">
        <f t="shared" si="41"/>
        <v>1.3974295326364838</v>
      </c>
      <c r="R558" s="17">
        <f t="shared" si="42"/>
        <v>0.24723164875820131</v>
      </c>
      <c r="S558" s="17">
        <f t="shared" si="43"/>
        <v>0.25497092276872163</v>
      </c>
      <c r="T558" s="38" t="str">
        <f t="shared" si="44"/>
        <v/>
      </c>
      <c r="U558" s="31" t="s">
        <v>1876</v>
      </c>
      <c r="V558" s="31"/>
    </row>
    <row r="559" spans="1:22" ht="30">
      <c r="A559" s="7">
        <v>28</v>
      </c>
      <c r="B559" s="7">
        <v>279</v>
      </c>
      <c r="C559" s="7">
        <v>46449.833333333336</v>
      </c>
      <c r="D559" s="7" t="s">
        <v>56</v>
      </c>
      <c r="E559" s="7" t="s">
        <v>55</v>
      </c>
      <c r="F559" s="7" t="s">
        <v>1743</v>
      </c>
      <c r="G559" s="7">
        <v>2</v>
      </c>
      <c r="H559" s="37">
        <f>Priors!$H$27*VLOOKUP(D559,Team_26_27!$A$2:$U$21,20,FALSE)*VLOOKUP(E559,Team_26_27!$A$2:$U$21,21,FALSE)*IF(F559="H",Priors!$H$28,Priors!$H$29)</f>
        <v>1.3974295326364838</v>
      </c>
      <c r="I559" s="37">
        <f>Priors!$H$27*VLOOKUP(E559,Team_26_27!$A$2:$U$21,20,FALSE)*VLOOKUP(D559,Team_26_27!$A$2:$U$21,21,FALSE)*IF(F559="H",Priors!$H$29,Priors!$H$28)</f>
        <v>1.3666057686833928</v>
      </c>
      <c r="J559" s="15"/>
      <c r="K559" s="15"/>
      <c r="L559" s="47" t="b">
        <v>0</v>
      </c>
      <c r="M559" s="45">
        <v>0</v>
      </c>
      <c r="N559" s="45"/>
      <c r="O559" s="45"/>
      <c r="P559" s="38">
        <f t="shared" si="40"/>
        <v>1.3974295326364838</v>
      </c>
      <c r="Q559" s="38">
        <f t="shared" si="41"/>
        <v>1.3666057686833928</v>
      </c>
      <c r="R559" s="17">
        <f t="shared" si="42"/>
        <v>0.25497092276872163</v>
      </c>
      <c r="S559" s="17">
        <f t="shared" si="43"/>
        <v>0.24723164875820131</v>
      </c>
      <c r="T559" s="38" t="str">
        <f t="shared" si="44"/>
        <v/>
      </c>
      <c r="U559" s="31" t="s">
        <v>1876</v>
      </c>
      <c r="V559" s="31"/>
    </row>
    <row r="560" spans="1:22" ht="30">
      <c r="A560" s="7">
        <v>28</v>
      </c>
      <c r="B560" s="7">
        <v>280</v>
      </c>
      <c r="C560" s="7">
        <v>46449.833333333336</v>
      </c>
      <c r="D560" s="7" t="s">
        <v>54</v>
      </c>
      <c r="E560" s="7" t="s">
        <v>58</v>
      </c>
      <c r="F560" s="7" t="s">
        <v>1742</v>
      </c>
      <c r="G560" s="7">
        <v>3</v>
      </c>
      <c r="H560" s="37">
        <f>Priors!$H$27*VLOOKUP(D560,Team_26_27!$A$2:$U$21,20,FALSE)*VLOOKUP(E560,Team_26_27!$A$2:$U$21,21,FALSE)*IF(F560="H",Priors!$H$28,Priors!$H$29)</f>
        <v>1.4846902407140412</v>
      </c>
      <c r="I560" s="37">
        <f>Priors!$H$27*VLOOKUP(E560,Team_26_27!$A$2:$U$21,20,FALSE)*VLOOKUP(D560,Team_26_27!$A$2:$U$21,21,FALSE)*IF(F560="H",Priors!$H$29,Priors!$H$28)</f>
        <v>1.1751089700352266</v>
      </c>
      <c r="J560" s="15"/>
      <c r="K560" s="15"/>
      <c r="L560" s="47" t="b">
        <v>0</v>
      </c>
      <c r="M560" s="45">
        <v>0</v>
      </c>
      <c r="N560" s="45"/>
      <c r="O560" s="45"/>
      <c r="P560" s="38">
        <f t="shared" si="40"/>
        <v>1.4846902407140412</v>
      </c>
      <c r="Q560" s="38">
        <f t="shared" si="41"/>
        <v>1.1751089700352266</v>
      </c>
      <c r="R560" s="17">
        <f t="shared" si="42"/>
        <v>0.30878532950638865</v>
      </c>
      <c r="S560" s="17">
        <f t="shared" si="43"/>
        <v>0.22657251274744891</v>
      </c>
      <c r="T560" s="38" t="str">
        <f t="shared" si="44"/>
        <v/>
      </c>
      <c r="U560" s="31" t="s">
        <v>1876</v>
      </c>
      <c r="V560" s="31"/>
    </row>
    <row r="561" spans="1:22" ht="30">
      <c r="A561" s="7">
        <v>28</v>
      </c>
      <c r="B561" s="7">
        <v>280</v>
      </c>
      <c r="C561" s="7">
        <v>46449.833333333336</v>
      </c>
      <c r="D561" s="7" t="s">
        <v>58</v>
      </c>
      <c r="E561" s="7" t="s">
        <v>54</v>
      </c>
      <c r="F561" s="7" t="s">
        <v>1743</v>
      </c>
      <c r="G561" s="7">
        <v>4</v>
      </c>
      <c r="H561" s="37">
        <f>Priors!$H$27*VLOOKUP(D561,Team_26_27!$A$2:$U$21,20,FALSE)*VLOOKUP(E561,Team_26_27!$A$2:$U$21,21,FALSE)*IF(F561="H",Priors!$H$28,Priors!$H$29)</f>
        <v>1.1751089700352266</v>
      </c>
      <c r="I561" s="37">
        <f>Priors!$H$27*VLOOKUP(E561,Team_26_27!$A$2:$U$21,20,FALSE)*VLOOKUP(D561,Team_26_27!$A$2:$U$21,21,FALSE)*IF(F561="H",Priors!$H$29,Priors!$H$28)</f>
        <v>1.4846902407140412</v>
      </c>
      <c r="J561" s="15"/>
      <c r="K561" s="15"/>
      <c r="L561" s="47" t="b">
        <v>0</v>
      </c>
      <c r="M561" s="45">
        <v>0</v>
      </c>
      <c r="N561" s="45"/>
      <c r="O561" s="45"/>
      <c r="P561" s="38">
        <f t="shared" si="40"/>
        <v>1.1751089700352266</v>
      </c>
      <c r="Q561" s="38">
        <f t="shared" si="41"/>
        <v>1.4846902407140412</v>
      </c>
      <c r="R561" s="17">
        <f t="shared" si="42"/>
        <v>0.22657251274744891</v>
      </c>
      <c r="S561" s="17">
        <f t="shared" si="43"/>
        <v>0.30878532950638865</v>
      </c>
      <c r="T561" s="38" t="str">
        <f t="shared" si="44"/>
        <v/>
      </c>
      <c r="U561" s="31" t="s">
        <v>1876</v>
      </c>
      <c r="V561" s="31"/>
    </row>
    <row r="562" spans="1:22" ht="30">
      <c r="A562" s="7">
        <v>29</v>
      </c>
      <c r="B562" s="7">
        <v>281</v>
      </c>
      <c r="C562" s="7">
        <v>46459.625</v>
      </c>
      <c r="D562" s="7" t="s">
        <v>49</v>
      </c>
      <c r="E562" s="7" t="s">
        <v>40</v>
      </c>
      <c r="F562" s="7" t="s">
        <v>1742</v>
      </c>
      <c r="G562" s="7">
        <v>4</v>
      </c>
      <c r="H562" s="37">
        <f>Priors!$H$27*VLOOKUP(D562,Team_26_27!$A$2:$U$21,20,FALSE)*VLOOKUP(E562,Team_26_27!$A$2:$U$21,21,FALSE)*IF(F562="H",Priors!$H$28,Priors!$H$29)</f>
        <v>0.88700461357384341</v>
      </c>
      <c r="I562" s="37">
        <f>Priors!$H$27*VLOOKUP(E562,Team_26_27!$A$2:$U$21,20,FALSE)*VLOOKUP(D562,Team_26_27!$A$2:$U$21,21,FALSE)*IF(F562="H",Priors!$H$29,Priors!$H$28)</f>
        <v>1.9641163536807065</v>
      </c>
      <c r="J562" s="15"/>
      <c r="K562" s="15"/>
      <c r="L562" s="47" t="b">
        <v>0</v>
      </c>
      <c r="M562" s="45">
        <v>0</v>
      </c>
      <c r="N562" s="45"/>
      <c r="O562" s="45"/>
      <c r="P562" s="38">
        <f t="shared" si="40"/>
        <v>0.88700461357384341</v>
      </c>
      <c r="Q562" s="38">
        <f t="shared" si="41"/>
        <v>1.9641163536807065</v>
      </c>
      <c r="R562" s="17">
        <f t="shared" si="42"/>
        <v>0.14027978958428949</v>
      </c>
      <c r="S562" s="17">
        <f t="shared" si="43"/>
        <v>0.41188766953226547</v>
      </c>
      <c r="T562" s="38" t="str">
        <f t="shared" si="44"/>
        <v/>
      </c>
      <c r="U562" s="31" t="s">
        <v>1876</v>
      </c>
      <c r="V562" s="31"/>
    </row>
    <row r="563" spans="1:22" ht="30">
      <c r="A563" s="7">
        <v>29</v>
      </c>
      <c r="B563" s="7">
        <v>281</v>
      </c>
      <c r="C563" s="7">
        <v>46459.625</v>
      </c>
      <c r="D563" s="7" t="s">
        <v>40</v>
      </c>
      <c r="E563" s="7" t="s">
        <v>49</v>
      </c>
      <c r="F563" s="7" t="s">
        <v>1743</v>
      </c>
      <c r="G563" s="7">
        <v>2</v>
      </c>
      <c r="H563" s="37">
        <f>Priors!$H$27*VLOOKUP(D563,Team_26_27!$A$2:$U$21,20,FALSE)*VLOOKUP(E563,Team_26_27!$A$2:$U$21,21,FALSE)*IF(F563="H",Priors!$H$28,Priors!$H$29)</f>
        <v>1.9641163536807065</v>
      </c>
      <c r="I563" s="37">
        <f>Priors!$H$27*VLOOKUP(E563,Team_26_27!$A$2:$U$21,20,FALSE)*VLOOKUP(D563,Team_26_27!$A$2:$U$21,21,FALSE)*IF(F563="H",Priors!$H$29,Priors!$H$28)</f>
        <v>0.88700461357384341</v>
      </c>
      <c r="J563" s="15"/>
      <c r="K563" s="15"/>
      <c r="L563" s="47" t="b">
        <v>0</v>
      </c>
      <c r="M563" s="45">
        <v>0</v>
      </c>
      <c r="N563" s="45"/>
      <c r="O563" s="45"/>
      <c r="P563" s="38">
        <f t="shared" si="40"/>
        <v>1.9641163536807065</v>
      </c>
      <c r="Q563" s="38">
        <f t="shared" si="41"/>
        <v>0.88700461357384341</v>
      </c>
      <c r="R563" s="17">
        <f t="shared" si="42"/>
        <v>0.41188766953226547</v>
      </c>
      <c r="S563" s="17">
        <f t="shared" si="43"/>
        <v>0.14027978958428949</v>
      </c>
      <c r="T563" s="38" t="str">
        <f t="shared" si="44"/>
        <v/>
      </c>
      <c r="U563" s="31" t="s">
        <v>1876</v>
      </c>
      <c r="V563" s="31"/>
    </row>
    <row r="564" spans="1:22" ht="30">
      <c r="A564" s="7">
        <v>29</v>
      </c>
      <c r="B564" s="7">
        <v>282</v>
      </c>
      <c r="C564" s="7">
        <v>46459.625</v>
      </c>
      <c r="D564" s="7" t="s">
        <v>55</v>
      </c>
      <c r="E564" s="7" t="s">
        <v>41</v>
      </c>
      <c r="F564" s="7" t="s">
        <v>1742</v>
      </c>
      <c r="G564" s="7">
        <v>3</v>
      </c>
      <c r="H564" s="37">
        <f>Priors!$H$27*VLOOKUP(D564,Team_26_27!$A$2:$U$21,20,FALSE)*VLOOKUP(E564,Team_26_27!$A$2:$U$21,21,FALSE)*IF(F564="H",Priors!$H$28,Priors!$H$29)</f>
        <v>1.359824126194652</v>
      </c>
      <c r="I564" s="37">
        <f>Priors!$H$27*VLOOKUP(E564,Team_26_27!$A$2:$U$21,20,FALSE)*VLOOKUP(D564,Team_26_27!$A$2:$U$21,21,FALSE)*IF(F564="H",Priors!$H$29,Priors!$H$28)</f>
        <v>1.645816635410009</v>
      </c>
      <c r="J564" s="15"/>
      <c r="K564" s="15"/>
      <c r="L564" s="47" t="b">
        <v>0</v>
      </c>
      <c r="M564" s="45">
        <v>0</v>
      </c>
      <c r="N564" s="45"/>
      <c r="O564" s="45"/>
      <c r="P564" s="38">
        <f t="shared" si="40"/>
        <v>1.359824126194652</v>
      </c>
      <c r="Q564" s="38">
        <f t="shared" si="41"/>
        <v>1.645816635410009</v>
      </c>
      <c r="R564" s="17">
        <f t="shared" si="42"/>
        <v>0.19285500624229338</v>
      </c>
      <c r="S564" s="17">
        <f t="shared" si="43"/>
        <v>0.25670592083077864</v>
      </c>
      <c r="T564" s="38" t="str">
        <f t="shared" si="44"/>
        <v/>
      </c>
      <c r="U564" s="31" t="s">
        <v>1876</v>
      </c>
      <c r="V564" s="31"/>
    </row>
    <row r="565" spans="1:22" ht="30">
      <c r="A565" s="7">
        <v>29</v>
      </c>
      <c r="B565" s="7">
        <v>282</v>
      </c>
      <c r="C565" s="7">
        <v>46459.625</v>
      </c>
      <c r="D565" s="7" t="s">
        <v>41</v>
      </c>
      <c r="E565" s="7" t="s">
        <v>55</v>
      </c>
      <c r="F565" s="7" t="s">
        <v>1743</v>
      </c>
      <c r="G565" s="7">
        <v>2</v>
      </c>
      <c r="H565" s="37">
        <f>Priors!$H$27*VLOOKUP(D565,Team_26_27!$A$2:$U$21,20,FALSE)*VLOOKUP(E565,Team_26_27!$A$2:$U$21,21,FALSE)*IF(F565="H",Priors!$H$28,Priors!$H$29)</f>
        <v>1.645816635410009</v>
      </c>
      <c r="I565" s="37">
        <f>Priors!$H$27*VLOOKUP(E565,Team_26_27!$A$2:$U$21,20,FALSE)*VLOOKUP(D565,Team_26_27!$A$2:$U$21,21,FALSE)*IF(F565="H",Priors!$H$29,Priors!$H$28)</f>
        <v>1.359824126194652</v>
      </c>
      <c r="J565" s="15"/>
      <c r="K565" s="15"/>
      <c r="L565" s="47" t="b">
        <v>0</v>
      </c>
      <c r="M565" s="45">
        <v>0</v>
      </c>
      <c r="N565" s="45"/>
      <c r="O565" s="45"/>
      <c r="P565" s="38">
        <f t="shared" si="40"/>
        <v>1.645816635410009</v>
      </c>
      <c r="Q565" s="38">
        <f t="shared" si="41"/>
        <v>1.359824126194652</v>
      </c>
      <c r="R565" s="17">
        <f t="shared" si="42"/>
        <v>0.25670592083077864</v>
      </c>
      <c r="S565" s="17">
        <f t="shared" si="43"/>
        <v>0.19285500624229338</v>
      </c>
      <c r="T565" s="38" t="str">
        <f t="shared" si="44"/>
        <v/>
      </c>
      <c r="U565" s="31" t="s">
        <v>1876</v>
      </c>
      <c r="V565" s="31"/>
    </row>
    <row r="566" spans="1:22" ht="30">
      <c r="A566" s="7">
        <v>29</v>
      </c>
      <c r="B566" s="7">
        <v>283</v>
      </c>
      <c r="C566" s="7">
        <v>46459.625</v>
      </c>
      <c r="D566" s="7" t="s">
        <v>39</v>
      </c>
      <c r="E566" s="7" t="s">
        <v>44</v>
      </c>
      <c r="F566" s="7" t="s">
        <v>1742</v>
      </c>
      <c r="G566" s="7">
        <v>4</v>
      </c>
      <c r="H566" s="37">
        <f>Priors!$H$27*VLOOKUP(D566,Team_26_27!$A$2:$U$21,20,FALSE)*VLOOKUP(E566,Team_26_27!$A$2:$U$21,21,FALSE)*IF(F566="H",Priors!$H$28,Priors!$H$29)</f>
        <v>1.4525765042955452</v>
      </c>
      <c r="I566" s="37">
        <f>Priors!$H$27*VLOOKUP(E566,Team_26_27!$A$2:$U$21,20,FALSE)*VLOOKUP(D566,Team_26_27!$A$2:$U$21,21,FALSE)*IF(F566="H",Priors!$H$29,Priors!$H$28)</f>
        <v>1.1780762901623587</v>
      </c>
      <c r="J566" s="15"/>
      <c r="K566" s="15"/>
      <c r="L566" s="47" t="b">
        <v>0</v>
      </c>
      <c r="M566" s="45">
        <v>0</v>
      </c>
      <c r="N566" s="45"/>
      <c r="O566" s="45"/>
      <c r="P566" s="38">
        <f t="shared" si="40"/>
        <v>1.4525765042955452</v>
      </c>
      <c r="Q566" s="38">
        <f t="shared" si="41"/>
        <v>1.1780762901623587</v>
      </c>
      <c r="R566" s="17">
        <f t="shared" si="42"/>
        <v>0.30787042266523523</v>
      </c>
      <c r="S566" s="17">
        <f t="shared" si="43"/>
        <v>0.23396669465336928</v>
      </c>
      <c r="T566" s="38" t="str">
        <f t="shared" si="44"/>
        <v/>
      </c>
      <c r="U566" s="31" t="s">
        <v>1876</v>
      </c>
      <c r="V566" s="31"/>
    </row>
    <row r="567" spans="1:22" ht="30">
      <c r="A567" s="7">
        <v>29</v>
      </c>
      <c r="B567" s="7">
        <v>283</v>
      </c>
      <c r="C567" s="7">
        <v>46459.625</v>
      </c>
      <c r="D567" s="7" t="s">
        <v>44</v>
      </c>
      <c r="E567" s="7" t="s">
        <v>39</v>
      </c>
      <c r="F567" s="7" t="s">
        <v>1743</v>
      </c>
      <c r="G567" s="7">
        <v>4</v>
      </c>
      <c r="H567" s="37">
        <f>Priors!$H$27*VLOOKUP(D567,Team_26_27!$A$2:$U$21,20,FALSE)*VLOOKUP(E567,Team_26_27!$A$2:$U$21,21,FALSE)*IF(F567="H",Priors!$H$28,Priors!$H$29)</f>
        <v>1.1780762901623587</v>
      </c>
      <c r="I567" s="37">
        <f>Priors!$H$27*VLOOKUP(E567,Team_26_27!$A$2:$U$21,20,FALSE)*VLOOKUP(D567,Team_26_27!$A$2:$U$21,21,FALSE)*IF(F567="H",Priors!$H$29,Priors!$H$28)</f>
        <v>1.4525765042955452</v>
      </c>
      <c r="J567" s="15"/>
      <c r="K567" s="15"/>
      <c r="L567" s="47" t="b">
        <v>0</v>
      </c>
      <c r="M567" s="45">
        <v>0</v>
      </c>
      <c r="N567" s="45"/>
      <c r="O567" s="45"/>
      <c r="P567" s="38">
        <f t="shared" si="40"/>
        <v>1.1780762901623587</v>
      </c>
      <c r="Q567" s="38">
        <f t="shared" si="41"/>
        <v>1.4525765042955452</v>
      </c>
      <c r="R567" s="17">
        <f t="shared" si="42"/>
        <v>0.23396669465336928</v>
      </c>
      <c r="S567" s="17">
        <f t="shared" si="43"/>
        <v>0.30787042266523523</v>
      </c>
      <c r="T567" s="38" t="str">
        <f t="shared" si="44"/>
        <v/>
      </c>
      <c r="U567" s="31" t="s">
        <v>1876</v>
      </c>
      <c r="V567" s="31"/>
    </row>
    <row r="568" spans="1:22" ht="30">
      <c r="A568" s="7">
        <v>29</v>
      </c>
      <c r="B568" s="7">
        <v>284</v>
      </c>
      <c r="C568" s="7">
        <v>46459.625</v>
      </c>
      <c r="D568" s="7" t="s">
        <v>53</v>
      </c>
      <c r="E568" s="7" t="s">
        <v>45</v>
      </c>
      <c r="F568" s="7" t="s">
        <v>1742</v>
      </c>
      <c r="G568" s="7">
        <v>2</v>
      </c>
      <c r="H568" s="37">
        <f>Priors!$H$27*VLOOKUP(D568,Team_26_27!$A$2:$U$21,20,FALSE)*VLOOKUP(E568,Team_26_27!$A$2:$U$21,21,FALSE)*IF(F568="H",Priors!$H$28,Priors!$H$29)</f>
        <v>1.8829101170318723</v>
      </c>
      <c r="I568" s="37">
        <f>Priors!$H$27*VLOOKUP(E568,Team_26_27!$A$2:$U$21,20,FALSE)*VLOOKUP(D568,Team_26_27!$A$2:$U$21,21,FALSE)*IF(F568="H",Priors!$H$29,Priors!$H$28)</f>
        <v>1.1016640009509588</v>
      </c>
      <c r="J568" s="15"/>
      <c r="K568" s="15"/>
      <c r="L568" s="47" t="b">
        <v>0</v>
      </c>
      <c r="M568" s="45">
        <v>0</v>
      </c>
      <c r="N568" s="45"/>
      <c r="O568" s="45"/>
      <c r="P568" s="38">
        <f t="shared" si="40"/>
        <v>1.8829101170318723</v>
      </c>
      <c r="Q568" s="38">
        <f t="shared" si="41"/>
        <v>1.1016640009509588</v>
      </c>
      <c r="R568" s="17">
        <f t="shared" si="42"/>
        <v>0.33231764648598383</v>
      </c>
      <c r="S568" s="17">
        <f t="shared" si="43"/>
        <v>0.15214669619101859</v>
      </c>
      <c r="T568" s="38" t="str">
        <f t="shared" si="44"/>
        <v/>
      </c>
      <c r="U568" s="31" t="s">
        <v>1876</v>
      </c>
      <c r="V568" s="31"/>
    </row>
    <row r="569" spans="1:22" ht="30">
      <c r="A569" s="7">
        <v>29</v>
      </c>
      <c r="B569" s="7">
        <v>284</v>
      </c>
      <c r="C569" s="7">
        <v>46459.625</v>
      </c>
      <c r="D569" s="7" t="s">
        <v>45</v>
      </c>
      <c r="E569" s="7" t="s">
        <v>53</v>
      </c>
      <c r="F569" s="7" t="s">
        <v>1743</v>
      </c>
      <c r="G569" s="7">
        <v>4</v>
      </c>
      <c r="H569" s="37">
        <f>Priors!$H$27*VLOOKUP(D569,Team_26_27!$A$2:$U$21,20,FALSE)*VLOOKUP(E569,Team_26_27!$A$2:$U$21,21,FALSE)*IF(F569="H",Priors!$H$28,Priors!$H$29)</f>
        <v>1.1016640009509588</v>
      </c>
      <c r="I569" s="37">
        <f>Priors!$H$27*VLOOKUP(E569,Team_26_27!$A$2:$U$21,20,FALSE)*VLOOKUP(D569,Team_26_27!$A$2:$U$21,21,FALSE)*IF(F569="H",Priors!$H$29,Priors!$H$28)</f>
        <v>1.8829101170318723</v>
      </c>
      <c r="J569" s="15"/>
      <c r="K569" s="15"/>
      <c r="L569" s="47" t="b">
        <v>0</v>
      </c>
      <c r="M569" s="45">
        <v>0</v>
      </c>
      <c r="N569" s="45"/>
      <c r="O569" s="45"/>
      <c r="P569" s="38">
        <f t="shared" si="40"/>
        <v>1.1016640009509588</v>
      </c>
      <c r="Q569" s="38">
        <f t="shared" si="41"/>
        <v>1.8829101170318723</v>
      </c>
      <c r="R569" s="17">
        <f t="shared" si="42"/>
        <v>0.15214669619101859</v>
      </c>
      <c r="S569" s="17">
        <f t="shared" si="43"/>
        <v>0.33231764648598383</v>
      </c>
      <c r="T569" s="38" t="str">
        <f t="shared" si="44"/>
        <v/>
      </c>
      <c r="U569" s="31" t="s">
        <v>1876</v>
      </c>
      <c r="V569" s="31"/>
    </row>
    <row r="570" spans="1:22" ht="30">
      <c r="A570" s="7">
        <v>29</v>
      </c>
      <c r="B570" s="7">
        <v>285</v>
      </c>
      <c r="C570" s="7">
        <v>46459.625</v>
      </c>
      <c r="D570" s="7" t="s">
        <v>48</v>
      </c>
      <c r="E570" s="7" t="s">
        <v>46</v>
      </c>
      <c r="F570" s="7" t="s">
        <v>1742</v>
      </c>
      <c r="G570" s="7">
        <v>3</v>
      </c>
      <c r="H570" s="37">
        <f>Priors!$H$27*VLOOKUP(D570,Team_26_27!$A$2:$U$21,20,FALSE)*VLOOKUP(E570,Team_26_27!$A$2:$U$21,21,FALSE)*IF(F570="H",Priors!$H$28,Priors!$H$29)</f>
        <v>1.1814608956546617</v>
      </c>
      <c r="I570" s="37">
        <f>Priors!$H$27*VLOOKUP(E570,Team_26_27!$A$2:$U$21,20,FALSE)*VLOOKUP(D570,Team_26_27!$A$2:$U$21,21,FALSE)*IF(F570="H",Priors!$H$29,Priors!$H$28)</f>
        <v>1.6232091228503691</v>
      </c>
      <c r="J570" s="15"/>
      <c r="K570" s="15"/>
      <c r="L570" s="47" t="b">
        <v>0</v>
      </c>
      <c r="M570" s="45">
        <v>0</v>
      </c>
      <c r="N570" s="45"/>
      <c r="O570" s="45"/>
      <c r="P570" s="38">
        <f t="shared" si="40"/>
        <v>1.1814608956546617</v>
      </c>
      <c r="Q570" s="38">
        <f t="shared" si="41"/>
        <v>1.6232091228503691</v>
      </c>
      <c r="R570" s="17">
        <f t="shared" si="42"/>
        <v>0.19726463578399553</v>
      </c>
      <c r="S570" s="17">
        <f t="shared" si="43"/>
        <v>0.30683016416713915</v>
      </c>
      <c r="T570" s="38" t="str">
        <f t="shared" si="44"/>
        <v/>
      </c>
      <c r="U570" s="31" t="s">
        <v>1876</v>
      </c>
      <c r="V570" s="31"/>
    </row>
    <row r="571" spans="1:22" ht="30">
      <c r="A571" s="7">
        <v>29</v>
      </c>
      <c r="B571" s="7">
        <v>285</v>
      </c>
      <c r="C571" s="7">
        <v>46459.625</v>
      </c>
      <c r="D571" s="7" t="s">
        <v>46</v>
      </c>
      <c r="E571" s="7" t="s">
        <v>48</v>
      </c>
      <c r="F571" s="7" t="s">
        <v>1743</v>
      </c>
      <c r="G571" s="7">
        <v>2</v>
      </c>
      <c r="H571" s="37">
        <f>Priors!$H$27*VLOOKUP(D571,Team_26_27!$A$2:$U$21,20,FALSE)*VLOOKUP(E571,Team_26_27!$A$2:$U$21,21,FALSE)*IF(F571="H",Priors!$H$28,Priors!$H$29)</f>
        <v>1.6232091228503691</v>
      </c>
      <c r="I571" s="37">
        <f>Priors!$H$27*VLOOKUP(E571,Team_26_27!$A$2:$U$21,20,FALSE)*VLOOKUP(D571,Team_26_27!$A$2:$U$21,21,FALSE)*IF(F571="H",Priors!$H$29,Priors!$H$28)</f>
        <v>1.1814608956546617</v>
      </c>
      <c r="J571" s="15"/>
      <c r="K571" s="15"/>
      <c r="L571" s="47" t="b">
        <v>0</v>
      </c>
      <c r="M571" s="45">
        <v>0</v>
      </c>
      <c r="N571" s="45"/>
      <c r="O571" s="45"/>
      <c r="P571" s="38">
        <f t="shared" si="40"/>
        <v>1.6232091228503691</v>
      </c>
      <c r="Q571" s="38">
        <f t="shared" si="41"/>
        <v>1.1814608956546617</v>
      </c>
      <c r="R571" s="17">
        <f t="shared" si="42"/>
        <v>0.30683016416713915</v>
      </c>
      <c r="S571" s="17">
        <f t="shared" si="43"/>
        <v>0.19726463578399553</v>
      </c>
      <c r="T571" s="38" t="str">
        <f t="shared" si="44"/>
        <v/>
      </c>
      <c r="U571" s="31" t="s">
        <v>1876</v>
      </c>
      <c r="V571" s="31"/>
    </row>
    <row r="572" spans="1:22" ht="30">
      <c r="A572" s="7">
        <v>29</v>
      </c>
      <c r="B572" s="7">
        <v>286</v>
      </c>
      <c r="C572" s="7">
        <v>46459.625</v>
      </c>
      <c r="D572" s="7" t="s">
        <v>43</v>
      </c>
      <c r="E572" s="7" t="s">
        <v>51</v>
      </c>
      <c r="F572" s="7" t="s">
        <v>1742</v>
      </c>
      <c r="G572" s="7">
        <v>3</v>
      </c>
      <c r="H572" s="37">
        <f>Priors!$H$27*VLOOKUP(D572,Team_26_27!$A$2:$U$21,20,FALSE)*VLOOKUP(E572,Team_26_27!$A$2:$U$21,21,FALSE)*IF(F572="H",Priors!$H$28,Priors!$H$29)</f>
        <v>1.3828395384146612</v>
      </c>
      <c r="I572" s="37">
        <f>Priors!$H$27*VLOOKUP(E572,Team_26_27!$A$2:$U$21,20,FALSE)*VLOOKUP(D572,Team_26_27!$A$2:$U$21,21,FALSE)*IF(F572="H",Priors!$H$29,Priors!$H$28)</f>
        <v>1.4769639666413987</v>
      </c>
      <c r="J572" s="15"/>
      <c r="K572" s="15"/>
      <c r="L572" s="47" t="b">
        <v>0</v>
      </c>
      <c r="M572" s="45">
        <v>0</v>
      </c>
      <c r="N572" s="45"/>
      <c r="O572" s="45"/>
      <c r="P572" s="38">
        <f t="shared" si="40"/>
        <v>1.3828395384146612</v>
      </c>
      <c r="Q572" s="38">
        <f t="shared" si="41"/>
        <v>1.4769639666413987</v>
      </c>
      <c r="R572" s="17">
        <f t="shared" si="42"/>
        <v>0.22832985418698523</v>
      </c>
      <c r="S572" s="17">
        <f t="shared" si="43"/>
        <v>0.25086519937095264</v>
      </c>
      <c r="T572" s="38" t="str">
        <f t="shared" si="44"/>
        <v/>
      </c>
      <c r="U572" s="31" t="s">
        <v>1876</v>
      </c>
      <c r="V572" s="31"/>
    </row>
    <row r="573" spans="1:22" ht="30">
      <c r="A573" s="7">
        <v>29</v>
      </c>
      <c r="B573" s="7">
        <v>286</v>
      </c>
      <c r="C573" s="7">
        <v>46459.625</v>
      </c>
      <c r="D573" s="7" t="s">
        <v>51</v>
      </c>
      <c r="E573" s="7" t="s">
        <v>43</v>
      </c>
      <c r="F573" s="7" t="s">
        <v>1743</v>
      </c>
      <c r="G573" s="7">
        <v>2</v>
      </c>
      <c r="H573" s="37">
        <f>Priors!$H$27*VLOOKUP(D573,Team_26_27!$A$2:$U$21,20,FALSE)*VLOOKUP(E573,Team_26_27!$A$2:$U$21,21,FALSE)*IF(F573="H",Priors!$H$28,Priors!$H$29)</f>
        <v>1.4769639666413987</v>
      </c>
      <c r="I573" s="37">
        <f>Priors!$H$27*VLOOKUP(E573,Team_26_27!$A$2:$U$21,20,FALSE)*VLOOKUP(D573,Team_26_27!$A$2:$U$21,21,FALSE)*IF(F573="H",Priors!$H$29,Priors!$H$28)</f>
        <v>1.3828395384146612</v>
      </c>
      <c r="J573" s="15"/>
      <c r="K573" s="15"/>
      <c r="L573" s="47" t="b">
        <v>0</v>
      </c>
      <c r="M573" s="45">
        <v>0</v>
      </c>
      <c r="N573" s="45"/>
      <c r="O573" s="45"/>
      <c r="P573" s="38">
        <f t="shared" si="40"/>
        <v>1.4769639666413987</v>
      </c>
      <c r="Q573" s="38">
        <f t="shared" si="41"/>
        <v>1.3828395384146612</v>
      </c>
      <c r="R573" s="17">
        <f t="shared" si="42"/>
        <v>0.25086519937095264</v>
      </c>
      <c r="S573" s="17">
        <f t="shared" si="43"/>
        <v>0.22832985418698523</v>
      </c>
      <c r="T573" s="38" t="str">
        <f t="shared" si="44"/>
        <v/>
      </c>
      <c r="U573" s="31" t="s">
        <v>1876</v>
      </c>
      <c r="V573" s="31"/>
    </row>
    <row r="574" spans="1:22" ht="30">
      <c r="A574" s="7">
        <v>29</v>
      </c>
      <c r="B574" s="7">
        <v>287</v>
      </c>
      <c r="C574" s="7">
        <v>46459.625</v>
      </c>
      <c r="D574" s="7" t="s">
        <v>50</v>
      </c>
      <c r="E574" s="7" t="s">
        <v>52</v>
      </c>
      <c r="F574" s="7" t="s">
        <v>1742</v>
      </c>
      <c r="G574" s="7">
        <v>4</v>
      </c>
      <c r="H574" s="37">
        <f>Priors!$H$27*VLOOKUP(D574,Team_26_27!$A$2:$U$21,20,FALSE)*VLOOKUP(E574,Team_26_27!$A$2:$U$21,21,FALSE)*IF(F574="H",Priors!$H$28,Priors!$H$29)</f>
        <v>0.90248311631257749</v>
      </c>
      <c r="I574" s="37">
        <f>Priors!$H$27*VLOOKUP(E574,Team_26_27!$A$2:$U$21,20,FALSE)*VLOOKUP(D574,Team_26_27!$A$2:$U$21,21,FALSE)*IF(F574="H",Priors!$H$29,Priors!$H$28)</f>
        <v>2.0574755697519014</v>
      </c>
      <c r="J574" s="15"/>
      <c r="K574" s="15"/>
      <c r="L574" s="47" t="b">
        <v>0</v>
      </c>
      <c r="M574" s="45">
        <v>0</v>
      </c>
      <c r="N574" s="45"/>
      <c r="O574" s="45"/>
      <c r="P574" s="38">
        <f t="shared" si="40"/>
        <v>0.90248311631257749</v>
      </c>
      <c r="Q574" s="38">
        <f t="shared" si="41"/>
        <v>2.0574755697519014</v>
      </c>
      <c r="R574" s="17">
        <f t="shared" si="42"/>
        <v>0.12777612500963725</v>
      </c>
      <c r="S574" s="17">
        <f t="shared" si="43"/>
        <v>0.40556135237662061</v>
      </c>
      <c r="T574" s="38" t="str">
        <f t="shared" si="44"/>
        <v/>
      </c>
      <c r="U574" s="31" t="s">
        <v>1876</v>
      </c>
      <c r="V574" s="31"/>
    </row>
    <row r="575" spans="1:22" ht="30">
      <c r="A575" s="7">
        <v>29</v>
      </c>
      <c r="B575" s="7">
        <v>287</v>
      </c>
      <c r="C575" s="7">
        <v>46459.625</v>
      </c>
      <c r="D575" s="7" t="s">
        <v>52</v>
      </c>
      <c r="E575" s="7" t="s">
        <v>50</v>
      </c>
      <c r="F575" s="7" t="s">
        <v>1743</v>
      </c>
      <c r="G575" s="7">
        <v>2</v>
      </c>
      <c r="H575" s="37">
        <f>Priors!$H$27*VLOOKUP(D575,Team_26_27!$A$2:$U$21,20,FALSE)*VLOOKUP(E575,Team_26_27!$A$2:$U$21,21,FALSE)*IF(F575="H",Priors!$H$28,Priors!$H$29)</f>
        <v>2.0574755697519014</v>
      </c>
      <c r="I575" s="37">
        <f>Priors!$H$27*VLOOKUP(E575,Team_26_27!$A$2:$U$21,20,FALSE)*VLOOKUP(D575,Team_26_27!$A$2:$U$21,21,FALSE)*IF(F575="H",Priors!$H$29,Priors!$H$28)</f>
        <v>0.90248311631257749</v>
      </c>
      <c r="J575" s="15"/>
      <c r="K575" s="15"/>
      <c r="L575" s="47" t="b">
        <v>0</v>
      </c>
      <c r="M575" s="45">
        <v>0</v>
      </c>
      <c r="N575" s="45"/>
      <c r="O575" s="45"/>
      <c r="P575" s="38">
        <f t="shared" si="40"/>
        <v>2.0574755697519014</v>
      </c>
      <c r="Q575" s="38">
        <f t="shared" si="41"/>
        <v>0.90248311631257749</v>
      </c>
      <c r="R575" s="17">
        <f t="shared" si="42"/>
        <v>0.40556135237662061</v>
      </c>
      <c r="S575" s="17">
        <f t="shared" si="43"/>
        <v>0.12777612500963725</v>
      </c>
      <c r="T575" s="38" t="str">
        <f t="shared" si="44"/>
        <v/>
      </c>
      <c r="U575" s="31" t="s">
        <v>1876</v>
      </c>
      <c r="V575" s="31"/>
    </row>
    <row r="576" spans="1:22" ht="30">
      <c r="A576" s="7">
        <v>29</v>
      </c>
      <c r="B576" s="7">
        <v>288</v>
      </c>
      <c r="C576" s="7">
        <v>46459.625</v>
      </c>
      <c r="D576" s="7" t="s">
        <v>47</v>
      </c>
      <c r="E576" s="7" t="s">
        <v>54</v>
      </c>
      <c r="F576" s="7" t="s">
        <v>1742</v>
      </c>
      <c r="G576" s="7">
        <v>4</v>
      </c>
      <c r="H576" s="37">
        <f>Priors!$H$27*VLOOKUP(D576,Team_26_27!$A$2:$U$21,20,FALSE)*VLOOKUP(E576,Team_26_27!$A$2:$U$21,21,FALSE)*IF(F576="H",Priors!$H$28,Priors!$H$29)</f>
        <v>1.0830739102097238</v>
      </c>
      <c r="I576" s="37">
        <f>Priors!$H$27*VLOOKUP(E576,Team_26_27!$A$2:$U$21,20,FALSE)*VLOOKUP(D576,Team_26_27!$A$2:$U$21,21,FALSE)*IF(F576="H",Priors!$H$29,Priors!$H$28)</f>
        <v>1.86400617173759</v>
      </c>
      <c r="J576" s="15"/>
      <c r="K576" s="15"/>
      <c r="L576" s="47" t="b">
        <v>0</v>
      </c>
      <c r="M576" s="45">
        <v>0</v>
      </c>
      <c r="N576" s="45"/>
      <c r="O576" s="45"/>
      <c r="P576" s="38">
        <f t="shared" si="40"/>
        <v>1.0830739102097238</v>
      </c>
      <c r="Q576" s="38">
        <f t="shared" si="41"/>
        <v>1.86400617173759</v>
      </c>
      <c r="R576" s="17">
        <f t="shared" si="42"/>
        <v>0.15505022663645435</v>
      </c>
      <c r="S576" s="17">
        <f t="shared" si="43"/>
        <v>0.33855324225496419</v>
      </c>
      <c r="T576" s="38" t="str">
        <f t="shared" si="44"/>
        <v/>
      </c>
      <c r="U576" s="31" t="s">
        <v>1876</v>
      </c>
      <c r="V576" s="31"/>
    </row>
    <row r="577" spans="1:22" ht="30">
      <c r="A577" s="7">
        <v>29</v>
      </c>
      <c r="B577" s="7">
        <v>288</v>
      </c>
      <c r="C577" s="7">
        <v>46459.625</v>
      </c>
      <c r="D577" s="7" t="s">
        <v>54</v>
      </c>
      <c r="E577" s="7" t="s">
        <v>47</v>
      </c>
      <c r="F577" s="7" t="s">
        <v>1743</v>
      </c>
      <c r="G577" s="7">
        <v>3</v>
      </c>
      <c r="H577" s="37">
        <f>Priors!$H$27*VLOOKUP(D577,Team_26_27!$A$2:$U$21,20,FALSE)*VLOOKUP(E577,Team_26_27!$A$2:$U$21,21,FALSE)*IF(F577="H",Priors!$H$28,Priors!$H$29)</f>
        <v>1.86400617173759</v>
      </c>
      <c r="I577" s="37">
        <f>Priors!$H$27*VLOOKUP(E577,Team_26_27!$A$2:$U$21,20,FALSE)*VLOOKUP(D577,Team_26_27!$A$2:$U$21,21,FALSE)*IF(F577="H",Priors!$H$29,Priors!$H$28)</f>
        <v>1.0830739102097238</v>
      </c>
      <c r="J577" s="15"/>
      <c r="K577" s="15"/>
      <c r="L577" s="47" t="b">
        <v>0</v>
      </c>
      <c r="M577" s="45">
        <v>0</v>
      </c>
      <c r="N577" s="45"/>
      <c r="O577" s="45"/>
      <c r="P577" s="38">
        <f t="shared" si="40"/>
        <v>1.86400617173759</v>
      </c>
      <c r="Q577" s="38">
        <f t="shared" si="41"/>
        <v>1.0830739102097238</v>
      </c>
      <c r="R577" s="17">
        <f t="shared" si="42"/>
        <v>0.33855324225496419</v>
      </c>
      <c r="S577" s="17">
        <f t="shared" si="43"/>
        <v>0.15505022663645435</v>
      </c>
      <c r="T577" s="38" t="str">
        <f t="shared" si="44"/>
        <v/>
      </c>
      <c r="U577" s="31" t="s">
        <v>1876</v>
      </c>
      <c r="V577" s="31"/>
    </row>
    <row r="578" spans="1:22" ht="30">
      <c r="A578" s="7">
        <v>29</v>
      </c>
      <c r="B578" s="7">
        <v>289</v>
      </c>
      <c r="C578" s="7">
        <v>46459.625</v>
      </c>
      <c r="D578" s="7" t="s">
        <v>42</v>
      </c>
      <c r="E578" s="7" t="s">
        <v>58</v>
      </c>
      <c r="F578" s="7" t="s">
        <v>1742</v>
      </c>
      <c r="G578" s="7">
        <v>3</v>
      </c>
      <c r="H578" s="37">
        <f>Priors!$H$27*VLOOKUP(D578,Team_26_27!$A$2:$U$21,20,FALSE)*VLOOKUP(E578,Team_26_27!$A$2:$U$21,21,FALSE)*IF(F578="H",Priors!$H$28,Priors!$H$29)</f>
        <v>1.4003916854441949</v>
      </c>
      <c r="I578" s="37">
        <f>Priors!$H$27*VLOOKUP(E578,Team_26_27!$A$2:$U$21,20,FALSE)*VLOOKUP(D578,Team_26_27!$A$2:$U$21,21,FALSE)*IF(F578="H",Priors!$H$29,Priors!$H$28)</f>
        <v>1.2706147286424196</v>
      </c>
      <c r="J578" s="15"/>
      <c r="K578" s="15"/>
      <c r="L578" s="47" t="b">
        <v>0</v>
      </c>
      <c r="M578" s="45">
        <v>0</v>
      </c>
      <c r="N578" s="45"/>
      <c r="O578" s="45"/>
      <c r="P578" s="38">
        <f t="shared" ref="P578:P641" si="45">IF(N578&lt;&gt;"",N578,IF(L578=TRUE,M578*J578+(1-M578)*H578,H578))</f>
        <v>1.4003916854441949</v>
      </c>
      <c r="Q578" s="38">
        <f t="shared" ref="Q578:Q641" si="46">IF(O578&lt;&gt;"",O578,IF(L578=TRUE,M578*K578+(1-M578)*I578,I578))</f>
        <v>1.2706147286424196</v>
      </c>
      <c r="R578" s="17">
        <f t="shared" ref="R578:R641" si="47">EXP(-Q578)</f>
        <v>0.28065903958781807</v>
      </c>
      <c r="S578" s="17">
        <f t="shared" ref="S578:S641" si="48">EXP(-P578)</f>
        <v>0.24650039441392169</v>
      </c>
      <c r="T578" s="38" t="str">
        <f t="shared" ref="T578:T641" si="49">IF(L578=TRUE,J578-H578,"")</f>
        <v/>
      </c>
      <c r="U578" s="31" t="s">
        <v>1876</v>
      </c>
      <c r="V578" s="31"/>
    </row>
    <row r="579" spans="1:22" ht="30">
      <c r="A579" s="7">
        <v>29</v>
      </c>
      <c r="B579" s="7">
        <v>289</v>
      </c>
      <c r="C579" s="7">
        <v>46459.625</v>
      </c>
      <c r="D579" s="7" t="s">
        <v>58</v>
      </c>
      <c r="E579" s="7" t="s">
        <v>42</v>
      </c>
      <c r="F579" s="7" t="s">
        <v>1743</v>
      </c>
      <c r="G579" s="7">
        <v>3</v>
      </c>
      <c r="H579" s="37">
        <f>Priors!$H$27*VLOOKUP(D579,Team_26_27!$A$2:$U$21,20,FALSE)*VLOOKUP(E579,Team_26_27!$A$2:$U$21,21,FALSE)*IF(F579="H",Priors!$H$28,Priors!$H$29)</f>
        <v>1.2706147286424196</v>
      </c>
      <c r="I579" s="37">
        <f>Priors!$H$27*VLOOKUP(E579,Team_26_27!$A$2:$U$21,20,FALSE)*VLOOKUP(D579,Team_26_27!$A$2:$U$21,21,FALSE)*IF(F579="H",Priors!$H$29,Priors!$H$28)</f>
        <v>1.4003916854441949</v>
      </c>
      <c r="J579" s="15"/>
      <c r="K579" s="15"/>
      <c r="L579" s="47" t="b">
        <v>0</v>
      </c>
      <c r="M579" s="45">
        <v>0</v>
      </c>
      <c r="N579" s="45"/>
      <c r="O579" s="45"/>
      <c r="P579" s="38">
        <f t="shared" si="45"/>
        <v>1.2706147286424196</v>
      </c>
      <c r="Q579" s="38">
        <f t="shared" si="46"/>
        <v>1.4003916854441949</v>
      </c>
      <c r="R579" s="17">
        <f t="shared" si="47"/>
        <v>0.24650039441392169</v>
      </c>
      <c r="S579" s="17">
        <f t="shared" si="48"/>
        <v>0.28065903958781807</v>
      </c>
      <c r="T579" s="38" t="str">
        <f t="shared" si="49"/>
        <v/>
      </c>
      <c r="U579" s="31" t="s">
        <v>1876</v>
      </c>
      <c r="V579" s="31"/>
    </row>
    <row r="580" spans="1:22" ht="30">
      <c r="A580" s="7">
        <v>29</v>
      </c>
      <c r="B580" s="7">
        <v>290</v>
      </c>
      <c r="C580" s="7">
        <v>46459.625</v>
      </c>
      <c r="D580" s="7" t="s">
        <v>56</v>
      </c>
      <c r="E580" s="7" t="s">
        <v>57</v>
      </c>
      <c r="F580" s="7" t="s">
        <v>1742</v>
      </c>
      <c r="G580" s="7">
        <v>3</v>
      </c>
      <c r="H580" s="37">
        <f>Priors!$H$27*VLOOKUP(D580,Team_26_27!$A$2:$U$21,20,FALSE)*VLOOKUP(E580,Team_26_27!$A$2:$U$21,21,FALSE)*IF(F580="H",Priors!$H$28,Priors!$H$29)</f>
        <v>1.1527355316294832</v>
      </c>
      <c r="I580" s="37">
        <f>Priors!$H$27*VLOOKUP(E580,Team_26_27!$A$2:$U$21,20,FALSE)*VLOOKUP(D580,Team_26_27!$A$2:$U$21,21,FALSE)*IF(F580="H",Priors!$H$29,Priors!$H$28)</f>
        <v>1.3268560697617382</v>
      </c>
      <c r="J580" s="15"/>
      <c r="K580" s="15"/>
      <c r="L580" s="47" t="b">
        <v>0</v>
      </c>
      <c r="M580" s="45">
        <v>0</v>
      </c>
      <c r="N580" s="45"/>
      <c r="O580" s="45"/>
      <c r="P580" s="38">
        <f t="shared" si="45"/>
        <v>1.1527355316294832</v>
      </c>
      <c r="Q580" s="38">
        <f t="shared" si="46"/>
        <v>1.3268560697617382</v>
      </c>
      <c r="R580" s="17">
        <f t="shared" si="47"/>
        <v>0.26531006781577571</v>
      </c>
      <c r="S580" s="17">
        <f t="shared" si="48"/>
        <v>0.31577178311939619</v>
      </c>
      <c r="T580" s="38" t="str">
        <f t="shared" si="49"/>
        <v/>
      </c>
      <c r="U580" s="31" t="s">
        <v>1876</v>
      </c>
      <c r="V580" s="31"/>
    </row>
    <row r="581" spans="1:22" ht="30">
      <c r="A581" s="7">
        <v>29</v>
      </c>
      <c r="B581" s="7">
        <v>290</v>
      </c>
      <c r="C581" s="7">
        <v>46459.625</v>
      </c>
      <c r="D581" s="7" t="s">
        <v>57</v>
      </c>
      <c r="E581" s="7" t="s">
        <v>56</v>
      </c>
      <c r="F581" s="7" t="s">
        <v>1743</v>
      </c>
      <c r="G581" s="7">
        <v>3</v>
      </c>
      <c r="H581" s="37">
        <f>Priors!$H$27*VLOOKUP(D581,Team_26_27!$A$2:$U$21,20,FALSE)*VLOOKUP(E581,Team_26_27!$A$2:$U$21,21,FALSE)*IF(F581="H",Priors!$H$28,Priors!$H$29)</f>
        <v>1.3268560697617382</v>
      </c>
      <c r="I581" s="37">
        <f>Priors!$H$27*VLOOKUP(E581,Team_26_27!$A$2:$U$21,20,FALSE)*VLOOKUP(D581,Team_26_27!$A$2:$U$21,21,FALSE)*IF(F581="H",Priors!$H$29,Priors!$H$28)</f>
        <v>1.1527355316294832</v>
      </c>
      <c r="J581" s="15"/>
      <c r="K581" s="15"/>
      <c r="L581" s="47" t="b">
        <v>0</v>
      </c>
      <c r="M581" s="45">
        <v>0</v>
      </c>
      <c r="N581" s="45"/>
      <c r="O581" s="45"/>
      <c r="P581" s="38">
        <f t="shared" si="45"/>
        <v>1.3268560697617382</v>
      </c>
      <c r="Q581" s="38">
        <f t="shared" si="46"/>
        <v>1.1527355316294832</v>
      </c>
      <c r="R581" s="17">
        <f t="shared" si="47"/>
        <v>0.31577178311939619</v>
      </c>
      <c r="S581" s="17">
        <f t="shared" si="48"/>
        <v>0.26531006781577571</v>
      </c>
      <c r="T581" s="38" t="str">
        <f t="shared" si="49"/>
        <v/>
      </c>
      <c r="U581" s="31" t="s">
        <v>1876</v>
      </c>
      <c r="V581" s="31"/>
    </row>
    <row r="582" spans="1:22" ht="30">
      <c r="A582" s="7">
        <v>30</v>
      </c>
      <c r="B582" s="7">
        <v>291</v>
      </c>
      <c r="C582" s="7">
        <v>46466.625</v>
      </c>
      <c r="D582" s="7" t="s">
        <v>58</v>
      </c>
      <c r="E582" s="7" t="s">
        <v>39</v>
      </c>
      <c r="F582" s="7" t="s">
        <v>1742</v>
      </c>
      <c r="G582" s="7">
        <v>5</v>
      </c>
      <c r="H582" s="37">
        <f>Priors!$H$27*VLOOKUP(D582,Team_26_27!$A$2:$U$21,20,FALSE)*VLOOKUP(E582,Team_26_27!$A$2:$U$21,21,FALSE)*IF(F582="H",Priors!$H$28,Priors!$H$29)</f>
        <v>0.68795903038095108</v>
      </c>
      <c r="I582" s="37">
        <f>Priors!$H$27*VLOOKUP(E582,Team_26_27!$A$2:$U$21,20,FALSE)*VLOOKUP(D582,Team_26_27!$A$2:$U$21,21,FALSE)*IF(F582="H",Priors!$H$29,Priors!$H$28)</f>
        <v>1.8208032993702841</v>
      </c>
      <c r="J582" s="15"/>
      <c r="K582" s="15"/>
      <c r="L582" s="47" t="b">
        <v>0</v>
      </c>
      <c r="M582" s="45">
        <v>0</v>
      </c>
      <c r="N582" s="45"/>
      <c r="O582" s="45"/>
      <c r="P582" s="38">
        <f t="shared" si="45"/>
        <v>0.68795903038095108</v>
      </c>
      <c r="Q582" s="38">
        <f t="shared" si="46"/>
        <v>1.8208032993702841</v>
      </c>
      <c r="R582" s="17">
        <f t="shared" si="47"/>
        <v>0.16189564801297918</v>
      </c>
      <c r="S582" s="17">
        <f t="shared" si="48"/>
        <v>0.50260081596758788</v>
      </c>
      <c r="T582" s="38" t="str">
        <f t="shared" si="49"/>
        <v/>
      </c>
      <c r="U582" s="31" t="s">
        <v>1876</v>
      </c>
      <c r="V582" s="31"/>
    </row>
    <row r="583" spans="1:22" ht="30">
      <c r="A583" s="7">
        <v>30</v>
      </c>
      <c r="B583" s="7">
        <v>291</v>
      </c>
      <c r="C583" s="7">
        <v>46466.625</v>
      </c>
      <c r="D583" s="7" t="s">
        <v>39</v>
      </c>
      <c r="E583" s="7" t="s">
        <v>58</v>
      </c>
      <c r="F583" s="7" t="s">
        <v>1743</v>
      </c>
      <c r="G583" s="7">
        <v>2</v>
      </c>
      <c r="H583" s="37">
        <f>Priors!$H$27*VLOOKUP(D583,Team_26_27!$A$2:$U$21,20,FALSE)*VLOOKUP(E583,Team_26_27!$A$2:$U$21,21,FALSE)*IF(F583="H",Priors!$H$28,Priors!$H$29)</f>
        <v>1.8208032993702841</v>
      </c>
      <c r="I583" s="37">
        <f>Priors!$H$27*VLOOKUP(E583,Team_26_27!$A$2:$U$21,20,FALSE)*VLOOKUP(D583,Team_26_27!$A$2:$U$21,21,FALSE)*IF(F583="H",Priors!$H$29,Priors!$H$28)</f>
        <v>0.68795903038095108</v>
      </c>
      <c r="J583" s="15"/>
      <c r="K583" s="15"/>
      <c r="L583" s="47" t="b">
        <v>0</v>
      </c>
      <c r="M583" s="45">
        <v>0</v>
      </c>
      <c r="N583" s="45"/>
      <c r="O583" s="45"/>
      <c r="P583" s="38">
        <f t="shared" si="45"/>
        <v>1.8208032993702841</v>
      </c>
      <c r="Q583" s="38">
        <f t="shared" si="46"/>
        <v>0.68795903038095108</v>
      </c>
      <c r="R583" s="17">
        <f t="shared" si="47"/>
        <v>0.50260081596758788</v>
      </c>
      <c r="S583" s="17">
        <f t="shared" si="48"/>
        <v>0.16189564801297918</v>
      </c>
      <c r="T583" s="38" t="str">
        <f t="shared" si="49"/>
        <v/>
      </c>
      <c r="U583" s="31" t="s">
        <v>1876</v>
      </c>
      <c r="V583" s="31"/>
    </row>
    <row r="584" spans="1:22" ht="30">
      <c r="A584" s="7">
        <v>30</v>
      </c>
      <c r="B584" s="7">
        <v>292</v>
      </c>
      <c r="C584" s="7">
        <v>46466.625</v>
      </c>
      <c r="D584" s="7" t="s">
        <v>41</v>
      </c>
      <c r="E584" s="7" t="s">
        <v>42</v>
      </c>
      <c r="F584" s="7" t="s">
        <v>1742</v>
      </c>
      <c r="G584" s="7">
        <v>3</v>
      </c>
      <c r="H584" s="37">
        <f>Priors!$H$27*VLOOKUP(D584,Team_26_27!$A$2:$U$21,20,FALSE)*VLOOKUP(E584,Team_26_27!$A$2:$U$21,21,FALSE)*IF(F584="H",Priors!$H$28,Priors!$H$29)</f>
        <v>1.3956107530953197</v>
      </c>
      <c r="I584" s="37">
        <f>Priors!$H$27*VLOOKUP(E584,Team_26_27!$A$2:$U$21,20,FALSE)*VLOOKUP(D584,Team_26_27!$A$2:$U$21,21,FALSE)*IF(F584="H",Priors!$H$29,Priors!$H$28)</f>
        <v>1.7473096841882312</v>
      </c>
      <c r="J584" s="15"/>
      <c r="K584" s="15"/>
      <c r="L584" s="47" t="b">
        <v>0</v>
      </c>
      <c r="M584" s="45">
        <v>0</v>
      </c>
      <c r="N584" s="45"/>
      <c r="O584" s="45"/>
      <c r="P584" s="38">
        <f t="shared" si="45"/>
        <v>1.3956107530953197</v>
      </c>
      <c r="Q584" s="38">
        <f t="shared" si="46"/>
        <v>1.7473096841882312</v>
      </c>
      <c r="R584" s="17">
        <f t="shared" si="47"/>
        <v>0.17424207967296773</v>
      </c>
      <c r="S584" s="17">
        <f t="shared" si="48"/>
        <v>0.24768171778699435</v>
      </c>
      <c r="T584" s="38" t="str">
        <f t="shared" si="49"/>
        <v/>
      </c>
      <c r="U584" s="31" t="s">
        <v>1876</v>
      </c>
      <c r="V584" s="31"/>
    </row>
    <row r="585" spans="1:22" ht="30">
      <c r="A585" s="7">
        <v>30</v>
      </c>
      <c r="B585" s="7">
        <v>292</v>
      </c>
      <c r="C585" s="7">
        <v>46466.625</v>
      </c>
      <c r="D585" s="7" t="s">
        <v>42</v>
      </c>
      <c r="E585" s="7" t="s">
        <v>41</v>
      </c>
      <c r="F585" s="7" t="s">
        <v>1743</v>
      </c>
      <c r="G585" s="7">
        <v>3</v>
      </c>
      <c r="H585" s="37">
        <f>Priors!$H$27*VLOOKUP(D585,Team_26_27!$A$2:$U$21,20,FALSE)*VLOOKUP(E585,Team_26_27!$A$2:$U$21,21,FALSE)*IF(F585="H",Priors!$H$28,Priors!$H$29)</f>
        <v>1.7473096841882312</v>
      </c>
      <c r="I585" s="37">
        <f>Priors!$H$27*VLOOKUP(E585,Team_26_27!$A$2:$U$21,20,FALSE)*VLOOKUP(D585,Team_26_27!$A$2:$U$21,21,FALSE)*IF(F585="H",Priors!$H$29,Priors!$H$28)</f>
        <v>1.3956107530953197</v>
      </c>
      <c r="J585" s="15"/>
      <c r="K585" s="15"/>
      <c r="L585" s="47" t="b">
        <v>0</v>
      </c>
      <c r="M585" s="45">
        <v>0</v>
      </c>
      <c r="N585" s="45"/>
      <c r="O585" s="45"/>
      <c r="P585" s="38">
        <f t="shared" si="45"/>
        <v>1.7473096841882312</v>
      </c>
      <c r="Q585" s="38">
        <f t="shared" si="46"/>
        <v>1.3956107530953197</v>
      </c>
      <c r="R585" s="17">
        <f t="shared" si="47"/>
        <v>0.24768171778699435</v>
      </c>
      <c r="S585" s="17">
        <f t="shared" si="48"/>
        <v>0.17424207967296773</v>
      </c>
      <c r="T585" s="38" t="str">
        <f t="shared" si="49"/>
        <v/>
      </c>
      <c r="U585" s="31" t="s">
        <v>1876</v>
      </c>
      <c r="V585" s="31"/>
    </row>
    <row r="586" spans="1:22" ht="30">
      <c r="A586" s="7">
        <v>30</v>
      </c>
      <c r="B586" s="7">
        <v>293</v>
      </c>
      <c r="C586" s="7">
        <v>46466.625</v>
      </c>
      <c r="D586" s="7" t="s">
        <v>45</v>
      </c>
      <c r="E586" s="7" t="s">
        <v>43</v>
      </c>
      <c r="F586" s="7" t="s">
        <v>1742</v>
      </c>
      <c r="G586" s="7">
        <v>3</v>
      </c>
      <c r="H586" s="37">
        <f>Priors!$H$27*VLOOKUP(D586,Team_26_27!$A$2:$U$21,20,FALSE)*VLOOKUP(E586,Team_26_27!$A$2:$U$21,21,FALSE)*IF(F586="H",Priors!$H$28,Priors!$H$29)</f>
        <v>0.9404872739388549</v>
      </c>
      <c r="I586" s="37">
        <f>Priors!$H$27*VLOOKUP(E586,Team_26_27!$A$2:$U$21,20,FALSE)*VLOOKUP(D586,Team_26_27!$A$2:$U$21,21,FALSE)*IF(F586="H",Priors!$H$29,Priors!$H$28)</f>
        <v>2.0534336524952823</v>
      </c>
      <c r="J586" s="15"/>
      <c r="K586" s="15"/>
      <c r="L586" s="47" t="b">
        <v>0</v>
      </c>
      <c r="M586" s="45">
        <v>0</v>
      </c>
      <c r="N586" s="45"/>
      <c r="O586" s="45"/>
      <c r="P586" s="38">
        <f t="shared" si="45"/>
        <v>0.9404872739388549</v>
      </c>
      <c r="Q586" s="38">
        <f t="shared" si="46"/>
        <v>2.0534336524952823</v>
      </c>
      <c r="R586" s="17">
        <f t="shared" si="47"/>
        <v>0.12829363068731736</v>
      </c>
      <c r="S586" s="17">
        <f t="shared" si="48"/>
        <v>0.3904375389615623</v>
      </c>
      <c r="T586" s="38" t="str">
        <f t="shared" si="49"/>
        <v/>
      </c>
      <c r="U586" s="31" t="s">
        <v>1876</v>
      </c>
      <c r="V586" s="31"/>
    </row>
    <row r="587" spans="1:22" ht="30">
      <c r="A587" s="7">
        <v>30</v>
      </c>
      <c r="B587" s="7">
        <v>293</v>
      </c>
      <c r="C587" s="7">
        <v>46466.625</v>
      </c>
      <c r="D587" s="7" t="s">
        <v>43</v>
      </c>
      <c r="E587" s="7" t="s">
        <v>45</v>
      </c>
      <c r="F587" s="7" t="s">
        <v>1743</v>
      </c>
      <c r="G587" s="7">
        <v>2</v>
      </c>
      <c r="H587" s="37">
        <f>Priors!$H$27*VLOOKUP(D587,Team_26_27!$A$2:$U$21,20,FALSE)*VLOOKUP(E587,Team_26_27!$A$2:$U$21,21,FALSE)*IF(F587="H",Priors!$H$28,Priors!$H$29)</f>
        <v>2.0534336524952823</v>
      </c>
      <c r="I587" s="37">
        <f>Priors!$H$27*VLOOKUP(E587,Team_26_27!$A$2:$U$21,20,FALSE)*VLOOKUP(D587,Team_26_27!$A$2:$U$21,21,FALSE)*IF(F587="H",Priors!$H$29,Priors!$H$28)</f>
        <v>0.9404872739388549</v>
      </c>
      <c r="J587" s="15"/>
      <c r="K587" s="15"/>
      <c r="L587" s="47" t="b">
        <v>0</v>
      </c>
      <c r="M587" s="45">
        <v>0</v>
      </c>
      <c r="N587" s="45"/>
      <c r="O587" s="45"/>
      <c r="P587" s="38">
        <f t="shared" si="45"/>
        <v>2.0534336524952823</v>
      </c>
      <c r="Q587" s="38">
        <f t="shared" si="46"/>
        <v>0.9404872739388549</v>
      </c>
      <c r="R587" s="17">
        <f t="shared" si="47"/>
        <v>0.3904375389615623</v>
      </c>
      <c r="S587" s="17">
        <f t="shared" si="48"/>
        <v>0.12829363068731736</v>
      </c>
      <c r="T587" s="38" t="str">
        <f t="shared" si="49"/>
        <v/>
      </c>
      <c r="U587" s="31" t="s">
        <v>1876</v>
      </c>
      <c r="V587" s="31"/>
    </row>
    <row r="588" spans="1:22" ht="30">
      <c r="A588" s="7">
        <v>30</v>
      </c>
      <c r="B588" s="7">
        <v>294</v>
      </c>
      <c r="C588" s="7">
        <v>46466.625</v>
      </c>
      <c r="D588" s="7" t="s">
        <v>57</v>
      </c>
      <c r="E588" s="7" t="s">
        <v>47</v>
      </c>
      <c r="F588" s="7" t="s">
        <v>1742</v>
      </c>
      <c r="G588" s="7">
        <v>3</v>
      </c>
      <c r="H588" s="37">
        <f>Priors!$H$27*VLOOKUP(D588,Team_26_27!$A$2:$U$21,20,FALSE)*VLOOKUP(E588,Team_26_27!$A$2:$U$21,21,FALSE)*IF(F588="H",Priors!$H$28,Priors!$H$29)</f>
        <v>1.0869367284739664</v>
      </c>
      <c r="I588" s="37">
        <f>Priors!$H$27*VLOOKUP(E588,Team_26_27!$A$2:$U$21,20,FALSE)*VLOOKUP(D588,Team_26_27!$A$2:$U$21,21,FALSE)*IF(F588="H",Priors!$H$29,Priors!$H$28)</f>
        <v>1.392390070130848</v>
      </c>
      <c r="J588" s="15"/>
      <c r="K588" s="15"/>
      <c r="L588" s="47" t="b">
        <v>0</v>
      </c>
      <c r="M588" s="45">
        <v>0</v>
      </c>
      <c r="N588" s="45"/>
      <c r="O588" s="45"/>
      <c r="P588" s="38">
        <f t="shared" si="45"/>
        <v>1.0869367284739664</v>
      </c>
      <c r="Q588" s="38">
        <f t="shared" si="46"/>
        <v>1.392390070130848</v>
      </c>
      <c r="R588" s="17">
        <f t="shared" si="47"/>
        <v>0.24848070803257138</v>
      </c>
      <c r="S588" s="17">
        <f t="shared" si="48"/>
        <v>0.33724799519645687</v>
      </c>
      <c r="T588" s="38" t="str">
        <f t="shared" si="49"/>
        <v/>
      </c>
      <c r="U588" s="31" t="s">
        <v>1876</v>
      </c>
      <c r="V588" s="31"/>
    </row>
    <row r="589" spans="1:22" ht="30">
      <c r="A589" s="7">
        <v>30</v>
      </c>
      <c r="B589" s="7">
        <v>294</v>
      </c>
      <c r="C589" s="7">
        <v>46466.625</v>
      </c>
      <c r="D589" s="7" t="s">
        <v>47</v>
      </c>
      <c r="E589" s="7" t="s">
        <v>57</v>
      </c>
      <c r="F589" s="7" t="s">
        <v>1743</v>
      </c>
      <c r="G589" s="7">
        <v>3</v>
      </c>
      <c r="H589" s="37">
        <f>Priors!$H$27*VLOOKUP(D589,Team_26_27!$A$2:$U$21,20,FALSE)*VLOOKUP(E589,Team_26_27!$A$2:$U$21,21,FALSE)*IF(F589="H",Priors!$H$28,Priors!$H$29)</f>
        <v>1.392390070130848</v>
      </c>
      <c r="I589" s="37">
        <f>Priors!$H$27*VLOOKUP(E589,Team_26_27!$A$2:$U$21,20,FALSE)*VLOOKUP(D589,Team_26_27!$A$2:$U$21,21,FALSE)*IF(F589="H",Priors!$H$29,Priors!$H$28)</f>
        <v>1.0869367284739664</v>
      </c>
      <c r="J589" s="15"/>
      <c r="K589" s="15"/>
      <c r="L589" s="47" t="b">
        <v>0</v>
      </c>
      <c r="M589" s="45">
        <v>0</v>
      </c>
      <c r="N589" s="45"/>
      <c r="O589" s="45"/>
      <c r="P589" s="38">
        <f t="shared" si="45"/>
        <v>1.392390070130848</v>
      </c>
      <c r="Q589" s="38">
        <f t="shared" si="46"/>
        <v>1.0869367284739664</v>
      </c>
      <c r="R589" s="17">
        <f t="shared" si="47"/>
        <v>0.33724799519645687</v>
      </c>
      <c r="S589" s="17">
        <f t="shared" si="48"/>
        <v>0.24848070803257138</v>
      </c>
      <c r="T589" s="38" t="str">
        <f t="shared" si="49"/>
        <v/>
      </c>
      <c r="U589" s="31" t="s">
        <v>1876</v>
      </c>
      <c r="V589" s="31"/>
    </row>
    <row r="590" spans="1:22" ht="30">
      <c r="A590" s="7">
        <v>30</v>
      </c>
      <c r="B590" s="7">
        <v>295</v>
      </c>
      <c r="C590" s="7">
        <v>46466.625</v>
      </c>
      <c r="D590" s="7" t="s">
        <v>52</v>
      </c>
      <c r="E590" s="7" t="s">
        <v>48</v>
      </c>
      <c r="F590" s="7" t="s">
        <v>1742</v>
      </c>
      <c r="G590" s="7">
        <v>3</v>
      </c>
      <c r="H590" s="37">
        <f>Priors!$H$27*VLOOKUP(D590,Team_26_27!$A$2:$U$21,20,FALSE)*VLOOKUP(E590,Team_26_27!$A$2:$U$21,21,FALSE)*IF(F590="H",Priors!$H$28,Priors!$H$29)</f>
        <v>1.3685809422145094</v>
      </c>
      <c r="I590" s="37">
        <f>Priors!$H$27*VLOOKUP(E590,Team_26_27!$A$2:$U$21,20,FALSE)*VLOOKUP(D590,Team_26_27!$A$2:$U$21,21,FALSE)*IF(F590="H",Priors!$H$29,Priors!$H$28)</f>
        <v>1.3758639924976588</v>
      </c>
      <c r="J590" s="15"/>
      <c r="K590" s="15"/>
      <c r="L590" s="47" t="b">
        <v>0</v>
      </c>
      <c r="M590" s="45">
        <v>0</v>
      </c>
      <c r="N590" s="45"/>
      <c r="O590" s="45"/>
      <c r="P590" s="38">
        <f t="shared" si="45"/>
        <v>1.3685809422145094</v>
      </c>
      <c r="Q590" s="38">
        <f t="shared" si="46"/>
        <v>1.3758639924976588</v>
      </c>
      <c r="R590" s="17">
        <f t="shared" si="47"/>
        <v>0.25262123863392211</v>
      </c>
      <c r="S590" s="17">
        <f t="shared" si="48"/>
        <v>0.2544678079839347</v>
      </c>
      <c r="T590" s="38" t="str">
        <f t="shared" si="49"/>
        <v/>
      </c>
      <c r="U590" s="31" t="s">
        <v>1876</v>
      </c>
      <c r="V590" s="31"/>
    </row>
    <row r="591" spans="1:22" ht="30">
      <c r="A591" s="7">
        <v>30</v>
      </c>
      <c r="B591" s="7">
        <v>295</v>
      </c>
      <c r="C591" s="7">
        <v>46466.625</v>
      </c>
      <c r="D591" s="7" t="s">
        <v>48</v>
      </c>
      <c r="E591" s="7" t="s">
        <v>52</v>
      </c>
      <c r="F591" s="7" t="s">
        <v>1743</v>
      </c>
      <c r="G591" s="7">
        <v>4</v>
      </c>
      <c r="H591" s="37">
        <f>Priors!$H$27*VLOOKUP(D591,Team_26_27!$A$2:$U$21,20,FALSE)*VLOOKUP(E591,Team_26_27!$A$2:$U$21,21,FALSE)*IF(F591="H",Priors!$H$28,Priors!$H$29)</f>
        <v>1.3758639924976588</v>
      </c>
      <c r="I591" s="37">
        <f>Priors!$H$27*VLOOKUP(E591,Team_26_27!$A$2:$U$21,20,FALSE)*VLOOKUP(D591,Team_26_27!$A$2:$U$21,21,FALSE)*IF(F591="H",Priors!$H$29,Priors!$H$28)</f>
        <v>1.3685809422145094</v>
      </c>
      <c r="J591" s="15"/>
      <c r="K591" s="15"/>
      <c r="L591" s="47" t="b">
        <v>0</v>
      </c>
      <c r="M591" s="45">
        <v>0</v>
      </c>
      <c r="N591" s="45"/>
      <c r="O591" s="45"/>
      <c r="P591" s="38">
        <f t="shared" si="45"/>
        <v>1.3758639924976588</v>
      </c>
      <c r="Q591" s="38">
        <f t="shared" si="46"/>
        <v>1.3685809422145094</v>
      </c>
      <c r="R591" s="17">
        <f t="shared" si="47"/>
        <v>0.2544678079839347</v>
      </c>
      <c r="S591" s="17">
        <f t="shared" si="48"/>
        <v>0.25262123863392211</v>
      </c>
      <c r="T591" s="38" t="str">
        <f t="shared" si="49"/>
        <v/>
      </c>
      <c r="U591" s="31" t="s">
        <v>1876</v>
      </c>
      <c r="V591" s="31"/>
    </row>
    <row r="592" spans="1:22" ht="30">
      <c r="A592" s="7">
        <v>30</v>
      </c>
      <c r="B592" s="7">
        <v>296</v>
      </c>
      <c r="C592" s="7">
        <v>46466.625</v>
      </c>
      <c r="D592" s="7" t="s">
        <v>44</v>
      </c>
      <c r="E592" s="7" t="s">
        <v>49</v>
      </c>
      <c r="F592" s="7" t="s">
        <v>1742</v>
      </c>
      <c r="G592" s="7">
        <v>2</v>
      </c>
      <c r="H592" s="37">
        <f>Priors!$H$27*VLOOKUP(D592,Team_26_27!$A$2:$U$21,20,FALSE)*VLOOKUP(E592,Team_26_27!$A$2:$U$21,21,FALSE)*IF(F592="H",Priors!$H$28,Priors!$H$29)</f>
        <v>1.9564508062290558</v>
      </c>
      <c r="I592" s="37">
        <f>Priors!$H$27*VLOOKUP(E592,Team_26_27!$A$2:$U$21,20,FALSE)*VLOOKUP(D592,Team_26_27!$A$2:$U$21,21,FALSE)*IF(F592="H",Priors!$H$29,Priors!$H$28)</f>
        <v>1.0639604550315021</v>
      </c>
      <c r="J592" s="15"/>
      <c r="K592" s="15"/>
      <c r="L592" s="47" t="b">
        <v>0</v>
      </c>
      <c r="M592" s="45">
        <v>0</v>
      </c>
      <c r="N592" s="45"/>
      <c r="O592" s="45"/>
      <c r="P592" s="38">
        <f t="shared" si="45"/>
        <v>1.9564508062290558</v>
      </c>
      <c r="Q592" s="38">
        <f t="shared" si="46"/>
        <v>1.0639604550315021</v>
      </c>
      <c r="R592" s="17">
        <f t="shared" si="47"/>
        <v>0.34508640120442818</v>
      </c>
      <c r="S592" s="17">
        <f t="shared" si="48"/>
        <v>0.1413592429827053</v>
      </c>
      <c r="T592" s="38" t="str">
        <f t="shared" si="49"/>
        <v/>
      </c>
      <c r="U592" s="31" t="s">
        <v>1876</v>
      </c>
      <c r="V592" s="31"/>
    </row>
    <row r="593" spans="1:22" ht="30">
      <c r="A593" s="7">
        <v>30</v>
      </c>
      <c r="B593" s="7">
        <v>296</v>
      </c>
      <c r="C593" s="7">
        <v>46466.625</v>
      </c>
      <c r="D593" s="7" t="s">
        <v>49</v>
      </c>
      <c r="E593" s="7" t="s">
        <v>44</v>
      </c>
      <c r="F593" s="7" t="s">
        <v>1743</v>
      </c>
      <c r="G593" s="7">
        <v>4</v>
      </c>
      <c r="H593" s="37">
        <f>Priors!$H$27*VLOOKUP(D593,Team_26_27!$A$2:$U$21,20,FALSE)*VLOOKUP(E593,Team_26_27!$A$2:$U$21,21,FALSE)*IF(F593="H",Priors!$H$28,Priors!$H$29)</f>
        <v>1.0639604550315021</v>
      </c>
      <c r="I593" s="37">
        <f>Priors!$H$27*VLOOKUP(E593,Team_26_27!$A$2:$U$21,20,FALSE)*VLOOKUP(D593,Team_26_27!$A$2:$U$21,21,FALSE)*IF(F593="H",Priors!$H$29,Priors!$H$28)</f>
        <v>1.9564508062290558</v>
      </c>
      <c r="J593" s="15"/>
      <c r="K593" s="15"/>
      <c r="L593" s="47" t="b">
        <v>0</v>
      </c>
      <c r="M593" s="45">
        <v>0</v>
      </c>
      <c r="N593" s="45"/>
      <c r="O593" s="45"/>
      <c r="P593" s="38">
        <f t="shared" si="45"/>
        <v>1.0639604550315021</v>
      </c>
      <c r="Q593" s="38">
        <f t="shared" si="46"/>
        <v>1.9564508062290558</v>
      </c>
      <c r="R593" s="17">
        <f t="shared" si="47"/>
        <v>0.1413592429827053</v>
      </c>
      <c r="S593" s="17">
        <f t="shared" si="48"/>
        <v>0.34508640120442818</v>
      </c>
      <c r="T593" s="38" t="str">
        <f t="shared" si="49"/>
        <v/>
      </c>
      <c r="U593" s="31" t="s">
        <v>1876</v>
      </c>
      <c r="V593" s="31"/>
    </row>
    <row r="594" spans="1:22" ht="30">
      <c r="A594" s="7">
        <v>30</v>
      </c>
      <c r="B594" s="7">
        <v>297</v>
      </c>
      <c r="C594" s="7">
        <v>46466.625</v>
      </c>
      <c r="D594" s="7" t="s">
        <v>46</v>
      </c>
      <c r="E594" s="7" t="s">
        <v>50</v>
      </c>
      <c r="F594" s="7" t="s">
        <v>1742</v>
      </c>
      <c r="G594" s="7">
        <v>2</v>
      </c>
      <c r="H594" s="37">
        <f>Priors!$H$27*VLOOKUP(D594,Team_26_27!$A$2:$U$21,20,FALSE)*VLOOKUP(E594,Team_26_27!$A$2:$U$21,21,FALSE)*IF(F594="H",Priors!$H$28,Priors!$H$29)</f>
        <v>1.6335721567935395</v>
      </c>
      <c r="I594" s="37">
        <f>Priors!$H$27*VLOOKUP(E594,Team_26_27!$A$2:$U$21,20,FALSE)*VLOOKUP(D594,Team_26_27!$A$2:$U$21,21,FALSE)*IF(F594="H",Priors!$H$29,Priors!$H$28)</f>
        <v>1.1576660150432405</v>
      </c>
      <c r="J594" s="15"/>
      <c r="K594" s="15"/>
      <c r="L594" s="47" t="b">
        <v>0</v>
      </c>
      <c r="M594" s="45">
        <v>0</v>
      </c>
      <c r="N594" s="45"/>
      <c r="O594" s="45"/>
      <c r="P594" s="38">
        <f t="shared" si="45"/>
        <v>1.6335721567935395</v>
      </c>
      <c r="Q594" s="38">
        <f t="shared" si="46"/>
        <v>1.1576660150432405</v>
      </c>
      <c r="R594" s="17">
        <f t="shared" si="47"/>
        <v>0.3142187074333766</v>
      </c>
      <c r="S594" s="17">
        <f t="shared" si="48"/>
        <v>0.1952309315409739</v>
      </c>
      <c r="T594" s="38" t="str">
        <f t="shared" si="49"/>
        <v/>
      </c>
      <c r="U594" s="31" t="s">
        <v>1876</v>
      </c>
      <c r="V594" s="31"/>
    </row>
    <row r="595" spans="1:22" ht="30">
      <c r="A595" s="7">
        <v>30</v>
      </c>
      <c r="B595" s="7">
        <v>297</v>
      </c>
      <c r="C595" s="7">
        <v>46466.625</v>
      </c>
      <c r="D595" s="7" t="s">
        <v>50</v>
      </c>
      <c r="E595" s="7" t="s">
        <v>46</v>
      </c>
      <c r="F595" s="7" t="s">
        <v>1743</v>
      </c>
      <c r="G595" s="7">
        <v>3</v>
      </c>
      <c r="H595" s="37">
        <f>Priors!$H$27*VLOOKUP(D595,Team_26_27!$A$2:$U$21,20,FALSE)*VLOOKUP(E595,Team_26_27!$A$2:$U$21,21,FALSE)*IF(F595="H",Priors!$H$28,Priors!$H$29)</f>
        <v>1.1576660150432405</v>
      </c>
      <c r="I595" s="37">
        <f>Priors!$H$27*VLOOKUP(E595,Team_26_27!$A$2:$U$21,20,FALSE)*VLOOKUP(D595,Team_26_27!$A$2:$U$21,21,FALSE)*IF(F595="H",Priors!$H$29,Priors!$H$28)</f>
        <v>1.6335721567935395</v>
      </c>
      <c r="J595" s="15"/>
      <c r="K595" s="15"/>
      <c r="L595" s="47" t="b">
        <v>0</v>
      </c>
      <c r="M595" s="45">
        <v>0</v>
      </c>
      <c r="N595" s="45"/>
      <c r="O595" s="45"/>
      <c r="P595" s="38">
        <f t="shared" si="45"/>
        <v>1.1576660150432405</v>
      </c>
      <c r="Q595" s="38">
        <f t="shared" si="46"/>
        <v>1.6335721567935395</v>
      </c>
      <c r="R595" s="17">
        <f t="shared" si="47"/>
        <v>0.1952309315409739</v>
      </c>
      <c r="S595" s="17">
        <f t="shared" si="48"/>
        <v>0.3142187074333766</v>
      </c>
      <c r="T595" s="38" t="str">
        <f t="shared" si="49"/>
        <v/>
      </c>
      <c r="U595" s="31" t="s">
        <v>1876</v>
      </c>
      <c r="V595" s="31"/>
    </row>
    <row r="596" spans="1:22" ht="30">
      <c r="A596" s="7">
        <v>30</v>
      </c>
      <c r="B596" s="7">
        <v>298</v>
      </c>
      <c r="C596" s="7">
        <v>46466.625</v>
      </c>
      <c r="D596" s="7" t="s">
        <v>54</v>
      </c>
      <c r="E596" s="7" t="s">
        <v>53</v>
      </c>
      <c r="F596" s="7" t="s">
        <v>1742</v>
      </c>
      <c r="G596" s="7">
        <v>5</v>
      </c>
      <c r="H596" s="37">
        <f>Priors!$H$27*VLOOKUP(D596,Team_26_27!$A$2:$U$21,20,FALSE)*VLOOKUP(E596,Team_26_27!$A$2:$U$21,21,FALSE)*IF(F596="H",Priors!$H$28,Priors!$H$29)</f>
        <v>1.3251907305028314</v>
      </c>
      <c r="I596" s="37">
        <f>Priors!$H$27*VLOOKUP(E596,Team_26_27!$A$2:$U$21,20,FALSE)*VLOOKUP(D596,Team_26_27!$A$2:$U$21,21,FALSE)*IF(F596="H",Priors!$H$29,Priors!$H$28)</f>
        <v>1.722778955803445</v>
      </c>
      <c r="J596" s="15"/>
      <c r="K596" s="15"/>
      <c r="L596" s="47" t="b">
        <v>0</v>
      </c>
      <c r="M596" s="45">
        <v>0</v>
      </c>
      <c r="N596" s="45"/>
      <c r="O596" s="45"/>
      <c r="P596" s="38">
        <f t="shared" si="45"/>
        <v>1.3251907305028314</v>
      </c>
      <c r="Q596" s="38">
        <f t="shared" si="46"/>
        <v>1.722778955803445</v>
      </c>
      <c r="R596" s="17">
        <f t="shared" si="47"/>
        <v>0.17856922178821769</v>
      </c>
      <c r="S596" s="17">
        <f t="shared" si="48"/>
        <v>0.2657522671912847</v>
      </c>
      <c r="T596" s="38" t="str">
        <f t="shared" si="49"/>
        <v/>
      </c>
      <c r="U596" s="31" t="s">
        <v>1876</v>
      </c>
      <c r="V596" s="31"/>
    </row>
    <row r="597" spans="1:22" ht="30">
      <c r="A597" s="7">
        <v>30</v>
      </c>
      <c r="B597" s="7">
        <v>298</v>
      </c>
      <c r="C597" s="7">
        <v>46466.625</v>
      </c>
      <c r="D597" s="7" t="s">
        <v>53</v>
      </c>
      <c r="E597" s="7" t="s">
        <v>54</v>
      </c>
      <c r="F597" s="7" t="s">
        <v>1743</v>
      </c>
      <c r="G597" s="7">
        <v>4</v>
      </c>
      <c r="H597" s="37">
        <f>Priors!$H$27*VLOOKUP(D597,Team_26_27!$A$2:$U$21,20,FALSE)*VLOOKUP(E597,Team_26_27!$A$2:$U$21,21,FALSE)*IF(F597="H",Priors!$H$28,Priors!$H$29)</f>
        <v>1.722778955803445</v>
      </c>
      <c r="I597" s="37">
        <f>Priors!$H$27*VLOOKUP(E597,Team_26_27!$A$2:$U$21,20,FALSE)*VLOOKUP(D597,Team_26_27!$A$2:$U$21,21,FALSE)*IF(F597="H",Priors!$H$29,Priors!$H$28)</f>
        <v>1.3251907305028314</v>
      </c>
      <c r="J597" s="15"/>
      <c r="K597" s="15"/>
      <c r="L597" s="47" t="b">
        <v>0</v>
      </c>
      <c r="M597" s="45">
        <v>0</v>
      </c>
      <c r="N597" s="45"/>
      <c r="O597" s="45"/>
      <c r="P597" s="38">
        <f t="shared" si="45"/>
        <v>1.722778955803445</v>
      </c>
      <c r="Q597" s="38">
        <f t="shared" si="46"/>
        <v>1.3251907305028314</v>
      </c>
      <c r="R597" s="17">
        <f t="shared" si="47"/>
        <v>0.2657522671912847</v>
      </c>
      <c r="S597" s="17">
        <f t="shared" si="48"/>
        <v>0.17856922178821769</v>
      </c>
      <c r="T597" s="38" t="str">
        <f t="shared" si="49"/>
        <v/>
      </c>
      <c r="U597" s="31" t="s">
        <v>1876</v>
      </c>
      <c r="V597" s="31"/>
    </row>
    <row r="598" spans="1:22" ht="30">
      <c r="A598" s="7">
        <v>30</v>
      </c>
      <c r="B598" s="7">
        <v>299</v>
      </c>
      <c r="C598" s="7">
        <v>46466.625</v>
      </c>
      <c r="D598" s="7" t="s">
        <v>51</v>
      </c>
      <c r="E598" s="7" t="s">
        <v>55</v>
      </c>
      <c r="F598" s="7" t="s">
        <v>1742</v>
      </c>
      <c r="G598" s="7">
        <v>3</v>
      </c>
      <c r="H598" s="37">
        <f>Priors!$H$27*VLOOKUP(D598,Team_26_27!$A$2:$U$21,20,FALSE)*VLOOKUP(E598,Team_26_27!$A$2:$U$21,21,FALSE)*IF(F598="H",Priors!$H$28,Priors!$H$29)</f>
        <v>1.2519593065072308</v>
      </c>
      <c r="I598" s="37">
        <f>Priors!$H$27*VLOOKUP(E598,Team_26_27!$A$2:$U$21,20,FALSE)*VLOOKUP(D598,Team_26_27!$A$2:$U$21,21,FALSE)*IF(F598="H",Priors!$H$29,Priors!$H$28)</f>
        <v>1.6554592127682237</v>
      </c>
      <c r="J598" s="15"/>
      <c r="K598" s="15"/>
      <c r="L598" s="47" t="b">
        <v>0</v>
      </c>
      <c r="M598" s="45">
        <v>0</v>
      </c>
      <c r="N598" s="45"/>
      <c r="O598" s="45"/>
      <c r="P598" s="38">
        <f t="shared" si="45"/>
        <v>1.2519593065072308</v>
      </c>
      <c r="Q598" s="38">
        <f t="shared" si="46"/>
        <v>1.6554592127682237</v>
      </c>
      <c r="R598" s="17">
        <f t="shared" si="47"/>
        <v>0.19100432393889399</v>
      </c>
      <c r="S598" s="17">
        <f t="shared" si="48"/>
        <v>0.28594399571741735</v>
      </c>
      <c r="T598" s="38" t="str">
        <f t="shared" si="49"/>
        <v/>
      </c>
      <c r="U598" s="31" t="s">
        <v>1876</v>
      </c>
      <c r="V598" s="31"/>
    </row>
    <row r="599" spans="1:22" ht="30">
      <c r="A599" s="7">
        <v>30</v>
      </c>
      <c r="B599" s="7">
        <v>299</v>
      </c>
      <c r="C599" s="7">
        <v>46466.625</v>
      </c>
      <c r="D599" s="7" t="s">
        <v>55</v>
      </c>
      <c r="E599" s="7" t="s">
        <v>51</v>
      </c>
      <c r="F599" s="7" t="s">
        <v>1743</v>
      </c>
      <c r="G599" s="7">
        <v>2</v>
      </c>
      <c r="H599" s="37">
        <f>Priors!$H$27*VLOOKUP(D599,Team_26_27!$A$2:$U$21,20,FALSE)*VLOOKUP(E599,Team_26_27!$A$2:$U$21,21,FALSE)*IF(F599="H",Priors!$H$28,Priors!$H$29)</f>
        <v>1.6554592127682237</v>
      </c>
      <c r="I599" s="37">
        <f>Priors!$H$27*VLOOKUP(E599,Team_26_27!$A$2:$U$21,20,FALSE)*VLOOKUP(D599,Team_26_27!$A$2:$U$21,21,FALSE)*IF(F599="H",Priors!$H$29,Priors!$H$28)</f>
        <v>1.2519593065072308</v>
      </c>
      <c r="J599" s="15"/>
      <c r="K599" s="15"/>
      <c r="L599" s="47" t="b">
        <v>0</v>
      </c>
      <c r="M599" s="45">
        <v>0</v>
      </c>
      <c r="N599" s="45"/>
      <c r="O599" s="45"/>
      <c r="P599" s="38">
        <f t="shared" si="45"/>
        <v>1.6554592127682237</v>
      </c>
      <c r="Q599" s="38">
        <f t="shared" si="46"/>
        <v>1.2519593065072308</v>
      </c>
      <c r="R599" s="17">
        <f t="shared" si="47"/>
        <v>0.28594399571741735</v>
      </c>
      <c r="S599" s="17">
        <f t="shared" si="48"/>
        <v>0.19100432393889399</v>
      </c>
      <c r="T599" s="38" t="str">
        <f t="shared" si="49"/>
        <v/>
      </c>
      <c r="U599" s="31" t="s">
        <v>1876</v>
      </c>
      <c r="V599" s="31"/>
    </row>
    <row r="600" spans="1:22" ht="30">
      <c r="A600" s="7">
        <v>30</v>
      </c>
      <c r="B600" s="7">
        <v>300</v>
      </c>
      <c r="C600" s="7">
        <v>46466.625</v>
      </c>
      <c r="D600" s="7" t="s">
        <v>40</v>
      </c>
      <c r="E600" s="7" t="s">
        <v>56</v>
      </c>
      <c r="F600" s="7" t="s">
        <v>1742</v>
      </c>
      <c r="G600" s="7">
        <v>3</v>
      </c>
      <c r="H600" s="37">
        <f>Priors!$H$27*VLOOKUP(D600,Team_26_27!$A$2:$U$21,20,FALSE)*VLOOKUP(E600,Team_26_27!$A$2:$U$21,21,FALSE)*IF(F600="H",Priors!$H$28,Priors!$H$29)</f>
        <v>1.2274481886249795</v>
      </c>
      <c r="I600" s="37">
        <f>Priors!$H$27*VLOOKUP(E600,Team_26_27!$A$2:$U$21,20,FALSE)*VLOOKUP(D600,Team_26_27!$A$2:$U$21,21,FALSE)*IF(F600="H",Priors!$H$29,Priors!$H$28)</f>
        <v>1.4389300398465099</v>
      </c>
      <c r="J600" s="15"/>
      <c r="K600" s="15"/>
      <c r="L600" s="47" t="b">
        <v>0</v>
      </c>
      <c r="M600" s="45">
        <v>0</v>
      </c>
      <c r="N600" s="45"/>
      <c r="O600" s="45"/>
      <c r="P600" s="38">
        <f t="shared" si="45"/>
        <v>1.2274481886249795</v>
      </c>
      <c r="Q600" s="38">
        <f t="shared" si="46"/>
        <v>1.4389300398465099</v>
      </c>
      <c r="R600" s="17">
        <f t="shared" si="47"/>
        <v>0.23718139761074339</v>
      </c>
      <c r="S600" s="17">
        <f t="shared" si="48"/>
        <v>0.29303940568225151</v>
      </c>
      <c r="T600" s="38" t="str">
        <f t="shared" si="49"/>
        <v/>
      </c>
      <c r="U600" s="31" t="s">
        <v>1876</v>
      </c>
      <c r="V600" s="31"/>
    </row>
    <row r="601" spans="1:22" ht="30">
      <c r="A601" s="7">
        <v>30</v>
      </c>
      <c r="B601" s="7">
        <v>300</v>
      </c>
      <c r="C601" s="7">
        <v>46466.625</v>
      </c>
      <c r="D601" s="7" t="s">
        <v>56</v>
      </c>
      <c r="E601" s="7" t="s">
        <v>40</v>
      </c>
      <c r="F601" s="7" t="s">
        <v>1743</v>
      </c>
      <c r="G601" s="7">
        <v>3</v>
      </c>
      <c r="H601" s="37">
        <f>Priors!$H$27*VLOOKUP(D601,Team_26_27!$A$2:$U$21,20,FALSE)*VLOOKUP(E601,Team_26_27!$A$2:$U$21,21,FALSE)*IF(F601="H",Priors!$H$28,Priors!$H$29)</f>
        <v>1.4389300398465099</v>
      </c>
      <c r="I601" s="37">
        <f>Priors!$H$27*VLOOKUP(E601,Team_26_27!$A$2:$U$21,20,FALSE)*VLOOKUP(D601,Team_26_27!$A$2:$U$21,21,FALSE)*IF(F601="H",Priors!$H$29,Priors!$H$28)</f>
        <v>1.2274481886249795</v>
      </c>
      <c r="J601" s="15"/>
      <c r="K601" s="15"/>
      <c r="L601" s="47" t="b">
        <v>0</v>
      </c>
      <c r="M601" s="45">
        <v>0</v>
      </c>
      <c r="N601" s="45"/>
      <c r="O601" s="45"/>
      <c r="P601" s="38">
        <f t="shared" si="45"/>
        <v>1.4389300398465099</v>
      </c>
      <c r="Q601" s="38">
        <f t="shared" si="46"/>
        <v>1.2274481886249795</v>
      </c>
      <c r="R601" s="17">
        <f t="shared" si="47"/>
        <v>0.29303940568225151</v>
      </c>
      <c r="S601" s="17">
        <f t="shared" si="48"/>
        <v>0.23718139761074339</v>
      </c>
      <c r="T601" s="38" t="str">
        <f t="shared" si="49"/>
        <v/>
      </c>
      <c r="U601" s="31" t="s">
        <v>1876</v>
      </c>
      <c r="V601" s="31"/>
    </row>
    <row r="602" spans="1:22" ht="30">
      <c r="A602" s="7">
        <v>31</v>
      </c>
      <c r="B602" s="7">
        <v>301</v>
      </c>
      <c r="C602" s="7">
        <v>46487.583333333336</v>
      </c>
      <c r="D602" s="7" t="s">
        <v>43</v>
      </c>
      <c r="E602" s="7" t="s">
        <v>40</v>
      </c>
      <c r="F602" s="7" t="s">
        <v>1742</v>
      </c>
      <c r="G602" s="7">
        <v>4</v>
      </c>
      <c r="H602" s="37">
        <f>Priors!$H$27*VLOOKUP(D602,Team_26_27!$A$2:$U$21,20,FALSE)*VLOOKUP(E602,Team_26_27!$A$2:$U$21,21,FALSE)*IF(F602="H",Priors!$H$28,Priors!$H$29)</f>
        <v>1.3511163944915947</v>
      </c>
      <c r="I602" s="37">
        <f>Priors!$H$27*VLOOKUP(E602,Team_26_27!$A$2:$U$21,20,FALSE)*VLOOKUP(D602,Team_26_27!$A$2:$U$21,21,FALSE)*IF(F602="H",Priors!$H$29,Priors!$H$28)</f>
        <v>1.3618181856398976</v>
      </c>
      <c r="J602" s="15"/>
      <c r="K602" s="15"/>
      <c r="L602" s="47" t="b">
        <v>0</v>
      </c>
      <c r="M602" s="45">
        <v>0</v>
      </c>
      <c r="N602" s="45"/>
      <c r="O602" s="45"/>
      <c r="P602" s="38">
        <f t="shared" si="45"/>
        <v>1.3511163944915947</v>
      </c>
      <c r="Q602" s="38">
        <f t="shared" si="46"/>
        <v>1.3618181856398976</v>
      </c>
      <c r="R602" s="17">
        <f t="shared" si="47"/>
        <v>0.25619454399205105</v>
      </c>
      <c r="S602" s="17">
        <f t="shared" si="48"/>
        <v>0.25895100773712609</v>
      </c>
      <c r="T602" s="38" t="str">
        <f t="shared" si="49"/>
        <v/>
      </c>
      <c r="U602" s="31" t="s">
        <v>1876</v>
      </c>
      <c r="V602" s="31"/>
    </row>
    <row r="603" spans="1:22" ht="30">
      <c r="A603" s="7">
        <v>31</v>
      </c>
      <c r="B603" s="7">
        <v>301</v>
      </c>
      <c r="C603" s="7">
        <v>46487.583333333336</v>
      </c>
      <c r="D603" s="7" t="s">
        <v>40</v>
      </c>
      <c r="E603" s="7" t="s">
        <v>43</v>
      </c>
      <c r="F603" s="7" t="s">
        <v>1743</v>
      </c>
      <c r="G603" s="7">
        <v>2</v>
      </c>
      <c r="H603" s="37">
        <f>Priors!$H$27*VLOOKUP(D603,Team_26_27!$A$2:$U$21,20,FALSE)*VLOOKUP(E603,Team_26_27!$A$2:$U$21,21,FALSE)*IF(F603="H",Priors!$H$28,Priors!$H$29)</f>
        <v>1.3618181856398976</v>
      </c>
      <c r="I603" s="37">
        <f>Priors!$H$27*VLOOKUP(E603,Team_26_27!$A$2:$U$21,20,FALSE)*VLOOKUP(D603,Team_26_27!$A$2:$U$21,21,FALSE)*IF(F603="H",Priors!$H$29,Priors!$H$28)</f>
        <v>1.3511163944915947</v>
      </c>
      <c r="J603" s="15"/>
      <c r="K603" s="15"/>
      <c r="L603" s="47" t="b">
        <v>0</v>
      </c>
      <c r="M603" s="45">
        <v>0</v>
      </c>
      <c r="N603" s="45"/>
      <c r="O603" s="45"/>
      <c r="P603" s="38">
        <f t="shared" si="45"/>
        <v>1.3618181856398976</v>
      </c>
      <c r="Q603" s="38">
        <f t="shared" si="46"/>
        <v>1.3511163944915947</v>
      </c>
      <c r="R603" s="17">
        <f t="shared" si="47"/>
        <v>0.25895100773712609</v>
      </c>
      <c r="S603" s="17">
        <f t="shared" si="48"/>
        <v>0.25619454399205105</v>
      </c>
      <c r="T603" s="38" t="str">
        <f t="shared" si="49"/>
        <v/>
      </c>
      <c r="U603" s="31" t="s">
        <v>1876</v>
      </c>
      <c r="V603" s="31"/>
    </row>
    <row r="604" spans="1:22" ht="30">
      <c r="A604" s="7">
        <v>31</v>
      </c>
      <c r="B604" s="7">
        <v>302</v>
      </c>
      <c r="C604" s="7">
        <v>46487.583333333336</v>
      </c>
      <c r="D604" s="7" t="s">
        <v>53</v>
      </c>
      <c r="E604" s="7" t="s">
        <v>41</v>
      </c>
      <c r="F604" s="7" t="s">
        <v>1742</v>
      </c>
      <c r="G604" s="7">
        <v>3</v>
      </c>
      <c r="H604" s="37">
        <f>Priors!$H$27*VLOOKUP(D604,Team_26_27!$A$2:$U$21,20,FALSE)*VLOOKUP(E604,Team_26_27!$A$2:$U$21,21,FALSE)*IF(F604="H",Priors!$H$28,Priors!$H$29)</f>
        <v>1.555913005153911</v>
      </c>
      <c r="I604" s="37">
        <f>Priors!$H$27*VLOOKUP(E604,Team_26_27!$A$2:$U$21,20,FALSE)*VLOOKUP(D604,Team_26_27!$A$2:$U$21,21,FALSE)*IF(F604="H",Priors!$H$29,Priors!$H$28)</f>
        <v>1.5224990079432912</v>
      </c>
      <c r="J604" s="15"/>
      <c r="K604" s="15"/>
      <c r="L604" s="47" t="b">
        <v>0</v>
      </c>
      <c r="M604" s="45">
        <v>0</v>
      </c>
      <c r="N604" s="45"/>
      <c r="O604" s="45"/>
      <c r="P604" s="38">
        <f t="shared" si="45"/>
        <v>1.555913005153911</v>
      </c>
      <c r="Q604" s="38">
        <f t="shared" si="46"/>
        <v>1.5224990079432912</v>
      </c>
      <c r="R604" s="17">
        <f t="shared" si="47"/>
        <v>0.21816600657321764</v>
      </c>
      <c r="S604" s="17">
        <f t="shared" si="48"/>
        <v>0.21099665364084177</v>
      </c>
      <c r="T604" s="38" t="str">
        <f t="shared" si="49"/>
        <v/>
      </c>
      <c r="U604" s="31" t="s">
        <v>1876</v>
      </c>
      <c r="V604" s="31"/>
    </row>
    <row r="605" spans="1:22" ht="30">
      <c r="A605" s="7">
        <v>31</v>
      </c>
      <c r="B605" s="7">
        <v>302</v>
      </c>
      <c r="C605" s="7">
        <v>46487.583333333336</v>
      </c>
      <c r="D605" s="7" t="s">
        <v>41</v>
      </c>
      <c r="E605" s="7" t="s">
        <v>53</v>
      </c>
      <c r="F605" s="7" t="s">
        <v>1743</v>
      </c>
      <c r="G605" s="7">
        <v>4</v>
      </c>
      <c r="H605" s="37">
        <f>Priors!$H$27*VLOOKUP(D605,Team_26_27!$A$2:$U$21,20,FALSE)*VLOOKUP(E605,Team_26_27!$A$2:$U$21,21,FALSE)*IF(F605="H",Priors!$H$28,Priors!$H$29)</f>
        <v>1.5224990079432912</v>
      </c>
      <c r="I605" s="37">
        <f>Priors!$H$27*VLOOKUP(E605,Team_26_27!$A$2:$U$21,20,FALSE)*VLOOKUP(D605,Team_26_27!$A$2:$U$21,21,FALSE)*IF(F605="H",Priors!$H$29,Priors!$H$28)</f>
        <v>1.555913005153911</v>
      </c>
      <c r="J605" s="15"/>
      <c r="K605" s="15"/>
      <c r="L605" s="47" t="b">
        <v>0</v>
      </c>
      <c r="M605" s="45">
        <v>0</v>
      </c>
      <c r="N605" s="45"/>
      <c r="O605" s="45"/>
      <c r="P605" s="38">
        <f t="shared" si="45"/>
        <v>1.5224990079432912</v>
      </c>
      <c r="Q605" s="38">
        <f t="shared" si="46"/>
        <v>1.555913005153911</v>
      </c>
      <c r="R605" s="17">
        <f t="shared" si="47"/>
        <v>0.21099665364084177</v>
      </c>
      <c r="S605" s="17">
        <f t="shared" si="48"/>
        <v>0.21816600657321764</v>
      </c>
      <c r="T605" s="38" t="str">
        <f t="shared" si="49"/>
        <v/>
      </c>
      <c r="U605" s="31" t="s">
        <v>1876</v>
      </c>
      <c r="V605" s="31"/>
    </row>
    <row r="606" spans="1:22" ht="30">
      <c r="A606" s="7">
        <v>31</v>
      </c>
      <c r="B606" s="7">
        <v>303</v>
      </c>
      <c r="C606" s="7">
        <v>46487.583333333336</v>
      </c>
      <c r="D606" s="7" t="s">
        <v>48</v>
      </c>
      <c r="E606" s="7" t="s">
        <v>44</v>
      </c>
      <c r="F606" s="7" t="s">
        <v>1742</v>
      </c>
      <c r="G606" s="7">
        <v>4</v>
      </c>
      <c r="H606" s="37">
        <f>Priors!$H$27*VLOOKUP(D606,Team_26_27!$A$2:$U$21,20,FALSE)*VLOOKUP(E606,Team_26_27!$A$2:$U$21,21,FALSE)*IF(F606="H",Priors!$H$28,Priors!$H$29)</f>
        <v>1.1864168061170643</v>
      </c>
      <c r="I606" s="37">
        <f>Priors!$H$27*VLOOKUP(E606,Team_26_27!$A$2:$U$21,20,FALSE)*VLOOKUP(D606,Team_26_27!$A$2:$U$21,21,FALSE)*IF(F606="H",Priors!$H$29,Priors!$H$28)</f>
        <v>1.7557438378060017</v>
      </c>
      <c r="J606" s="15"/>
      <c r="K606" s="15"/>
      <c r="L606" s="47" t="b">
        <v>0</v>
      </c>
      <c r="M606" s="45">
        <v>0</v>
      </c>
      <c r="N606" s="45"/>
      <c r="O606" s="45"/>
      <c r="P606" s="38">
        <f t="shared" si="45"/>
        <v>1.1864168061170643</v>
      </c>
      <c r="Q606" s="38">
        <f t="shared" si="46"/>
        <v>1.7557438378060017</v>
      </c>
      <c r="R606" s="17">
        <f t="shared" si="47"/>
        <v>0.17277867517043896</v>
      </c>
      <c r="S606" s="17">
        <f t="shared" si="48"/>
        <v>0.30531330316465877</v>
      </c>
      <c r="T606" s="38" t="str">
        <f t="shared" si="49"/>
        <v/>
      </c>
      <c r="U606" s="31" t="s">
        <v>1876</v>
      </c>
      <c r="V606" s="31"/>
    </row>
    <row r="607" spans="1:22" ht="30">
      <c r="A607" s="7">
        <v>31</v>
      </c>
      <c r="B607" s="7">
        <v>303</v>
      </c>
      <c r="C607" s="7">
        <v>46487.583333333336</v>
      </c>
      <c r="D607" s="7" t="s">
        <v>44</v>
      </c>
      <c r="E607" s="7" t="s">
        <v>48</v>
      </c>
      <c r="F607" s="7" t="s">
        <v>1743</v>
      </c>
      <c r="G607" s="7">
        <v>2</v>
      </c>
      <c r="H607" s="37">
        <f>Priors!$H$27*VLOOKUP(D607,Team_26_27!$A$2:$U$21,20,FALSE)*VLOOKUP(E607,Team_26_27!$A$2:$U$21,21,FALSE)*IF(F607="H",Priors!$H$28,Priors!$H$29)</f>
        <v>1.7557438378060017</v>
      </c>
      <c r="I607" s="37">
        <f>Priors!$H$27*VLOOKUP(E607,Team_26_27!$A$2:$U$21,20,FALSE)*VLOOKUP(D607,Team_26_27!$A$2:$U$21,21,FALSE)*IF(F607="H",Priors!$H$29,Priors!$H$28)</f>
        <v>1.1864168061170643</v>
      </c>
      <c r="J607" s="15"/>
      <c r="K607" s="15"/>
      <c r="L607" s="47" t="b">
        <v>0</v>
      </c>
      <c r="M607" s="45">
        <v>0</v>
      </c>
      <c r="N607" s="45"/>
      <c r="O607" s="45"/>
      <c r="P607" s="38">
        <f t="shared" si="45"/>
        <v>1.7557438378060017</v>
      </c>
      <c r="Q607" s="38">
        <f t="shared" si="46"/>
        <v>1.1864168061170643</v>
      </c>
      <c r="R607" s="17">
        <f t="shared" si="47"/>
        <v>0.30531330316465877</v>
      </c>
      <c r="S607" s="17">
        <f t="shared" si="48"/>
        <v>0.17277867517043896</v>
      </c>
      <c r="T607" s="38" t="str">
        <f t="shared" si="49"/>
        <v/>
      </c>
      <c r="U607" s="31" t="s">
        <v>1876</v>
      </c>
      <c r="V607" s="31"/>
    </row>
    <row r="608" spans="1:22" ht="30">
      <c r="A608" s="7">
        <v>31</v>
      </c>
      <c r="B608" s="7">
        <v>304</v>
      </c>
      <c r="C608" s="7">
        <v>46487.583333333336</v>
      </c>
      <c r="D608" s="7" t="s">
        <v>39</v>
      </c>
      <c r="E608" s="7" t="s">
        <v>45</v>
      </c>
      <c r="F608" s="7" t="s">
        <v>1742</v>
      </c>
      <c r="G608" s="7">
        <v>2</v>
      </c>
      <c r="H608" s="37">
        <f>Priors!$H$27*VLOOKUP(D608,Team_26_27!$A$2:$U$21,20,FALSE)*VLOOKUP(E608,Team_26_27!$A$2:$U$21,21,FALSE)*IF(F608="H",Priors!$H$28,Priors!$H$29)</f>
        <v>1.8404639649297547</v>
      </c>
      <c r="I608" s="37">
        <f>Priors!$H$27*VLOOKUP(E608,Team_26_27!$A$2:$U$21,20,FALSE)*VLOOKUP(D608,Team_26_27!$A$2:$U$21,21,FALSE)*IF(F608="H",Priors!$H$29,Priors!$H$28)</f>
        <v>0.81678074083582408</v>
      </c>
      <c r="J608" s="15"/>
      <c r="K608" s="15"/>
      <c r="L608" s="47" t="b">
        <v>0</v>
      </c>
      <c r="M608" s="45">
        <v>0</v>
      </c>
      <c r="N608" s="45"/>
      <c r="O608" s="45"/>
      <c r="P608" s="38">
        <f t="shared" si="45"/>
        <v>1.8404639649297547</v>
      </c>
      <c r="Q608" s="38">
        <f t="shared" si="46"/>
        <v>0.81678074083582408</v>
      </c>
      <c r="R608" s="17">
        <f t="shared" si="47"/>
        <v>0.44185180283222697</v>
      </c>
      <c r="S608" s="17">
        <f t="shared" si="48"/>
        <v>0.15874375748212385</v>
      </c>
      <c r="T608" s="38" t="str">
        <f t="shared" si="49"/>
        <v/>
      </c>
      <c r="U608" s="31" t="s">
        <v>1876</v>
      </c>
      <c r="V608" s="31"/>
    </row>
    <row r="609" spans="1:22" ht="30">
      <c r="A609" s="7">
        <v>31</v>
      </c>
      <c r="B609" s="7">
        <v>304</v>
      </c>
      <c r="C609" s="7">
        <v>46487.583333333336</v>
      </c>
      <c r="D609" s="7" t="s">
        <v>45</v>
      </c>
      <c r="E609" s="7" t="s">
        <v>39</v>
      </c>
      <c r="F609" s="7" t="s">
        <v>1743</v>
      </c>
      <c r="G609" s="7">
        <v>4</v>
      </c>
      <c r="H609" s="37">
        <f>Priors!$H$27*VLOOKUP(D609,Team_26_27!$A$2:$U$21,20,FALSE)*VLOOKUP(E609,Team_26_27!$A$2:$U$21,21,FALSE)*IF(F609="H",Priors!$H$28,Priors!$H$29)</f>
        <v>0.81678074083582408</v>
      </c>
      <c r="I609" s="37">
        <f>Priors!$H$27*VLOOKUP(E609,Team_26_27!$A$2:$U$21,20,FALSE)*VLOOKUP(D609,Team_26_27!$A$2:$U$21,21,FALSE)*IF(F609="H",Priors!$H$29,Priors!$H$28)</f>
        <v>1.8404639649297547</v>
      </c>
      <c r="J609" s="15"/>
      <c r="K609" s="15"/>
      <c r="L609" s="47" t="b">
        <v>0</v>
      </c>
      <c r="M609" s="45">
        <v>0</v>
      </c>
      <c r="N609" s="45"/>
      <c r="O609" s="45"/>
      <c r="P609" s="38">
        <f t="shared" si="45"/>
        <v>0.81678074083582408</v>
      </c>
      <c r="Q609" s="38">
        <f t="shared" si="46"/>
        <v>1.8404639649297547</v>
      </c>
      <c r="R609" s="17">
        <f t="shared" si="47"/>
        <v>0.15874375748212385</v>
      </c>
      <c r="S609" s="17">
        <f t="shared" si="48"/>
        <v>0.44185180283222697</v>
      </c>
      <c r="T609" s="38" t="str">
        <f t="shared" si="49"/>
        <v/>
      </c>
      <c r="U609" s="31" t="s">
        <v>1876</v>
      </c>
      <c r="V609" s="31"/>
    </row>
    <row r="610" spans="1:22" ht="30">
      <c r="A610" s="7">
        <v>31</v>
      </c>
      <c r="B610" s="7">
        <v>305</v>
      </c>
      <c r="C610" s="7">
        <v>46487.583333333336</v>
      </c>
      <c r="D610" s="7" t="s">
        <v>47</v>
      </c>
      <c r="E610" s="7" t="s">
        <v>46</v>
      </c>
      <c r="F610" s="7" t="s">
        <v>1742</v>
      </c>
      <c r="G610" s="7">
        <v>3</v>
      </c>
      <c r="H610" s="37">
        <f>Priors!$H$27*VLOOKUP(D610,Team_26_27!$A$2:$U$21,20,FALSE)*VLOOKUP(E610,Team_26_27!$A$2:$U$21,21,FALSE)*IF(F610="H",Priors!$H$28,Priors!$H$29)</f>
        <v>1.1371089011058428</v>
      </c>
      <c r="I610" s="37">
        <f>Priors!$H$27*VLOOKUP(E610,Team_26_27!$A$2:$U$21,20,FALSE)*VLOOKUP(D610,Team_26_27!$A$2:$U$21,21,FALSE)*IF(F610="H",Priors!$H$29,Priors!$H$28)</f>
        <v>1.6906324004146909</v>
      </c>
      <c r="J610" s="15"/>
      <c r="K610" s="15"/>
      <c r="L610" s="47" t="b">
        <v>0</v>
      </c>
      <c r="M610" s="45">
        <v>0</v>
      </c>
      <c r="N610" s="45"/>
      <c r="O610" s="45"/>
      <c r="P610" s="38">
        <f t="shared" si="45"/>
        <v>1.1371089011058428</v>
      </c>
      <c r="Q610" s="38">
        <f t="shared" si="46"/>
        <v>1.6906324004146909</v>
      </c>
      <c r="R610" s="17">
        <f t="shared" si="47"/>
        <v>0.18440287065919364</v>
      </c>
      <c r="S610" s="17">
        <f t="shared" si="48"/>
        <v>0.32074498812171787</v>
      </c>
      <c r="T610" s="38" t="str">
        <f t="shared" si="49"/>
        <v/>
      </c>
      <c r="U610" s="31" t="s">
        <v>1876</v>
      </c>
      <c r="V610" s="31"/>
    </row>
    <row r="611" spans="1:22" ht="30">
      <c r="A611" s="7">
        <v>31</v>
      </c>
      <c r="B611" s="7">
        <v>305</v>
      </c>
      <c r="C611" s="7">
        <v>46487.583333333336</v>
      </c>
      <c r="D611" s="7" t="s">
        <v>46</v>
      </c>
      <c r="E611" s="7" t="s">
        <v>47</v>
      </c>
      <c r="F611" s="7" t="s">
        <v>1743</v>
      </c>
      <c r="G611" s="7">
        <v>3</v>
      </c>
      <c r="H611" s="37">
        <f>Priors!$H$27*VLOOKUP(D611,Team_26_27!$A$2:$U$21,20,FALSE)*VLOOKUP(E611,Team_26_27!$A$2:$U$21,21,FALSE)*IF(F611="H",Priors!$H$28,Priors!$H$29)</f>
        <v>1.6906324004146909</v>
      </c>
      <c r="I611" s="37">
        <f>Priors!$H$27*VLOOKUP(E611,Team_26_27!$A$2:$U$21,20,FALSE)*VLOOKUP(D611,Team_26_27!$A$2:$U$21,21,FALSE)*IF(F611="H",Priors!$H$29,Priors!$H$28)</f>
        <v>1.1371089011058428</v>
      </c>
      <c r="J611" s="15"/>
      <c r="K611" s="15"/>
      <c r="L611" s="47" t="b">
        <v>0</v>
      </c>
      <c r="M611" s="45">
        <v>0</v>
      </c>
      <c r="N611" s="45"/>
      <c r="O611" s="45"/>
      <c r="P611" s="38">
        <f t="shared" si="45"/>
        <v>1.6906324004146909</v>
      </c>
      <c r="Q611" s="38">
        <f t="shared" si="46"/>
        <v>1.1371089011058428</v>
      </c>
      <c r="R611" s="17">
        <f t="shared" si="47"/>
        <v>0.32074498812171787</v>
      </c>
      <c r="S611" s="17">
        <f t="shared" si="48"/>
        <v>0.18440287065919364</v>
      </c>
      <c r="T611" s="38" t="str">
        <f t="shared" si="49"/>
        <v/>
      </c>
      <c r="U611" s="31" t="s">
        <v>1876</v>
      </c>
      <c r="V611" s="31"/>
    </row>
    <row r="612" spans="1:22" ht="30">
      <c r="A612" s="7">
        <v>31</v>
      </c>
      <c r="B612" s="7">
        <v>306</v>
      </c>
      <c r="C612" s="7">
        <v>46487.583333333336</v>
      </c>
      <c r="D612" s="7" t="s">
        <v>56</v>
      </c>
      <c r="E612" s="7" t="s">
        <v>51</v>
      </c>
      <c r="F612" s="7" t="s">
        <v>1742</v>
      </c>
      <c r="G612" s="7">
        <v>3</v>
      </c>
      <c r="H612" s="37">
        <f>Priors!$H$27*VLOOKUP(D612,Team_26_27!$A$2:$U$21,20,FALSE)*VLOOKUP(E612,Team_26_27!$A$2:$U$21,21,FALSE)*IF(F612="H",Priors!$H$28,Priors!$H$29)</f>
        <v>1.204948618922695</v>
      </c>
      <c r="I612" s="37">
        <f>Priors!$H$27*VLOOKUP(E612,Team_26_27!$A$2:$U$21,20,FALSE)*VLOOKUP(D612,Team_26_27!$A$2:$U$21,21,FALSE)*IF(F612="H",Priors!$H$29,Priors!$H$28)</f>
        <v>1.6270620500824919</v>
      </c>
      <c r="J612" s="15"/>
      <c r="K612" s="15"/>
      <c r="L612" s="47" t="b">
        <v>0</v>
      </c>
      <c r="M612" s="45">
        <v>0</v>
      </c>
      <c r="N612" s="45"/>
      <c r="O612" s="45"/>
      <c r="P612" s="38">
        <f t="shared" si="45"/>
        <v>1.204948618922695</v>
      </c>
      <c r="Q612" s="38">
        <f t="shared" si="46"/>
        <v>1.6270620500824919</v>
      </c>
      <c r="R612" s="17">
        <f t="shared" si="47"/>
        <v>0.19650605181968994</v>
      </c>
      <c r="S612" s="17">
        <f t="shared" si="48"/>
        <v>0.29970739840664351</v>
      </c>
      <c r="T612" s="38" t="str">
        <f t="shared" si="49"/>
        <v/>
      </c>
      <c r="U612" s="31" t="s">
        <v>1876</v>
      </c>
      <c r="V612" s="31"/>
    </row>
    <row r="613" spans="1:22" ht="30">
      <c r="A613" s="7">
        <v>31</v>
      </c>
      <c r="B613" s="7">
        <v>306</v>
      </c>
      <c r="C613" s="7">
        <v>46487.583333333336</v>
      </c>
      <c r="D613" s="7" t="s">
        <v>51</v>
      </c>
      <c r="E613" s="7" t="s">
        <v>56</v>
      </c>
      <c r="F613" s="7" t="s">
        <v>1743</v>
      </c>
      <c r="G613" s="7">
        <v>3</v>
      </c>
      <c r="H613" s="37">
        <f>Priors!$H$27*VLOOKUP(D613,Team_26_27!$A$2:$U$21,20,FALSE)*VLOOKUP(E613,Team_26_27!$A$2:$U$21,21,FALSE)*IF(F613="H",Priors!$H$28,Priors!$H$29)</f>
        <v>1.6270620500824919</v>
      </c>
      <c r="I613" s="37">
        <f>Priors!$H$27*VLOOKUP(E613,Team_26_27!$A$2:$U$21,20,FALSE)*VLOOKUP(D613,Team_26_27!$A$2:$U$21,21,FALSE)*IF(F613="H",Priors!$H$29,Priors!$H$28)</f>
        <v>1.204948618922695</v>
      </c>
      <c r="J613" s="15"/>
      <c r="K613" s="15"/>
      <c r="L613" s="47" t="b">
        <v>0</v>
      </c>
      <c r="M613" s="45">
        <v>0</v>
      </c>
      <c r="N613" s="45"/>
      <c r="O613" s="45"/>
      <c r="P613" s="38">
        <f t="shared" si="45"/>
        <v>1.6270620500824919</v>
      </c>
      <c r="Q613" s="38">
        <f t="shared" si="46"/>
        <v>1.204948618922695</v>
      </c>
      <c r="R613" s="17">
        <f t="shared" si="47"/>
        <v>0.29970739840664351</v>
      </c>
      <c r="S613" s="17">
        <f t="shared" si="48"/>
        <v>0.19650605181968994</v>
      </c>
      <c r="T613" s="38" t="str">
        <f t="shared" si="49"/>
        <v/>
      </c>
      <c r="U613" s="31" t="s">
        <v>1876</v>
      </c>
      <c r="V613" s="31"/>
    </row>
    <row r="614" spans="1:22" ht="30">
      <c r="A614" s="7">
        <v>31</v>
      </c>
      <c r="B614" s="7">
        <v>307</v>
      </c>
      <c r="C614" s="7">
        <v>46487.583333333336</v>
      </c>
      <c r="D614" s="7" t="s">
        <v>55</v>
      </c>
      <c r="E614" s="7" t="s">
        <v>52</v>
      </c>
      <c r="F614" s="7" t="s">
        <v>1742</v>
      </c>
      <c r="G614" s="7">
        <v>4</v>
      </c>
      <c r="H614" s="37">
        <f>Priors!$H$27*VLOOKUP(D614,Team_26_27!$A$2:$U$21,20,FALSE)*VLOOKUP(E614,Team_26_27!$A$2:$U$21,21,FALSE)*IF(F614="H",Priors!$H$28,Priors!$H$29)</f>
        <v>1.2323292474063228</v>
      </c>
      <c r="I614" s="37">
        <f>Priors!$H$27*VLOOKUP(E614,Team_26_27!$A$2:$U$21,20,FALSE)*VLOOKUP(D614,Team_26_27!$A$2:$U$21,21,FALSE)*IF(F614="H",Priors!$H$29,Priors!$H$28)</f>
        <v>1.63644353719214</v>
      </c>
      <c r="J614" s="15"/>
      <c r="K614" s="15"/>
      <c r="L614" s="47" t="b">
        <v>0</v>
      </c>
      <c r="M614" s="45">
        <v>0</v>
      </c>
      <c r="N614" s="45"/>
      <c r="O614" s="45"/>
      <c r="P614" s="38">
        <f t="shared" si="45"/>
        <v>1.2323292474063228</v>
      </c>
      <c r="Q614" s="38">
        <f t="shared" si="46"/>
        <v>1.63644353719214</v>
      </c>
      <c r="R614" s="17">
        <f t="shared" si="47"/>
        <v>0.19467115332365312</v>
      </c>
      <c r="S614" s="17">
        <f t="shared" si="48"/>
        <v>0.29161254823826882</v>
      </c>
      <c r="T614" s="38" t="str">
        <f t="shared" si="49"/>
        <v/>
      </c>
      <c r="U614" s="31" t="s">
        <v>1876</v>
      </c>
      <c r="V614" s="31"/>
    </row>
    <row r="615" spans="1:22" ht="30">
      <c r="A615" s="7">
        <v>31</v>
      </c>
      <c r="B615" s="7">
        <v>307</v>
      </c>
      <c r="C615" s="7">
        <v>46487.583333333336</v>
      </c>
      <c r="D615" s="7" t="s">
        <v>52</v>
      </c>
      <c r="E615" s="7" t="s">
        <v>55</v>
      </c>
      <c r="F615" s="7" t="s">
        <v>1743</v>
      </c>
      <c r="G615" s="7">
        <v>2</v>
      </c>
      <c r="H615" s="37">
        <f>Priors!$H$27*VLOOKUP(D615,Team_26_27!$A$2:$U$21,20,FALSE)*VLOOKUP(E615,Team_26_27!$A$2:$U$21,21,FALSE)*IF(F615="H",Priors!$H$28,Priors!$H$29)</f>
        <v>1.63644353719214</v>
      </c>
      <c r="I615" s="37">
        <f>Priors!$H$27*VLOOKUP(E615,Team_26_27!$A$2:$U$21,20,FALSE)*VLOOKUP(D615,Team_26_27!$A$2:$U$21,21,FALSE)*IF(F615="H",Priors!$H$29,Priors!$H$28)</f>
        <v>1.2323292474063228</v>
      </c>
      <c r="J615" s="15"/>
      <c r="K615" s="15"/>
      <c r="L615" s="47" t="b">
        <v>0</v>
      </c>
      <c r="M615" s="45">
        <v>0</v>
      </c>
      <c r="N615" s="45"/>
      <c r="O615" s="45"/>
      <c r="P615" s="38">
        <f t="shared" si="45"/>
        <v>1.63644353719214</v>
      </c>
      <c r="Q615" s="38">
        <f t="shared" si="46"/>
        <v>1.2323292474063228</v>
      </c>
      <c r="R615" s="17">
        <f t="shared" si="47"/>
        <v>0.29161254823826882</v>
      </c>
      <c r="S615" s="17">
        <f t="shared" si="48"/>
        <v>0.19467115332365312</v>
      </c>
      <c r="T615" s="38" t="str">
        <f t="shared" si="49"/>
        <v/>
      </c>
      <c r="U615" s="31" t="s">
        <v>1876</v>
      </c>
      <c r="V615" s="31"/>
    </row>
    <row r="616" spans="1:22" ht="30">
      <c r="A616" s="7">
        <v>31</v>
      </c>
      <c r="B616" s="7">
        <v>308</v>
      </c>
      <c r="C616" s="7">
        <v>46487.583333333336</v>
      </c>
      <c r="D616" s="7" t="s">
        <v>49</v>
      </c>
      <c r="E616" s="7" t="s">
        <v>54</v>
      </c>
      <c r="F616" s="7" t="s">
        <v>1742</v>
      </c>
      <c r="G616" s="7">
        <v>4</v>
      </c>
      <c r="H616" s="37">
        <f>Priors!$H$27*VLOOKUP(D616,Team_26_27!$A$2:$U$21,20,FALSE)*VLOOKUP(E616,Team_26_27!$A$2:$U$21,21,FALSE)*IF(F616="H",Priors!$H$28,Priors!$H$29)</f>
        <v>0.82568312327096238</v>
      </c>
      <c r="I616" s="37">
        <f>Priors!$H$27*VLOOKUP(E616,Team_26_27!$A$2:$U$21,20,FALSE)*VLOOKUP(D616,Team_26_27!$A$2:$U$21,21,FALSE)*IF(F616="H",Priors!$H$29,Priors!$H$28)</f>
        <v>2.4374212225945633</v>
      </c>
      <c r="J616" s="15"/>
      <c r="K616" s="15"/>
      <c r="L616" s="47" t="b">
        <v>0</v>
      </c>
      <c r="M616" s="45">
        <v>0</v>
      </c>
      <c r="N616" s="45"/>
      <c r="O616" s="45"/>
      <c r="P616" s="38">
        <f t="shared" si="45"/>
        <v>0.82568312327096238</v>
      </c>
      <c r="Q616" s="38">
        <f t="shared" si="46"/>
        <v>2.4374212225945633</v>
      </c>
      <c r="R616" s="17">
        <f t="shared" si="47"/>
        <v>8.7385909959532618E-2</v>
      </c>
      <c r="S616" s="17">
        <f t="shared" si="48"/>
        <v>0.43793572617296844</v>
      </c>
      <c r="T616" s="38" t="str">
        <f t="shared" si="49"/>
        <v/>
      </c>
      <c r="U616" s="31" t="s">
        <v>1876</v>
      </c>
      <c r="V616" s="31"/>
    </row>
    <row r="617" spans="1:22" ht="30">
      <c r="A617" s="7">
        <v>31</v>
      </c>
      <c r="B617" s="7">
        <v>308</v>
      </c>
      <c r="C617" s="7">
        <v>46487.583333333336</v>
      </c>
      <c r="D617" s="7" t="s">
        <v>54</v>
      </c>
      <c r="E617" s="7" t="s">
        <v>49</v>
      </c>
      <c r="F617" s="7" t="s">
        <v>1743</v>
      </c>
      <c r="G617" s="7">
        <v>2</v>
      </c>
      <c r="H617" s="37">
        <f>Priors!$H$27*VLOOKUP(D617,Team_26_27!$A$2:$U$21,20,FALSE)*VLOOKUP(E617,Team_26_27!$A$2:$U$21,21,FALSE)*IF(F617="H",Priors!$H$28,Priors!$H$29)</f>
        <v>2.4374212225945633</v>
      </c>
      <c r="I617" s="37">
        <f>Priors!$H$27*VLOOKUP(E617,Team_26_27!$A$2:$U$21,20,FALSE)*VLOOKUP(D617,Team_26_27!$A$2:$U$21,21,FALSE)*IF(F617="H",Priors!$H$29,Priors!$H$28)</f>
        <v>0.82568312327096238</v>
      </c>
      <c r="J617" s="15"/>
      <c r="K617" s="15"/>
      <c r="L617" s="47" t="b">
        <v>0</v>
      </c>
      <c r="M617" s="45">
        <v>0</v>
      </c>
      <c r="N617" s="45"/>
      <c r="O617" s="45"/>
      <c r="P617" s="38">
        <f t="shared" si="45"/>
        <v>2.4374212225945633</v>
      </c>
      <c r="Q617" s="38">
        <f t="shared" si="46"/>
        <v>0.82568312327096238</v>
      </c>
      <c r="R617" s="17">
        <f t="shared" si="47"/>
        <v>0.43793572617296844</v>
      </c>
      <c r="S617" s="17">
        <f t="shared" si="48"/>
        <v>8.7385909959532618E-2</v>
      </c>
      <c r="T617" s="38" t="str">
        <f t="shared" si="49"/>
        <v/>
      </c>
      <c r="U617" s="31" t="s">
        <v>1876</v>
      </c>
      <c r="V617" s="31"/>
    </row>
    <row r="618" spans="1:22" ht="30">
      <c r="A618" s="7">
        <v>31</v>
      </c>
      <c r="B618" s="7">
        <v>309</v>
      </c>
      <c r="C618" s="7">
        <v>46487.583333333336</v>
      </c>
      <c r="D618" s="7" t="s">
        <v>50</v>
      </c>
      <c r="E618" s="7" t="s">
        <v>58</v>
      </c>
      <c r="F618" s="7" t="s">
        <v>1742</v>
      </c>
      <c r="G618" s="7">
        <v>3</v>
      </c>
      <c r="H618" s="37">
        <f>Priors!$H$27*VLOOKUP(D618,Team_26_27!$A$2:$U$21,20,FALSE)*VLOOKUP(E618,Team_26_27!$A$2:$U$21,21,FALSE)*IF(F618="H",Priors!$H$28,Priors!$H$29)</f>
        <v>0.97549464019302334</v>
      </c>
      <c r="I618" s="37">
        <f>Priors!$H$27*VLOOKUP(E618,Team_26_27!$A$2:$U$21,20,FALSE)*VLOOKUP(D618,Team_26_27!$A$2:$U$21,21,FALSE)*IF(F618="H",Priors!$H$29,Priors!$H$28)</f>
        <v>1.5413970097319483</v>
      </c>
      <c r="J618" s="15"/>
      <c r="K618" s="15"/>
      <c r="L618" s="47" t="b">
        <v>0</v>
      </c>
      <c r="M618" s="45">
        <v>0</v>
      </c>
      <c r="N618" s="45"/>
      <c r="O618" s="45"/>
      <c r="P618" s="38">
        <f t="shared" si="45"/>
        <v>0.97549464019302334</v>
      </c>
      <c r="Q618" s="38">
        <f t="shared" si="46"/>
        <v>1.5413970097319483</v>
      </c>
      <c r="R618" s="17">
        <f t="shared" si="47"/>
        <v>0.21408181804151408</v>
      </c>
      <c r="S618" s="17">
        <f t="shared" si="48"/>
        <v>0.37700582520059928</v>
      </c>
      <c r="T618" s="38" t="str">
        <f t="shared" si="49"/>
        <v/>
      </c>
      <c r="U618" s="31" t="s">
        <v>1876</v>
      </c>
      <c r="V618" s="31"/>
    </row>
    <row r="619" spans="1:22" ht="30">
      <c r="A619" s="7">
        <v>31</v>
      </c>
      <c r="B619" s="7">
        <v>309</v>
      </c>
      <c r="C619" s="7">
        <v>46487.583333333336</v>
      </c>
      <c r="D619" s="7" t="s">
        <v>58</v>
      </c>
      <c r="E619" s="7" t="s">
        <v>50</v>
      </c>
      <c r="F619" s="7" t="s">
        <v>1743</v>
      </c>
      <c r="G619" s="7">
        <v>2</v>
      </c>
      <c r="H619" s="37">
        <f>Priors!$H$27*VLOOKUP(D619,Team_26_27!$A$2:$U$21,20,FALSE)*VLOOKUP(E619,Team_26_27!$A$2:$U$21,21,FALSE)*IF(F619="H",Priors!$H$28,Priors!$H$29)</f>
        <v>1.5413970097319483</v>
      </c>
      <c r="I619" s="37">
        <f>Priors!$H$27*VLOOKUP(E619,Team_26_27!$A$2:$U$21,20,FALSE)*VLOOKUP(D619,Team_26_27!$A$2:$U$21,21,FALSE)*IF(F619="H",Priors!$H$29,Priors!$H$28)</f>
        <v>0.97549464019302334</v>
      </c>
      <c r="J619" s="15"/>
      <c r="K619" s="15"/>
      <c r="L619" s="47" t="b">
        <v>0</v>
      </c>
      <c r="M619" s="45">
        <v>0</v>
      </c>
      <c r="N619" s="45"/>
      <c r="O619" s="45"/>
      <c r="P619" s="38">
        <f t="shared" si="45"/>
        <v>1.5413970097319483</v>
      </c>
      <c r="Q619" s="38">
        <f t="shared" si="46"/>
        <v>0.97549464019302334</v>
      </c>
      <c r="R619" s="17">
        <f t="shared" si="47"/>
        <v>0.37700582520059928</v>
      </c>
      <c r="S619" s="17">
        <f t="shared" si="48"/>
        <v>0.21408181804151408</v>
      </c>
      <c r="T619" s="38" t="str">
        <f t="shared" si="49"/>
        <v/>
      </c>
      <c r="U619" s="31" t="s">
        <v>1876</v>
      </c>
      <c r="V619" s="31"/>
    </row>
    <row r="620" spans="1:22" ht="30">
      <c r="A620" s="7">
        <v>31</v>
      </c>
      <c r="B620" s="7">
        <v>310</v>
      </c>
      <c r="C620" s="7">
        <v>46487.583333333336</v>
      </c>
      <c r="D620" s="7" t="s">
        <v>42</v>
      </c>
      <c r="E620" s="7" t="s">
        <v>57</v>
      </c>
      <c r="F620" s="7" t="s">
        <v>1742</v>
      </c>
      <c r="G620" s="7">
        <v>3</v>
      </c>
      <c r="H620" s="37">
        <f>Priors!$H$27*VLOOKUP(D620,Team_26_27!$A$2:$U$21,20,FALSE)*VLOOKUP(E620,Team_26_27!$A$2:$U$21,21,FALSE)*IF(F620="H",Priors!$H$28,Priors!$H$29)</f>
        <v>1.3622801454391411</v>
      </c>
      <c r="I620" s="37">
        <f>Priors!$H$27*VLOOKUP(E620,Team_26_27!$A$2:$U$21,20,FALSE)*VLOOKUP(D620,Team_26_27!$A$2:$U$21,21,FALSE)*IF(F620="H",Priors!$H$29,Priors!$H$28)</f>
        <v>1.2932816735038668</v>
      </c>
      <c r="J620" s="15"/>
      <c r="K620" s="15"/>
      <c r="L620" s="47" t="b">
        <v>0</v>
      </c>
      <c r="M620" s="45">
        <v>0</v>
      </c>
      <c r="N620" s="45"/>
      <c r="O620" s="45"/>
      <c r="P620" s="38">
        <f t="shared" si="45"/>
        <v>1.3622801454391411</v>
      </c>
      <c r="Q620" s="38">
        <f t="shared" si="46"/>
        <v>1.2932816735038668</v>
      </c>
      <c r="R620" s="17">
        <f t="shared" si="47"/>
        <v>0.27436891488237813</v>
      </c>
      <c r="S620" s="17">
        <f t="shared" si="48"/>
        <v>0.25607621974456829</v>
      </c>
      <c r="T620" s="38" t="str">
        <f t="shared" si="49"/>
        <v/>
      </c>
      <c r="U620" s="31" t="s">
        <v>1876</v>
      </c>
      <c r="V620" s="31"/>
    </row>
    <row r="621" spans="1:22" ht="30">
      <c r="A621" s="7">
        <v>31</v>
      </c>
      <c r="B621" s="7">
        <v>310</v>
      </c>
      <c r="C621" s="7">
        <v>46487.583333333336</v>
      </c>
      <c r="D621" s="7" t="s">
        <v>57</v>
      </c>
      <c r="E621" s="7" t="s">
        <v>42</v>
      </c>
      <c r="F621" s="7" t="s">
        <v>1743</v>
      </c>
      <c r="G621" s="7">
        <v>3</v>
      </c>
      <c r="H621" s="37">
        <f>Priors!$H$27*VLOOKUP(D621,Team_26_27!$A$2:$U$21,20,FALSE)*VLOOKUP(E621,Team_26_27!$A$2:$U$21,21,FALSE)*IF(F621="H",Priors!$H$28,Priors!$H$29)</f>
        <v>1.2932816735038668</v>
      </c>
      <c r="I621" s="37">
        <f>Priors!$H$27*VLOOKUP(E621,Team_26_27!$A$2:$U$21,20,FALSE)*VLOOKUP(D621,Team_26_27!$A$2:$U$21,21,FALSE)*IF(F621="H",Priors!$H$29,Priors!$H$28)</f>
        <v>1.3622801454391411</v>
      </c>
      <c r="J621" s="15"/>
      <c r="K621" s="15"/>
      <c r="L621" s="47" t="b">
        <v>0</v>
      </c>
      <c r="M621" s="45">
        <v>0</v>
      </c>
      <c r="N621" s="45"/>
      <c r="O621" s="45"/>
      <c r="P621" s="38">
        <f t="shared" si="45"/>
        <v>1.2932816735038668</v>
      </c>
      <c r="Q621" s="38">
        <f t="shared" si="46"/>
        <v>1.3622801454391411</v>
      </c>
      <c r="R621" s="17">
        <f t="shared" si="47"/>
        <v>0.25607621974456829</v>
      </c>
      <c r="S621" s="17">
        <f t="shared" si="48"/>
        <v>0.27436891488237813</v>
      </c>
      <c r="T621" s="38" t="str">
        <f t="shared" si="49"/>
        <v/>
      </c>
      <c r="U621" s="31" t="s">
        <v>1876</v>
      </c>
      <c r="V621" s="31"/>
    </row>
    <row r="622" spans="1:22" ht="30">
      <c r="A622" s="7">
        <v>32</v>
      </c>
      <c r="B622" s="7">
        <v>311</v>
      </c>
      <c r="C622" s="7">
        <v>46494.583333333336</v>
      </c>
      <c r="D622" s="7" t="s">
        <v>40</v>
      </c>
      <c r="E622" s="7" t="s">
        <v>39</v>
      </c>
      <c r="F622" s="7" t="s">
        <v>1742</v>
      </c>
      <c r="G622" s="7">
        <v>5</v>
      </c>
      <c r="H622" s="37">
        <f>Priors!$H$27*VLOOKUP(D622,Team_26_27!$A$2:$U$21,20,FALSE)*VLOOKUP(E622,Team_26_27!$A$2:$U$21,21,FALSE)*IF(F622="H",Priors!$H$28,Priors!$H$29)</f>
        <v>0.79171950318821627</v>
      </c>
      <c r="I622" s="37">
        <f>Priors!$H$27*VLOOKUP(E622,Team_26_27!$A$2:$U$21,20,FALSE)*VLOOKUP(D622,Team_26_27!$A$2:$U$21,21,FALSE)*IF(F622="H",Priors!$H$29,Priors!$H$28)</f>
        <v>1.8090049645753752</v>
      </c>
      <c r="J622" s="15"/>
      <c r="K622" s="15"/>
      <c r="L622" s="47" t="b">
        <v>0</v>
      </c>
      <c r="M622" s="45">
        <v>0</v>
      </c>
      <c r="N622" s="45"/>
      <c r="O622" s="45"/>
      <c r="P622" s="38">
        <f t="shared" si="45"/>
        <v>0.79171950318821627</v>
      </c>
      <c r="Q622" s="38">
        <f t="shared" si="46"/>
        <v>1.8090049645753752</v>
      </c>
      <c r="R622" s="17">
        <f t="shared" si="47"/>
        <v>0.16381705950969919</v>
      </c>
      <c r="S622" s="17">
        <f t="shared" si="48"/>
        <v>0.45306507826497627</v>
      </c>
      <c r="T622" s="38" t="str">
        <f t="shared" si="49"/>
        <v/>
      </c>
      <c r="U622" s="31" t="s">
        <v>1876</v>
      </c>
      <c r="V622" s="31"/>
    </row>
    <row r="623" spans="1:22" ht="30">
      <c r="A623" s="7">
        <v>32</v>
      </c>
      <c r="B623" s="7">
        <v>311</v>
      </c>
      <c r="C623" s="7">
        <v>46494.583333333336</v>
      </c>
      <c r="D623" s="7" t="s">
        <v>39</v>
      </c>
      <c r="E623" s="7" t="s">
        <v>40</v>
      </c>
      <c r="F623" s="7" t="s">
        <v>1743</v>
      </c>
      <c r="G623" s="7">
        <v>3</v>
      </c>
      <c r="H623" s="37">
        <f>Priors!$H$27*VLOOKUP(D623,Team_26_27!$A$2:$U$21,20,FALSE)*VLOOKUP(E623,Team_26_27!$A$2:$U$21,21,FALSE)*IF(F623="H",Priors!$H$28,Priors!$H$29)</f>
        <v>1.8090049645753752</v>
      </c>
      <c r="I623" s="37">
        <f>Priors!$H$27*VLOOKUP(E623,Team_26_27!$A$2:$U$21,20,FALSE)*VLOOKUP(D623,Team_26_27!$A$2:$U$21,21,FALSE)*IF(F623="H",Priors!$H$29,Priors!$H$28)</f>
        <v>0.79171950318821627</v>
      </c>
      <c r="J623" s="15"/>
      <c r="K623" s="15"/>
      <c r="L623" s="47" t="b">
        <v>0</v>
      </c>
      <c r="M623" s="45">
        <v>0</v>
      </c>
      <c r="N623" s="45"/>
      <c r="O623" s="45"/>
      <c r="P623" s="38">
        <f t="shared" si="45"/>
        <v>1.8090049645753752</v>
      </c>
      <c r="Q623" s="38">
        <f t="shared" si="46"/>
        <v>0.79171950318821627</v>
      </c>
      <c r="R623" s="17">
        <f t="shared" si="47"/>
        <v>0.45306507826497627</v>
      </c>
      <c r="S623" s="17">
        <f t="shared" si="48"/>
        <v>0.16381705950969919</v>
      </c>
      <c r="T623" s="38" t="str">
        <f t="shared" si="49"/>
        <v/>
      </c>
      <c r="U623" s="31" t="s">
        <v>1876</v>
      </c>
      <c r="V623" s="31"/>
    </row>
    <row r="624" spans="1:22" ht="30">
      <c r="A624" s="7">
        <v>32</v>
      </c>
      <c r="B624" s="7">
        <v>312</v>
      </c>
      <c r="C624" s="7">
        <v>46494.583333333336</v>
      </c>
      <c r="D624" s="7" t="s">
        <v>51</v>
      </c>
      <c r="E624" s="7" t="s">
        <v>42</v>
      </c>
      <c r="F624" s="7" t="s">
        <v>1742</v>
      </c>
      <c r="G624" s="7">
        <v>3</v>
      </c>
      <c r="H624" s="37">
        <f>Priors!$H$27*VLOOKUP(D624,Team_26_27!$A$2:$U$21,20,FALSE)*VLOOKUP(E624,Team_26_27!$A$2:$U$21,21,FALSE)*IF(F624="H",Priors!$H$28,Priors!$H$29)</f>
        <v>1.297547448014982</v>
      </c>
      <c r="I624" s="37">
        <f>Priors!$H$27*VLOOKUP(E624,Team_26_27!$A$2:$U$21,20,FALSE)*VLOOKUP(D624,Team_26_27!$A$2:$U$21,21,FALSE)*IF(F624="H",Priors!$H$29,Priors!$H$28)</f>
        <v>1.7404255532186861</v>
      </c>
      <c r="J624" s="15"/>
      <c r="K624" s="15"/>
      <c r="L624" s="47" t="b">
        <v>0</v>
      </c>
      <c r="M624" s="45">
        <v>0</v>
      </c>
      <c r="N624" s="45"/>
      <c r="O624" s="45"/>
      <c r="P624" s="38">
        <f t="shared" si="45"/>
        <v>1.297547448014982</v>
      </c>
      <c r="Q624" s="38">
        <f t="shared" si="46"/>
        <v>1.7404255532186861</v>
      </c>
      <c r="R624" s="17">
        <f t="shared" si="47"/>
        <v>0.17544572323629606</v>
      </c>
      <c r="S624" s="17">
        <f t="shared" si="48"/>
        <v>0.27320101173537942</v>
      </c>
      <c r="T624" s="38" t="str">
        <f t="shared" si="49"/>
        <v/>
      </c>
      <c r="U624" s="31" t="s">
        <v>1876</v>
      </c>
      <c r="V624" s="31"/>
    </row>
    <row r="625" spans="1:22" ht="30">
      <c r="A625" s="7">
        <v>32</v>
      </c>
      <c r="B625" s="7">
        <v>312</v>
      </c>
      <c r="C625" s="7">
        <v>46494.583333333336</v>
      </c>
      <c r="D625" s="7" t="s">
        <v>42</v>
      </c>
      <c r="E625" s="7" t="s">
        <v>51</v>
      </c>
      <c r="F625" s="7" t="s">
        <v>1743</v>
      </c>
      <c r="G625" s="7">
        <v>2</v>
      </c>
      <c r="H625" s="37">
        <f>Priors!$H$27*VLOOKUP(D625,Team_26_27!$A$2:$U$21,20,FALSE)*VLOOKUP(E625,Team_26_27!$A$2:$U$21,21,FALSE)*IF(F625="H",Priors!$H$28,Priors!$H$29)</f>
        <v>1.7404255532186861</v>
      </c>
      <c r="I625" s="37">
        <f>Priors!$H$27*VLOOKUP(E625,Team_26_27!$A$2:$U$21,20,FALSE)*VLOOKUP(D625,Team_26_27!$A$2:$U$21,21,FALSE)*IF(F625="H",Priors!$H$29,Priors!$H$28)</f>
        <v>1.297547448014982</v>
      </c>
      <c r="J625" s="15"/>
      <c r="K625" s="15"/>
      <c r="L625" s="47" t="b">
        <v>0</v>
      </c>
      <c r="M625" s="45">
        <v>0</v>
      </c>
      <c r="N625" s="45"/>
      <c r="O625" s="45"/>
      <c r="P625" s="38">
        <f t="shared" si="45"/>
        <v>1.7404255532186861</v>
      </c>
      <c r="Q625" s="38">
        <f t="shared" si="46"/>
        <v>1.297547448014982</v>
      </c>
      <c r="R625" s="17">
        <f t="shared" si="47"/>
        <v>0.27320101173537942</v>
      </c>
      <c r="S625" s="17">
        <f t="shared" si="48"/>
        <v>0.17544572323629606</v>
      </c>
      <c r="T625" s="38" t="str">
        <f t="shared" si="49"/>
        <v/>
      </c>
      <c r="U625" s="31" t="s">
        <v>1876</v>
      </c>
      <c r="V625" s="31"/>
    </row>
    <row r="626" spans="1:22" ht="30">
      <c r="A626" s="7">
        <v>32</v>
      </c>
      <c r="B626" s="7">
        <v>313</v>
      </c>
      <c r="C626" s="7">
        <v>46494.583333333336</v>
      </c>
      <c r="D626" s="7" t="s">
        <v>44</v>
      </c>
      <c r="E626" s="7" t="s">
        <v>43</v>
      </c>
      <c r="F626" s="7" t="s">
        <v>1742</v>
      </c>
      <c r="G626" s="7">
        <v>3</v>
      </c>
      <c r="H626" s="37">
        <f>Priors!$H$27*VLOOKUP(D626,Team_26_27!$A$2:$U$21,20,FALSE)*VLOOKUP(E626,Team_26_27!$A$2:$U$21,21,FALSE)*IF(F626="H",Priors!$H$28,Priors!$H$29)</f>
        <v>1.3565032856834971</v>
      </c>
      <c r="I626" s="37">
        <f>Priors!$H$27*VLOOKUP(E626,Team_26_27!$A$2:$U$21,20,FALSE)*VLOOKUP(D626,Team_26_27!$A$2:$U$21,21,FALSE)*IF(F626="H",Priors!$H$29,Priors!$H$28)</f>
        <v>1.6206617100804115</v>
      </c>
      <c r="J626" s="15"/>
      <c r="K626" s="15"/>
      <c r="L626" s="47" t="b">
        <v>0</v>
      </c>
      <c r="M626" s="45">
        <v>0</v>
      </c>
      <c r="N626" s="45"/>
      <c r="O626" s="45"/>
      <c r="P626" s="38">
        <f t="shared" si="45"/>
        <v>1.3565032856834971</v>
      </c>
      <c r="Q626" s="38">
        <f t="shared" si="46"/>
        <v>1.6206617100804115</v>
      </c>
      <c r="R626" s="17">
        <f t="shared" si="47"/>
        <v>0.19776779083596091</v>
      </c>
      <c r="S626" s="17">
        <f t="shared" si="48"/>
        <v>0.25755981729438177</v>
      </c>
      <c r="T626" s="38" t="str">
        <f t="shared" si="49"/>
        <v/>
      </c>
      <c r="U626" s="31" t="s">
        <v>1876</v>
      </c>
      <c r="V626" s="31"/>
    </row>
    <row r="627" spans="1:22" ht="30">
      <c r="A627" s="7">
        <v>32</v>
      </c>
      <c r="B627" s="7">
        <v>313</v>
      </c>
      <c r="C627" s="7">
        <v>46494.583333333336</v>
      </c>
      <c r="D627" s="7" t="s">
        <v>43</v>
      </c>
      <c r="E627" s="7" t="s">
        <v>44</v>
      </c>
      <c r="F627" s="7" t="s">
        <v>1743</v>
      </c>
      <c r="G627" s="7">
        <v>4</v>
      </c>
      <c r="H627" s="37">
        <f>Priors!$H$27*VLOOKUP(D627,Team_26_27!$A$2:$U$21,20,FALSE)*VLOOKUP(E627,Team_26_27!$A$2:$U$21,21,FALSE)*IF(F627="H",Priors!$H$28,Priors!$H$29)</f>
        <v>1.6206617100804115</v>
      </c>
      <c r="I627" s="37">
        <f>Priors!$H$27*VLOOKUP(E627,Team_26_27!$A$2:$U$21,20,FALSE)*VLOOKUP(D627,Team_26_27!$A$2:$U$21,21,FALSE)*IF(F627="H",Priors!$H$29,Priors!$H$28)</f>
        <v>1.3565032856834971</v>
      </c>
      <c r="J627" s="15"/>
      <c r="K627" s="15"/>
      <c r="L627" s="47" t="b">
        <v>0</v>
      </c>
      <c r="M627" s="45">
        <v>0</v>
      </c>
      <c r="N627" s="45"/>
      <c r="O627" s="45"/>
      <c r="P627" s="38">
        <f t="shared" si="45"/>
        <v>1.6206617100804115</v>
      </c>
      <c r="Q627" s="38">
        <f t="shared" si="46"/>
        <v>1.3565032856834971</v>
      </c>
      <c r="R627" s="17">
        <f t="shared" si="47"/>
        <v>0.25755981729438177</v>
      </c>
      <c r="S627" s="17">
        <f t="shared" si="48"/>
        <v>0.19776779083596091</v>
      </c>
      <c r="T627" s="38" t="str">
        <f t="shared" si="49"/>
        <v/>
      </c>
      <c r="U627" s="31" t="s">
        <v>1876</v>
      </c>
      <c r="V627" s="31"/>
    </row>
    <row r="628" spans="1:22" ht="30">
      <c r="A628" s="7">
        <v>32</v>
      </c>
      <c r="B628" s="7">
        <v>314</v>
      </c>
      <c r="C628" s="7">
        <v>46494.583333333336</v>
      </c>
      <c r="D628" s="7" t="s">
        <v>41</v>
      </c>
      <c r="E628" s="7" t="s">
        <v>47</v>
      </c>
      <c r="F628" s="7" t="s">
        <v>1742</v>
      </c>
      <c r="G628" s="7">
        <v>3</v>
      </c>
      <c r="H628" s="37">
        <f>Priors!$H$27*VLOOKUP(D628,Team_26_27!$A$2:$U$21,20,FALSE)*VLOOKUP(E628,Team_26_27!$A$2:$U$21,21,FALSE)*IF(F628="H",Priors!$H$28,Priors!$H$29)</f>
        <v>1.4335921804352028</v>
      </c>
      <c r="I628" s="37">
        <f>Priors!$H$27*VLOOKUP(E628,Team_26_27!$A$2:$U$21,20,FALSE)*VLOOKUP(D628,Team_26_27!$A$2:$U$21,21,FALSE)*IF(F628="H",Priors!$H$29,Priors!$H$28)</f>
        <v>1.4612152584882854</v>
      </c>
      <c r="J628" s="15"/>
      <c r="K628" s="15"/>
      <c r="L628" s="47" t="b">
        <v>0</v>
      </c>
      <c r="M628" s="45">
        <v>0</v>
      </c>
      <c r="N628" s="45"/>
      <c r="O628" s="45"/>
      <c r="P628" s="38">
        <f t="shared" si="45"/>
        <v>1.4335921804352028</v>
      </c>
      <c r="Q628" s="38">
        <f t="shared" si="46"/>
        <v>1.4612152584882854</v>
      </c>
      <c r="R628" s="17">
        <f t="shared" si="47"/>
        <v>0.23195421904560079</v>
      </c>
      <c r="S628" s="17">
        <f t="shared" si="48"/>
        <v>0.23845082356067623</v>
      </c>
      <c r="T628" s="38" t="str">
        <f t="shared" si="49"/>
        <v/>
      </c>
      <c r="U628" s="31" t="s">
        <v>1876</v>
      </c>
      <c r="V628" s="31"/>
    </row>
    <row r="629" spans="1:22" ht="30">
      <c r="A629" s="7">
        <v>32</v>
      </c>
      <c r="B629" s="7">
        <v>314</v>
      </c>
      <c r="C629" s="7">
        <v>46494.583333333336</v>
      </c>
      <c r="D629" s="7" t="s">
        <v>47</v>
      </c>
      <c r="E629" s="7" t="s">
        <v>41</v>
      </c>
      <c r="F629" s="7" t="s">
        <v>1743</v>
      </c>
      <c r="G629" s="7">
        <v>3</v>
      </c>
      <c r="H629" s="37">
        <f>Priors!$H$27*VLOOKUP(D629,Team_26_27!$A$2:$U$21,20,FALSE)*VLOOKUP(E629,Team_26_27!$A$2:$U$21,21,FALSE)*IF(F629="H",Priors!$H$28,Priors!$H$29)</f>
        <v>1.4612152584882854</v>
      </c>
      <c r="I629" s="37">
        <f>Priors!$H$27*VLOOKUP(E629,Team_26_27!$A$2:$U$21,20,FALSE)*VLOOKUP(D629,Team_26_27!$A$2:$U$21,21,FALSE)*IF(F629="H",Priors!$H$29,Priors!$H$28)</f>
        <v>1.4335921804352028</v>
      </c>
      <c r="J629" s="15"/>
      <c r="K629" s="15"/>
      <c r="L629" s="47" t="b">
        <v>0</v>
      </c>
      <c r="M629" s="45">
        <v>0</v>
      </c>
      <c r="N629" s="45"/>
      <c r="O629" s="45"/>
      <c r="P629" s="38">
        <f t="shared" si="45"/>
        <v>1.4612152584882854</v>
      </c>
      <c r="Q629" s="38">
        <f t="shared" si="46"/>
        <v>1.4335921804352028</v>
      </c>
      <c r="R629" s="17">
        <f t="shared" si="47"/>
        <v>0.23845082356067623</v>
      </c>
      <c r="S629" s="17">
        <f t="shared" si="48"/>
        <v>0.23195421904560079</v>
      </c>
      <c r="T629" s="38" t="str">
        <f t="shared" si="49"/>
        <v/>
      </c>
      <c r="U629" s="31" t="s">
        <v>1876</v>
      </c>
      <c r="V629" s="31"/>
    </row>
    <row r="630" spans="1:22" ht="30">
      <c r="A630" s="7">
        <v>32</v>
      </c>
      <c r="B630" s="7">
        <v>315</v>
      </c>
      <c r="C630" s="7">
        <v>46494.583333333336</v>
      </c>
      <c r="D630" s="7" t="s">
        <v>58</v>
      </c>
      <c r="E630" s="7" t="s">
        <v>48</v>
      </c>
      <c r="F630" s="7" t="s">
        <v>1742</v>
      </c>
      <c r="G630" s="7">
        <v>3</v>
      </c>
      <c r="H630" s="37">
        <f>Priors!$H$27*VLOOKUP(D630,Team_26_27!$A$2:$U$21,20,FALSE)*VLOOKUP(E630,Team_26_27!$A$2:$U$21,21,FALSE)*IF(F630="H",Priors!$H$28,Priors!$H$29)</f>
        <v>1.0252984788344062</v>
      </c>
      <c r="I630" s="37">
        <f>Priors!$H$27*VLOOKUP(E630,Team_26_27!$A$2:$U$21,20,FALSE)*VLOOKUP(D630,Team_26_27!$A$2:$U$21,21,FALSE)*IF(F630="H",Priors!$H$29,Priors!$H$28)</f>
        <v>1.4871723648414312</v>
      </c>
      <c r="J630" s="15"/>
      <c r="K630" s="15"/>
      <c r="L630" s="47" t="b">
        <v>0</v>
      </c>
      <c r="M630" s="45">
        <v>0</v>
      </c>
      <c r="N630" s="45"/>
      <c r="O630" s="45"/>
      <c r="P630" s="38">
        <f t="shared" si="45"/>
        <v>1.0252984788344062</v>
      </c>
      <c r="Q630" s="38">
        <f t="shared" si="46"/>
        <v>1.4871723648414312</v>
      </c>
      <c r="R630" s="17">
        <f t="shared" si="47"/>
        <v>0.22601082901969635</v>
      </c>
      <c r="S630" s="17">
        <f t="shared" si="48"/>
        <v>0.35868938823609753</v>
      </c>
      <c r="T630" s="38" t="str">
        <f t="shared" si="49"/>
        <v/>
      </c>
      <c r="U630" s="31" t="s">
        <v>1876</v>
      </c>
      <c r="V630" s="31"/>
    </row>
    <row r="631" spans="1:22" ht="30">
      <c r="A631" s="7">
        <v>32</v>
      </c>
      <c r="B631" s="7">
        <v>315</v>
      </c>
      <c r="C631" s="7">
        <v>46494.583333333336</v>
      </c>
      <c r="D631" s="7" t="s">
        <v>48</v>
      </c>
      <c r="E631" s="7" t="s">
        <v>58</v>
      </c>
      <c r="F631" s="7" t="s">
        <v>1743</v>
      </c>
      <c r="G631" s="7">
        <v>2</v>
      </c>
      <c r="H631" s="37">
        <f>Priors!$H$27*VLOOKUP(D631,Team_26_27!$A$2:$U$21,20,FALSE)*VLOOKUP(E631,Team_26_27!$A$2:$U$21,21,FALSE)*IF(F631="H",Priors!$H$28,Priors!$H$29)</f>
        <v>1.4871723648414312</v>
      </c>
      <c r="I631" s="37">
        <f>Priors!$H$27*VLOOKUP(E631,Team_26_27!$A$2:$U$21,20,FALSE)*VLOOKUP(D631,Team_26_27!$A$2:$U$21,21,FALSE)*IF(F631="H",Priors!$H$29,Priors!$H$28)</f>
        <v>1.0252984788344062</v>
      </c>
      <c r="J631" s="15"/>
      <c r="K631" s="15"/>
      <c r="L631" s="47" t="b">
        <v>0</v>
      </c>
      <c r="M631" s="45">
        <v>0</v>
      </c>
      <c r="N631" s="45"/>
      <c r="O631" s="45"/>
      <c r="P631" s="38">
        <f t="shared" si="45"/>
        <v>1.4871723648414312</v>
      </c>
      <c r="Q631" s="38">
        <f t="shared" si="46"/>
        <v>1.0252984788344062</v>
      </c>
      <c r="R631" s="17">
        <f t="shared" si="47"/>
        <v>0.35868938823609753</v>
      </c>
      <c r="S631" s="17">
        <f t="shared" si="48"/>
        <v>0.22601082901969635</v>
      </c>
      <c r="T631" s="38" t="str">
        <f t="shared" si="49"/>
        <v/>
      </c>
      <c r="U631" s="31" t="s">
        <v>1876</v>
      </c>
      <c r="V631" s="31"/>
    </row>
    <row r="632" spans="1:22" ht="30">
      <c r="A632" s="7">
        <v>32</v>
      </c>
      <c r="B632" s="7">
        <v>316</v>
      </c>
      <c r="C632" s="7">
        <v>46494.583333333336</v>
      </c>
      <c r="D632" s="7" t="s">
        <v>45</v>
      </c>
      <c r="E632" s="7" t="s">
        <v>49</v>
      </c>
      <c r="F632" s="7" t="s">
        <v>1742</v>
      </c>
      <c r="G632" s="7">
        <v>2</v>
      </c>
      <c r="H632" s="37">
        <f>Priors!$H$27*VLOOKUP(D632,Team_26_27!$A$2:$U$21,20,FALSE)*VLOOKUP(E632,Team_26_27!$A$2:$U$21,21,FALSE)*IF(F632="H",Priors!$H$28,Priors!$H$29)</f>
        <v>1.3564413037294751</v>
      </c>
      <c r="I632" s="37">
        <f>Priors!$H$27*VLOOKUP(E632,Team_26_27!$A$2:$U$21,20,FALSE)*VLOOKUP(D632,Team_26_27!$A$2:$U$21,21,FALSE)*IF(F632="H",Priors!$H$29,Priors!$H$28)</f>
        <v>1.3480741784030172</v>
      </c>
      <c r="J632" s="15"/>
      <c r="K632" s="15"/>
      <c r="L632" s="47" t="b">
        <v>0</v>
      </c>
      <c r="M632" s="45">
        <v>0</v>
      </c>
      <c r="N632" s="45"/>
      <c r="O632" s="45"/>
      <c r="P632" s="38">
        <f t="shared" si="45"/>
        <v>1.3564413037294751</v>
      </c>
      <c r="Q632" s="38">
        <f t="shared" si="46"/>
        <v>1.3480741784030172</v>
      </c>
      <c r="R632" s="17">
        <f t="shared" si="47"/>
        <v>0.2597399921810925</v>
      </c>
      <c r="S632" s="17">
        <f t="shared" si="48"/>
        <v>0.25757578184988728</v>
      </c>
      <c r="T632" s="38" t="str">
        <f t="shared" si="49"/>
        <v/>
      </c>
      <c r="U632" s="31" t="s">
        <v>1876</v>
      </c>
      <c r="V632" s="31"/>
    </row>
    <row r="633" spans="1:22" ht="30">
      <c r="A633" s="7">
        <v>32</v>
      </c>
      <c r="B633" s="7">
        <v>316</v>
      </c>
      <c r="C633" s="7">
        <v>46494.583333333336</v>
      </c>
      <c r="D633" s="7" t="s">
        <v>49</v>
      </c>
      <c r="E633" s="7" t="s">
        <v>45</v>
      </c>
      <c r="F633" s="7" t="s">
        <v>1743</v>
      </c>
      <c r="G633" s="7">
        <v>2</v>
      </c>
      <c r="H633" s="37">
        <f>Priors!$H$27*VLOOKUP(D633,Team_26_27!$A$2:$U$21,20,FALSE)*VLOOKUP(E633,Team_26_27!$A$2:$U$21,21,FALSE)*IF(F633="H",Priors!$H$28,Priors!$H$29)</f>
        <v>1.3480741784030172</v>
      </c>
      <c r="I633" s="37">
        <f>Priors!$H$27*VLOOKUP(E633,Team_26_27!$A$2:$U$21,20,FALSE)*VLOOKUP(D633,Team_26_27!$A$2:$U$21,21,FALSE)*IF(F633="H",Priors!$H$29,Priors!$H$28)</f>
        <v>1.3564413037294751</v>
      </c>
      <c r="J633" s="15"/>
      <c r="K633" s="15"/>
      <c r="L633" s="47" t="b">
        <v>0</v>
      </c>
      <c r="M633" s="45">
        <v>0</v>
      </c>
      <c r="N633" s="45"/>
      <c r="O633" s="45"/>
      <c r="P633" s="38">
        <f t="shared" si="45"/>
        <v>1.3480741784030172</v>
      </c>
      <c r="Q633" s="38">
        <f t="shared" si="46"/>
        <v>1.3564413037294751</v>
      </c>
      <c r="R633" s="17">
        <f t="shared" si="47"/>
        <v>0.25757578184988728</v>
      </c>
      <c r="S633" s="17">
        <f t="shared" si="48"/>
        <v>0.2597399921810925</v>
      </c>
      <c r="T633" s="38" t="str">
        <f t="shared" si="49"/>
        <v/>
      </c>
      <c r="U633" s="31" t="s">
        <v>1876</v>
      </c>
      <c r="V633" s="31"/>
    </row>
    <row r="634" spans="1:22" ht="30">
      <c r="A634" s="7">
        <v>32</v>
      </c>
      <c r="B634" s="7">
        <v>317</v>
      </c>
      <c r="C634" s="7">
        <v>46494.583333333336</v>
      </c>
      <c r="D634" s="7" t="s">
        <v>54</v>
      </c>
      <c r="E634" s="7" t="s">
        <v>50</v>
      </c>
      <c r="F634" s="7" t="s">
        <v>1742</v>
      </c>
      <c r="G634" s="7">
        <v>2</v>
      </c>
      <c r="H634" s="37">
        <f>Priors!$H$27*VLOOKUP(D634,Team_26_27!$A$2:$U$21,20,FALSE)*VLOOKUP(E634,Team_26_27!$A$2:$U$21,21,FALSE)*IF(F634="H",Priors!$H$28,Priors!$H$29)</f>
        <v>1.8010944197537833</v>
      </c>
      <c r="I634" s="37">
        <f>Priors!$H$27*VLOOKUP(E634,Team_26_27!$A$2:$U$21,20,FALSE)*VLOOKUP(D634,Team_26_27!$A$2:$U$21,21,FALSE)*IF(F634="H",Priors!$H$29,Priors!$H$28)</f>
        <v>1.1026541577595859</v>
      </c>
      <c r="J634" s="15"/>
      <c r="K634" s="15"/>
      <c r="L634" s="47" t="b">
        <v>0</v>
      </c>
      <c r="M634" s="45">
        <v>0</v>
      </c>
      <c r="N634" s="45"/>
      <c r="O634" s="45"/>
      <c r="P634" s="38">
        <f t="shared" si="45"/>
        <v>1.8010944197537833</v>
      </c>
      <c r="Q634" s="38">
        <f t="shared" si="46"/>
        <v>1.1026541577595859</v>
      </c>
      <c r="R634" s="17">
        <f t="shared" si="47"/>
        <v>0.33198876275579126</v>
      </c>
      <c r="S634" s="17">
        <f t="shared" si="48"/>
        <v>0.16511808081068638</v>
      </c>
      <c r="T634" s="38" t="str">
        <f t="shared" si="49"/>
        <v/>
      </c>
      <c r="U634" s="31" t="s">
        <v>1876</v>
      </c>
      <c r="V634" s="31"/>
    </row>
    <row r="635" spans="1:22" ht="30">
      <c r="A635" s="7">
        <v>32</v>
      </c>
      <c r="B635" s="7">
        <v>317</v>
      </c>
      <c r="C635" s="7">
        <v>46494.583333333336</v>
      </c>
      <c r="D635" s="7" t="s">
        <v>50</v>
      </c>
      <c r="E635" s="7" t="s">
        <v>54</v>
      </c>
      <c r="F635" s="7" t="s">
        <v>1743</v>
      </c>
      <c r="G635" s="7">
        <v>4</v>
      </c>
      <c r="H635" s="37">
        <f>Priors!$H$27*VLOOKUP(D635,Team_26_27!$A$2:$U$21,20,FALSE)*VLOOKUP(E635,Team_26_27!$A$2:$U$21,21,FALSE)*IF(F635="H",Priors!$H$28,Priors!$H$29)</f>
        <v>1.1026541577595859</v>
      </c>
      <c r="I635" s="37">
        <f>Priors!$H$27*VLOOKUP(E635,Team_26_27!$A$2:$U$21,20,FALSE)*VLOOKUP(D635,Team_26_27!$A$2:$U$21,21,FALSE)*IF(F635="H",Priors!$H$29,Priors!$H$28)</f>
        <v>1.8010944197537833</v>
      </c>
      <c r="J635" s="15"/>
      <c r="K635" s="15"/>
      <c r="L635" s="47" t="b">
        <v>0</v>
      </c>
      <c r="M635" s="45">
        <v>0</v>
      </c>
      <c r="N635" s="45"/>
      <c r="O635" s="45"/>
      <c r="P635" s="38">
        <f t="shared" si="45"/>
        <v>1.1026541577595859</v>
      </c>
      <c r="Q635" s="38">
        <f t="shared" si="46"/>
        <v>1.8010944197537833</v>
      </c>
      <c r="R635" s="17">
        <f t="shared" si="47"/>
        <v>0.16511808081068638</v>
      </c>
      <c r="S635" s="17">
        <f t="shared" si="48"/>
        <v>0.33198876275579126</v>
      </c>
      <c r="T635" s="38" t="str">
        <f t="shared" si="49"/>
        <v/>
      </c>
      <c r="U635" s="31" t="s">
        <v>1876</v>
      </c>
      <c r="V635" s="31"/>
    </row>
    <row r="636" spans="1:22" ht="30">
      <c r="A636" s="7">
        <v>32</v>
      </c>
      <c r="B636" s="7">
        <v>318</v>
      </c>
      <c r="C636" s="7">
        <v>46494.583333333336</v>
      </c>
      <c r="D636" s="7" t="s">
        <v>46</v>
      </c>
      <c r="E636" s="7" t="s">
        <v>53</v>
      </c>
      <c r="F636" s="7" t="s">
        <v>1742</v>
      </c>
      <c r="G636" s="7">
        <v>5</v>
      </c>
      <c r="H636" s="37">
        <f>Priors!$H$27*VLOOKUP(D636,Team_26_27!$A$2:$U$21,20,FALSE)*VLOOKUP(E636,Team_26_27!$A$2:$U$21,21,FALSE)*IF(F636="H",Priors!$H$28,Priors!$H$29)</f>
        <v>1.2019329225872857</v>
      </c>
      <c r="I636" s="37">
        <f>Priors!$H$27*VLOOKUP(E636,Team_26_27!$A$2:$U$21,20,FALSE)*VLOOKUP(D636,Team_26_27!$A$2:$U$21,21,FALSE)*IF(F636="H",Priors!$H$29,Priors!$H$28)</f>
        <v>1.808729087475289</v>
      </c>
      <c r="J636" s="15"/>
      <c r="K636" s="15"/>
      <c r="L636" s="47" t="b">
        <v>0</v>
      </c>
      <c r="M636" s="45">
        <v>0</v>
      </c>
      <c r="N636" s="45"/>
      <c r="O636" s="45"/>
      <c r="P636" s="38">
        <f t="shared" si="45"/>
        <v>1.2019329225872857</v>
      </c>
      <c r="Q636" s="38">
        <f t="shared" si="46"/>
        <v>1.808729087475289</v>
      </c>
      <c r="R636" s="17">
        <f t="shared" si="47"/>
        <v>0.16386225911950333</v>
      </c>
      <c r="S636" s="17">
        <f t="shared" si="48"/>
        <v>0.30061258911384714</v>
      </c>
      <c r="T636" s="38" t="str">
        <f t="shared" si="49"/>
        <v/>
      </c>
      <c r="U636" s="31" t="s">
        <v>1876</v>
      </c>
      <c r="V636" s="31"/>
    </row>
    <row r="637" spans="1:22" ht="30">
      <c r="A637" s="7">
        <v>32</v>
      </c>
      <c r="B637" s="7">
        <v>318</v>
      </c>
      <c r="C637" s="7">
        <v>46494.583333333336</v>
      </c>
      <c r="D637" s="7" t="s">
        <v>53</v>
      </c>
      <c r="E637" s="7" t="s">
        <v>46</v>
      </c>
      <c r="F637" s="7" t="s">
        <v>1743</v>
      </c>
      <c r="G637" s="7">
        <v>3</v>
      </c>
      <c r="H637" s="37">
        <f>Priors!$H$27*VLOOKUP(D637,Team_26_27!$A$2:$U$21,20,FALSE)*VLOOKUP(E637,Team_26_27!$A$2:$U$21,21,FALSE)*IF(F637="H",Priors!$H$28,Priors!$H$29)</f>
        <v>1.808729087475289</v>
      </c>
      <c r="I637" s="37">
        <f>Priors!$H$27*VLOOKUP(E637,Team_26_27!$A$2:$U$21,20,FALSE)*VLOOKUP(D637,Team_26_27!$A$2:$U$21,21,FALSE)*IF(F637="H",Priors!$H$29,Priors!$H$28)</f>
        <v>1.2019329225872857</v>
      </c>
      <c r="J637" s="15"/>
      <c r="K637" s="15"/>
      <c r="L637" s="47" t="b">
        <v>0</v>
      </c>
      <c r="M637" s="45">
        <v>0</v>
      </c>
      <c r="N637" s="45"/>
      <c r="O637" s="45"/>
      <c r="P637" s="38">
        <f t="shared" si="45"/>
        <v>1.808729087475289</v>
      </c>
      <c r="Q637" s="38">
        <f t="shared" si="46"/>
        <v>1.2019329225872857</v>
      </c>
      <c r="R637" s="17">
        <f t="shared" si="47"/>
        <v>0.30061258911384714</v>
      </c>
      <c r="S637" s="17">
        <f t="shared" si="48"/>
        <v>0.16386225911950333</v>
      </c>
      <c r="T637" s="38" t="str">
        <f t="shared" si="49"/>
        <v/>
      </c>
      <c r="U637" s="31" t="s">
        <v>1876</v>
      </c>
      <c r="V637" s="31"/>
    </row>
    <row r="638" spans="1:22" ht="30">
      <c r="A638" s="7">
        <v>32</v>
      </c>
      <c r="B638" s="7">
        <v>319</v>
      </c>
      <c r="C638" s="7">
        <v>46494.583333333336</v>
      </c>
      <c r="D638" s="7" t="s">
        <v>57</v>
      </c>
      <c r="E638" s="7" t="s">
        <v>55</v>
      </c>
      <c r="F638" s="7" t="s">
        <v>1742</v>
      </c>
      <c r="G638" s="7">
        <v>3</v>
      </c>
      <c r="H638" s="37">
        <f>Priors!$H$27*VLOOKUP(D638,Team_26_27!$A$2:$U$21,20,FALSE)*VLOOKUP(E638,Team_26_27!$A$2:$U$21,21,FALSE)*IF(F638="H",Priors!$H$28,Priors!$H$29)</f>
        <v>1.020962786790826</v>
      </c>
      <c r="I638" s="37">
        <f>Priors!$H$27*VLOOKUP(E638,Team_26_27!$A$2:$U$21,20,FALSE)*VLOOKUP(D638,Team_26_27!$A$2:$U$21,21,FALSE)*IF(F638="H",Priors!$H$29,Priors!$H$28)</f>
        <v>1.5837245055539866</v>
      </c>
      <c r="J638" s="15"/>
      <c r="K638" s="15"/>
      <c r="L638" s="47" t="b">
        <v>0</v>
      </c>
      <c r="M638" s="45">
        <v>0</v>
      </c>
      <c r="N638" s="45"/>
      <c r="O638" s="45"/>
      <c r="P638" s="38">
        <f t="shared" si="45"/>
        <v>1.020962786790826</v>
      </c>
      <c r="Q638" s="38">
        <f t="shared" si="46"/>
        <v>1.5837245055539866</v>
      </c>
      <c r="R638" s="17">
        <f t="shared" si="47"/>
        <v>0.20520936967289979</v>
      </c>
      <c r="S638" s="17">
        <f t="shared" si="48"/>
        <v>0.36024793120247284</v>
      </c>
      <c r="T638" s="38" t="str">
        <f t="shared" si="49"/>
        <v/>
      </c>
      <c r="U638" s="31" t="s">
        <v>1876</v>
      </c>
      <c r="V638" s="31"/>
    </row>
    <row r="639" spans="1:22" ht="30">
      <c r="A639" s="7">
        <v>32</v>
      </c>
      <c r="B639" s="7">
        <v>319</v>
      </c>
      <c r="C639" s="7">
        <v>46494.583333333336</v>
      </c>
      <c r="D639" s="7" t="s">
        <v>55</v>
      </c>
      <c r="E639" s="7" t="s">
        <v>57</v>
      </c>
      <c r="F639" s="7" t="s">
        <v>1743</v>
      </c>
      <c r="G639" s="7">
        <v>3</v>
      </c>
      <c r="H639" s="37">
        <f>Priors!$H$27*VLOOKUP(D639,Team_26_27!$A$2:$U$21,20,FALSE)*VLOOKUP(E639,Team_26_27!$A$2:$U$21,21,FALSE)*IF(F639="H",Priors!$H$28,Priors!$H$29)</f>
        <v>1.5837245055539866</v>
      </c>
      <c r="I639" s="37">
        <f>Priors!$H$27*VLOOKUP(E639,Team_26_27!$A$2:$U$21,20,FALSE)*VLOOKUP(D639,Team_26_27!$A$2:$U$21,21,FALSE)*IF(F639="H",Priors!$H$29,Priors!$H$28)</f>
        <v>1.020962786790826</v>
      </c>
      <c r="J639" s="15"/>
      <c r="K639" s="15"/>
      <c r="L639" s="47" t="b">
        <v>0</v>
      </c>
      <c r="M639" s="45">
        <v>0</v>
      </c>
      <c r="N639" s="45"/>
      <c r="O639" s="45"/>
      <c r="P639" s="38">
        <f t="shared" si="45"/>
        <v>1.5837245055539866</v>
      </c>
      <c r="Q639" s="38">
        <f t="shared" si="46"/>
        <v>1.020962786790826</v>
      </c>
      <c r="R639" s="17">
        <f t="shared" si="47"/>
        <v>0.36024793120247284</v>
      </c>
      <c r="S639" s="17">
        <f t="shared" si="48"/>
        <v>0.20520936967289979</v>
      </c>
      <c r="T639" s="38" t="str">
        <f t="shared" si="49"/>
        <v/>
      </c>
      <c r="U639" s="31" t="s">
        <v>1876</v>
      </c>
      <c r="V639" s="31"/>
    </row>
    <row r="640" spans="1:22" ht="30">
      <c r="A640" s="7">
        <v>32</v>
      </c>
      <c r="B640" s="7">
        <v>320</v>
      </c>
      <c r="C640" s="7">
        <v>46494.583333333336</v>
      </c>
      <c r="D640" s="7" t="s">
        <v>52</v>
      </c>
      <c r="E640" s="7" t="s">
        <v>56</v>
      </c>
      <c r="F640" s="7" t="s">
        <v>1742</v>
      </c>
      <c r="G640" s="7">
        <v>3</v>
      </c>
      <c r="H640" s="37">
        <f>Priors!$H$27*VLOOKUP(D640,Team_26_27!$A$2:$U$21,20,FALSE)*VLOOKUP(E640,Team_26_27!$A$2:$U$21,21,FALSE)*IF(F640="H",Priors!$H$28,Priors!$H$29)</f>
        <v>1.4236871874767756</v>
      </c>
      <c r="I640" s="37">
        <f>Priors!$H$27*VLOOKUP(E640,Team_26_27!$A$2:$U$21,20,FALSE)*VLOOKUP(D640,Team_26_27!$A$2:$U$21,21,FALSE)*IF(F640="H",Priors!$H$29,Priors!$H$28)</f>
        <v>1.339914696283387</v>
      </c>
      <c r="J640" s="15"/>
      <c r="K640" s="15"/>
      <c r="L640" s="47" t="b">
        <v>0</v>
      </c>
      <c r="M640" s="45">
        <v>0</v>
      </c>
      <c r="N640" s="45"/>
      <c r="O640" s="45"/>
      <c r="P640" s="38">
        <f t="shared" si="45"/>
        <v>1.4236871874767756</v>
      </c>
      <c r="Q640" s="38">
        <f t="shared" si="46"/>
        <v>1.339914696283387</v>
      </c>
      <c r="R640" s="17">
        <f t="shared" si="47"/>
        <v>0.26186800594175136</v>
      </c>
      <c r="S640" s="17">
        <f t="shared" si="48"/>
        <v>0.24082441307687788</v>
      </c>
      <c r="T640" s="38" t="str">
        <f t="shared" si="49"/>
        <v/>
      </c>
      <c r="U640" s="31" t="s">
        <v>1876</v>
      </c>
      <c r="V640" s="31"/>
    </row>
    <row r="641" spans="1:22" ht="30">
      <c r="A641" s="7">
        <v>32</v>
      </c>
      <c r="B641" s="7">
        <v>320</v>
      </c>
      <c r="C641" s="7">
        <v>46494.583333333336</v>
      </c>
      <c r="D641" s="7" t="s">
        <v>56</v>
      </c>
      <c r="E641" s="7" t="s">
        <v>52</v>
      </c>
      <c r="F641" s="7" t="s">
        <v>1743</v>
      </c>
      <c r="G641" s="7">
        <v>4</v>
      </c>
      <c r="H641" s="37">
        <f>Priors!$H$27*VLOOKUP(D641,Team_26_27!$A$2:$U$21,20,FALSE)*VLOOKUP(E641,Team_26_27!$A$2:$U$21,21,FALSE)*IF(F641="H",Priors!$H$28,Priors!$H$29)</f>
        <v>1.339914696283387</v>
      </c>
      <c r="I641" s="37">
        <f>Priors!$H$27*VLOOKUP(E641,Team_26_27!$A$2:$U$21,20,FALSE)*VLOOKUP(D641,Team_26_27!$A$2:$U$21,21,FALSE)*IF(F641="H",Priors!$H$29,Priors!$H$28)</f>
        <v>1.4236871874767756</v>
      </c>
      <c r="J641" s="15"/>
      <c r="K641" s="15"/>
      <c r="L641" s="47" t="b">
        <v>0</v>
      </c>
      <c r="M641" s="45">
        <v>0</v>
      </c>
      <c r="N641" s="45"/>
      <c r="O641" s="45"/>
      <c r="P641" s="38">
        <f t="shared" si="45"/>
        <v>1.339914696283387</v>
      </c>
      <c r="Q641" s="38">
        <f t="shared" si="46"/>
        <v>1.4236871874767756</v>
      </c>
      <c r="R641" s="17">
        <f t="shared" si="47"/>
        <v>0.24082441307687788</v>
      </c>
      <c r="S641" s="17">
        <f t="shared" si="48"/>
        <v>0.26186800594175136</v>
      </c>
      <c r="T641" s="38" t="str">
        <f t="shared" si="49"/>
        <v/>
      </c>
      <c r="U641" s="31" t="s">
        <v>1876</v>
      </c>
      <c r="V641" s="31"/>
    </row>
    <row r="642" spans="1:22" ht="30">
      <c r="A642" s="7">
        <v>33</v>
      </c>
      <c r="B642" s="7">
        <v>321</v>
      </c>
      <c r="C642" s="7">
        <v>46501.583333333336</v>
      </c>
      <c r="D642" s="7" t="s">
        <v>45</v>
      </c>
      <c r="E642" s="7" t="s">
        <v>40</v>
      </c>
      <c r="F642" s="7" t="s">
        <v>1742</v>
      </c>
      <c r="G642" s="7">
        <v>4</v>
      </c>
      <c r="H642" s="37">
        <f>Priors!$H$27*VLOOKUP(D642,Team_26_27!$A$2:$U$21,20,FALSE)*VLOOKUP(E642,Team_26_27!$A$2:$U$21,21,FALSE)*IF(F642="H",Priors!$H$28,Priors!$H$29)</f>
        <v>1.0033054560186798</v>
      </c>
      <c r="I642" s="37">
        <f>Priors!$H$27*VLOOKUP(E642,Team_26_27!$A$2:$U$21,20,FALSE)*VLOOKUP(D642,Team_26_27!$A$2:$U$21,21,FALSE)*IF(F642="H",Priors!$H$29,Priors!$H$28)</f>
        <v>1.8064964635318379</v>
      </c>
      <c r="J642" s="15"/>
      <c r="K642" s="15"/>
      <c r="L642" s="47" t="b">
        <v>0</v>
      </c>
      <c r="M642" s="45">
        <v>0</v>
      </c>
      <c r="N642" s="45"/>
      <c r="O642" s="45"/>
      <c r="P642" s="38">
        <f t="shared" ref="P642:P705" si="50">IF(N642&lt;&gt;"",N642,IF(L642=TRUE,M642*J642+(1-M642)*H642,H642))</f>
        <v>1.0033054560186798</v>
      </c>
      <c r="Q642" s="38">
        <f t="shared" ref="Q642:Q705" si="51">IF(O642&lt;&gt;"",O642,IF(L642=TRUE,M642*K642+(1-M642)*I642,I642))</f>
        <v>1.8064964635318379</v>
      </c>
      <c r="R642" s="17">
        <f t="shared" ref="R642:R705" si="52">EXP(-Q642)</f>
        <v>0.16422851062144275</v>
      </c>
      <c r="S642" s="17">
        <f t="shared" ref="S642:S705" si="53">EXP(-P642)</f>
        <v>0.36666543937859247</v>
      </c>
      <c r="T642" s="38" t="str">
        <f t="shared" ref="T642:T705" si="54">IF(L642=TRUE,J642-H642,"")</f>
        <v/>
      </c>
      <c r="U642" s="31" t="s">
        <v>1876</v>
      </c>
      <c r="V642" s="31"/>
    </row>
    <row r="643" spans="1:22" ht="30">
      <c r="A643" s="7">
        <v>33</v>
      </c>
      <c r="B643" s="7">
        <v>321</v>
      </c>
      <c r="C643" s="7">
        <v>46501.583333333336</v>
      </c>
      <c r="D643" s="7" t="s">
        <v>40</v>
      </c>
      <c r="E643" s="7" t="s">
        <v>45</v>
      </c>
      <c r="F643" s="7" t="s">
        <v>1743</v>
      </c>
      <c r="G643" s="7">
        <v>2</v>
      </c>
      <c r="H643" s="37">
        <f>Priors!$H$27*VLOOKUP(D643,Team_26_27!$A$2:$U$21,20,FALSE)*VLOOKUP(E643,Team_26_27!$A$2:$U$21,21,FALSE)*IF(F643="H",Priors!$H$28,Priors!$H$29)</f>
        <v>1.8064964635318379</v>
      </c>
      <c r="I643" s="37">
        <f>Priors!$H$27*VLOOKUP(E643,Team_26_27!$A$2:$U$21,20,FALSE)*VLOOKUP(D643,Team_26_27!$A$2:$U$21,21,FALSE)*IF(F643="H",Priors!$H$29,Priors!$H$28)</f>
        <v>1.0033054560186798</v>
      </c>
      <c r="J643" s="15"/>
      <c r="K643" s="15"/>
      <c r="L643" s="47" t="b">
        <v>0</v>
      </c>
      <c r="M643" s="45">
        <v>0</v>
      </c>
      <c r="N643" s="45"/>
      <c r="O643" s="45"/>
      <c r="P643" s="38">
        <f t="shared" si="50"/>
        <v>1.8064964635318379</v>
      </c>
      <c r="Q643" s="38">
        <f t="shared" si="51"/>
        <v>1.0033054560186798</v>
      </c>
      <c r="R643" s="17">
        <f t="shared" si="52"/>
        <v>0.36666543937859247</v>
      </c>
      <c r="S643" s="17">
        <f t="shared" si="53"/>
        <v>0.16422851062144275</v>
      </c>
      <c r="T643" s="38" t="str">
        <f t="shared" si="54"/>
        <v/>
      </c>
      <c r="U643" s="31" t="s">
        <v>1876</v>
      </c>
      <c r="V643" s="31"/>
    </row>
    <row r="644" spans="1:22" ht="30">
      <c r="A644" s="7">
        <v>33</v>
      </c>
      <c r="B644" s="7">
        <v>322</v>
      </c>
      <c r="C644" s="7">
        <v>46501.583333333336</v>
      </c>
      <c r="D644" s="7" t="s">
        <v>39</v>
      </c>
      <c r="E644" s="7" t="s">
        <v>41</v>
      </c>
      <c r="F644" s="7" t="s">
        <v>1742</v>
      </c>
      <c r="G644" s="7">
        <v>3</v>
      </c>
      <c r="H644" s="37">
        <f>Priors!$H$27*VLOOKUP(D644,Team_26_27!$A$2:$U$21,20,FALSE)*VLOOKUP(E644,Team_26_27!$A$2:$U$21,21,FALSE)*IF(F644="H",Priors!$H$28,Priors!$H$29)</f>
        <v>1.5208382984660889</v>
      </c>
      <c r="I644" s="37">
        <f>Priors!$H$27*VLOOKUP(E644,Team_26_27!$A$2:$U$21,20,FALSE)*VLOOKUP(D644,Team_26_27!$A$2:$U$21,21,FALSE)*IF(F644="H",Priors!$H$29,Priors!$H$28)</f>
        <v>1.1287905083185941</v>
      </c>
      <c r="J644" s="15"/>
      <c r="K644" s="15"/>
      <c r="L644" s="47" t="b">
        <v>0</v>
      </c>
      <c r="M644" s="45">
        <v>0</v>
      </c>
      <c r="N644" s="45"/>
      <c r="O644" s="45"/>
      <c r="P644" s="38">
        <f t="shared" si="50"/>
        <v>1.5208382984660889</v>
      </c>
      <c r="Q644" s="38">
        <f t="shared" si="51"/>
        <v>1.1287905083185941</v>
      </c>
      <c r="R644" s="17">
        <f t="shared" si="52"/>
        <v>0.32342419883185114</v>
      </c>
      <c r="S644" s="17">
        <f t="shared" si="53"/>
        <v>0.21852861794066555</v>
      </c>
      <c r="T644" s="38" t="str">
        <f t="shared" si="54"/>
        <v/>
      </c>
      <c r="U644" s="31" t="s">
        <v>1876</v>
      </c>
      <c r="V644" s="31"/>
    </row>
    <row r="645" spans="1:22" ht="30">
      <c r="A645" s="7">
        <v>33</v>
      </c>
      <c r="B645" s="7">
        <v>322</v>
      </c>
      <c r="C645" s="7">
        <v>46501.583333333336</v>
      </c>
      <c r="D645" s="7" t="s">
        <v>41</v>
      </c>
      <c r="E645" s="7" t="s">
        <v>39</v>
      </c>
      <c r="F645" s="7" t="s">
        <v>1743</v>
      </c>
      <c r="G645" s="7">
        <v>4</v>
      </c>
      <c r="H645" s="37">
        <f>Priors!$H$27*VLOOKUP(D645,Team_26_27!$A$2:$U$21,20,FALSE)*VLOOKUP(E645,Team_26_27!$A$2:$U$21,21,FALSE)*IF(F645="H",Priors!$H$28,Priors!$H$29)</f>
        <v>1.1287905083185941</v>
      </c>
      <c r="I645" s="37">
        <f>Priors!$H$27*VLOOKUP(E645,Team_26_27!$A$2:$U$21,20,FALSE)*VLOOKUP(D645,Team_26_27!$A$2:$U$21,21,FALSE)*IF(F645="H",Priors!$H$29,Priors!$H$28)</f>
        <v>1.5208382984660889</v>
      </c>
      <c r="J645" s="15"/>
      <c r="K645" s="15"/>
      <c r="L645" s="47" t="b">
        <v>0</v>
      </c>
      <c r="M645" s="45">
        <v>0</v>
      </c>
      <c r="N645" s="45"/>
      <c r="O645" s="45"/>
      <c r="P645" s="38">
        <f t="shared" si="50"/>
        <v>1.1287905083185941</v>
      </c>
      <c r="Q645" s="38">
        <f t="shared" si="51"/>
        <v>1.5208382984660889</v>
      </c>
      <c r="R645" s="17">
        <f t="shared" si="52"/>
        <v>0.21852861794066555</v>
      </c>
      <c r="S645" s="17">
        <f t="shared" si="53"/>
        <v>0.32342419883185114</v>
      </c>
      <c r="T645" s="38" t="str">
        <f t="shared" si="54"/>
        <v/>
      </c>
      <c r="U645" s="31" t="s">
        <v>1876</v>
      </c>
      <c r="V645" s="31"/>
    </row>
    <row r="646" spans="1:22" ht="30">
      <c r="A646" s="7">
        <v>33</v>
      </c>
      <c r="B646" s="7">
        <v>323</v>
      </c>
      <c r="C646" s="7">
        <v>46501.583333333336</v>
      </c>
      <c r="D646" s="7" t="s">
        <v>48</v>
      </c>
      <c r="E646" s="7" t="s">
        <v>42</v>
      </c>
      <c r="F646" s="7" t="s">
        <v>1742</v>
      </c>
      <c r="G646" s="7">
        <v>3</v>
      </c>
      <c r="H646" s="37">
        <f>Priors!$H$27*VLOOKUP(D646,Team_26_27!$A$2:$U$21,20,FALSE)*VLOOKUP(E646,Team_26_27!$A$2:$U$21,21,FALSE)*IF(F646="H",Priors!$H$28,Priors!$H$29)</f>
        <v>1.2167773894157163</v>
      </c>
      <c r="I646" s="37">
        <f>Priors!$H$27*VLOOKUP(E646,Team_26_27!$A$2:$U$21,20,FALSE)*VLOOKUP(D646,Team_26_27!$A$2:$U$21,21,FALSE)*IF(F646="H",Priors!$H$29,Priors!$H$28)</f>
        <v>1.688053873311137</v>
      </c>
      <c r="J646" s="15"/>
      <c r="K646" s="15"/>
      <c r="L646" s="47" t="b">
        <v>0</v>
      </c>
      <c r="M646" s="45">
        <v>0</v>
      </c>
      <c r="N646" s="45"/>
      <c r="O646" s="45"/>
      <c r="P646" s="38">
        <f t="shared" si="50"/>
        <v>1.2167773894157163</v>
      </c>
      <c r="Q646" s="38">
        <f t="shared" si="51"/>
        <v>1.688053873311137</v>
      </c>
      <c r="R646" s="17">
        <f t="shared" si="52"/>
        <v>0.18487897201549519</v>
      </c>
      <c r="S646" s="17">
        <f t="shared" si="53"/>
        <v>0.29618311344780723</v>
      </c>
      <c r="T646" s="38" t="str">
        <f t="shared" si="54"/>
        <v/>
      </c>
      <c r="U646" s="31" t="s">
        <v>1876</v>
      </c>
      <c r="V646" s="31"/>
    </row>
    <row r="647" spans="1:22" ht="30">
      <c r="A647" s="7">
        <v>33</v>
      </c>
      <c r="B647" s="7">
        <v>323</v>
      </c>
      <c r="C647" s="7">
        <v>46501.583333333336</v>
      </c>
      <c r="D647" s="7" t="s">
        <v>42</v>
      </c>
      <c r="E647" s="7" t="s">
        <v>48</v>
      </c>
      <c r="F647" s="7" t="s">
        <v>1743</v>
      </c>
      <c r="G647" s="7">
        <v>2</v>
      </c>
      <c r="H647" s="37">
        <f>Priors!$H$27*VLOOKUP(D647,Team_26_27!$A$2:$U$21,20,FALSE)*VLOOKUP(E647,Team_26_27!$A$2:$U$21,21,FALSE)*IF(F647="H",Priors!$H$28,Priors!$H$29)</f>
        <v>1.688053873311137</v>
      </c>
      <c r="I647" s="37">
        <f>Priors!$H$27*VLOOKUP(E647,Team_26_27!$A$2:$U$21,20,FALSE)*VLOOKUP(D647,Team_26_27!$A$2:$U$21,21,FALSE)*IF(F647="H",Priors!$H$29,Priors!$H$28)</f>
        <v>1.2167773894157163</v>
      </c>
      <c r="J647" s="15"/>
      <c r="K647" s="15"/>
      <c r="L647" s="47" t="b">
        <v>0</v>
      </c>
      <c r="M647" s="45">
        <v>0</v>
      </c>
      <c r="N647" s="45"/>
      <c r="O647" s="45"/>
      <c r="P647" s="38">
        <f t="shared" si="50"/>
        <v>1.688053873311137</v>
      </c>
      <c r="Q647" s="38">
        <f t="shared" si="51"/>
        <v>1.2167773894157163</v>
      </c>
      <c r="R647" s="17">
        <f t="shared" si="52"/>
        <v>0.29618311344780723</v>
      </c>
      <c r="S647" s="17">
        <f t="shared" si="53"/>
        <v>0.18487897201549519</v>
      </c>
      <c r="T647" s="38" t="str">
        <f t="shared" si="54"/>
        <v/>
      </c>
      <c r="U647" s="31" t="s">
        <v>1876</v>
      </c>
      <c r="V647" s="31"/>
    </row>
    <row r="648" spans="1:22" ht="30">
      <c r="A648" s="7">
        <v>33</v>
      </c>
      <c r="B648" s="7">
        <v>324</v>
      </c>
      <c r="C648" s="7">
        <v>46501.583333333336</v>
      </c>
      <c r="D648" s="7" t="s">
        <v>53</v>
      </c>
      <c r="E648" s="7" t="s">
        <v>44</v>
      </c>
      <c r="F648" s="7" t="s">
        <v>1742</v>
      </c>
      <c r="G648" s="7">
        <v>4</v>
      </c>
      <c r="H648" s="37">
        <f>Priors!$H$27*VLOOKUP(D648,Team_26_27!$A$2:$U$21,20,FALSE)*VLOOKUP(E648,Team_26_27!$A$2:$U$21,21,FALSE)*IF(F648="H",Priors!$H$28,Priors!$H$29)</f>
        <v>1.4860769065941821</v>
      </c>
      <c r="I648" s="37">
        <f>Priors!$H$27*VLOOKUP(E648,Team_26_27!$A$2:$U$21,20,FALSE)*VLOOKUP(D648,Team_26_27!$A$2:$U$21,21,FALSE)*IF(F648="H",Priors!$H$29,Priors!$H$28)</f>
        <v>1.5889750753888039</v>
      </c>
      <c r="J648" s="15"/>
      <c r="K648" s="15"/>
      <c r="L648" s="47" t="b">
        <v>0</v>
      </c>
      <c r="M648" s="45">
        <v>0</v>
      </c>
      <c r="N648" s="45"/>
      <c r="O648" s="45"/>
      <c r="P648" s="38">
        <f t="shared" si="50"/>
        <v>1.4860769065941821</v>
      </c>
      <c r="Q648" s="38">
        <f t="shared" si="51"/>
        <v>1.5889750753888039</v>
      </c>
      <c r="R648" s="17">
        <f t="shared" si="52"/>
        <v>0.20413472725805074</v>
      </c>
      <c r="S648" s="17">
        <f t="shared" si="53"/>
        <v>0.22625855010559418</v>
      </c>
      <c r="T648" s="38" t="str">
        <f t="shared" si="54"/>
        <v/>
      </c>
      <c r="U648" s="31" t="s">
        <v>1876</v>
      </c>
      <c r="V648" s="31"/>
    </row>
    <row r="649" spans="1:22" ht="30">
      <c r="A649" s="7">
        <v>33</v>
      </c>
      <c r="B649" s="7">
        <v>324</v>
      </c>
      <c r="C649" s="7">
        <v>46501.583333333336</v>
      </c>
      <c r="D649" s="7" t="s">
        <v>44</v>
      </c>
      <c r="E649" s="7" t="s">
        <v>53</v>
      </c>
      <c r="F649" s="7" t="s">
        <v>1743</v>
      </c>
      <c r="G649" s="7">
        <v>4</v>
      </c>
      <c r="H649" s="37">
        <f>Priors!$H$27*VLOOKUP(D649,Team_26_27!$A$2:$U$21,20,FALSE)*VLOOKUP(E649,Team_26_27!$A$2:$U$21,21,FALSE)*IF(F649="H",Priors!$H$28,Priors!$H$29)</f>
        <v>1.5889750753888039</v>
      </c>
      <c r="I649" s="37">
        <f>Priors!$H$27*VLOOKUP(E649,Team_26_27!$A$2:$U$21,20,FALSE)*VLOOKUP(D649,Team_26_27!$A$2:$U$21,21,FALSE)*IF(F649="H",Priors!$H$29,Priors!$H$28)</f>
        <v>1.4860769065941821</v>
      </c>
      <c r="J649" s="15"/>
      <c r="K649" s="15"/>
      <c r="L649" s="47" t="b">
        <v>0</v>
      </c>
      <c r="M649" s="45">
        <v>0</v>
      </c>
      <c r="N649" s="45"/>
      <c r="O649" s="45"/>
      <c r="P649" s="38">
        <f t="shared" si="50"/>
        <v>1.5889750753888039</v>
      </c>
      <c r="Q649" s="38">
        <f t="shared" si="51"/>
        <v>1.4860769065941821</v>
      </c>
      <c r="R649" s="17">
        <f t="shared" si="52"/>
        <v>0.22625855010559418</v>
      </c>
      <c r="S649" s="17">
        <f t="shared" si="53"/>
        <v>0.20413472725805074</v>
      </c>
      <c r="T649" s="38" t="str">
        <f t="shared" si="54"/>
        <v/>
      </c>
      <c r="U649" s="31" t="s">
        <v>1876</v>
      </c>
      <c r="V649" s="31"/>
    </row>
    <row r="650" spans="1:22" ht="30">
      <c r="A650" s="7">
        <v>33</v>
      </c>
      <c r="B650" s="7">
        <v>325</v>
      </c>
      <c r="C650" s="7">
        <v>46501.583333333336</v>
      </c>
      <c r="D650" s="7" t="s">
        <v>43</v>
      </c>
      <c r="E650" s="7" t="s">
        <v>47</v>
      </c>
      <c r="F650" s="7" t="s">
        <v>1742</v>
      </c>
      <c r="G650" s="7">
        <v>3</v>
      </c>
      <c r="H650" s="37">
        <f>Priors!$H$27*VLOOKUP(D650,Team_26_27!$A$2:$U$21,20,FALSE)*VLOOKUP(E650,Team_26_27!$A$2:$U$21,21,FALSE)*IF(F650="H",Priors!$H$28,Priors!$H$29)</f>
        <v>1.3969387134915798</v>
      </c>
      <c r="I650" s="37">
        <f>Priors!$H$27*VLOOKUP(E650,Team_26_27!$A$2:$U$21,20,FALSE)*VLOOKUP(D650,Team_26_27!$A$2:$U$21,21,FALSE)*IF(F650="H",Priors!$H$29,Priors!$H$28)</f>
        <v>1.3330317403895222</v>
      </c>
      <c r="J650" s="15"/>
      <c r="K650" s="15"/>
      <c r="L650" s="47" t="b">
        <v>0</v>
      </c>
      <c r="M650" s="45">
        <v>0</v>
      </c>
      <c r="N650" s="45"/>
      <c r="O650" s="45"/>
      <c r="P650" s="38">
        <f t="shared" si="50"/>
        <v>1.3969387134915798</v>
      </c>
      <c r="Q650" s="38">
        <f t="shared" si="51"/>
        <v>1.3330317403895222</v>
      </c>
      <c r="R650" s="17">
        <f t="shared" si="52"/>
        <v>0.26367664914197081</v>
      </c>
      <c r="S650" s="17">
        <f t="shared" si="53"/>
        <v>0.24735302456898717</v>
      </c>
      <c r="T650" s="38" t="str">
        <f t="shared" si="54"/>
        <v/>
      </c>
      <c r="U650" s="31" t="s">
        <v>1876</v>
      </c>
      <c r="V650" s="31"/>
    </row>
    <row r="651" spans="1:22" ht="30">
      <c r="A651" s="7">
        <v>33</v>
      </c>
      <c r="B651" s="7">
        <v>325</v>
      </c>
      <c r="C651" s="7">
        <v>46501.583333333336</v>
      </c>
      <c r="D651" s="7" t="s">
        <v>47</v>
      </c>
      <c r="E651" s="7" t="s">
        <v>43</v>
      </c>
      <c r="F651" s="7" t="s">
        <v>1743</v>
      </c>
      <c r="G651" s="7">
        <v>2</v>
      </c>
      <c r="H651" s="37">
        <f>Priors!$H$27*VLOOKUP(D651,Team_26_27!$A$2:$U$21,20,FALSE)*VLOOKUP(E651,Team_26_27!$A$2:$U$21,21,FALSE)*IF(F651="H",Priors!$H$28,Priors!$H$29)</f>
        <v>1.3330317403895222</v>
      </c>
      <c r="I651" s="37">
        <f>Priors!$H$27*VLOOKUP(E651,Team_26_27!$A$2:$U$21,20,FALSE)*VLOOKUP(D651,Team_26_27!$A$2:$U$21,21,FALSE)*IF(F651="H",Priors!$H$29,Priors!$H$28)</f>
        <v>1.3969387134915798</v>
      </c>
      <c r="J651" s="15"/>
      <c r="K651" s="15"/>
      <c r="L651" s="47" t="b">
        <v>0</v>
      </c>
      <c r="M651" s="45">
        <v>0</v>
      </c>
      <c r="N651" s="45"/>
      <c r="O651" s="45"/>
      <c r="P651" s="38">
        <f t="shared" si="50"/>
        <v>1.3330317403895222</v>
      </c>
      <c r="Q651" s="38">
        <f t="shared" si="51"/>
        <v>1.3969387134915798</v>
      </c>
      <c r="R651" s="17">
        <f t="shared" si="52"/>
        <v>0.24735302456898717</v>
      </c>
      <c r="S651" s="17">
        <f t="shared" si="53"/>
        <v>0.26367664914197081</v>
      </c>
      <c r="T651" s="38" t="str">
        <f t="shared" si="54"/>
        <v/>
      </c>
      <c r="U651" s="31" t="s">
        <v>1876</v>
      </c>
      <c r="V651" s="31"/>
    </row>
    <row r="652" spans="1:22" ht="30">
      <c r="A652" s="7">
        <v>33</v>
      </c>
      <c r="B652" s="7">
        <v>326</v>
      </c>
      <c r="C652" s="7">
        <v>46501.583333333336</v>
      </c>
      <c r="D652" s="7" t="s">
        <v>52</v>
      </c>
      <c r="E652" s="7" t="s">
        <v>51</v>
      </c>
      <c r="F652" s="7" t="s">
        <v>1742</v>
      </c>
      <c r="G652" s="7">
        <v>3</v>
      </c>
      <c r="H652" s="37">
        <f>Priors!$H$27*VLOOKUP(D652,Team_26_27!$A$2:$U$21,20,FALSE)*VLOOKUP(E652,Team_26_27!$A$2:$U$21,21,FALSE)*IF(F652="H",Priors!$H$28,Priors!$H$29)</f>
        <v>1.4110410106794093</v>
      </c>
      <c r="I652" s="37">
        <f>Priors!$H$27*VLOOKUP(E652,Team_26_27!$A$2:$U$21,20,FALSE)*VLOOKUP(D652,Team_26_27!$A$2:$U$21,21,FALSE)*IF(F652="H",Priors!$H$29,Priors!$H$28)</f>
        <v>1.4671942689026292</v>
      </c>
      <c r="J652" s="15"/>
      <c r="K652" s="15"/>
      <c r="L652" s="47" t="b">
        <v>0</v>
      </c>
      <c r="M652" s="45">
        <v>0</v>
      </c>
      <c r="N652" s="45"/>
      <c r="O652" s="45"/>
      <c r="P652" s="38">
        <f t="shared" si="50"/>
        <v>1.4110410106794093</v>
      </c>
      <c r="Q652" s="38">
        <f t="shared" si="51"/>
        <v>1.4671942689026292</v>
      </c>
      <c r="R652" s="17">
        <f t="shared" si="52"/>
        <v>0.23057150011888999</v>
      </c>
      <c r="S652" s="17">
        <f t="shared" si="53"/>
        <v>0.24388925963190816</v>
      </c>
      <c r="T652" s="38" t="str">
        <f t="shared" si="54"/>
        <v/>
      </c>
      <c r="U652" s="31" t="s">
        <v>1876</v>
      </c>
      <c r="V652" s="31"/>
    </row>
    <row r="653" spans="1:22" ht="30">
      <c r="A653" s="7">
        <v>33</v>
      </c>
      <c r="B653" s="7">
        <v>326</v>
      </c>
      <c r="C653" s="7">
        <v>46501.583333333336</v>
      </c>
      <c r="D653" s="7" t="s">
        <v>51</v>
      </c>
      <c r="E653" s="7" t="s">
        <v>52</v>
      </c>
      <c r="F653" s="7" t="s">
        <v>1743</v>
      </c>
      <c r="G653" s="7">
        <v>4</v>
      </c>
      <c r="H653" s="37">
        <f>Priors!$H$27*VLOOKUP(D653,Team_26_27!$A$2:$U$21,20,FALSE)*VLOOKUP(E653,Team_26_27!$A$2:$U$21,21,FALSE)*IF(F653="H",Priors!$H$28,Priors!$H$29)</f>
        <v>1.4671942689026292</v>
      </c>
      <c r="I653" s="37">
        <f>Priors!$H$27*VLOOKUP(E653,Team_26_27!$A$2:$U$21,20,FALSE)*VLOOKUP(D653,Team_26_27!$A$2:$U$21,21,FALSE)*IF(F653="H",Priors!$H$29,Priors!$H$28)</f>
        <v>1.4110410106794093</v>
      </c>
      <c r="J653" s="15"/>
      <c r="K653" s="15"/>
      <c r="L653" s="47" t="b">
        <v>0</v>
      </c>
      <c r="M653" s="45">
        <v>0</v>
      </c>
      <c r="N653" s="45"/>
      <c r="O653" s="45"/>
      <c r="P653" s="38">
        <f t="shared" si="50"/>
        <v>1.4671942689026292</v>
      </c>
      <c r="Q653" s="38">
        <f t="shared" si="51"/>
        <v>1.4110410106794093</v>
      </c>
      <c r="R653" s="17">
        <f t="shared" si="52"/>
        <v>0.24388925963190816</v>
      </c>
      <c r="S653" s="17">
        <f t="shared" si="53"/>
        <v>0.23057150011888999</v>
      </c>
      <c r="T653" s="38" t="str">
        <f t="shared" si="54"/>
        <v/>
      </c>
      <c r="U653" s="31" t="s">
        <v>1876</v>
      </c>
      <c r="V653" s="31"/>
    </row>
    <row r="654" spans="1:22" ht="30">
      <c r="A654" s="7">
        <v>33</v>
      </c>
      <c r="B654" s="7">
        <v>327</v>
      </c>
      <c r="C654" s="7">
        <v>46501.583333333336</v>
      </c>
      <c r="D654" s="7" t="s">
        <v>46</v>
      </c>
      <c r="E654" s="7" t="s">
        <v>54</v>
      </c>
      <c r="F654" s="7" t="s">
        <v>1742</v>
      </c>
      <c r="G654" s="7">
        <v>4</v>
      </c>
      <c r="H654" s="37">
        <f>Priors!$H$27*VLOOKUP(D654,Team_26_27!$A$2:$U$21,20,FALSE)*VLOOKUP(E654,Team_26_27!$A$2:$U$21,21,FALSE)*IF(F654="H",Priors!$H$28,Priors!$H$29)</f>
        <v>1.2453801859792804</v>
      </c>
      <c r="I654" s="37">
        <f>Priors!$H$27*VLOOKUP(E654,Team_26_27!$A$2:$U$21,20,FALSE)*VLOOKUP(D654,Team_26_27!$A$2:$U$21,21,FALSE)*IF(F654="H",Priors!$H$29,Priors!$H$28)</f>
        <v>1.7619527199051708</v>
      </c>
      <c r="J654" s="15"/>
      <c r="K654" s="15"/>
      <c r="L654" s="47" t="b">
        <v>0</v>
      </c>
      <c r="M654" s="45">
        <v>0</v>
      </c>
      <c r="N654" s="45"/>
      <c r="O654" s="45"/>
      <c r="P654" s="38">
        <f t="shared" si="50"/>
        <v>1.2453801859792804</v>
      </c>
      <c r="Q654" s="38">
        <f t="shared" si="51"/>
        <v>1.7619527199051708</v>
      </c>
      <c r="R654" s="17">
        <f t="shared" si="52"/>
        <v>0.17170923619290682</v>
      </c>
      <c r="S654" s="17">
        <f t="shared" si="53"/>
        <v>0.28783145784168873</v>
      </c>
      <c r="T654" s="38" t="str">
        <f t="shared" si="54"/>
        <v/>
      </c>
      <c r="U654" s="31" t="s">
        <v>1876</v>
      </c>
      <c r="V654" s="31"/>
    </row>
    <row r="655" spans="1:22" ht="30">
      <c r="A655" s="7">
        <v>33</v>
      </c>
      <c r="B655" s="7">
        <v>327</v>
      </c>
      <c r="C655" s="7">
        <v>46501.583333333336</v>
      </c>
      <c r="D655" s="7" t="s">
        <v>54</v>
      </c>
      <c r="E655" s="7" t="s">
        <v>46</v>
      </c>
      <c r="F655" s="7" t="s">
        <v>1743</v>
      </c>
      <c r="G655" s="7">
        <v>3</v>
      </c>
      <c r="H655" s="37">
        <f>Priors!$H$27*VLOOKUP(D655,Team_26_27!$A$2:$U$21,20,FALSE)*VLOOKUP(E655,Team_26_27!$A$2:$U$21,21,FALSE)*IF(F655="H",Priors!$H$28,Priors!$H$29)</f>
        <v>1.7619527199051708</v>
      </c>
      <c r="I655" s="37">
        <f>Priors!$H$27*VLOOKUP(E655,Team_26_27!$A$2:$U$21,20,FALSE)*VLOOKUP(D655,Team_26_27!$A$2:$U$21,21,FALSE)*IF(F655="H",Priors!$H$29,Priors!$H$28)</f>
        <v>1.2453801859792804</v>
      </c>
      <c r="J655" s="15"/>
      <c r="K655" s="15"/>
      <c r="L655" s="47" t="b">
        <v>0</v>
      </c>
      <c r="M655" s="45">
        <v>0</v>
      </c>
      <c r="N655" s="45"/>
      <c r="O655" s="45"/>
      <c r="P655" s="38">
        <f t="shared" si="50"/>
        <v>1.7619527199051708</v>
      </c>
      <c r="Q655" s="38">
        <f t="shared" si="51"/>
        <v>1.2453801859792804</v>
      </c>
      <c r="R655" s="17">
        <f t="shared" si="52"/>
        <v>0.28783145784168873</v>
      </c>
      <c r="S655" s="17">
        <f t="shared" si="53"/>
        <v>0.17170923619290682</v>
      </c>
      <c r="T655" s="38" t="str">
        <f t="shared" si="54"/>
        <v/>
      </c>
      <c r="U655" s="31" t="s">
        <v>1876</v>
      </c>
      <c r="V655" s="31"/>
    </row>
    <row r="656" spans="1:22" ht="30">
      <c r="A656" s="7">
        <v>33</v>
      </c>
      <c r="B656" s="7">
        <v>328</v>
      </c>
      <c r="C656" s="7">
        <v>46501.583333333336</v>
      </c>
      <c r="D656" s="7" t="s">
        <v>50</v>
      </c>
      <c r="E656" s="7" t="s">
        <v>55</v>
      </c>
      <c r="F656" s="7" t="s">
        <v>1742</v>
      </c>
      <c r="G656" s="7">
        <v>3</v>
      </c>
      <c r="H656" s="37">
        <f>Priors!$H$27*VLOOKUP(D656,Team_26_27!$A$2:$U$21,20,FALSE)*VLOOKUP(E656,Team_26_27!$A$2:$U$21,21,FALSE)*IF(F656="H",Priors!$H$28,Priors!$H$29)</f>
        <v>0.94122152920567159</v>
      </c>
      <c r="I656" s="37">
        <f>Priors!$H$27*VLOOKUP(E656,Team_26_27!$A$2:$U$21,20,FALSE)*VLOOKUP(D656,Team_26_27!$A$2:$U$21,21,FALSE)*IF(F656="H",Priors!$H$29,Priors!$H$28)</f>
        <v>1.9749829929504557</v>
      </c>
      <c r="J656" s="15"/>
      <c r="K656" s="15"/>
      <c r="L656" s="47" t="b">
        <v>0</v>
      </c>
      <c r="M656" s="45">
        <v>0</v>
      </c>
      <c r="N656" s="45"/>
      <c r="O656" s="45"/>
      <c r="P656" s="38">
        <f t="shared" si="50"/>
        <v>0.94122152920567159</v>
      </c>
      <c r="Q656" s="38">
        <f t="shared" si="51"/>
        <v>1.9749829929504557</v>
      </c>
      <c r="R656" s="17">
        <f t="shared" si="52"/>
        <v>0.13876367218353516</v>
      </c>
      <c r="S656" s="17">
        <f t="shared" si="53"/>
        <v>0.39015096336491256</v>
      </c>
      <c r="T656" s="38" t="str">
        <f t="shared" si="54"/>
        <v/>
      </c>
      <c r="U656" s="31" t="s">
        <v>1876</v>
      </c>
      <c r="V656" s="31"/>
    </row>
    <row r="657" spans="1:22" ht="30">
      <c r="A657" s="7">
        <v>33</v>
      </c>
      <c r="B657" s="7">
        <v>328</v>
      </c>
      <c r="C657" s="7">
        <v>46501.583333333336</v>
      </c>
      <c r="D657" s="7" t="s">
        <v>55</v>
      </c>
      <c r="E657" s="7" t="s">
        <v>50</v>
      </c>
      <c r="F657" s="7" t="s">
        <v>1743</v>
      </c>
      <c r="G657" s="7">
        <v>2</v>
      </c>
      <c r="H657" s="37">
        <f>Priors!$H$27*VLOOKUP(D657,Team_26_27!$A$2:$U$21,20,FALSE)*VLOOKUP(E657,Team_26_27!$A$2:$U$21,21,FALSE)*IF(F657="H",Priors!$H$28,Priors!$H$29)</f>
        <v>1.9749829929504557</v>
      </c>
      <c r="I657" s="37">
        <f>Priors!$H$27*VLOOKUP(E657,Team_26_27!$A$2:$U$21,20,FALSE)*VLOOKUP(D657,Team_26_27!$A$2:$U$21,21,FALSE)*IF(F657="H",Priors!$H$29,Priors!$H$28)</f>
        <v>0.94122152920567159</v>
      </c>
      <c r="J657" s="15"/>
      <c r="K657" s="15"/>
      <c r="L657" s="47" t="b">
        <v>0</v>
      </c>
      <c r="M657" s="45">
        <v>0</v>
      </c>
      <c r="N657" s="45"/>
      <c r="O657" s="45"/>
      <c r="P657" s="38">
        <f t="shared" si="50"/>
        <v>1.9749829929504557</v>
      </c>
      <c r="Q657" s="38">
        <f t="shared" si="51"/>
        <v>0.94122152920567159</v>
      </c>
      <c r="R657" s="17">
        <f t="shared" si="52"/>
        <v>0.39015096336491256</v>
      </c>
      <c r="S657" s="17">
        <f t="shared" si="53"/>
        <v>0.13876367218353516</v>
      </c>
      <c r="T657" s="38" t="str">
        <f t="shared" si="54"/>
        <v/>
      </c>
      <c r="U657" s="31" t="s">
        <v>1876</v>
      </c>
      <c r="V657" s="31"/>
    </row>
    <row r="658" spans="1:22" ht="30">
      <c r="A658" s="7">
        <v>33</v>
      </c>
      <c r="B658" s="7">
        <v>329</v>
      </c>
      <c r="C658" s="7">
        <v>46501.583333333336</v>
      </c>
      <c r="D658" s="7" t="s">
        <v>58</v>
      </c>
      <c r="E658" s="7" t="s">
        <v>56</v>
      </c>
      <c r="F658" s="7" t="s">
        <v>1742</v>
      </c>
      <c r="G658" s="7">
        <v>3</v>
      </c>
      <c r="H658" s="37">
        <f>Priors!$H$27*VLOOKUP(D658,Team_26_27!$A$2:$U$21,20,FALSE)*VLOOKUP(E658,Team_26_27!$A$2:$U$21,21,FALSE)*IF(F658="H",Priors!$H$28,Priors!$H$29)</f>
        <v>1.0665823720254464</v>
      </c>
      <c r="I658" s="37">
        <f>Priors!$H$27*VLOOKUP(E658,Team_26_27!$A$2:$U$21,20,FALSE)*VLOOKUP(D658,Team_26_27!$A$2:$U$21,21,FALSE)*IF(F658="H",Priors!$H$29,Priors!$H$28)</f>
        <v>1.44831474507895</v>
      </c>
      <c r="J658" s="15"/>
      <c r="K658" s="15"/>
      <c r="L658" s="47" t="b">
        <v>0</v>
      </c>
      <c r="M658" s="45">
        <v>0</v>
      </c>
      <c r="N658" s="45"/>
      <c r="O658" s="45"/>
      <c r="P658" s="38">
        <f t="shared" si="50"/>
        <v>1.0665823720254464</v>
      </c>
      <c r="Q658" s="38">
        <f t="shared" si="51"/>
        <v>1.44831474507895</v>
      </c>
      <c r="R658" s="17">
        <f t="shared" si="52"/>
        <v>0.2349659321130165</v>
      </c>
      <c r="S658" s="17">
        <f t="shared" si="53"/>
        <v>0.34418279840814242</v>
      </c>
      <c r="T658" s="38" t="str">
        <f t="shared" si="54"/>
        <v/>
      </c>
      <c r="U658" s="31" t="s">
        <v>1876</v>
      </c>
      <c r="V658" s="31"/>
    </row>
    <row r="659" spans="1:22" ht="30">
      <c r="A659" s="7">
        <v>33</v>
      </c>
      <c r="B659" s="7">
        <v>329</v>
      </c>
      <c r="C659" s="7">
        <v>46501.583333333336</v>
      </c>
      <c r="D659" s="7" t="s">
        <v>56</v>
      </c>
      <c r="E659" s="7" t="s">
        <v>58</v>
      </c>
      <c r="F659" s="7" t="s">
        <v>1743</v>
      </c>
      <c r="G659" s="7">
        <v>2</v>
      </c>
      <c r="H659" s="37">
        <f>Priors!$H$27*VLOOKUP(D659,Team_26_27!$A$2:$U$21,20,FALSE)*VLOOKUP(E659,Team_26_27!$A$2:$U$21,21,FALSE)*IF(F659="H",Priors!$H$28,Priors!$H$29)</f>
        <v>1.44831474507895</v>
      </c>
      <c r="I659" s="37">
        <f>Priors!$H$27*VLOOKUP(E659,Team_26_27!$A$2:$U$21,20,FALSE)*VLOOKUP(D659,Team_26_27!$A$2:$U$21,21,FALSE)*IF(F659="H",Priors!$H$29,Priors!$H$28)</f>
        <v>1.0665823720254464</v>
      </c>
      <c r="J659" s="15"/>
      <c r="K659" s="15"/>
      <c r="L659" s="47" t="b">
        <v>0</v>
      </c>
      <c r="M659" s="45">
        <v>0</v>
      </c>
      <c r="N659" s="45"/>
      <c r="O659" s="45"/>
      <c r="P659" s="38">
        <f t="shared" si="50"/>
        <v>1.44831474507895</v>
      </c>
      <c r="Q659" s="38">
        <f t="shared" si="51"/>
        <v>1.0665823720254464</v>
      </c>
      <c r="R659" s="17">
        <f t="shared" si="52"/>
        <v>0.34418279840814242</v>
      </c>
      <c r="S659" s="17">
        <f t="shared" si="53"/>
        <v>0.2349659321130165</v>
      </c>
      <c r="T659" s="38" t="str">
        <f t="shared" si="54"/>
        <v/>
      </c>
      <c r="U659" s="31" t="s">
        <v>1876</v>
      </c>
      <c r="V659" s="31"/>
    </row>
    <row r="660" spans="1:22" ht="30">
      <c r="A660" s="7">
        <v>33</v>
      </c>
      <c r="B660" s="7">
        <v>330</v>
      </c>
      <c r="C660" s="7">
        <v>46501.583333333336</v>
      </c>
      <c r="D660" s="7" t="s">
        <v>49</v>
      </c>
      <c r="E660" s="7" t="s">
        <v>57</v>
      </c>
      <c r="F660" s="7" t="s">
        <v>1742</v>
      </c>
      <c r="G660" s="7">
        <v>3</v>
      </c>
      <c r="H660" s="37">
        <f>Priors!$H$27*VLOOKUP(D660,Team_26_27!$A$2:$U$21,20,FALSE)*VLOOKUP(E660,Team_26_27!$A$2:$U$21,21,FALSE)*IF(F660="H",Priors!$H$28,Priors!$H$29)</f>
        <v>0.86849246555787929</v>
      </c>
      <c r="I660" s="37">
        <f>Priors!$H$27*VLOOKUP(E660,Team_26_27!$A$2:$U$21,20,FALSE)*VLOOKUP(D660,Team_26_27!$A$2:$U$21,21,FALSE)*IF(F660="H",Priors!$H$29,Priors!$H$28)</f>
        <v>1.7371514457804937</v>
      </c>
      <c r="J660" s="15"/>
      <c r="K660" s="15"/>
      <c r="L660" s="47" t="b">
        <v>0</v>
      </c>
      <c r="M660" s="45">
        <v>0</v>
      </c>
      <c r="N660" s="45"/>
      <c r="O660" s="45"/>
      <c r="P660" s="38">
        <f t="shared" si="50"/>
        <v>0.86849246555787929</v>
      </c>
      <c r="Q660" s="38">
        <f t="shared" si="51"/>
        <v>1.7371514457804937</v>
      </c>
      <c r="R660" s="17">
        <f t="shared" si="52"/>
        <v>0.17602109278060932</v>
      </c>
      <c r="S660" s="17">
        <f t="shared" si="53"/>
        <v>0.41958360944426276</v>
      </c>
      <c r="T660" s="38" t="str">
        <f t="shared" si="54"/>
        <v/>
      </c>
      <c r="U660" s="31" t="s">
        <v>1876</v>
      </c>
      <c r="V660" s="31"/>
    </row>
    <row r="661" spans="1:22" ht="30">
      <c r="A661" s="7">
        <v>33</v>
      </c>
      <c r="B661" s="7">
        <v>330</v>
      </c>
      <c r="C661" s="7">
        <v>46501.583333333336</v>
      </c>
      <c r="D661" s="7" t="s">
        <v>57</v>
      </c>
      <c r="E661" s="7" t="s">
        <v>49</v>
      </c>
      <c r="F661" s="7" t="s">
        <v>1743</v>
      </c>
      <c r="G661" s="7">
        <v>2</v>
      </c>
      <c r="H661" s="37">
        <f>Priors!$H$27*VLOOKUP(D661,Team_26_27!$A$2:$U$21,20,FALSE)*VLOOKUP(E661,Team_26_27!$A$2:$U$21,21,FALSE)*IF(F661="H",Priors!$H$28,Priors!$H$29)</f>
        <v>1.7371514457804937</v>
      </c>
      <c r="I661" s="37">
        <f>Priors!$H$27*VLOOKUP(E661,Team_26_27!$A$2:$U$21,20,FALSE)*VLOOKUP(D661,Team_26_27!$A$2:$U$21,21,FALSE)*IF(F661="H",Priors!$H$29,Priors!$H$28)</f>
        <v>0.86849246555787929</v>
      </c>
      <c r="J661" s="15"/>
      <c r="K661" s="15"/>
      <c r="L661" s="47" t="b">
        <v>0</v>
      </c>
      <c r="M661" s="45">
        <v>0</v>
      </c>
      <c r="N661" s="45"/>
      <c r="O661" s="45"/>
      <c r="P661" s="38">
        <f t="shared" si="50"/>
        <v>1.7371514457804937</v>
      </c>
      <c r="Q661" s="38">
        <f t="shared" si="51"/>
        <v>0.86849246555787929</v>
      </c>
      <c r="R661" s="17">
        <f t="shared" si="52"/>
        <v>0.41958360944426276</v>
      </c>
      <c r="S661" s="17">
        <f t="shared" si="53"/>
        <v>0.17602109278060932</v>
      </c>
      <c r="T661" s="38" t="str">
        <f t="shared" si="54"/>
        <v/>
      </c>
      <c r="U661" s="31" t="s">
        <v>1876</v>
      </c>
      <c r="V661" s="31"/>
    </row>
    <row r="662" spans="1:22" ht="30">
      <c r="A662" s="7">
        <v>34</v>
      </c>
      <c r="B662" s="7">
        <v>331</v>
      </c>
      <c r="C662" s="7">
        <v>46508.583333333336</v>
      </c>
      <c r="D662" s="7" t="s">
        <v>57</v>
      </c>
      <c r="E662" s="7" t="s">
        <v>39</v>
      </c>
      <c r="F662" s="7" t="s">
        <v>1742</v>
      </c>
      <c r="G662" s="7">
        <v>5</v>
      </c>
      <c r="H662" s="37">
        <f>Priors!$H$27*VLOOKUP(D662,Team_26_27!$A$2:$U$21,20,FALSE)*VLOOKUP(E662,Team_26_27!$A$2:$U$21,21,FALSE)*IF(F662="H",Priors!$H$28,Priors!$H$29)</f>
        <v>0.70023177447643392</v>
      </c>
      <c r="I662" s="37">
        <f>Priors!$H$27*VLOOKUP(E662,Team_26_27!$A$2:$U$21,20,FALSE)*VLOOKUP(D662,Team_26_27!$A$2:$U$21,21,FALSE)*IF(F662="H",Priors!$H$29,Priors!$H$28)</f>
        <v>1.7712502932316669</v>
      </c>
      <c r="J662" s="15"/>
      <c r="K662" s="15"/>
      <c r="L662" s="47" t="b">
        <v>0</v>
      </c>
      <c r="M662" s="45">
        <v>0</v>
      </c>
      <c r="N662" s="45"/>
      <c r="O662" s="45"/>
      <c r="P662" s="38">
        <f t="shared" si="50"/>
        <v>0.70023177447643392</v>
      </c>
      <c r="Q662" s="38">
        <f t="shared" si="51"/>
        <v>1.7712502932316669</v>
      </c>
      <c r="R662" s="17">
        <f t="shared" si="52"/>
        <v>0.17012015572197142</v>
      </c>
      <c r="S662" s="17">
        <f t="shared" si="53"/>
        <v>0.49647022132972229</v>
      </c>
      <c r="T662" s="38" t="str">
        <f t="shared" si="54"/>
        <v/>
      </c>
      <c r="U662" s="31" t="s">
        <v>1876</v>
      </c>
      <c r="V662" s="31"/>
    </row>
    <row r="663" spans="1:22" ht="30">
      <c r="A663" s="7">
        <v>34</v>
      </c>
      <c r="B663" s="7">
        <v>331</v>
      </c>
      <c r="C663" s="7">
        <v>46508.583333333336</v>
      </c>
      <c r="D663" s="7" t="s">
        <v>39</v>
      </c>
      <c r="E663" s="7" t="s">
        <v>57</v>
      </c>
      <c r="F663" s="7" t="s">
        <v>1743</v>
      </c>
      <c r="G663" s="7">
        <v>3</v>
      </c>
      <c r="H663" s="37">
        <f>Priors!$H$27*VLOOKUP(D663,Team_26_27!$A$2:$U$21,20,FALSE)*VLOOKUP(E663,Team_26_27!$A$2:$U$21,21,FALSE)*IF(F663="H",Priors!$H$28,Priors!$H$29)</f>
        <v>1.7712502932316669</v>
      </c>
      <c r="I663" s="37">
        <f>Priors!$H$27*VLOOKUP(E663,Team_26_27!$A$2:$U$21,20,FALSE)*VLOOKUP(D663,Team_26_27!$A$2:$U$21,21,FALSE)*IF(F663="H",Priors!$H$29,Priors!$H$28)</f>
        <v>0.70023177447643392</v>
      </c>
      <c r="J663" s="15"/>
      <c r="K663" s="15"/>
      <c r="L663" s="47" t="b">
        <v>0</v>
      </c>
      <c r="M663" s="45">
        <v>0</v>
      </c>
      <c r="N663" s="45"/>
      <c r="O663" s="45"/>
      <c r="P663" s="38">
        <f t="shared" si="50"/>
        <v>1.7712502932316669</v>
      </c>
      <c r="Q663" s="38">
        <f t="shared" si="51"/>
        <v>0.70023177447643392</v>
      </c>
      <c r="R663" s="17">
        <f t="shared" si="52"/>
        <v>0.49647022132972229</v>
      </c>
      <c r="S663" s="17">
        <f t="shared" si="53"/>
        <v>0.17012015572197142</v>
      </c>
      <c r="T663" s="38" t="str">
        <f t="shared" si="54"/>
        <v/>
      </c>
      <c r="U663" s="31" t="s">
        <v>1876</v>
      </c>
      <c r="V663" s="31"/>
    </row>
    <row r="664" spans="1:22" ht="30">
      <c r="A664" s="7">
        <v>34</v>
      </c>
      <c r="B664" s="7">
        <v>332</v>
      </c>
      <c r="C664" s="7">
        <v>46508.583333333336</v>
      </c>
      <c r="D664" s="7" t="s">
        <v>56</v>
      </c>
      <c r="E664" s="7" t="s">
        <v>43</v>
      </c>
      <c r="F664" s="7" t="s">
        <v>1742</v>
      </c>
      <c r="G664" s="7">
        <v>3</v>
      </c>
      <c r="H664" s="37">
        <f>Priors!$H$27*VLOOKUP(D664,Team_26_27!$A$2:$U$21,20,FALSE)*VLOOKUP(E664,Team_26_27!$A$2:$U$21,21,FALSE)*IF(F664="H",Priors!$H$28,Priors!$H$29)</f>
        <v>1.1035938024123426</v>
      </c>
      <c r="I664" s="37">
        <f>Priors!$H$27*VLOOKUP(E664,Team_26_27!$A$2:$U$21,20,FALSE)*VLOOKUP(D664,Team_26_27!$A$2:$U$21,21,FALSE)*IF(F664="H",Priors!$H$29,Priors!$H$28)</f>
        <v>1.7052847350956464</v>
      </c>
      <c r="J664" s="15"/>
      <c r="K664" s="15"/>
      <c r="L664" s="47" t="b">
        <v>0</v>
      </c>
      <c r="M664" s="45">
        <v>0</v>
      </c>
      <c r="N664" s="45"/>
      <c r="O664" s="45"/>
      <c r="P664" s="38">
        <f t="shared" si="50"/>
        <v>1.1035938024123426</v>
      </c>
      <c r="Q664" s="38">
        <f t="shared" si="51"/>
        <v>1.7052847350956464</v>
      </c>
      <c r="R664" s="17">
        <f t="shared" si="52"/>
        <v>0.1817206365654187</v>
      </c>
      <c r="S664" s="17">
        <f t="shared" si="53"/>
        <v>0.33167695780596124</v>
      </c>
      <c r="T664" s="38" t="str">
        <f t="shared" si="54"/>
        <v/>
      </c>
      <c r="U664" s="31" t="s">
        <v>1876</v>
      </c>
      <c r="V664" s="31"/>
    </row>
    <row r="665" spans="1:22" ht="30">
      <c r="A665" s="7">
        <v>34</v>
      </c>
      <c r="B665" s="7">
        <v>332</v>
      </c>
      <c r="C665" s="7">
        <v>46508.583333333336</v>
      </c>
      <c r="D665" s="7" t="s">
        <v>43</v>
      </c>
      <c r="E665" s="7" t="s">
        <v>56</v>
      </c>
      <c r="F665" s="7" t="s">
        <v>1743</v>
      </c>
      <c r="G665" s="7">
        <v>3</v>
      </c>
      <c r="H665" s="37">
        <f>Priors!$H$27*VLOOKUP(D665,Team_26_27!$A$2:$U$21,20,FALSE)*VLOOKUP(E665,Team_26_27!$A$2:$U$21,21,FALSE)*IF(F665="H",Priors!$H$28,Priors!$H$29)</f>
        <v>1.7052847350956464</v>
      </c>
      <c r="I665" s="37">
        <f>Priors!$H$27*VLOOKUP(E665,Team_26_27!$A$2:$U$21,20,FALSE)*VLOOKUP(D665,Team_26_27!$A$2:$U$21,21,FALSE)*IF(F665="H",Priors!$H$29,Priors!$H$28)</f>
        <v>1.1035938024123426</v>
      </c>
      <c r="J665" s="15"/>
      <c r="K665" s="15"/>
      <c r="L665" s="47" t="b">
        <v>0</v>
      </c>
      <c r="M665" s="45">
        <v>0</v>
      </c>
      <c r="N665" s="45"/>
      <c r="O665" s="45"/>
      <c r="P665" s="38">
        <f t="shared" si="50"/>
        <v>1.7052847350956464</v>
      </c>
      <c r="Q665" s="38">
        <f t="shared" si="51"/>
        <v>1.1035938024123426</v>
      </c>
      <c r="R665" s="17">
        <f t="shared" si="52"/>
        <v>0.33167695780596124</v>
      </c>
      <c r="S665" s="17">
        <f t="shared" si="53"/>
        <v>0.1817206365654187</v>
      </c>
      <c r="T665" s="38" t="str">
        <f t="shared" si="54"/>
        <v/>
      </c>
      <c r="U665" s="31" t="s">
        <v>1876</v>
      </c>
      <c r="V665" s="31"/>
    </row>
    <row r="666" spans="1:22" ht="30">
      <c r="A666" s="7">
        <v>34</v>
      </c>
      <c r="B666" s="7">
        <v>333</v>
      </c>
      <c r="C666" s="7">
        <v>46508.583333333336</v>
      </c>
      <c r="D666" s="7" t="s">
        <v>54</v>
      </c>
      <c r="E666" s="7" t="s">
        <v>45</v>
      </c>
      <c r="F666" s="7" t="s">
        <v>1742</v>
      </c>
      <c r="G666" s="7">
        <v>2</v>
      </c>
      <c r="H666" s="37">
        <f>Priors!$H$27*VLOOKUP(D666,Team_26_27!$A$2:$U$21,20,FALSE)*VLOOKUP(E666,Team_26_27!$A$2:$U$21,21,FALSE)*IF(F666="H",Priors!$H$28,Priors!$H$29)</f>
        <v>1.8342153200356468</v>
      </c>
      <c r="I666" s="37">
        <f>Priors!$H$27*VLOOKUP(E666,Team_26_27!$A$2:$U$21,20,FALSE)*VLOOKUP(D666,Team_26_27!$A$2:$U$21,21,FALSE)*IF(F666="H",Priors!$H$29,Priors!$H$28)</f>
        <v>1.1414867607067709</v>
      </c>
      <c r="J666" s="15"/>
      <c r="K666" s="15"/>
      <c r="L666" s="47" t="b">
        <v>0</v>
      </c>
      <c r="M666" s="45">
        <v>0</v>
      </c>
      <c r="N666" s="45"/>
      <c r="O666" s="45"/>
      <c r="P666" s="38">
        <f t="shared" si="50"/>
        <v>1.8342153200356468</v>
      </c>
      <c r="Q666" s="38">
        <f t="shared" si="51"/>
        <v>1.1414867607067709</v>
      </c>
      <c r="R666" s="17">
        <f t="shared" si="52"/>
        <v>0.31934388075943954</v>
      </c>
      <c r="S666" s="17">
        <f t="shared" si="53"/>
        <v>0.15973879643667485</v>
      </c>
      <c r="T666" s="38" t="str">
        <f t="shared" si="54"/>
        <v/>
      </c>
      <c r="U666" s="31" t="s">
        <v>1876</v>
      </c>
      <c r="V666" s="31"/>
    </row>
    <row r="667" spans="1:22" ht="30">
      <c r="A667" s="7">
        <v>34</v>
      </c>
      <c r="B667" s="7">
        <v>333</v>
      </c>
      <c r="C667" s="7">
        <v>46508.583333333336</v>
      </c>
      <c r="D667" s="7" t="s">
        <v>45</v>
      </c>
      <c r="E667" s="7" t="s">
        <v>54</v>
      </c>
      <c r="F667" s="7" t="s">
        <v>1743</v>
      </c>
      <c r="G667" s="7">
        <v>4</v>
      </c>
      <c r="H667" s="37">
        <f>Priors!$H$27*VLOOKUP(D667,Team_26_27!$A$2:$U$21,20,FALSE)*VLOOKUP(E667,Team_26_27!$A$2:$U$21,21,FALSE)*IF(F667="H",Priors!$H$28,Priors!$H$29)</f>
        <v>1.1414867607067709</v>
      </c>
      <c r="I667" s="37">
        <f>Priors!$H$27*VLOOKUP(E667,Team_26_27!$A$2:$U$21,20,FALSE)*VLOOKUP(D667,Team_26_27!$A$2:$U$21,21,FALSE)*IF(F667="H",Priors!$H$29,Priors!$H$28)</f>
        <v>1.8342153200356468</v>
      </c>
      <c r="J667" s="15"/>
      <c r="K667" s="15"/>
      <c r="L667" s="47" t="b">
        <v>0</v>
      </c>
      <c r="M667" s="45">
        <v>0</v>
      </c>
      <c r="N667" s="45"/>
      <c r="O667" s="45"/>
      <c r="P667" s="38">
        <f t="shared" si="50"/>
        <v>1.1414867607067709</v>
      </c>
      <c r="Q667" s="38">
        <f t="shared" si="51"/>
        <v>1.8342153200356468</v>
      </c>
      <c r="R667" s="17">
        <f t="shared" si="52"/>
        <v>0.15973879643667485</v>
      </c>
      <c r="S667" s="17">
        <f t="shared" si="53"/>
        <v>0.31934388075943954</v>
      </c>
      <c r="T667" s="38" t="str">
        <f t="shared" si="54"/>
        <v/>
      </c>
      <c r="U667" s="31" t="s">
        <v>1876</v>
      </c>
      <c r="V667" s="31"/>
    </row>
    <row r="668" spans="1:22" ht="30">
      <c r="A668" s="7">
        <v>34</v>
      </c>
      <c r="B668" s="7">
        <v>334</v>
      </c>
      <c r="C668" s="7">
        <v>46508.583333333336</v>
      </c>
      <c r="D668" s="7" t="s">
        <v>40</v>
      </c>
      <c r="E668" s="7" t="s">
        <v>46</v>
      </c>
      <c r="F668" s="7" t="s">
        <v>1742</v>
      </c>
      <c r="G668" s="7">
        <v>3</v>
      </c>
      <c r="H668" s="37">
        <f>Priors!$H$27*VLOOKUP(D668,Team_26_27!$A$2:$U$21,20,FALSE)*VLOOKUP(E668,Team_26_27!$A$2:$U$21,21,FALSE)*IF(F668="H",Priors!$H$28,Priors!$H$29)</f>
        <v>1.1616644477845983</v>
      </c>
      <c r="I668" s="37">
        <f>Priors!$H$27*VLOOKUP(E668,Team_26_27!$A$2:$U$21,20,FALSE)*VLOOKUP(D668,Team_26_27!$A$2:$U$21,21,FALSE)*IF(F668="H",Priors!$H$29,Priors!$H$28)</f>
        <v>1.6351763546946299</v>
      </c>
      <c r="J668" s="15"/>
      <c r="K668" s="15"/>
      <c r="L668" s="47" t="b">
        <v>0</v>
      </c>
      <c r="M668" s="45">
        <v>0</v>
      </c>
      <c r="N668" s="45"/>
      <c r="O668" s="45"/>
      <c r="P668" s="38">
        <f t="shared" si="50"/>
        <v>1.1616644477845983</v>
      </c>
      <c r="Q668" s="38">
        <f t="shared" si="51"/>
        <v>1.6351763546946299</v>
      </c>
      <c r="R668" s="17">
        <f t="shared" si="52"/>
        <v>0.19491799356470119</v>
      </c>
      <c r="S668" s="17">
        <f t="shared" si="53"/>
        <v>0.312964833501441</v>
      </c>
      <c r="T668" s="38" t="str">
        <f t="shared" si="54"/>
        <v/>
      </c>
      <c r="U668" s="31" t="s">
        <v>1876</v>
      </c>
      <c r="V668" s="31"/>
    </row>
    <row r="669" spans="1:22" ht="30">
      <c r="A669" s="7">
        <v>34</v>
      </c>
      <c r="B669" s="7">
        <v>334</v>
      </c>
      <c r="C669" s="7">
        <v>46508.583333333336</v>
      </c>
      <c r="D669" s="7" t="s">
        <v>46</v>
      </c>
      <c r="E669" s="7" t="s">
        <v>40</v>
      </c>
      <c r="F669" s="7" t="s">
        <v>1743</v>
      </c>
      <c r="G669" s="7">
        <v>3</v>
      </c>
      <c r="H669" s="37">
        <f>Priors!$H$27*VLOOKUP(D669,Team_26_27!$A$2:$U$21,20,FALSE)*VLOOKUP(E669,Team_26_27!$A$2:$U$21,21,FALSE)*IF(F669="H",Priors!$H$28,Priors!$H$29)</f>
        <v>1.6351763546946299</v>
      </c>
      <c r="I669" s="37">
        <f>Priors!$H$27*VLOOKUP(E669,Team_26_27!$A$2:$U$21,20,FALSE)*VLOOKUP(D669,Team_26_27!$A$2:$U$21,21,FALSE)*IF(F669="H",Priors!$H$29,Priors!$H$28)</f>
        <v>1.1616644477845983</v>
      </c>
      <c r="J669" s="15"/>
      <c r="K669" s="15"/>
      <c r="L669" s="47" t="b">
        <v>0</v>
      </c>
      <c r="M669" s="45">
        <v>0</v>
      </c>
      <c r="N669" s="45"/>
      <c r="O669" s="45"/>
      <c r="P669" s="38">
        <f t="shared" si="50"/>
        <v>1.6351763546946299</v>
      </c>
      <c r="Q669" s="38">
        <f t="shared" si="51"/>
        <v>1.1616644477845983</v>
      </c>
      <c r="R669" s="17">
        <f t="shared" si="52"/>
        <v>0.312964833501441</v>
      </c>
      <c r="S669" s="17">
        <f t="shared" si="53"/>
        <v>0.19491799356470119</v>
      </c>
      <c r="T669" s="38" t="str">
        <f t="shared" si="54"/>
        <v/>
      </c>
      <c r="U669" s="31" t="s">
        <v>1876</v>
      </c>
      <c r="V669" s="31"/>
    </row>
    <row r="670" spans="1:22" ht="30">
      <c r="A670" s="7">
        <v>34</v>
      </c>
      <c r="B670" s="7">
        <v>335</v>
      </c>
      <c r="C670" s="7">
        <v>46508.583333333336</v>
      </c>
      <c r="D670" s="7" t="s">
        <v>47</v>
      </c>
      <c r="E670" s="7" t="s">
        <v>48</v>
      </c>
      <c r="F670" s="7" t="s">
        <v>1742</v>
      </c>
      <c r="G670" s="7">
        <v>3</v>
      </c>
      <c r="H670" s="37">
        <f>Priors!$H$27*VLOOKUP(D670,Team_26_27!$A$2:$U$21,20,FALSE)*VLOOKUP(E670,Team_26_27!$A$2:$U$21,21,FALSE)*IF(F670="H",Priors!$H$28,Priors!$H$29)</f>
        <v>1.1549958977912869</v>
      </c>
      <c r="I670" s="37">
        <f>Priors!$H$27*VLOOKUP(E670,Team_26_27!$A$2:$U$21,20,FALSE)*VLOOKUP(D670,Team_26_27!$A$2:$U$21,21,FALSE)*IF(F670="H",Priors!$H$29,Priors!$H$28)</f>
        <v>1.5276456336177211</v>
      </c>
      <c r="J670" s="15"/>
      <c r="K670" s="15"/>
      <c r="L670" s="47" t="b">
        <v>0</v>
      </c>
      <c r="M670" s="45">
        <v>0</v>
      </c>
      <c r="N670" s="45"/>
      <c r="O670" s="45"/>
      <c r="P670" s="38">
        <f t="shared" si="50"/>
        <v>1.1549958977912869</v>
      </c>
      <c r="Q670" s="38">
        <f t="shared" si="51"/>
        <v>1.5276456336177211</v>
      </c>
      <c r="R670" s="17">
        <f t="shared" si="52"/>
        <v>0.21704607221600289</v>
      </c>
      <c r="S670" s="17">
        <f t="shared" si="53"/>
        <v>0.3150588293378373</v>
      </c>
      <c r="T670" s="38" t="str">
        <f t="shared" si="54"/>
        <v/>
      </c>
      <c r="U670" s="31" t="s">
        <v>1876</v>
      </c>
      <c r="V670" s="31"/>
    </row>
    <row r="671" spans="1:22" ht="30">
      <c r="A671" s="7">
        <v>34</v>
      </c>
      <c r="B671" s="7">
        <v>335</v>
      </c>
      <c r="C671" s="7">
        <v>46508.583333333336</v>
      </c>
      <c r="D671" s="7" t="s">
        <v>48</v>
      </c>
      <c r="E671" s="7" t="s">
        <v>47</v>
      </c>
      <c r="F671" s="7" t="s">
        <v>1743</v>
      </c>
      <c r="G671" s="7">
        <v>3</v>
      </c>
      <c r="H671" s="37">
        <f>Priors!$H$27*VLOOKUP(D671,Team_26_27!$A$2:$U$21,20,FALSE)*VLOOKUP(E671,Team_26_27!$A$2:$U$21,21,FALSE)*IF(F671="H",Priors!$H$28,Priors!$H$29)</f>
        <v>1.5276456336177211</v>
      </c>
      <c r="I671" s="37">
        <f>Priors!$H$27*VLOOKUP(E671,Team_26_27!$A$2:$U$21,20,FALSE)*VLOOKUP(D671,Team_26_27!$A$2:$U$21,21,FALSE)*IF(F671="H",Priors!$H$29,Priors!$H$28)</f>
        <v>1.1549958977912869</v>
      </c>
      <c r="J671" s="15"/>
      <c r="K671" s="15"/>
      <c r="L671" s="47" t="b">
        <v>0</v>
      </c>
      <c r="M671" s="45">
        <v>0</v>
      </c>
      <c r="N671" s="45"/>
      <c r="O671" s="45"/>
      <c r="P671" s="38">
        <f t="shared" si="50"/>
        <v>1.5276456336177211</v>
      </c>
      <c r="Q671" s="38">
        <f t="shared" si="51"/>
        <v>1.1549958977912869</v>
      </c>
      <c r="R671" s="17">
        <f t="shared" si="52"/>
        <v>0.3150588293378373</v>
      </c>
      <c r="S671" s="17">
        <f t="shared" si="53"/>
        <v>0.21704607221600289</v>
      </c>
      <c r="T671" s="38" t="str">
        <f t="shared" si="54"/>
        <v/>
      </c>
      <c r="U671" s="31" t="s">
        <v>1876</v>
      </c>
      <c r="V671" s="31"/>
    </row>
    <row r="672" spans="1:22" ht="30">
      <c r="A672" s="7">
        <v>34</v>
      </c>
      <c r="B672" s="7">
        <v>336</v>
      </c>
      <c r="C672" s="7">
        <v>46508.583333333336</v>
      </c>
      <c r="D672" s="7" t="s">
        <v>41</v>
      </c>
      <c r="E672" s="7" t="s">
        <v>49</v>
      </c>
      <c r="F672" s="7" t="s">
        <v>1742</v>
      </c>
      <c r="G672" s="7">
        <v>2</v>
      </c>
      <c r="H672" s="37">
        <f>Priors!$H$27*VLOOKUP(D672,Team_26_27!$A$2:$U$21,20,FALSE)*VLOOKUP(E672,Team_26_27!$A$2:$U$21,21,FALSE)*IF(F672="H",Priors!$H$28,Priors!$H$29)</f>
        <v>1.8746010920559828</v>
      </c>
      <c r="I672" s="37">
        <f>Priors!$H$27*VLOOKUP(E672,Team_26_27!$A$2:$U$21,20,FALSE)*VLOOKUP(D672,Team_26_27!$A$2:$U$21,21,FALSE)*IF(F672="H",Priors!$H$29,Priors!$H$28)</f>
        <v>1.1139597833781909</v>
      </c>
      <c r="J672" s="15"/>
      <c r="K672" s="15"/>
      <c r="L672" s="47" t="b">
        <v>0</v>
      </c>
      <c r="M672" s="45">
        <v>0</v>
      </c>
      <c r="N672" s="45"/>
      <c r="O672" s="45"/>
      <c r="P672" s="38">
        <f t="shared" si="50"/>
        <v>1.8746010920559828</v>
      </c>
      <c r="Q672" s="38">
        <f t="shared" si="51"/>
        <v>1.1139597833781909</v>
      </c>
      <c r="R672" s="17">
        <f t="shared" si="52"/>
        <v>0.32825655929524167</v>
      </c>
      <c r="S672" s="17">
        <f t="shared" si="53"/>
        <v>0.1534161535625799</v>
      </c>
      <c r="T672" s="38" t="str">
        <f t="shared" si="54"/>
        <v/>
      </c>
      <c r="U672" s="31" t="s">
        <v>1876</v>
      </c>
      <c r="V672" s="31"/>
    </row>
    <row r="673" spans="1:22" ht="30">
      <c r="A673" s="7">
        <v>34</v>
      </c>
      <c r="B673" s="7">
        <v>336</v>
      </c>
      <c r="C673" s="7">
        <v>46508.583333333336</v>
      </c>
      <c r="D673" s="7" t="s">
        <v>49</v>
      </c>
      <c r="E673" s="7" t="s">
        <v>41</v>
      </c>
      <c r="F673" s="7" t="s">
        <v>1743</v>
      </c>
      <c r="G673" s="7">
        <v>3</v>
      </c>
      <c r="H673" s="37">
        <f>Priors!$H$27*VLOOKUP(D673,Team_26_27!$A$2:$U$21,20,FALSE)*VLOOKUP(E673,Team_26_27!$A$2:$U$21,21,FALSE)*IF(F673="H",Priors!$H$28,Priors!$H$29)</f>
        <v>1.1139597833781909</v>
      </c>
      <c r="I673" s="37">
        <f>Priors!$H$27*VLOOKUP(E673,Team_26_27!$A$2:$U$21,20,FALSE)*VLOOKUP(D673,Team_26_27!$A$2:$U$21,21,FALSE)*IF(F673="H",Priors!$H$29,Priors!$H$28)</f>
        <v>1.8746010920559828</v>
      </c>
      <c r="J673" s="15"/>
      <c r="K673" s="15"/>
      <c r="L673" s="47" t="b">
        <v>0</v>
      </c>
      <c r="M673" s="45">
        <v>0</v>
      </c>
      <c r="N673" s="45"/>
      <c r="O673" s="45"/>
      <c r="P673" s="38">
        <f t="shared" si="50"/>
        <v>1.1139597833781909</v>
      </c>
      <c r="Q673" s="38">
        <f t="shared" si="51"/>
        <v>1.8746010920559828</v>
      </c>
      <c r="R673" s="17">
        <f t="shared" si="52"/>
        <v>0.1534161535625799</v>
      </c>
      <c r="S673" s="17">
        <f t="shared" si="53"/>
        <v>0.32825655929524167</v>
      </c>
      <c r="T673" s="38" t="str">
        <f t="shared" si="54"/>
        <v/>
      </c>
      <c r="U673" s="31" t="s">
        <v>1876</v>
      </c>
      <c r="V673" s="31"/>
    </row>
    <row r="674" spans="1:22" ht="30">
      <c r="A674" s="7">
        <v>34</v>
      </c>
      <c r="B674" s="7">
        <v>337</v>
      </c>
      <c r="C674" s="7">
        <v>46508.583333333336</v>
      </c>
      <c r="D674" s="7" t="s">
        <v>51</v>
      </c>
      <c r="E674" s="7" t="s">
        <v>50</v>
      </c>
      <c r="F674" s="7" t="s">
        <v>1742</v>
      </c>
      <c r="G674" s="7">
        <v>2</v>
      </c>
      <c r="H674" s="37">
        <f>Priors!$H$27*VLOOKUP(D674,Team_26_27!$A$2:$U$21,20,FALSE)*VLOOKUP(E674,Team_26_27!$A$2:$U$21,21,FALSE)*IF(F674="H",Priors!$H$28,Priors!$H$29)</f>
        <v>1.5740693943415403</v>
      </c>
      <c r="I674" s="37">
        <f>Priors!$H$27*VLOOKUP(E674,Team_26_27!$A$2:$U$21,20,FALSE)*VLOOKUP(D674,Team_26_27!$A$2:$U$21,21,FALSE)*IF(F674="H",Priors!$H$29,Priors!$H$28)</f>
        <v>1.2123578113656699</v>
      </c>
      <c r="J674" s="15"/>
      <c r="K674" s="15"/>
      <c r="L674" s="47" t="b">
        <v>0</v>
      </c>
      <c r="M674" s="45">
        <v>0</v>
      </c>
      <c r="N674" s="45"/>
      <c r="O674" s="45"/>
      <c r="P674" s="38">
        <f t="shared" si="50"/>
        <v>1.5740693943415403</v>
      </c>
      <c r="Q674" s="38">
        <f t="shared" si="51"/>
        <v>1.2123578113656699</v>
      </c>
      <c r="R674" s="17">
        <f t="shared" si="52"/>
        <v>0.29749501472442802</v>
      </c>
      <c r="S674" s="17">
        <f t="shared" si="53"/>
        <v>0.20720028474588736</v>
      </c>
      <c r="T674" s="38" t="str">
        <f t="shared" si="54"/>
        <v/>
      </c>
      <c r="U674" s="31" t="s">
        <v>1876</v>
      </c>
      <c r="V674" s="31"/>
    </row>
    <row r="675" spans="1:22" ht="30">
      <c r="A675" s="7">
        <v>34</v>
      </c>
      <c r="B675" s="7">
        <v>337</v>
      </c>
      <c r="C675" s="7">
        <v>46508.583333333336</v>
      </c>
      <c r="D675" s="7" t="s">
        <v>50</v>
      </c>
      <c r="E675" s="7" t="s">
        <v>51</v>
      </c>
      <c r="F675" s="7" t="s">
        <v>1743</v>
      </c>
      <c r="G675" s="7">
        <v>2</v>
      </c>
      <c r="H675" s="37">
        <f>Priors!$H$27*VLOOKUP(D675,Team_26_27!$A$2:$U$21,20,FALSE)*VLOOKUP(E675,Team_26_27!$A$2:$U$21,21,FALSE)*IF(F675="H",Priors!$H$28,Priors!$H$29)</f>
        <v>1.2123578113656699</v>
      </c>
      <c r="I675" s="37">
        <f>Priors!$H$27*VLOOKUP(E675,Team_26_27!$A$2:$U$21,20,FALSE)*VLOOKUP(D675,Team_26_27!$A$2:$U$21,21,FALSE)*IF(F675="H",Priors!$H$29,Priors!$H$28)</f>
        <v>1.5740693943415403</v>
      </c>
      <c r="J675" s="15"/>
      <c r="K675" s="15"/>
      <c r="L675" s="47" t="b">
        <v>0</v>
      </c>
      <c r="M675" s="45">
        <v>0</v>
      </c>
      <c r="N675" s="45"/>
      <c r="O675" s="45"/>
      <c r="P675" s="38">
        <f t="shared" si="50"/>
        <v>1.2123578113656699</v>
      </c>
      <c r="Q675" s="38">
        <f t="shared" si="51"/>
        <v>1.5740693943415403</v>
      </c>
      <c r="R675" s="17">
        <f t="shared" si="52"/>
        <v>0.20720028474588736</v>
      </c>
      <c r="S675" s="17">
        <f t="shared" si="53"/>
        <v>0.29749501472442802</v>
      </c>
      <c r="T675" s="38" t="str">
        <f t="shared" si="54"/>
        <v/>
      </c>
      <c r="U675" s="31" t="s">
        <v>1876</v>
      </c>
      <c r="V675" s="31"/>
    </row>
    <row r="676" spans="1:22" ht="30">
      <c r="A676" s="7">
        <v>34</v>
      </c>
      <c r="B676" s="7">
        <v>338</v>
      </c>
      <c r="C676" s="7">
        <v>46508.583333333336</v>
      </c>
      <c r="D676" s="7" t="s">
        <v>44</v>
      </c>
      <c r="E676" s="7" t="s">
        <v>52</v>
      </c>
      <c r="F676" s="7" t="s">
        <v>1742</v>
      </c>
      <c r="G676" s="7">
        <v>4</v>
      </c>
      <c r="H676" s="37">
        <f>Priors!$H$27*VLOOKUP(D676,Team_26_27!$A$2:$U$21,20,FALSE)*VLOOKUP(E676,Team_26_27!$A$2:$U$21,21,FALSE)*IF(F676="H",Priors!$H$28,Priors!$H$29)</f>
        <v>1.347530401183876</v>
      </c>
      <c r="I676" s="37">
        <f>Priors!$H$27*VLOOKUP(E676,Team_26_27!$A$2:$U$21,20,FALSE)*VLOOKUP(D676,Team_26_27!$A$2:$U$21,21,FALSE)*IF(F676="H",Priors!$H$29,Priors!$H$28)</f>
        <v>1.6537133006646452</v>
      </c>
      <c r="J676" s="15"/>
      <c r="K676" s="15"/>
      <c r="L676" s="47" t="b">
        <v>0</v>
      </c>
      <c r="M676" s="45">
        <v>0</v>
      </c>
      <c r="N676" s="45"/>
      <c r="O676" s="45"/>
      <c r="P676" s="38">
        <f t="shared" si="50"/>
        <v>1.347530401183876</v>
      </c>
      <c r="Q676" s="38">
        <f t="shared" si="51"/>
        <v>1.6537133006646452</v>
      </c>
      <c r="R676" s="17">
        <f t="shared" si="52"/>
        <v>0.19133809197994317</v>
      </c>
      <c r="S676" s="17">
        <f t="shared" si="53"/>
        <v>0.25988127128043709</v>
      </c>
      <c r="T676" s="38" t="str">
        <f t="shared" si="54"/>
        <v/>
      </c>
      <c r="U676" s="31" t="s">
        <v>1876</v>
      </c>
      <c r="V676" s="31"/>
    </row>
    <row r="677" spans="1:22" ht="30">
      <c r="A677" s="7">
        <v>34</v>
      </c>
      <c r="B677" s="7">
        <v>338</v>
      </c>
      <c r="C677" s="7">
        <v>46508.583333333336</v>
      </c>
      <c r="D677" s="7" t="s">
        <v>52</v>
      </c>
      <c r="E677" s="7" t="s">
        <v>44</v>
      </c>
      <c r="F677" s="7" t="s">
        <v>1743</v>
      </c>
      <c r="G677" s="7">
        <v>4</v>
      </c>
      <c r="H677" s="37">
        <f>Priors!$H$27*VLOOKUP(D677,Team_26_27!$A$2:$U$21,20,FALSE)*VLOOKUP(E677,Team_26_27!$A$2:$U$21,21,FALSE)*IF(F677="H",Priors!$H$28,Priors!$H$29)</f>
        <v>1.6537133006646452</v>
      </c>
      <c r="I677" s="37">
        <f>Priors!$H$27*VLOOKUP(E677,Team_26_27!$A$2:$U$21,20,FALSE)*VLOOKUP(D677,Team_26_27!$A$2:$U$21,21,FALSE)*IF(F677="H",Priors!$H$29,Priors!$H$28)</f>
        <v>1.347530401183876</v>
      </c>
      <c r="J677" s="15"/>
      <c r="K677" s="15"/>
      <c r="L677" s="47" t="b">
        <v>0</v>
      </c>
      <c r="M677" s="45">
        <v>0</v>
      </c>
      <c r="N677" s="45"/>
      <c r="O677" s="45"/>
      <c r="P677" s="38">
        <f t="shared" si="50"/>
        <v>1.6537133006646452</v>
      </c>
      <c r="Q677" s="38">
        <f t="shared" si="51"/>
        <v>1.347530401183876</v>
      </c>
      <c r="R677" s="17">
        <f t="shared" si="52"/>
        <v>0.25988127128043709</v>
      </c>
      <c r="S677" s="17">
        <f t="shared" si="53"/>
        <v>0.19133809197994317</v>
      </c>
      <c r="T677" s="38" t="str">
        <f t="shared" si="54"/>
        <v/>
      </c>
      <c r="U677" s="31" t="s">
        <v>1876</v>
      </c>
      <c r="V677" s="31"/>
    </row>
    <row r="678" spans="1:22" ht="30">
      <c r="A678" s="7">
        <v>34</v>
      </c>
      <c r="B678" s="7">
        <v>339</v>
      </c>
      <c r="C678" s="7">
        <v>46508.583333333336</v>
      </c>
      <c r="D678" s="7" t="s">
        <v>42</v>
      </c>
      <c r="E678" s="7" t="s">
        <v>53</v>
      </c>
      <c r="F678" s="7" t="s">
        <v>1742</v>
      </c>
      <c r="G678" s="7">
        <v>5</v>
      </c>
      <c r="H678" s="37">
        <f>Priors!$H$27*VLOOKUP(D678,Team_26_27!$A$2:$U$21,20,FALSE)*VLOOKUP(E678,Team_26_27!$A$2:$U$21,21,FALSE)*IF(F678="H",Priors!$H$28,Priors!$H$29)</f>
        <v>1.2499483257405728</v>
      </c>
      <c r="I678" s="37">
        <f>Priors!$H$27*VLOOKUP(E678,Team_26_27!$A$2:$U$21,20,FALSE)*VLOOKUP(D678,Team_26_27!$A$2:$U$21,21,FALSE)*IF(F678="H",Priors!$H$29,Priors!$H$28)</f>
        <v>1.8627960225454199</v>
      </c>
      <c r="J678" s="15"/>
      <c r="K678" s="15"/>
      <c r="L678" s="47" t="b">
        <v>0</v>
      </c>
      <c r="M678" s="45">
        <v>0</v>
      </c>
      <c r="N678" s="45"/>
      <c r="O678" s="45"/>
      <c r="P678" s="38">
        <f t="shared" si="50"/>
        <v>1.2499483257405728</v>
      </c>
      <c r="Q678" s="38">
        <f t="shared" si="51"/>
        <v>1.8627960225454199</v>
      </c>
      <c r="R678" s="17">
        <f t="shared" si="52"/>
        <v>0.1552379741212854</v>
      </c>
      <c r="S678" s="17">
        <f t="shared" si="53"/>
        <v>0.28651960216591349</v>
      </c>
      <c r="T678" s="38" t="str">
        <f t="shared" si="54"/>
        <v/>
      </c>
      <c r="U678" s="31" t="s">
        <v>1876</v>
      </c>
      <c r="V678" s="31"/>
    </row>
    <row r="679" spans="1:22" ht="30">
      <c r="A679" s="7">
        <v>34</v>
      </c>
      <c r="B679" s="7">
        <v>339</v>
      </c>
      <c r="C679" s="7">
        <v>46508.583333333336</v>
      </c>
      <c r="D679" s="7" t="s">
        <v>53</v>
      </c>
      <c r="E679" s="7" t="s">
        <v>42</v>
      </c>
      <c r="F679" s="7" t="s">
        <v>1743</v>
      </c>
      <c r="G679" s="7">
        <v>3</v>
      </c>
      <c r="H679" s="37">
        <f>Priors!$H$27*VLOOKUP(D679,Team_26_27!$A$2:$U$21,20,FALSE)*VLOOKUP(E679,Team_26_27!$A$2:$U$21,21,FALSE)*IF(F679="H",Priors!$H$28,Priors!$H$29)</f>
        <v>1.8627960225454199</v>
      </c>
      <c r="I679" s="37">
        <f>Priors!$H$27*VLOOKUP(E679,Team_26_27!$A$2:$U$21,20,FALSE)*VLOOKUP(D679,Team_26_27!$A$2:$U$21,21,FALSE)*IF(F679="H",Priors!$H$29,Priors!$H$28)</f>
        <v>1.2499483257405728</v>
      </c>
      <c r="J679" s="15"/>
      <c r="K679" s="15"/>
      <c r="L679" s="47" t="b">
        <v>0</v>
      </c>
      <c r="M679" s="45">
        <v>0</v>
      </c>
      <c r="N679" s="45"/>
      <c r="O679" s="45"/>
      <c r="P679" s="38">
        <f t="shared" si="50"/>
        <v>1.8627960225454199</v>
      </c>
      <c r="Q679" s="38">
        <f t="shared" si="51"/>
        <v>1.2499483257405728</v>
      </c>
      <c r="R679" s="17">
        <f t="shared" si="52"/>
        <v>0.28651960216591349</v>
      </c>
      <c r="S679" s="17">
        <f t="shared" si="53"/>
        <v>0.1552379741212854</v>
      </c>
      <c r="T679" s="38" t="str">
        <f t="shared" si="54"/>
        <v/>
      </c>
      <c r="U679" s="31" t="s">
        <v>1876</v>
      </c>
      <c r="V679" s="31"/>
    </row>
    <row r="680" spans="1:22" ht="30">
      <c r="A680" s="7">
        <v>34</v>
      </c>
      <c r="B680" s="7">
        <v>340</v>
      </c>
      <c r="C680" s="7">
        <v>46508.583333333336</v>
      </c>
      <c r="D680" s="7" t="s">
        <v>55</v>
      </c>
      <c r="E680" s="7" t="s">
        <v>58</v>
      </c>
      <c r="F680" s="7" t="s">
        <v>1742</v>
      </c>
      <c r="G680" s="7">
        <v>3</v>
      </c>
      <c r="H680" s="37">
        <f>Priors!$H$27*VLOOKUP(D680,Team_26_27!$A$2:$U$21,20,FALSE)*VLOOKUP(E680,Team_26_27!$A$2:$U$21,21,FALSE)*IF(F680="H",Priors!$H$28,Priors!$H$29)</f>
        <v>1.3320255571203494</v>
      </c>
      <c r="I680" s="37">
        <f>Priors!$H$27*VLOOKUP(E680,Team_26_27!$A$2:$U$21,20,FALSE)*VLOOKUP(D680,Team_26_27!$A$2:$U$21,21,FALSE)*IF(F680="H",Priors!$H$29,Priors!$H$28)</f>
        <v>1.225972843569316</v>
      </c>
      <c r="J680" s="15"/>
      <c r="K680" s="15"/>
      <c r="L680" s="47" t="b">
        <v>0</v>
      </c>
      <c r="M680" s="45">
        <v>0</v>
      </c>
      <c r="N680" s="45"/>
      <c r="O680" s="45"/>
      <c r="P680" s="38">
        <f t="shared" si="50"/>
        <v>1.3320255571203494</v>
      </c>
      <c r="Q680" s="38">
        <f t="shared" si="51"/>
        <v>1.225972843569316</v>
      </c>
      <c r="R680" s="17">
        <f t="shared" si="52"/>
        <v>0.29347205899852724</v>
      </c>
      <c r="S680" s="17">
        <f t="shared" si="53"/>
        <v>0.26394208969333544</v>
      </c>
      <c r="T680" s="38" t="str">
        <f t="shared" si="54"/>
        <v/>
      </c>
      <c r="U680" s="31" t="s">
        <v>1876</v>
      </c>
      <c r="V680" s="31"/>
    </row>
    <row r="681" spans="1:22" ht="30">
      <c r="A681" s="7">
        <v>34</v>
      </c>
      <c r="B681" s="7">
        <v>340</v>
      </c>
      <c r="C681" s="7">
        <v>46508.583333333336</v>
      </c>
      <c r="D681" s="7" t="s">
        <v>58</v>
      </c>
      <c r="E681" s="7" t="s">
        <v>55</v>
      </c>
      <c r="F681" s="7" t="s">
        <v>1743</v>
      </c>
      <c r="G681" s="7">
        <v>2</v>
      </c>
      <c r="H681" s="37">
        <f>Priors!$H$27*VLOOKUP(D681,Team_26_27!$A$2:$U$21,20,FALSE)*VLOOKUP(E681,Team_26_27!$A$2:$U$21,21,FALSE)*IF(F681="H",Priors!$H$28,Priors!$H$29)</f>
        <v>1.225972843569316</v>
      </c>
      <c r="I681" s="37">
        <f>Priors!$H$27*VLOOKUP(E681,Team_26_27!$A$2:$U$21,20,FALSE)*VLOOKUP(D681,Team_26_27!$A$2:$U$21,21,FALSE)*IF(F681="H",Priors!$H$29,Priors!$H$28)</f>
        <v>1.3320255571203494</v>
      </c>
      <c r="J681" s="15"/>
      <c r="K681" s="15"/>
      <c r="L681" s="47" t="b">
        <v>0</v>
      </c>
      <c r="M681" s="45">
        <v>0</v>
      </c>
      <c r="N681" s="45"/>
      <c r="O681" s="45"/>
      <c r="P681" s="38">
        <f t="shared" si="50"/>
        <v>1.225972843569316</v>
      </c>
      <c r="Q681" s="38">
        <f t="shared" si="51"/>
        <v>1.3320255571203494</v>
      </c>
      <c r="R681" s="17">
        <f t="shared" si="52"/>
        <v>0.26394208969333544</v>
      </c>
      <c r="S681" s="17">
        <f t="shared" si="53"/>
        <v>0.29347205899852724</v>
      </c>
      <c r="T681" s="38" t="str">
        <f t="shared" si="54"/>
        <v/>
      </c>
      <c r="U681" s="31" t="s">
        <v>1876</v>
      </c>
      <c r="V681" s="31"/>
    </row>
    <row r="682" spans="1:22" ht="30">
      <c r="A682" s="7">
        <v>35</v>
      </c>
      <c r="B682" s="7">
        <v>341</v>
      </c>
      <c r="C682" s="7">
        <v>46515.583333333336</v>
      </c>
      <c r="D682" s="7" t="s">
        <v>54</v>
      </c>
      <c r="E682" s="7" t="s">
        <v>41</v>
      </c>
      <c r="F682" s="7" t="s">
        <v>1742</v>
      </c>
      <c r="G682" s="7">
        <v>3</v>
      </c>
      <c r="H682" s="37">
        <f>Priors!$H$27*VLOOKUP(D682,Team_26_27!$A$2:$U$21,20,FALSE)*VLOOKUP(E682,Team_26_27!$A$2:$U$21,21,FALSE)*IF(F682="H",Priors!$H$28,Priors!$H$29)</f>
        <v>1.5156748295530549</v>
      </c>
      <c r="I682" s="37">
        <f>Priors!$H$27*VLOOKUP(E682,Team_26_27!$A$2:$U$21,20,FALSE)*VLOOKUP(D682,Team_26_27!$A$2:$U$21,21,FALSE)*IF(F682="H",Priors!$H$29,Priors!$H$28)</f>
        <v>1.5775340387416581</v>
      </c>
      <c r="J682" s="15"/>
      <c r="K682" s="15"/>
      <c r="L682" s="47" t="b">
        <v>0</v>
      </c>
      <c r="M682" s="45">
        <v>0</v>
      </c>
      <c r="N682" s="45"/>
      <c r="O682" s="45"/>
      <c r="P682" s="38">
        <f t="shared" si="50"/>
        <v>1.5156748295530549</v>
      </c>
      <c r="Q682" s="38">
        <f t="shared" si="51"/>
        <v>1.5775340387416581</v>
      </c>
      <c r="R682" s="17">
        <f t="shared" si="52"/>
        <v>0.20648365159601212</v>
      </c>
      <c r="S682" s="17">
        <f t="shared" si="53"/>
        <v>0.21965990182713263</v>
      </c>
      <c r="T682" s="38" t="str">
        <f t="shared" si="54"/>
        <v/>
      </c>
      <c r="U682" s="31" t="s">
        <v>1876</v>
      </c>
      <c r="V682" s="31"/>
    </row>
    <row r="683" spans="1:22" ht="30">
      <c r="A683" s="7">
        <v>35</v>
      </c>
      <c r="B683" s="7">
        <v>341</v>
      </c>
      <c r="C683" s="7">
        <v>46515.583333333336</v>
      </c>
      <c r="D683" s="7" t="s">
        <v>41</v>
      </c>
      <c r="E683" s="7" t="s">
        <v>54</v>
      </c>
      <c r="F683" s="7" t="s">
        <v>1743</v>
      </c>
      <c r="G683" s="7">
        <v>4</v>
      </c>
      <c r="H683" s="37">
        <f>Priors!$H$27*VLOOKUP(D683,Team_26_27!$A$2:$U$21,20,FALSE)*VLOOKUP(E683,Team_26_27!$A$2:$U$21,21,FALSE)*IF(F683="H",Priors!$H$28,Priors!$H$29)</f>
        <v>1.5775340387416581</v>
      </c>
      <c r="I683" s="37">
        <f>Priors!$H$27*VLOOKUP(E683,Team_26_27!$A$2:$U$21,20,FALSE)*VLOOKUP(D683,Team_26_27!$A$2:$U$21,21,FALSE)*IF(F683="H",Priors!$H$29,Priors!$H$28)</f>
        <v>1.5156748295530549</v>
      </c>
      <c r="J683" s="15"/>
      <c r="K683" s="15"/>
      <c r="L683" s="47" t="b">
        <v>0</v>
      </c>
      <c r="M683" s="45">
        <v>0</v>
      </c>
      <c r="N683" s="45"/>
      <c r="O683" s="45"/>
      <c r="P683" s="38">
        <f t="shared" si="50"/>
        <v>1.5775340387416581</v>
      </c>
      <c r="Q683" s="38">
        <f t="shared" si="51"/>
        <v>1.5156748295530549</v>
      </c>
      <c r="R683" s="17">
        <f t="shared" si="52"/>
        <v>0.21965990182713263</v>
      </c>
      <c r="S683" s="17">
        <f t="shared" si="53"/>
        <v>0.20648365159601212</v>
      </c>
      <c r="T683" s="38" t="str">
        <f t="shared" si="54"/>
        <v/>
      </c>
      <c r="U683" s="31" t="s">
        <v>1876</v>
      </c>
      <c r="V683" s="31"/>
    </row>
    <row r="684" spans="1:22" ht="30">
      <c r="A684" s="7">
        <v>35</v>
      </c>
      <c r="B684" s="7">
        <v>342</v>
      </c>
      <c r="C684" s="7">
        <v>46515.583333333336</v>
      </c>
      <c r="D684" s="7" t="s">
        <v>40</v>
      </c>
      <c r="E684" s="7" t="s">
        <v>42</v>
      </c>
      <c r="F684" s="7" t="s">
        <v>1742</v>
      </c>
      <c r="G684" s="7">
        <v>3</v>
      </c>
      <c r="H684" s="37">
        <f>Priors!$H$27*VLOOKUP(D684,Team_26_27!$A$2:$U$21,20,FALSE)*VLOOKUP(E684,Team_26_27!$A$2:$U$21,21,FALSE)*IF(F684="H",Priors!$H$28,Priors!$H$29)</f>
        <v>1.1963891816911667</v>
      </c>
      <c r="I684" s="37">
        <f>Priors!$H$27*VLOOKUP(E684,Team_26_27!$A$2:$U$21,20,FALSE)*VLOOKUP(D684,Team_26_27!$A$2:$U$21,21,FALSE)*IF(F684="H",Priors!$H$29,Priors!$H$28)</f>
        <v>1.7004991779752967</v>
      </c>
      <c r="J684" s="15"/>
      <c r="K684" s="15"/>
      <c r="L684" s="47" t="b">
        <v>0</v>
      </c>
      <c r="M684" s="45">
        <v>0</v>
      </c>
      <c r="N684" s="45"/>
      <c r="O684" s="45"/>
      <c r="P684" s="38">
        <f t="shared" si="50"/>
        <v>1.1963891816911667</v>
      </c>
      <c r="Q684" s="38">
        <f t="shared" si="51"/>
        <v>1.7004991779752967</v>
      </c>
      <c r="R684" s="17">
        <f t="shared" si="52"/>
        <v>0.18259235521770828</v>
      </c>
      <c r="S684" s="17">
        <f t="shared" si="53"/>
        <v>0.30228373533889003</v>
      </c>
      <c r="T684" s="38" t="str">
        <f t="shared" si="54"/>
        <v/>
      </c>
      <c r="U684" s="31" t="s">
        <v>1876</v>
      </c>
      <c r="V684" s="31"/>
    </row>
    <row r="685" spans="1:22" ht="30">
      <c r="A685" s="7">
        <v>35</v>
      </c>
      <c r="B685" s="7">
        <v>342</v>
      </c>
      <c r="C685" s="7">
        <v>46515.583333333336</v>
      </c>
      <c r="D685" s="7" t="s">
        <v>42</v>
      </c>
      <c r="E685" s="7" t="s">
        <v>40</v>
      </c>
      <c r="F685" s="7" t="s">
        <v>1743</v>
      </c>
      <c r="G685" s="7">
        <v>3</v>
      </c>
      <c r="H685" s="37">
        <f>Priors!$H$27*VLOOKUP(D685,Team_26_27!$A$2:$U$21,20,FALSE)*VLOOKUP(E685,Team_26_27!$A$2:$U$21,21,FALSE)*IF(F685="H",Priors!$H$28,Priors!$H$29)</f>
        <v>1.7004991779752967</v>
      </c>
      <c r="I685" s="37">
        <f>Priors!$H$27*VLOOKUP(E685,Team_26_27!$A$2:$U$21,20,FALSE)*VLOOKUP(D685,Team_26_27!$A$2:$U$21,21,FALSE)*IF(F685="H",Priors!$H$29,Priors!$H$28)</f>
        <v>1.1963891816911667</v>
      </c>
      <c r="J685" s="15"/>
      <c r="K685" s="15"/>
      <c r="L685" s="47" t="b">
        <v>0</v>
      </c>
      <c r="M685" s="45">
        <v>0</v>
      </c>
      <c r="N685" s="45"/>
      <c r="O685" s="45"/>
      <c r="P685" s="38">
        <f t="shared" si="50"/>
        <v>1.7004991779752967</v>
      </c>
      <c r="Q685" s="38">
        <f t="shared" si="51"/>
        <v>1.1963891816911667</v>
      </c>
      <c r="R685" s="17">
        <f t="shared" si="52"/>
        <v>0.30228373533889003</v>
      </c>
      <c r="S685" s="17">
        <f t="shared" si="53"/>
        <v>0.18259235521770828</v>
      </c>
      <c r="T685" s="38" t="str">
        <f t="shared" si="54"/>
        <v/>
      </c>
      <c r="U685" s="31" t="s">
        <v>1876</v>
      </c>
      <c r="V685" s="31"/>
    </row>
    <row r="686" spans="1:22" ht="30">
      <c r="A686" s="7">
        <v>35</v>
      </c>
      <c r="B686" s="7">
        <v>343</v>
      </c>
      <c r="C686" s="7">
        <v>46515.583333333336</v>
      </c>
      <c r="D686" s="7" t="s">
        <v>58</v>
      </c>
      <c r="E686" s="7" t="s">
        <v>43</v>
      </c>
      <c r="F686" s="7" t="s">
        <v>1742</v>
      </c>
      <c r="G686" s="7">
        <v>3</v>
      </c>
      <c r="H686" s="37">
        <f>Priors!$H$27*VLOOKUP(D686,Team_26_27!$A$2:$U$21,20,FALSE)*VLOOKUP(E686,Team_26_27!$A$2:$U$21,21,FALSE)*IF(F686="H",Priors!$H$28,Priors!$H$29)</f>
        <v>0.96818909325346703</v>
      </c>
      <c r="I686" s="37">
        <f>Priors!$H$27*VLOOKUP(E686,Team_26_27!$A$2:$U$21,20,FALSE)*VLOOKUP(D686,Team_26_27!$A$2:$U$21,21,FALSE)*IF(F686="H",Priors!$H$29,Priors!$H$28)</f>
        <v>1.6621346853401509</v>
      </c>
      <c r="J686" s="15"/>
      <c r="K686" s="15"/>
      <c r="L686" s="47" t="b">
        <v>0</v>
      </c>
      <c r="M686" s="45">
        <v>0</v>
      </c>
      <c r="N686" s="45"/>
      <c r="O686" s="45"/>
      <c r="P686" s="38">
        <f t="shared" si="50"/>
        <v>0.96818909325346703</v>
      </c>
      <c r="Q686" s="38">
        <f t="shared" si="51"/>
        <v>1.6621346853401509</v>
      </c>
      <c r="R686" s="17">
        <f t="shared" si="52"/>
        <v>0.1897335261204085</v>
      </c>
      <c r="S686" s="17">
        <f t="shared" si="53"/>
        <v>0.37977014408925552</v>
      </c>
      <c r="T686" s="38" t="str">
        <f t="shared" si="54"/>
        <v/>
      </c>
      <c r="U686" s="31" t="s">
        <v>1876</v>
      </c>
      <c r="V686" s="31"/>
    </row>
    <row r="687" spans="1:22" ht="30">
      <c r="A687" s="7">
        <v>35</v>
      </c>
      <c r="B687" s="7">
        <v>343</v>
      </c>
      <c r="C687" s="7">
        <v>46515.583333333336</v>
      </c>
      <c r="D687" s="7" t="s">
        <v>43</v>
      </c>
      <c r="E687" s="7" t="s">
        <v>58</v>
      </c>
      <c r="F687" s="7" t="s">
        <v>1743</v>
      </c>
      <c r="G687" s="7">
        <v>2</v>
      </c>
      <c r="H687" s="37">
        <f>Priors!$H$27*VLOOKUP(D687,Team_26_27!$A$2:$U$21,20,FALSE)*VLOOKUP(E687,Team_26_27!$A$2:$U$21,21,FALSE)*IF(F687="H",Priors!$H$28,Priors!$H$29)</f>
        <v>1.6621346853401509</v>
      </c>
      <c r="I687" s="37">
        <f>Priors!$H$27*VLOOKUP(E687,Team_26_27!$A$2:$U$21,20,FALSE)*VLOOKUP(D687,Team_26_27!$A$2:$U$21,21,FALSE)*IF(F687="H",Priors!$H$29,Priors!$H$28)</f>
        <v>0.96818909325346703</v>
      </c>
      <c r="J687" s="15"/>
      <c r="K687" s="15"/>
      <c r="L687" s="47" t="b">
        <v>0</v>
      </c>
      <c r="M687" s="45">
        <v>0</v>
      </c>
      <c r="N687" s="45"/>
      <c r="O687" s="45"/>
      <c r="P687" s="38">
        <f t="shared" si="50"/>
        <v>1.6621346853401509</v>
      </c>
      <c r="Q687" s="38">
        <f t="shared" si="51"/>
        <v>0.96818909325346703</v>
      </c>
      <c r="R687" s="17">
        <f t="shared" si="52"/>
        <v>0.37977014408925552</v>
      </c>
      <c r="S687" s="17">
        <f t="shared" si="53"/>
        <v>0.1897335261204085</v>
      </c>
      <c r="T687" s="38" t="str">
        <f t="shared" si="54"/>
        <v/>
      </c>
      <c r="U687" s="31" t="s">
        <v>1876</v>
      </c>
      <c r="V687" s="31"/>
    </row>
    <row r="688" spans="1:22" ht="30">
      <c r="A688" s="7">
        <v>35</v>
      </c>
      <c r="B688" s="7">
        <v>344</v>
      </c>
      <c r="C688" s="7">
        <v>46515.583333333336</v>
      </c>
      <c r="D688" s="7" t="s">
        <v>49</v>
      </c>
      <c r="E688" s="7" t="s">
        <v>47</v>
      </c>
      <c r="F688" s="7" t="s">
        <v>1742</v>
      </c>
      <c r="G688" s="7">
        <v>3</v>
      </c>
      <c r="H688" s="37">
        <f>Priors!$H$27*VLOOKUP(D688,Team_26_27!$A$2:$U$21,20,FALSE)*VLOOKUP(E688,Team_26_27!$A$2:$U$21,21,FALSE)*IF(F688="H",Priors!$H$28,Priors!$H$29)</f>
        <v>0.91708685409978496</v>
      </c>
      <c r="I688" s="37">
        <f>Priors!$H$27*VLOOKUP(E688,Team_26_27!$A$2:$U$21,20,FALSE)*VLOOKUP(D688,Team_26_27!$A$2:$U$21,21,FALSE)*IF(F688="H",Priors!$H$29,Priors!$H$28)</f>
        <v>1.9225983827233504</v>
      </c>
      <c r="J688" s="15"/>
      <c r="K688" s="15"/>
      <c r="L688" s="47" t="b">
        <v>0</v>
      </c>
      <c r="M688" s="45">
        <v>0</v>
      </c>
      <c r="N688" s="45"/>
      <c r="O688" s="45"/>
      <c r="P688" s="38">
        <f t="shared" si="50"/>
        <v>0.91708685409978496</v>
      </c>
      <c r="Q688" s="38">
        <f t="shared" si="51"/>
        <v>1.9225983827233504</v>
      </c>
      <c r="R688" s="17">
        <f t="shared" si="52"/>
        <v>0.1462265156196996</v>
      </c>
      <c r="S688" s="17">
        <f t="shared" si="53"/>
        <v>0.39968167783823499</v>
      </c>
      <c r="T688" s="38" t="str">
        <f t="shared" si="54"/>
        <v/>
      </c>
      <c r="U688" s="31" t="s">
        <v>1876</v>
      </c>
      <c r="V688" s="31"/>
    </row>
    <row r="689" spans="1:22" ht="30">
      <c r="A689" s="7">
        <v>35</v>
      </c>
      <c r="B689" s="7">
        <v>344</v>
      </c>
      <c r="C689" s="7">
        <v>46515.583333333336</v>
      </c>
      <c r="D689" s="7" t="s">
        <v>47</v>
      </c>
      <c r="E689" s="7" t="s">
        <v>49</v>
      </c>
      <c r="F689" s="7" t="s">
        <v>1743</v>
      </c>
      <c r="G689" s="7">
        <v>2</v>
      </c>
      <c r="H689" s="37">
        <f>Priors!$H$27*VLOOKUP(D689,Team_26_27!$A$2:$U$21,20,FALSE)*VLOOKUP(E689,Team_26_27!$A$2:$U$21,21,FALSE)*IF(F689="H",Priors!$H$28,Priors!$H$29)</f>
        <v>1.9225983827233504</v>
      </c>
      <c r="I689" s="37">
        <f>Priors!$H$27*VLOOKUP(E689,Team_26_27!$A$2:$U$21,20,FALSE)*VLOOKUP(D689,Team_26_27!$A$2:$U$21,21,FALSE)*IF(F689="H",Priors!$H$29,Priors!$H$28)</f>
        <v>0.91708685409978496</v>
      </c>
      <c r="J689" s="15"/>
      <c r="K689" s="15"/>
      <c r="L689" s="47" t="b">
        <v>0</v>
      </c>
      <c r="M689" s="45">
        <v>0</v>
      </c>
      <c r="N689" s="45"/>
      <c r="O689" s="45"/>
      <c r="P689" s="38">
        <f t="shared" si="50"/>
        <v>1.9225983827233504</v>
      </c>
      <c r="Q689" s="38">
        <f t="shared" si="51"/>
        <v>0.91708685409978496</v>
      </c>
      <c r="R689" s="17">
        <f t="shared" si="52"/>
        <v>0.39968167783823499</v>
      </c>
      <c r="S689" s="17">
        <f t="shared" si="53"/>
        <v>0.1462265156196996</v>
      </c>
      <c r="T689" s="38" t="str">
        <f t="shared" si="54"/>
        <v/>
      </c>
      <c r="U689" s="31" t="s">
        <v>1876</v>
      </c>
      <c r="V689" s="31"/>
    </row>
    <row r="690" spans="1:22" ht="30">
      <c r="A690" s="7">
        <v>35</v>
      </c>
      <c r="B690" s="7">
        <v>345</v>
      </c>
      <c r="C690" s="7">
        <v>46515.583333333336</v>
      </c>
      <c r="D690" s="7" t="s">
        <v>50</v>
      </c>
      <c r="E690" s="7" t="s">
        <v>48</v>
      </c>
      <c r="F690" s="7" t="s">
        <v>1742</v>
      </c>
      <c r="G690" s="7">
        <v>3</v>
      </c>
      <c r="H690" s="37">
        <f>Priors!$H$27*VLOOKUP(D690,Team_26_27!$A$2:$U$21,20,FALSE)*VLOOKUP(E690,Team_26_27!$A$2:$U$21,21,FALSE)*IF(F690="H",Priors!$H$28,Priors!$H$29)</f>
        <v>0.96208067460964541</v>
      </c>
      <c r="I690" s="37">
        <f>Priors!$H$27*VLOOKUP(E690,Team_26_27!$A$2:$U$21,20,FALSE)*VLOOKUP(D690,Team_26_27!$A$2:$U$21,21,FALSE)*IF(F690="H",Priors!$H$29,Priors!$H$28)</f>
        <v>1.8041055124331749</v>
      </c>
      <c r="J690" s="15"/>
      <c r="K690" s="15"/>
      <c r="L690" s="47" t="b">
        <v>0</v>
      </c>
      <c r="M690" s="45">
        <v>0</v>
      </c>
      <c r="N690" s="45"/>
      <c r="O690" s="45"/>
      <c r="P690" s="38">
        <f t="shared" si="50"/>
        <v>0.96208067460964541</v>
      </c>
      <c r="Q690" s="38">
        <f t="shared" si="51"/>
        <v>1.8041055124331749</v>
      </c>
      <c r="R690" s="17">
        <f t="shared" si="52"/>
        <v>0.16462164275191141</v>
      </c>
      <c r="S690" s="17">
        <f t="shared" si="53"/>
        <v>0.38209703870576861</v>
      </c>
      <c r="T690" s="38" t="str">
        <f t="shared" si="54"/>
        <v/>
      </c>
      <c r="U690" s="31" t="s">
        <v>1876</v>
      </c>
      <c r="V690" s="31"/>
    </row>
    <row r="691" spans="1:22" ht="30">
      <c r="A691" s="7">
        <v>35</v>
      </c>
      <c r="B691" s="7">
        <v>345</v>
      </c>
      <c r="C691" s="7">
        <v>46515.583333333336</v>
      </c>
      <c r="D691" s="7" t="s">
        <v>48</v>
      </c>
      <c r="E691" s="7" t="s">
        <v>50</v>
      </c>
      <c r="F691" s="7" t="s">
        <v>1743</v>
      </c>
      <c r="G691" s="7">
        <v>2</v>
      </c>
      <c r="H691" s="37">
        <f>Priors!$H$27*VLOOKUP(D691,Team_26_27!$A$2:$U$21,20,FALSE)*VLOOKUP(E691,Team_26_27!$A$2:$U$21,21,FALSE)*IF(F691="H",Priors!$H$28,Priors!$H$29)</f>
        <v>1.8041055124331749</v>
      </c>
      <c r="I691" s="37">
        <f>Priors!$H$27*VLOOKUP(E691,Team_26_27!$A$2:$U$21,20,FALSE)*VLOOKUP(D691,Team_26_27!$A$2:$U$21,21,FALSE)*IF(F691="H",Priors!$H$29,Priors!$H$28)</f>
        <v>0.96208067460964541</v>
      </c>
      <c r="J691" s="15"/>
      <c r="K691" s="15"/>
      <c r="L691" s="47" t="b">
        <v>0</v>
      </c>
      <c r="M691" s="45">
        <v>0</v>
      </c>
      <c r="N691" s="45"/>
      <c r="O691" s="45"/>
      <c r="P691" s="38">
        <f t="shared" si="50"/>
        <v>1.8041055124331749</v>
      </c>
      <c r="Q691" s="38">
        <f t="shared" si="51"/>
        <v>0.96208067460964541</v>
      </c>
      <c r="R691" s="17">
        <f t="shared" si="52"/>
        <v>0.38209703870576861</v>
      </c>
      <c r="S691" s="17">
        <f t="shared" si="53"/>
        <v>0.16462164275191141</v>
      </c>
      <c r="T691" s="38" t="str">
        <f t="shared" si="54"/>
        <v/>
      </c>
      <c r="U691" s="31" t="s">
        <v>1876</v>
      </c>
      <c r="V691" s="31"/>
    </row>
    <row r="692" spans="1:22" ht="30">
      <c r="A692" s="7">
        <v>35</v>
      </c>
      <c r="B692" s="7">
        <v>346</v>
      </c>
      <c r="C692" s="7">
        <v>46515.583333333336</v>
      </c>
      <c r="D692" s="7" t="s">
        <v>39</v>
      </c>
      <c r="E692" s="7" t="s">
        <v>51</v>
      </c>
      <c r="F692" s="7" t="s">
        <v>1742</v>
      </c>
      <c r="G692" s="7">
        <v>3</v>
      </c>
      <c r="H692" s="37">
        <f>Priors!$H$27*VLOOKUP(D692,Team_26_27!$A$2:$U$21,20,FALSE)*VLOOKUP(E692,Team_26_27!$A$2:$U$21,21,FALSE)*IF(F692="H",Priors!$H$28,Priors!$H$29)</f>
        <v>1.5148464298666744</v>
      </c>
      <c r="I692" s="37">
        <f>Priors!$H$27*VLOOKUP(E692,Team_26_27!$A$2:$U$21,20,FALSE)*VLOOKUP(D692,Team_26_27!$A$2:$U$21,21,FALSE)*IF(F692="H",Priors!$H$29,Priors!$H$28)</f>
        <v>1.0494754645332618</v>
      </c>
      <c r="J692" s="15"/>
      <c r="K692" s="15"/>
      <c r="L692" s="47" t="b">
        <v>0</v>
      </c>
      <c r="M692" s="45">
        <v>0</v>
      </c>
      <c r="N692" s="45"/>
      <c r="O692" s="45"/>
      <c r="P692" s="38">
        <f t="shared" si="50"/>
        <v>1.5148464298666744</v>
      </c>
      <c r="Q692" s="38">
        <f t="shared" si="51"/>
        <v>1.0494754645332618</v>
      </c>
      <c r="R692" s="17">
        <f t="shared" si="52"/>
        <v>0.35012135202062394</v>
      </c>
      <c r="S692" s="17">
        <f t="shared" si="53"/>
        <v>0.21984194341210211</v>
      </c>
      <c r="T692" s="38" t="str">
        <f t="shared" si="54"/>
        <v/>
      </c>
      <c r="U692" s="31" t="s">
        <v>1876</v>
      </c>
      <c r="V692" s="31"/>
    </row>
    <row r="693" spans="1:22" ht="30">
      <c r="A693" s="7">
        <v>35</v>
      </c>
      <c r="B693" s="7">
        <v>346</v>
      </c>
      <c r="C693" s="7">
        <v>46515.583333333336</v>
      </c>
      <c r="D693" s="7" t="s">
        <v>51</v>
      </c>
      <c r="E693" s="7" t="s">
        <v>39</v>
      </c>
      <c r="F693" s="7" t="s">
        <v>1743</v>
      </c>
      <c r="G693" s="7">
        <v>4</v>
      </c>
      <c r="H693" s="37">
        <f>Priors!$H$27*VLOOKUP(D693,Team_26_27!$A$2:$U$21,20,FALSE)*VLOOKUP(E693,Team_26_27!$A$2:$U$21,21,FALSE)*IF(F693="H",Priors!$H$28,Priors!$H$29)</f>
        <v>1.0494754645332618</v>
      </c>
      <c r="I693" s="37">
        <f>Priors!$H$27*VLOOKUP(E693,Team_26_27!$A$2:$U$21,20,FALSE)*VLOOKUP(D693,Team_26_27!$A$2:$U$21,21,FALSE)*IF(F693="H",Priors!$H$29,Priors!$H$28)</f>
        <v>1.5148464298666744</v>
      </c>
      <c r="J693" s="15"/>
      <c r="K693" s="15"/>
      <c r="L693" s="47" t="b">
        <v>0</v>
      </c>
      <c r="M693" s="45">
        <v>0</v>
      </c>
      <c r="N693" s="45"/>
      <c r="O693" s="45"/>
      <c r="P693" s="38">
        <f t="shared" si="50"/>
        <v>1.0494754645332618</v>
      </c>
      <c r="Q693" s="38">
        <f t="shared" si="51"/>
        <v>1.5148464298666744</v>
      </c>
      <c r="R693" s="17">
        <f t="shared" si="52"/>
        <v>0.21984194341210211</v>
      </c>
      <c r="S693" s="17">
        <f t="shared" si="53"/>
        <v>0.35012135202062394</v>
      </c>
      <c r="T693" s="38" t="str">
        <f t="shared" si="54"/>
        <v/>
      </c>
      <c r="U693" s="31" t="s">
        <v>1876</v>
      </c>
      <c r="V693" s="31"/>
    </row>
    <row r="694" spans="1:22" ht="30">
      <c r="A694" s="7">
        <v>35</v>
      </c>
      <c r="B694" s="7">
        <v>347</v>
      </c>
      <c r="C694" s="7">
        <v>46515.583333333336</v>
      </c>
      <c r="D694" s="7" t="s">
        <v>52</v>
      </c>
      <c r="E694" s="7" t="s">
        <v>53</v>
      </c>
      <c r="F694" s="7" t="s">
        <v>1742</v>
      </c>
      <c r="G694" s="7">
        <v>5</v>
      </c>
      <c r="H694" s="37">
        <f>Priors!$H$27*VLOOKUP(D694,Team_26_27!$A$2:$U$21,20,FALSE)*VLOOKUP(E694,Team_26_27!$A$2:$U$21,21,FALSE)*IF(F694="H",Priors!$H$28,Priors!$H$29)</f>
        <v>1.2385867226214715</v>
      </c>
      <c r="I694" s="37">
        <f>Priors!$H$27*VLOOKUP(E694,Team_26_27!$A$2:$U$21,20,FALSE)*VLOOKUP(D694,Team_26_27!$A$2:$U$21,21,FALSE)*IF(F694="H",Priors!$H$29,Priors!$H$28)</f>
        <v>1.7233738559022871</v>
      </c>
      <c r="J694" s="15"/>
      <c r="K694" s="15"/>
      <c r="L694" s="47" t="b">
        <v>0</v>
      </c>
      <c r="M694" s="45">
        <v>0</v>
      </c>
      <c r="N694" s="45"/>
      <c r="O694" s="45"/>
      <c r="P694" s="38">
        <f t="shared" si="50"/>
        <v>1.2385867226214715</v>
      </c>
      <c r="Q694" s="38">
        <f t="shared" si="51"/>
        <v>1.7233738559022871</v>
      </c>
      <c r="R694" s="17">
        <f t="shared" si="52"/>
        <v>0.1784630225326316</v>
      </c>
      <c r="S694" s="17">
        <f t="shared" si="53"/>
        <v>0.28979348724537196</v>
      </c>
      <c r="T694" s="38" t="str">
        <f t="shared" si="54"/>
        <v/>
      </c>
      <c r="U694" s="31" t="s">
        <v>1876</v>
      </c>
      <c r="V694" s="31"/>
    </row>
    <row r="695" spans="1:22" ht="30">
      <c r="A695" s="7">
        <v>35</v>
      </c>
      <c r="B695" s="7">
        <v>347</v>
      </c>
      <c r="C695" s="7">
        <v>46515.583333333336</v>
      </c>
      <c r="D695" s="7" t="s">
        <v>53</v>
      </c>
      <c r="E695" s="7" t="s">
        <v>52</v>
      </c>
      <c r="F695" s="7" t="s">
        <v>1743</v>
      </c>
      <c r="G695" s="7">
        <v>4</v>
      </c>
      <c r="H695" s="37">
        <f>Priors!$H$27*VLOOKUP(D695,Team_26_27!$A$2:$U$21,20,FALSE)*VLOOKUP(E695,Team_26_27!$A$2:$U$21,21,FALSE)*IF(F695="H",Priors!$H$28,Priors!$H$29)</f>
        <v>1.7233738559022871</v>
      </c>
      <c r="I695" s="37">
        <f>Priors!$H$27*VLOOKUP(E695,Team_26_27!$A$2:$U$21,20,FALSE)*VLOOKUP(D695,Team_26_27!$A$2:$U$21,21,FALSE)*IF(F695="H",Priors!$H$29,Priors!$H$28)</f>
        <v>1.2385867226214715</v>
      </c>
      <c r="J695" s="15"/>
      <c r="K695" s="15"/>
      <c r="L695" s="47" t="b">
        <v>0</v>
      </c>
      <c r="M695" s="45">
        <v>0</v>
      </c>
      <c r="N695" s="45"/>
      <c r="O695" s="45"/>
      <c r="P695" s="38">
        <f t="shared" si="50"/>
        <v>1.7233738559022871</v>
      </c>
      <c r="Q695" s="38">
        <f t="shared" si="51"/>
        <v>1.2385867226214715</v>
      </c>
      <c r="R695" s="17">
        <f t="shared" si="52"/>
        <v>0.28979348724537196</v>
      </c>
      <c r="S695" s="17">
        <f t="shared" si="53"/>
        <v>0.1784630225326316</v>
      </c>
      <c r="T695" s="38" t="str">
        <f t="shared" si="54"/>
        <v/>
      </c>
      <c r="U695" s="31" t="s">
        <v>1876</v>
      </c>
      <c r="V695" s="31"/>
    </row>
    <row r="696" spans="1:22" ht="30">
      <c r="A696" s="7">
        <v>35</v>
      </c>
      <c r="B696" s="7">
        <v>348</v>
      </c>
      <c r="C696" s="7">
        <v>46515.583333333336</v>
      </c>
      <c r="D696" s="7" t="s">
        <v>45</v>
      </c>
      <c r="E696" s="7" t="s">
        <v>55</v>
      </c>
      <c r="F696" s="7" t="s">
        <v>1742</v>
      </c>
      <c r="G696" s="7">
        <v>3</v>
      </c>
      <c r="H696" s="37">
        <f>Priors!$H$27*VLOOKUP(D696,Team_26_27!$A$2:$U$21,20,FALSE)*VLOOKUP(E696,Team_26_27!$A$2:$U$21,21,FALSE)*IF(F696="H",Priors!$H$28,Priors!$H$29)</f>
        <v>0.97436889610378419</v>
      </c>
      <c r="I696" s="37">
        <f>Priors!$H$27*VLOOKUP(E696,Team_26_27!$A$2:$U$21,20,FALSE)*VLOOKUP(D696,Team_26_27!$A$2:$U$21,21,FALSE)*IF(F696="H",Priors!$H$29,Priors!$H$28)</f>
        <v>2.0113015857185292</v>
      </c>
      <c r="J696" s="15"/>
      <c r="K696" s="15"/>
      <c r="L696" s="47" t="b">
        <v>0</v>
      </c>
      <c r="M696" s="45">
        <v>0</v>
      </c>
      <c r="N696" s="45"/>
      <c r="O696" s="45"/>
      <c r="P696" s="38">
        <f t="shared" si="50"/>
        <v>0.97436889610378419</v>
      </c>
      <c r="Q696" s="38">
        <f t="shared" si="51"/>
        <v>2.0113015857185292</v>
      </c>
      <c r="R696" s="17">
        <f t="shared" si="52"/>
        <v>0.13381439037099285</v>
      </c>
      <c r="S696" s="17">
        <f t="shared" si="53"/>
        <v>0.37743047625929055</v>
      </c>
      <c r="T696" s="38" t="str">
        <f t="shared" si="54"/>
        <v/>
      </c>
      <c r="U696" s="31" t="s">
        <v>1876</v>
      </c>
      <c r="V696" s="31"/>
    </row>
    <row r="697" spans="1:22" ht="30">
      <c r="A697" s="7">
        <v>35</v>
      </c>
      <c r="B697" s="7">
        <v>348</v>
      </c>
      <c r="C697" s="7">
        <v>46515.583333333336</v>
      </c>
      <c r="D697" s="7" t="s">
        <v>55</v>
      </c>
      <c r="E697" s="7" t="s">
        <v>45</v>
      </c>
      <c r="F697" s="7" t="s">
        <v>1743</v>
      </c>
      <c r="G697" s="7">
        <v>2</v>
      </c>
      <c r="H697" s="37">
        <f>Priors!$H$27*VLOOKUP(D697,Team_26_27!$A$2:$U$21,20,FALSE)*VLOOKUP(E697,Team_26_27!$A$2:$U$21,21,FALSE)*IF(F697="H",Priors!$H$28,Priors!$H$29)</f>
        <v>2.0113015857185292</v>
      </c>
      <c r="I697" s="37">
        <f>Priors!$H$27*VLOOKUP(E697,Team_26_27!$A$2:$U$21,20,FALSE)*VLOOKUP(D697,Team_26_27!$A$2:$U$21,21,FALSE)*IF(F697="H",Priors!$H$29,Priors!$H$28)</f>
        <v>0.97436889610378419</v>
      </c>
      <c r="J697" s="15"/>
      <c r="K697" s="15"/>
      <c r="L697" s="47" t="b">
        <v>0</v>
      </c>
      <c r="M697" s="45">
        <v>0</v>
      </c>
      <c r="N697" s="45"/>
      <c r="O697" s="45"/>
      <c r="P697" s="38">
        <f t="shared" si="50"/>
        <v>2.0113015857185292</v>
      </c>
      <c r="Q697" s="38">
        <f t="shared" si="51"/>
        <v>0.97436889610378419</v>
      </c>
      <c r="R697" s="17">
        <f t="shared" si="52"/>
        <v>0.37743047625929055</v>
      </c>
      <c r="S697" s="17">
        <f t="shared" si="53"/>
        <v>0.13381439037099285</v>
      </c>
      <c r="T697" s="38" t="str">
        <f t="shared" si="54"/>
        <v/>
      </c>
      <c r="U697" s="31" t="s">
        <v>1876</v>
      </c>
      <c r="V697" s="31"/>
    </row>
    <row r="698" spans="1:22" ht="30">
      <c r="A698" s="7">
        <v>35</v>
      </c>
      <c r="B698" s="7">
        <v>349</v>
      </c>
      <c r="C698" s="7">
        <v>46515.583333333336</v>
      </c>
      <c r="D698" s="7" t="s">
        <v>46</v>
      </c>
      <c r="E698" s="7" t="s">
        <v>56</v>
      </c>
      <c r="F698" s="7" t="s">
        <v>1742</v>
      </c>
      <c r="G698" s="7">
        <v>3</v>
      </c>
      <c r="H698" s="37">
        <f>Priors!$H$27*VLOOKUP(D698,Team_26_27!$A$2:$U$21,20,FALSE)*VLOOKUP(E698,Team_26_27!$A$2:$U$21,21,FALSE)*IF(F698="H",Priors!$H$28,Priors!$H$29)</f>
        <v>1.3815556640816598</v>
      </c>
      <c r="I698" s="37">
        <f>Priors!$H$27*VLOOKUP(E698,Team_26_27!$A$2:$U$21,20,FALSE)*VLOOKUP(D698,Team_26_27!$A$2:$U$21,21,FALSE)*IF(F698="H",Priors!$H$29,Priors!$H$28)</f>
        <v>1.4062779689984988</v>
      </c>
      <c r="J698" s="15"/>
      <c r="K698" s="15"/>
      <c r="L698" s="47" t="b">
        <v>0</v>
      </c>
      <c r="M698" s="45">
        <v>0</v>
      </c>
      <c r="N698" s="45"/>
      <c r="O698" s="45"/>
      <c r="P698" s="38">
        <f t="shared" si="50"/>
        <v>1.3815556640816598</v>
      </c>
      <c r="Q698" s="38">
        <f t="shared" si="51"/>
        <v>1.4062779689984988</v>
      </c>
      <c r="R698" s="17">
        <f t="shared" si="52"/>
        <v>0.24505368524352186</v>
      </c>
      <c r="S698" s="17">
        <f t="shared" si="53"/>
        <v>0.25118748560471038</v>
      </c>
      <c r="T698" s="38" t="str">
        <f t="shared" si="54"/>
        <v/>
      </c>
      <c r="U698" s="31" t="s">
        <v>1876</v>
      </c>
      <c r="V698" s="31"/>
    </row>
    <row r="699" spans="1:22" ht="30">
      <c r="A699" s="7">
        <v>35</v>
      </c>
      <c r="B699" s="7">
        <v>349</v>
      </c>
      <c r="C699" s="7">
        <v>46515.583333333336</v>
      </c>
      <c r="D699" s="7" t="s">
        <v>56</v>
      </c>
      <c r="E699" s="7" t="s">
        <v>46</v>
      </c>
      <c r="F699" s="7" t="s">
        <v>1743</v>
      </c>
      <c r="G699" s="7">
        <v>3</v>
      </c>
      <c r="H699" s="37">
        <f>Priors!$H$27*VLOOKUP(D699,Team_26_27!$A$2:$U$21,20,FALSE)*VLOOKUP(E699,Team_26_27!$A$2:$U$21,21,FALSE)*IF(F699="H",Priors!$H$28,Priors!$H$29)</f>
        <v>1.4062779689984988</v>
      </c>
      <c r="I699" s="37">
        <f>Priors!$H$27*VLOOKUP(E699,Team_26_27!$A$2:$U$21,20,FALSE)*VLOOKUP(D699,Team_26_27!$A$2:$U$21,21,FALSE)*IF(F699="H",Priors!$H$29,Priors!$H$28)</f>
        <v>1.3815556640816598</v>
      </c>
      <c r="J699" s="15"/>
      <c r="K699" s="15"/>
      <c r="L699" s="47" t="b">
        <v>0</v>
      </c>
      <c r="M699" s="45">
        <v>0</v>
      </c>
      <c r="N699" s="45"/>
      <c r="O699" s="45"/>
      <c r="P699" s="38">
        <f t="shared" si="50"/>
        <v>1.4062779689984988</v>
      </c>
      <c r="Q699" s="38">
        <f t="shared" si="51"/>
        <v>1.3815556640816598</v>
      </c>
      <c r="R699" s="17">
        <f t="shared" si="52"/>
        <v>0.25118748560471038</v>
      </c>
      <c r="S699" s="17">
        <f t="shared" si="53"/>
        <v>0.24505368524352186</v>
      </c>
      <c r="T699" s="38" t="str">
        <f t="shared" si="54"/>
        <v/>
      </c>
      <c r="U699" s="31" t="s">
        <v>1876</v>
      </c>
      <c r="V699" s="31"/>
    </row>
    <row r="700" spans="1:22" ht="30">
      <c r="A700" s="7">
        <v>35</v>
      </c>
      <c r="B700" s="7">
        <v>350</v>
      </c>
      <c r="C700" s="7">
        <v>46515.583333333336</v>
      </c>
      <c r="D700" s="7" t="s">
        <v>44</v>
      </c>
      <c r="E700" s="7" t="s">
        <v>57</v>
      </c>
      <c r="F700" s="7" t="s">
        <v>1742</v>
      </c>
      <c r="G700" s="7">
        <v>3</v>
      </c>
      <c r="H700" s="37">
        <f>Priors!$H$27*VLOOKUP(D700,Team_26_27!$A$2:$U$21,20,FALSE)*VLOOKUP(E700,Team_26_27!$A$2:$U$21,21,FALSE)*IF(F700="H",Priors!$H$28,Priors!$H$29)</f>
        <v>1.4169067756283535</v>
      </c>
      <c r="I700" s="37">
        <f>Priors!$H$27*VLOOKUP(E700,Team_26_27!$A$2:$U$21,20,FALSE)*VLOOKUP(D700,Team_26_27!$A$2:$U$21,21,FALSE)*IF(F700="H",Priors!$H$29,Priors!$H$28)</f>
        <v>1.2610121833583534</v>
      </c>
      <c r="J700" s="15"/>
      <c r="K700" s="15"/>
      <c r="L700" s="47" t="b">
        <v>0</v>
      </c>
      <c r="M700" s="45">
        <v>0</v>
      </c>
      <c r="N700" s="45"/>
      <c r="O700" s="45"/>
      <c r="P700" s="38">
        <f t="shared" si="50"/>
        <v>1.4169067756283535</v>
      </c>
      <c r="Q700" s="38">
        <f t="shared" si="51"/>
        <v>1.2610121833583534</v>
      </c>
      <c r="R700" s="17">
        <f t="shared" si="52"/>
        <v>0.28336706186952892</v>
      </c>
      <c r="S700" s="17">
        <f t="shared" si="53"/>
        <v>0.24246285014262178</v>
      </c>
      <c r="T700" s="38" t="str">
        <f t="shared" si="54"/>
        <v/>
      </c>
      <c r="U700" s="31" t="s">
        <v>1876</v>
      </c>
      <c r="V700" s="31"/>
    </row>
    <row r="701" spans="1:22" ht="30">
      <c r="A701" s="7">
        <v>35</v>
      </c>
      <c r="B701" s="7">
        <v>350</v>
      </c>
      <c r="C701" s="7">
        <v>46515.583333333336</v>
      </c>
      <c r="D701" s="7" t="s">
        <v>57</v>
      </c>
      <c r="E701" s="7" t="s">
        <v>44</v>
      </c>
      <c r="F701" s="7" t="s">
        <v>1743</v>
      </c>
      <c r="G701" s="7">
        <v>4</v>
      </c>
      <c r="H701" s="37">
        <f>Priors!$H$27*VLOOKUP(D701,Team_26_27!$A$2:$U$21,20,FALSE)*VLOOKUP(E701,Team_26_27!$A$2:$U$21,21,FALSE)*IF(F701="H",Priors!$H$28,Priors!$H$29)</f>
        <v>1.2610121833583534</v>
      </c>
      <c r="I701" s="37">
        <f>Priors!$H$27*VLOOKUP(E701,Team_26_27!$A$2:$U$21,20,FALSE)*VLOOKUP(D701,Team_26_27!$A$2:$U$21,21,FALSE)*IF(F701="H",Priors!$H$29,Priors!$H$28)</f>
        <v>1.4169067756283535</v>
      </c>
      <c r="J701" s="15"/>
      <c r="K701" s="15"/>
      <c r="L701" s="47" t="b">
        <v>0</v>
      </c>
      <c r="M701" s="45">
        <v>0</v>
      </c>
      <c r="N701" s="45"/>
      <c r="O701" s="45"/>
      <c r="P701" s="38">
        <f t="shared" si="50"/>
        <v>1.2610121833583534</v>
      </c>
      <c r="Q701" s="38">
        <f t="shared" si="51"/>
        <v>1.4169067756283535</v>
      </c>
      <c r="R701" s="17">
        <f t="shared" si="52"/>
        <v>0.24246285014262178</v>
      </c>
      <c r="S701" s="17">
        <f t="shared" si="53"/>
        <v>0.28336706186952892</v>
      </c>
      <c r="T701" s="38" t="str">
        <f t="shared" si="54"/>
        <v/>
      </c>
      <c r="U701" s="31" t="s">
        <v>1876</v>
      </c>
      <c r="V701" s="31"/>
    </row>
    <row r="702" spans="1:22" ht="30">
      <c r="A702" s="7">
        <v>36</v>
      </c>
      <c r="B702" s="7">
        <v>351</v>
      </c>
      <c r="C702" s="7">
        <v>46522.583333333336</v>
      </c>
      <c r="D702" s="7" t="s">
        <v>56</v>
      </c>
      <c r="E702" s="7" t="s">
        <v>39</v>
      </c>
      <c r="F702" s="7" t="s">
        <v>1742</v>
      </c>
      <c r="G702" s="7">
        <v>5</v>
      </c>
      <c r="H702" s="37">
        <f>Priors!$H$27*VLOOKUP(D702,Team_26_27!$A$2:$U$21,20,FALSE)*VLOOKUP(E702,Team_26_27!$A$2:$U$21,21,FALSE)*IF(F702="H",Priors!$H$28,Priors!$H$29)</f>
        <v>0.78417256250092893</v>
      </c>
      <c r="I702" s="37">
        <f>Priors!$H$27*VLOOKUP(E702,Team_26_27!$A$2:$U$21,20,FALSE)*VLOOKUP(D702,Team_26_27!$A$2:$U$21,21,FALSE)*IF(F702="H",Priors!$H$29,Priors!$H$28)</f>
        <v>1.868072484987886</v>
      </c>
      <c r="J702" s="15"/>
      <c r="K702" s="15"/>
      <c r="L702" s="47" t="b">
        <v>0</v>
      </c>
      <c r="M702" s="45">
        <v>0</v>
      </c>
      <c r="N702" s="45"/>
      <c r="O702" s="45"/>
      <c r="P702" s="38">
        <f t="shared" si="50"/>
        <v>0.78417256250092893</v>
      </c>
      <c r="Q702" s="38">
        <f t="shared" si="51"/>
        <v>1.868072484987886</v>
      </c>
      <c r="R702" s="17">
        <f t="shared" si="52"/>
        <v>0.15442102397995427</v>
      </c>
      <c r="S702" s="17">
        <f t="shared" si="53"/>
        <v>0.45649726851585543</v>
      </c>
      <c r="T702" s="38" t="str">
        <f t="shared" si="54"/>
        <v/>
      </c>
      <c r="U702" s="31" t="s">
        <v>1876</v>
      </c>
      <c r="V702" s="31"/>
    </row>
    <row r="703" spans="1:22" ht="30">
      <c r="A703" s="7">
        <v>36</v>
      </c>
      <c r="B703" s="7">
        <v>351</v>
      </c>
      <c r="C703" s="7">
        <v>46522.583333333336</v>
      </c>
      <c r="D703" s="7" t="s">
        <v>39</v>
      </c>
      <c r="E703" s="7" t="s">
        <v>56</v>
      </c>
      <c r="F703" s="7" t="s">
        <v>1743</v>
      </c>
      <c r="G703" s="7">
        <v>3</v>
      </c>
      <c r="H703" s="37">
        <f>Priors!$H$27*VLOOKUP(D703,Team_26_27!$A$2:$U$21,20,FALSE)*VLOOKUP(E703,Team_26_27!$A$2:$U$21,21,FALSE)*IF(F703="H",Priors!$H$28,Priors!$H$29)</f>
        <v>1.868072484987886</v>
      </c>
      <c r="I703" s="37">
        <f>Priors!$H$27*VLOOKUP(E703,Team_26_27!$A$2:$U$21,20,FALSE)*VLOOKUP(D703,Team_26_27!$A$2:$U$21,21,FALSE)*IF(F703="H",Priors!$H$29,Priors!$H$28)</f>
        <v>0.78417256250092893</v>
      </c>
      <c r="J703" s="15"/>
      <c r="K703" s="15"/>
      <c r="L703" s="47" t="b">
        <v>0</v>
      </c>
      <c r="M703" s="45">
        <v>0</v>
      </c>
      <c r="N703" s="45"/>
      <c r="O703" s="45"/>
      <c r="P703" s="38">
        <f t="shared" si="50"/>
        <v>1.868072484987886</v>
      </c>
      <c r="Q703" s="38">
        <f t="shared" si="51"/>
        <v>0.78417256250092893</v>
      </c>
      <c r="R703" s="17">
        <f t="shared" si="52"/>
        <v>0.45649726851585543</v>
      </c>
      <c r="S703" s="17">
        <f t="shared" si="53"/>
        <v>0.15442102397995427</v>
      </c>
      <c r="T703" s="38" t="str">
        <f t="shared" si="54"/>
        <v/>
      </c>
      <c r="U703" s="31" t="s">
        <v>1876</v>
      </c>
      <c r="V703" s="31"/>
    </row>
    <row r="704" spans="1:22" ht="30">
      <c r="A704" s="7">
        <v>36</v>
      </c>
      <c r="B704" s="7">
        <v>352</v>
      </c>
      <c r="C704" s="7">
        <v>46522.583333333336</v>
      </c>
      <c r="D704" s="7" t="s">
        <v>55</v>
      </c>
      <c r="E704" s="7" t="s">
        <v>40</v>
      </c>
      <c r="F704" s="7" t="s">
        <v>1742</v>
      </c>
      <c r="G704" s="7">
        <v>4</v>
      </c>
      <c r="H704" s="37">
        <f>Priors!$H$27*VLOOKUP(D704,Team_26_27!$A$2:$U$21,20,FALSE)*VLOOKUP(E704,Team_26_27!$A$2:$U$21,21,FALSE)*IF(F704="H",Priors!$H$28,Priors!$H$29)</f>
        <v>1.3233943757710429</v>
      </c>
      <c r="I704" s="37">
        <f>Priors!$H$27*VLOOKUP(E704,Team_26_27!$A$2:$U$21,20,FALSE)*VLOOKUP(D704,Team_26_27!$A$2:$U$21,21,FALSE)*IF(F704="H",Priors!$H$29,Priors!$H$28)</f>
        <v>1.4108785084127291</v>
      </c>
      <c r="J704" s="15"/>
      <c r="K704" s="15"/>
      <c r="L704" s="47" t="b">
        <v>0</v>
      </c>
      <c r="M704" s="45">
        <v>0</v>
      </c>
      <c r="N704" s="45"/>
      <c r="O704" s="45"/>
      <c r="P704" s="38">
        <f t="shared" si="50"/>
        <v>1.3233943757710429</v>
      </c>
      <c r="Q704" s="38">
        <f t="shared" si="51"/>
        <v>1.4108785084127291</v>
      </c>
      <c r="R704" s="17">
        <f t="shared" si="52"/>
        <v>0.24392889540978197</v>
      </c>
      <c r="S704" s="17">
        <f t="shared" si="53"/>
        <v>0.26623008156750727</v>
      </c>
      <c r="T704" s="38" t="str">
        <f t="shared" si="54"/>
        <v/>
      </c>
      <c r="U704" s="31" t="s">
        <v>1876</v>
      </c>
      <c r="V704" s="31"/>
    </row>
    <row r="705" spans="1:22" ht="30">
      <c r="A705" s="7">
        <v>36</v>
      </c>
      <c r="B705" s="7">
        <v>352</v>
      </c>
      <c r="C705" s="7">
        <v>46522.583333333336</v>
      </c>
      <c r="D705" s="7" t="s">
        <v>40</v>
      </c>
      <c r="E705" s="7" t="s">
        <v>55</v>
      </c>
      <c r="F705" s="7" t="s">
        <v>1743</v>
      </c>
      <c r="G705" s="7">
        <v>2</v>
      </c>
      <c r="H705" s="37">
        <f>Priors!$H$27*VLOOKUP(D705,Team_26_27!$A$2:$U$21,20,FALSE)*VLOOKUP(E705,Team_26_27!$A$2:$U$21,21,FALSE)*IF(F705="H",Priors!$H$28,Priors!$H$29)</f>
        <v>1.4108785084127291</v>
      </c>
      <c r="I705" s="37">
        <f>Priors!$H$27*VLOOKUP(E705,Team_26_27!$A$2:$U$21,20,FALSE)*VLOOKUP(D705,Team_26_27!$A$2:$U$21,21,FALSE)*IF(F705="H",Priors!$H$29,Priors!$H$28)</f>
        <v>1.3233943757710429</v>
      </c>
      <c r="J705" s="15"/>
      <c r="K705" s="15"/>
      <c r="L705" s="47" t="b">
        <v>0</v>
      </c>
      <c r="M705" s="45">
        <v>0</v>
      </c>
      <c r="N705" s="45"/>
      <c r="O705" s="45"/>
      <c r="P705" s="38">
        <f t="shared" si="50"/>
        <v>1.4108785084127291</v>
      </c>
      <c r="Q705" s="38">
        <f t="shared" si="51"/>
        <v>1.3233943757710429</v>
      </c>
      <c r="R705" s="17">
        <f t="shared" si="52"/>
        <v>0.26623008156750727</v>
      </c>
      <c r="S705" s="17">
        <f t="shared" si="53"/>
        <v>0.24392889540978197</v>
      </c>
      <c r="T705" s="38" t="str">
        <f t="shared" si="54"/>
        <v/>
      </c>
      <c r="U705" s="31" t="s">
        <v>1876</v>
      </c>
      <c r="V705" s="31"/>
    </row>
    <row r="706" spans="1:22" ht="30">
      <c r="A706" s="7">
        <v>36</v>
      </c>
      <c r="B706" s="7">
        <v>353</v>
      </c>
      <c r="C706" s="7">
        <v>46522.583333333336</v>
      </c>
      <c r="D706" s="7" t="s">
        <v>47</v>
      </c>
      <c r="E706" s="7" t="s">
        <v>44</v>
      </c>
      <c r="F706" s="7" t="s">
        <v>1742</v>
      </c>
      <c r="G706" s="7">
        <v>4</v>
      </c>
      <c r="H706" s="37">
        <f>Priors!$H$27*VLOOKUP(D706,Team_26_27!$A$2:$U$21,20,FALSE)*VLOOKUP(E706,Team_26_27!$A$2:$U$21,21,FALSE)*IF(F706="H",Priors!$H$28,Priors!$H$29)</f>
        <v>1.1418787668886279</v>
      </c>
      <c r="I706" s="37">
        <f>Priors!$H$27*VLOOKUP(E706,Team_26_27!$A$2:$U$21,20,FALSE)*VLOOKUP(D706,Team_26_27!$A$2:$U$21,21,FALSE)*IF(F706="H",Priors!$H$29,Priors!$H$28)</f>
        <v>1.8286722131100839</v>
      </c>
      <c r="J706" s="15"/>
      <c r="K706" s="15"/>
      <c r="L706" s="47" t="b">
        <v>0</v>
      </c>
      <c r="M706" s="45">
        <v>0</v>
      </c>
      <c r="N706" s="45"/>
      <c r="O706" s="45"/>
      <c r="P706" s="38">
        <f t="shared" ref="P706:P761" si="55">IF(N706&lt;&gt;"",N706,IF(L706=TRUE,M706*J706+(1-M706)*H706,H706))</f>
        <v>1.1418787668886279</v>
      </c>
      <c r="Q706" s="38">
        <f t="shared" ref="Q706:Q761" si="56">IF(O706&lt;&gt;"",O706,IF(L706=TRUE,M706*K706+(1-M706)*I706,I706))</f>
        <v>1.8286722131100839</v>
      </c>
      <c r="R706" s="17">
        <f t="shared" ref="R706:R769" si="57">EXP(-Q706)</f>
        <v>0.1606267042760415</v>
      </c>
      <c r="S706" s="17">
        <f t="shared" ref="S706:S761" si="58">EXP(-P706)</f>
        <v>0.31921872051744066</v>
      </c>
      <c r="T706" s="38" t="str">
        <f t="shared" ref="T706:T761" si="59">IF(L706=TRUE,J706-H706,"")</f>
        <v/>
      </c>
      <c r="U706" s="31" t="s">
        <v>1876</v>
      </c>
      <c r="V706" s="31"/>
    </row>
    <row r="707" spans="1:22" ht="30">
      <c r="A707" s="7">
        <v>36</v>
      </c>
      <c r="B707" s="7">
        <v>353</v>
      </c>
      <c r="C707" s="7">
        <v>46522.583333333336</v>
      </c>
      <c r="D707" s="7" t="s">
        <v>44</v>
      </c>
      <c r="E707" s="7" t="s">
        <v>47</v>
      </c>
      <c r="F707" s="7" t="s">
        <v>1743</v>
      </c>
      <c r="G707" s="7">
        <v>3</v>
      </c>
      <c r="H707" s="37">
        <f>Priors!$H$27*VLOOKUP(D707,Team_26_27!$A$2:$U$21,20,FALSE)*VLOOKUP(E707,Team_26_27!$A$2:$U$21,21,FALSE)*IF(F707="H",Priors!$H$28,Priors!$H$29)</f>
        <v>1.8286722131100839</v>
      </c>
      <c r="I707" s="37">
        <f>Priors!$H$27*VLOOKUP(E707,Team_26_27!$A$2:$U$21,20,FALSE)*VLOOKUP(D707,Team_26_27!$A$2:$U$21,21,FALSE)*IF(F707="H",Priors!$H$29,Priors!$H$28)</f>
        <v>1.1418787668886279</v>
      </c>
      <c r="J707" s="15"/>
      <c r="K707" s="15"/>
      <c r="L707" s="47" t="b">
        <v>0</v>
      </c>
      <c r="M707" s="45">
        <v>0</v>
      </c>
      <c r="N707" s="45"/>
      <c r="O707" s="45"/>
      <c r="P707" s="38">
        <f t="shared" si="55"/>
        <v>1.8286722131100839</v>
      </c>
      <c r="Q707" s="38">
        <f t="shared" si="56"/>
        <v>1.1418787668886279</v>
      </c>
      <c r="R707" s="17">
        <f t="shared" si="57"/>
        <v>0.31921872051744066</v>
      </c>
      <c r="S707" s="17">
        <f t="shared" si="58"/>
        <v>0.1606267042760415</v>
      </c>
      <c r="T707" s="38" t="str">
        <f t="shared" si="59"/>
        <v/>
      </c>
      <c r="U707" s="31" t="s">
        <v>1876</v>
      </c>
      <c r="V707" s="31"/>
    </row>
    <row r="708" spans="1:22" ht="30">
      <c r="A708" s="7">
        <v>36</v>
      </c>
      <c r="B708" s="7">
        <v>354</v>
      </c>
      <c r="C708" s="7">
        <v>46522.583333333336</v>
      </c>
      <c r="D708" s="7" t="s">
        <v>57</v>
      </c>
      <c r="E708" s="7" t="s">
        <v>45</v>
      </c>
      <c r="F708" s="7" t="s">
        <v>1742</v>
      </c>
      <c r="G708" s="7">
        <v>2</v>
      </c>
      <c r="H708" s="37">
        <f>Priors!$H$27*VLOOKUP(D708,Team_26_27!$A$2:$U$21,20,FALSE)*VLOOKUP(E708,Team_26_27!$A$2:$U$21,21,FALSE)*IF(F708="H",Priors!$H$28,Priors!$H$29)</f>
        <v>1.307246267299224</v>
      </c>
      <c r="I708" s="37">
        <f>Priors!$H$27*VLOOKUP(E708,Team_26_27!$A$2:$U$21,20,FALSE)*VLOOKUP(D708,Team_26_27!$A$2:$U$21,21,FALSE)*IF(F708="H",Priors!$H$29,Priors!$H$28)</f>
        <v>1.2006696313236429</v>
      </c>
      <c r="J708" s="15"/>
      <c r="K708" s="15"/>
      <c r="L708" s="47" t="b">
        <v>0</v>
      </c>
      <c r="M708" s="45">
        <v>0</v>
      </c>
      <c r="N708" s="45"/>
      <c r="O708" s="45"/>
      <c r="P708" s="38">
        <f t="shared" si="55"/>
        <v>1.307246267299224</v>
      </c>
      <c r="Q708" s="38">
        <f t="shared" si="56"/>
        <v>1.2006696313236429</v>
      </c>
      <c r="R708" s="17">
        <f t="shared" si="57"/>
        <v>0.30099259034699755</v>
      </c>
      <c r="S708" s="17">
        <f t="shared" si="58"/>
        <v>0.2705640926656257</v>
      </c>
      <c r="T708" s="38" t="str">
        <f t="shared" si="59"/>
        <v/>
      </c>
      <c r="U708" s="31" t="s">
        <v>1876</v>
      </c>
      <c r="V708" s="31"/>
    </row>
    <row r="709" spans="1:22" ht="30">
      <c r="A709" s="7">
        <v>36</v>
      </c>
      <c r="B709" s="7">
        <v>354</v>
      </c>
      <c r="C709" s="7">
        <v>46522.583333333336</v>
      </c>
      <c r="D709" s="7" t="s">
        <v>45</v>
      </c>
      <c r="E709" s="7" t="s">
        <v>57</v>
      </c>
      <c r="F709" s="7" t="s">
        <v>1743</v>
      </c>
      <c r="G709" s="7">
        <v>3</v>
      </c>
      <c r="H709" s="37">
        <f>Priors!$H$27*VLOOKUP(D709,Team_26_27!$A$2:$U$21,20,FALSE)*VLOOKUP(E709,Team_26_27!$A$2:$U$21,21,FALSE)*IF(F709="H",Priors!$H$28,Priors!$H$29)</f>
        <v>1.2006696313236429</v>
      </c>
      <c r="I709" s="37">
        <f>Priors!$H$27*VLOOKUP(E709,Team_26_27!$A$2:$U$21,20,FALSE)*VLOOKUP(D709,Team_26_27!$A$2:$U$21,21,FALSE)*IF(F709="H",Priors!$H$29,Priors!$H$28)</f>
        <v>1.307246267299224</v>
      </c>
      <c r="J709" s="15"/>
      <c r="K709" s="15"/>
      <c r="L709" s="47" t="b">
        <v>0</v>
      </c>
      <c r="M709" s="45">
        <v>0</v>
      </c>
      <c r="N709" s="45"/>
      <c r="O709" s="45"/>
      <c r="P709" s="38">
        <f t="shared" si="55"/>
        <v>1.2006696313236429</v>
      </c>
      <c r="Q709" s="38">
        <f t="shared" si="56"/>
        <v>1.307246267299224</v>
      </c>
      <c r="R709" s="17">
        <f t="shared" si="57"/>
        <v>0.2705640926656257</v>
      </c>
      <c r="S709" s="17">
        <f t="shared" si="58"/>
        <v>0.30099259034699755</v>
      </c>
      <c r="T709" s="38" t="str">
        <f t="shared" si="59"/>
        <v/>
      </c>
      <c r="U709" s="31" t="s">
        <v>1876</v>
      </c>
      <c r="V709" s="31"/>
    </row>
    <row r="710" spans="1:22" ht="30">
      <c r="A710" s="7">
        <v>36</v>
      </c>
      <c r="B710" s="7">
        <v>355</v>
      </c>
      <c r="C710" s="7">
        <v>46522.583333333336</v>
      </c>
      <c r="D710" s="7" t="s">
        <v>43</v>
      </c>
      <c r="E710" s="7" t="s">
        <v>46</v>
      </c>
      <c r="F710" s="7" t="s">
        <v>1742</v>
      </c>
      <c r="G710" s="7">
        <v>3</v>
      </c>
      <c r="H710" s="37">
        <f>Priors!$H$27*VLOOKUP(D710,Team_26_27!$A$2:$U$21,20,FALSE)*VLOOKUP(E710,Team_26_27!$A$2:$U$21,21,FALSE)*IF(F710="H",Priors!$H$28,Priors!$H$29)</f>
        <v>1.3204569829738848</v>
      </c>
      <c r="I710" s="37">
        <f>Priors!$H$27*VLOOKUP(E710,Team_26_27!$A$2:$U$21,20,FALSE)*VLOOKUP(D710,Team_26_27!$A$2:$U$21,21,FALSE)*IF(F710="H",Priors!$H$29,Priors!$H$28)</f>
        <v>1.5327959625960552</v>
      </c>
      <c r="J710" s="15"/>
      <c r="K710" s="15"/>
      <c r="L710" s="47" t="b">
        <v>0</v>
      </c>
      <c r="M710" s="45">
        <v>0</v>
      </c>
      <c r="N710" s="45"/>
      <c r="O710" s="45"/>
      <c r="P710" s="38">
        <f t="shared" si="55"/>
        <v>1.3204569829738848</v>
      </c>
      <c r="Q710" s="38">
        <f t="shared" si="56"/>
        <v>1.5327959625960552</v>
      </c>
      <c r="R710" s="17">
        <f t="shared" si="57"/>
        <v>0.21593108727492422</v>
      </c>
      <c r="S710" s="17">
        <f t="shared" si="58"/>
        <v>0.26701325357027178</v>
      </c>
      <c r="T710" s="38" t="str">
        <f t="shared" si="59"/>
        <v/>
      </c>
      <c r="U710" s="31" t="s">
        <v>1876</v>
      </c>
      <c r="V710" s="31"/>
    </row>
    <row r="711" spans="1:22" ht="30">
      <c r="A711" s="7">
        <v>36</v>
      </c>
      <c r="B711" s="7">
        <v>355</v>
      </c>
      <c r="C711" s="7">
        <v>46522.583333333336</v>
      </c>
      <c r="D711" s="7" t="s">
        <v>46</v>
      </c>
      <c r="E711" s="7" t="s">
        <v>43</v>
      </c>
      <c r="F711" s="7" t="s">
        <v>1743</v>
      </c>
      <c r="G711" s="7">
        <v>2</v>
      </c>
      <c r="H711" s="37">
        <f>Priors!$H$27*VLOOKUP(D711,Team_26_27!$A$2:$U$21,20,FALSE)*VLOOKUP(E711,Team_26_27!$A$2:$U$21,21,FALSE)*IF(F711="H",Priors!$H$28,Priors!$H$29)</f>
        <v>1.5327959625960552</v>
      </c>
      <c r="I711" s="37">
        <f>Priors!$H$27*VLOOKUP(E711,Team_26_27!$A$2:$U$21,20,FALSE)*VLOOKUP(D711,Team_26_27!$A$2:$U$21,21,FALSE)*IF(F711="H",Priors!$H$29,Priors!$H$28)</f>
        <v>1.3204569829738848</v>
      </c>
      <c r="J711" s="15"/>
      <c r="K711" s="15"/>
      <c r="L711" s="47" t="b">
        <v>0</v>
      </c>
      <c r="M711" s="45">
        <v>0</v>
      </c>
      <c r="N711" s="45"/>
      <c r="O711" s="45"/>
      <c r="P711" s="38">
        <f t="shared" si="55"/>
        <v>1.5327959625960552</v>
      </c>
      <c r="Q711" s="38">
        <f t="shared" si="56"/>
        <v>1.3204569829738848</v>
      </c>
      <c r="R711" s="17">
        <f t="shared" si="57"/>
        <v>0.26701325357027178</v>
      </c>
      <c r="S711" s="17">
        <f t="shared" si="58"/>
        <v>0.21593108727492422</v>
      </c>
      <c r="T711" s="38" t="str">
        <f t="shared" si="59"/>
        <v/>
      </c>
      <c r="U711" s="31" t="s">
        <v>1876</v>
      </c>
      <c r="V711" s="31"/>
    </row>
    <row r="712" spans="1:22" ht="30">
      <c r="A712" s="7">
        <v>36</v>
      </c>
      <c r="B712" s="7">
        <v>356</v>
      </c>
      <c r="C712" s="7">
        <v>46522.583333333336</v>
      </c>
      <c r="D712" s="7" t="s">
        <v>48</v>
      </c>
      <c r="E712" s="7" t="s">
        <v>49</v>
      </c>
      <c r="F712" s="7" t="s">
        <v>1742</v>
      </c>
      <c r="G712" s="7">
        <v>2</v>
      </c>
      <c r="H712" s="37">
        <f>Priors!$H$27*VLOOKUP(D712,Team_26_27!$A$2:$U$21,20,FALSE)*VLOOKUP(E712,Team_26_27!$A$2:$U$21,21,FALSE)*IF(F712="H",Priors!$H$28,Priors!$H$29)</f>
        <v>1.6343899743741375</v>
      </c>
      <c r="I712" s="37">
        <f>Priors!$H$27*VLOOKUP(E712,Team_26_27!$A$2:$U$21,20,FALSE)*VLOOKUP(D712,Team_26_27!$A$2:$U$21,21,FALSE)*IF(F712="H",Priors!$H$29,Priors!$H$28)</f>
        <v>1.0761825130718037</v>
      </c>
      <c r="J712" s="15"/>
      <c r="K712" s="15"/>
      <c r="L712" s="47" t="b">
        <v>0</v>
      </c>
      <c r="M712" s="45">
        <v>0</v>
      </c>
      <c r="N712" s="45"/>
      <c r="O712" s="45"/>
      <c r="P712" s="38">
        <f t="shared" si="55"/>
        <v>1.6343899743741375</v>
      </c>
      <c r="Q712" s="38">
        <f t="shared" si="56"/>
        <v>1.0761825130718037</v>
      </c>
      <c r="R712" s="17">
        <f t="shared" si="57"/>
        <v>0.34089440477460964</v>
      </c>
      <c r="S712" s="17">
        <f t="shared" si="58"/>
        <v>0.195071333522811</v>
      </c>
      <c r="T712" s="38" t="str">
        <f t="shared" si="59"/>
        <v/>
      </c>
      <c r="U712" s="31" t="s">
        <v>1876</v>
      </c>
      <c r="V712" s="31"/>
    </row>
    <row r="713" spans="1:22" ht="30">
      <c r="A713" s="7">
        <v>36</v>
      </c>
      <c r="B713" s="7">
        <v>356</v>
      </c>
      <c r="C713" s="7">
        <v>46522.583333333336</v>
      </c>
      <c r="D713" s="7" t="s">
        <v>49</v>
      </c>
      <c r="E713" s="7" t="s">
        <v>48</v>
      </c>
      <c r="F713" s="7" t="s">
        <v>1743</v>
      </c>
      <c r="G713" s="7">
        <v>2</v>
      </c>
      <c r="H713" s="37">
        <f>Priors!$H$27*VLOOKUP(D713,Team_26_27!$A$2:$U$21,20,FALSE)*VLOOKUP(E713,Team_26_27!$A$2:$U$21,21,FALSE)*IF(F713="H",Priors!$H$28,Priors!$H$29)</f>
        <v>1.0761825130718037</v>
      </c>
      <c r="I713" s="37">
        <f>Priors!$H$27*VLOOKUP(E713,Team_26_27!$A$2:$U$21,20,FALSE)*VLOOKUP(D713,Team_26_27!$A$2:$U$21,21,FALSE)*IF(F713="H",Priors!$H$29,Priors!$H$28)</f>
        <v>1.6343899743741375</v>
      </c>
      <c r="J713" s="15"/>
      <c r="K713" s="15"/>
      <c r="L713" s="47" t="b">
        <v>0</v>
      </c>
      <c r="M713" s="45">
        <v>0</v>
      </c>
      <c r="N713" s="45"/>
      <c r="O713" s="45"/>
      <c r="P713" s="38">
        <f t="shared" si="55"/>
        <v>1.0761825130718037</v>
      </c>
      <c r="Q713" s="38">
        <f t="shared" si="56"/>
        <v>1.6343899743741375</v>
      </c>
      <c r="R713" s="17">
        <f t="shared" si="57"/>
        <v>0.195071333522811</v>
      </c>
      <c r="S713" s="17">
        <f t="shared" si="58"/>
        <v>0.34089440477460964</v>
      </c>
      <c r="T713" s="38" t="str">
        <f t="shared" si="59"/>
        <v/>
      </c>
      <c r="U713" s="31" t="s">
        <v>1876</v>
      </c>
      <c r="V713" s="31"/>
    </row>
    <row r="714" spans="1:22" ht="30">
      <c r="A714" s="7">
        <v>36</v>
      </c>
      <c r="B714" s="7">
        <v>357</v>
      </c>
      <c r="C714" s="7">
        <v>46522.583333333336</v>
      </c>
      <c r="D714" s="7" t="s">
        <v>53</v>
      </c>
      <c r="E714" s="7" t="s">
        <v>50</v>
      </c>
      <c r="F714" s="7" t="s">
        <v>1742</v>
      </c>
      <c r="G714" s="7">
        <v>2</v>
      </c>
      <c r="H714" s="37">
        <f>Priors!$H$27*VLOOKUP(D714,Team_26_27!$A$2:$U$21,20,FALSE)*VLOOKUP(E714,Team_26_27!$A$2:$U$21,21,FALSE)*IF(F714="H",Priors!$H$28,Priors!$H$29)</f>
        <v>1.8489099222103</v>
      </c>
      <c r="I714" s="37">
        <f>Priors!$H$27*VLOOKUP(E714,Team_26_27!$A$2:$U$21,20,FALSE)*VLOOKUP(D714,Team_26_27!$A$2:$U$21,21,FALSE)*IF(F714="H",Priors!$H$29,Priors!$H$28)</f>
        <v>1.0641861411958022</v>
      </c>
      <c r="J714" s="15"/>
      <c r="K714" s="15"/>
      <c r="L714" s="47" t="b">
        <v>0</v>
      </c>
      <c r="M714" s="45">
        <v>0</v>
      </c>
      <c r="N714" s="45"/>
      <c r="O714" s="45"/>
      <c r="P714" s="38">
        <f t="shared" si="55"/>
        <v>1.8489099222103</v>
      </c>
      <c r="Q714" s="38">
        <f t="shared" si="56"/>
        <v>1.0641861411958022</v>
      </c>
      <c r="R714" s="17">
        <f t="shared" si="57"/>
        <v>0.34500852876588473</v>
      </c>
      <c r="S714" s="17">
        <f t="shared" si="58"/>
        <v>0.15740866051036714</v>
      </c>
      <c r="T714" s="38" t="str">
        <f t="shared" si="59"/>
        <v/>
      </c>
      <c r="U714" s="31" t="s">
        <v>1876</v>
      </c>
      <c r="V714" s="31"/>
    </row>
    <row r="715" spans="1:22" ht="30">
      <c r="A715" s="7">
        <v>36</v>
      </c>
      <c r="B715" s="7">
        <v>357</v>
      </c>
      <c r="C715" s="7">
        <v>46522.583333333336</v>
      </c>
      <c r="D715" s="7" t="s">
        <v>50</v>
      </c>
      <c r="E715" s="7" t="s">
        <v>53</v>
      </c>
      <c r="F715" s="7" t="s">
        <v>1743</v>
      </c>
      <c r="G715" s="7">
        <v>4</v>
      </c>
      <c r="H715" s="37">
        <f>Priors!$H$27*VLOOKUP(D715,Team_26_27!$A$2:$U$21,20,FALSE)*VLOOKUP(E715,Team_26_27!$A$2:$U$21,21,FALSE)*IF(F715="H",Priors!$H$28,Priors!$H$29)</f>
        <v>1.0641861411958022</v>
      </c>
      <c r="I715" s="37">
        <f>Priors!$H$27*VLOOKUP(E715,Team_26_27!$A$2:$U$21,20,FALSE)*VLOOKUP(D715,Team_26_27!$A$2:$U$21,21,FALSE)*IF(F715="H",Priors!$H$29,Priors!$H$28)</f>
        <v>1.8489099222103</v>
      </c>
      <c r="J715" s="15"/>
      <c r="K715" s="15"/>
      <c r="L715" s="47" t="b">
        <v>0</v>
      </c>
      <c r="M715" s="45">
        <v>0</v>
      </c>
      <c r="N715" s="45"/>
      <c r="O715" s="45"/>
      <c r="P715" s="38">
        <f t="shared" si="55"/>
        <v>1.0641861411958022</v>
      </c>
      <c r="Q715" s="38">
        <f t="shared" si="56"/>
        <v>1.8489099222103</v>
      </c>
      <c r="R715" s="17">
        <f t="shared" si="57"/>
        <v>0.15740866051036714</v>
      </c>
      <c r="S715" s="17">
        <f t="shared" si="58"/>
        <v>0.34500852876588473</v>
      </c>
      <c r="T715" s="38" t="str">
        <f t="shared" si="59"/>
        <v/>
      </c>
      <c r="U715" s="31" t="s">
        <v>1876</v>
      </c>
      <c r="V715" s="31"/>
    </row>
    <row r="716" spans="1:22" ht="30">
      <c r="A716" s="7">
        <v>36</v>
      </c>
      <c r="B716" s="7">
        <v>358</v>
      </c>
      <c r="C716" s="7">
        <v>46522.583333333336</v>
      </c>
      <c r="D716" s="7" t="s">
        <v>42</v>
      </c>
      <c r="E716" s="7" t="s">
        <v>52</v>
      </c>
      <c r="F716" s="7" t="s">
        <v>1742</v>
      </c>
      <c r="G716" s="7">
        <v>4</v>
      </c>
      <c r="H716" s="37">
        <f>Priors!$H$27*VLOOKUP(D716,Team_26_27!$A$2:$U$21,20,FALSE)*VLOOKUP(E716,Team_26_27!$A$2:$U$21,21,FALSE)*IF(F716="H",Priors!$H$28,Priors!$H$29)</f>
        <v>1.2955784688758749</v>
      </c>
      <c r="I716" s="37">
        <f>Priors!$H$27*VLOOKUP(E716,Team_26_27!$A$2:$U$21,20,FALSE)*VLOOKUP(D716,Team_26_27!$A$2:$U$21,21,FALSE)*IF(F716="H",Priors!$H$29,Priors!$H$28)</f>
        <v>1.6960320710647701</v>
      </c>
      <c r="J716" s="15"/>
      <c r="K716" s="15"/>
      <c r="L716" s="47" t="b">
        <v>0</v>
      </c>
      <c r="M716" s="45">
        <v>0</v>
      </c>
      <c r="N716" s="45"/>
      <c r="O716" s="45"/>
      <c r="P716" s="38">
        <f t="shared" si="55"/>
        <v>1.2955784688758749</v>
      </c>
      <c r="Q716" s="38">
        <f t="shared" si="56"/>
        <v>1.6960320710647701</v>
      </c>
      <c r="R716" s="17">
        <f t="shared" si="57"/>
        <v>0.1834098393245516</v>
      </c>
      <c r="S716" s="17">
        <f t="shared" si="58"/>
        <v>0.27373946875963234</v>
      </c>
      <c r="T716" s="38" t="str">
        <f t="shared" si="59"/>
        <v/>
      </c>
      <c r="U716" s="31" t="s">
        <v>1876</v>
      </c>
      <c r="V716" s="31"/>
    </row>
    <row r="717" spans="1:22" ht="30">
      <c r="A717" s="7">
        <v>36</v>
      </c>
      <c r="B717" s="7">
        <v>358</v>
      </c>
      <c r="C717" s="7">
        <v>46522.583333333336</v>
      </c>
      <c r="D717" s="7" t="s">
        <v>52</v>
      </c>
      <c r="E717" s="7" t="s">
        <v>42</v>
      </c>
      <c r="F717" s="7" t="s">
        <v>1743</v>
      </c>
      <c r="G717" s="7">
        <v>3</v>
      </c>
      <c r="H717" s="37">
        <f>Priors!$H$27*VLOOKUP(D717,Team_26_27!$A$2:$U$21,20,FALSE)*VLOOKUP(E717,Team_26_27!$A$2:$U$21,21,FALSE)*IF(F717="H",Priors!$H$28,Priors!$H$29)</f>
        <v>1.6960320710647701</v>
      </c>
      <c r="I717" s="37">
        <f>Priors!$H$27*VLOOKUP(E717,Team_26_27!$A$2:$U$21,20,FALSE)*VLOOKUP(D717,Team_26_27!$A$2:$U$21,21,FALSE)*IF(F717="H",Priors!$H$29,Priors!$H$28)</f>
        <v>1.2955784688758749</v>
      </c>
      <c r="J717" s="15"/>
      <c r="K717" s="15"/>
      <c r="L717" s="47" t="b">
        <v>0</v>
      </c>
      <c r="M717" s="45">
        <v>0</v>
      </c>
      <c r="N717" s="45"/>
      <c r="O717" s="45"/>
      <c r="P717" s="38">
        <f t="shared" si="55"/>
        <v>1.6960320710647701</v>
      </c>
      <c r="Q717" s="38">
        <f t="shared" si="56"/>
        <v>1.2955784688758749</v>
      </c>
      <c r="R717" s="17">
        <f t="shared" si="57"/>
        <v>0.27373946875963234</v>
      </c>
      <c r="S717" s="17">
        <f t="shared" si="58"/>
        <v>0.1834098393245516</v>
      </c>
      <c r="T717" s="38" t="str">
        <f t="shared" si="59"/>
        <v/>
      </c>
      <c r="U717" s="31" t="s">
        <v>1876</v>
      </c>
      <c r="V717" s="31"/>
    </row>
    <row r="718" spans="1:22" ht="30">
      <c r="A718" s="7">
        <v>36</v>
      </c>
      <c r="B718" s="7">
        <v>359</v>
      </c>
      <c r="C718" s="7">
        <v>46522.583333333336</v>
      </c>
      <c r="D718" s="7" t="s">
        <v>51</v>
      </c>
      <c r="E718" s="7" t="s">
        <v>54</v>
      </c>
      <c r="F718" s="7" t="s">
        <v>1742</v>
      </c>
      <c r="G718" s="7">
        <v>4</v>
      </c>
      <c r="H718" s="37">
        <f>Priors!$H$27*VLOOKUP(D718,Team_26_27!$A$2:$U$21,20,FALSE)*VLOOKUP(E718,Team_26_27!$A$2:$U$21,21,FALSE)*IF(F718="H",Priors!$H$28,Priors!$H$29)</f>
        <v>1.2000172915025489</v>
      </c>
      <c r="I718" s="37">
        <f>Priors!$H$27*VLOOKUP(E718,Team_26_27!$A$2:$U$21,20,FALSE)*VLOOKUP(D718,Team_26_27!$A$2:$U$21,21,FALSE)*IF(F718="H",Priors!$H$29,Priors!$H$28)</f>
        <v>1.8451929273869505</v>
      </c>
      <c r="J718" s="15"/>
      <c r="K718" s="15"/>
      <c r="L718" s="47" t="b">
        <v>0</v>
      </c>
      <c r="M718" s="45">
        <v>0</v>
      </c>
      <c r="N718" s="45"/>
      <c r="O718" s="45"/>
      <c r="P718" s="38">
        <f t="shared" si="55"/>
        <v>1.2000172915025489</v>
      </c>
      <c r="Q718" s="38">
        <f t="shared" si="56"/>
        <v>1.8451929273869505</v>
      </c>
      <c r="R718" s="17">
        <f t="shared" si="57"/>
        <v>0.15799483641815582</v>
      </c>
      <c r="S718" s="17">
        <f t="shared" si="58"/>
        <v>0.3011890038567468</v>
      </c>
      <c r="T718" s="38" t="str">
        <f t="shared" si="59"/>
        <v/>
      </c>
      <c r="U718" s="31" t="s">
        <v>1876</v>
      </c>
      <c r="V718" s="31"/>
    </row>
    <row r="719" spans="1:22" ht="30">
      <c r="A719" s="7">
        <v>36</v>
      </c>
      <c r="B719" s="7">
        <v>359</v>
      </c>
      <c r="C719" s="7">
        <v>46522.583333333336</v>
      </c>
      <c r="D719" s="7" t="s">
        <v>54</v>
      </c>
      <c r="E719" s="7" t="s">
        <v>51</v>
      </c>
      <c r="F719" s="7" t="s">
        <v>1743</v>
      </c>
      <c r="G719" s="7">
        <v>2</v>
      </c>
      <c r="H719" s="37">
        <f>Priors!$H$27*VLOOKUP(D719,Team_26_27!$A$2:$U$21,20,FALSE)*VLOOKUP(E719,Team_26_27!$A$2:$U$21,21,FALSE)*IF(F719="H",Priors!$H$28,Priors!$H$29)</f>
        <v>1.8451929273869505</v>
      </c>
      <c r="I719" s="37">
        <f>Priors!$H$27*VLOOKUP(E719,Team_26_27!$A$2:$U$21,20,FALSE)*VLOOKUP(D719,Team_26_27!$A$2:$U$21,21,FALSE)*IF(F719="H",Priors!$H$29,Priors!$H$28)</f>
        <v>1.2000172915025489</v>
      </c>
      <c r="J719" s="15"/>
      <c r="K719" s="15"/>
      <c r="L719" s="47" t="b">
        <v>0</v>
      </c>
      <c r="M719" s="45">
        <v>0</v>
      </c>
      <c r="N719" s="45"/>
      <c r="O719" s="45"/>
      <c r="P719" s="38">
        <f t="shared" si="55"/>
        <v>1.8451929273869505</v>
      </c>
      <c r="Q719" s="38">
        <f t="shared" si="56"/>
        <v>1.2000172915025489</v>
      </c>
      <c r="R719" s="17">
        <f t="shared" si="57"/>
        <v>0.3011890038567468</v>
      </c>
      <c r="S719" s="17">
        <f t="shared" si="58"/>
        <v>0.15799483641815582</v>
      </c>
      <c r="T719" s="38" t="str">
        <f t="shared" si="59"/>
        <v/>
      </c>
      <c r="U719" s="31" t="s">
        <v>1876</v>
      </c>
      <c r="V719" s="31"/>
    </row>
    <row r="720" spans="1:22" ht="30">
      <c r="A720" s="7">
        <v>36</v>
      </c>
      <c r="B720" s="7">
        <v>360</v>
      </c>
      <c r="C720" s="7">
        <v>46522.583333333336</v>
      </c>
      <c r="D720" s="7" t="s">
        <v>41</v>
      </c>
      <c r="E720" s="7" t="s">
        <v>58</v>
      </c>
      <c r="F720" s="7" t="s">
        <v>1742</v>
      </c>
      <c r="G720" s="7">
        <v>3</v>
      </c>
      <c r="H720" s="37">
        <f>Priors!$H$27*VLOOKUP(D720,Team_26_27!$A$2:$U$21,20,FALSE)*VLOOKUP(E720,Team_26_27!$A$2:$U$21,21,FALSE)*IF(F720="H",Priors!$H$28,Priors!$H$29)</f>
        <v>1.3956107530953197</v>
      </c>
      <c r="I720" s="37">
        <f>Priors!$H$27*VLOOKUP(E720,Team_26_27!$A$2:$U$21,20,FALSE)*VLOOKUP(D720,Team_26_27!$A$2:$U$21,21,FALSE)*IF(F720="H",Priors!$H$29,Priors!$H$28)</f>
        <v>1.297131690807434</v>
      </c>
      <c r="J720" s="15"/>
      <c r="K720" s="15"/>
      <c r="L720" s="47" t="b">
        <v>0</v>
      </c>
      <c r="M720" s="45">
        <v>0</v>
      </c>
      <c r="N720" s="45"/>
      <c r="O720" s="45"/>
      <c r="P720" s="38">
        <f t="shared" si="55"/>
        <v>1.3956107530953197</v>
      </c>
      <c r="Q720" s="38">
        <f t="shared" si="56"/>
        <v>1.297131690807434</v>
      </c>
      <c r="R720" s="17">
        <f t="shared" si="57"/>
        <v>0.2733146206403419</v>
      </c>
      <c r="S720" s="17">
        <f t="shared" si="58"/>
        <v>0.24768171778699435</v>
      </c>
      <c r="T720" s="38" t="str">
        <f t="shared" si="59"/>
        <v/>
      </c>
      <c r="U720" s="31" t="s">
        <v>1876</v>
      </c>
      <c r="V720" s="31"/>
    </row>
    <row r="721" spans="1:22" ht="30">
      <c r="A721" s="7">
        <v>36</v>
      </c>
      <c r="B721" s="7">
        <v>360</v>
      </c>
      <c r="C721" s="7">
        <v>46522.583333333336</v>
      </c>
      <c r="D721" s="7" t="s">
        <v>58</v>
      </c>
      <c r="E721" s="7" t="s">
        <v>41</v>
      </c>
      <c r="F721" s="7" t="s">
        <v>1743</v>
      </c>
      <c r="G721" s="7">
        <v>3</v>
      </c>
      <c r="H721" s="37">
        <f>Priors!$H$27*VLOOKUP(D721,Team_26_27!$A$2:$U$21,20,FALSE)*VLOOKUP(E721,Team_26_27!$A$2:$U$21,21,FALSE)*IF(F721="H",Priors!$H$28,Priors!$H$29)</f>
        <v>1.297131690807434</v>
      </c>
      <c r="I721" s="37">
        <f>Priors!$H$27*VLOOKUP(E721,Team_26_27!$A$2:$U$21,20,FALSE)*VLOOKUP(D721,Team_26_27!$A$2:$U$21,21,FALSE)*IF(F721="H",Priors!$H$29,Priors!$H$28)</f>
        <v>1.3956107530953197</v>
      </c>
      <c r="J721" s="15"/>
      <c r="K721" s="15"/>
      <c r="L721" s="47" t="b">
        <v>0</v>
      </c>
      <c r="M721" s="45">
        <v>0</v>
      </c>
      <c r="N721" s="45"/>
      <c r="O721" s="45"/>
      <c r="P721" s="38">
        <f t="shared" si="55"/>
        <v>1.297131690807434</v>
      </c>
      <c r="Q721" s="38">
        <f t="shared" si="56"/>
        <v>1.3956107530953197</v>
      </c>
      <c r="R721" s="17">
        <f t="shared" si="57"/>
        <v>0.24768171778699435</v>
      </c>
      <c r="S721" s="17">
        <f t="shared" si="58"/>
        <v>0.2733146206403419</v>
      </c>
      <c r="T721" s="38" t="str">
        <f t="shared" si="59"/>
        <v/>
      </c>
      <c r="U721" s="31" t="s">
        <v>1876</v>
      </c>
      <c r="V721" s="31"/>
    </row>
    <row r="722" spans="1:22" ht="30">
      <c r="A722" s="7">
        <v>37</v>
      </c>
      <c r="B722" s="7">
        <v>361</v>
      </c>
      <c r="C722" s="7">
        <v>46530.583333333336</v>
      </c>
      <c r="D722" s="7" t="s">
        <v>44</v>
      </c>
      <c r="E722" s="7" t="s">
        <v>41</v>
      </c>
      <c r="F722" s="7" t="s">
        <v>1742</v>
      </c>
      <c r="G722" s="7">
        <v>3</v>
      </c>
      <c r="H722" s="37">
        <f>Priors!$H$27*VLOOKUP(D722,Team_26_27!$A$2:$U$21,20,FALSE)*VLOOKUP(E722,Team_26_27!$A$2:$U$21,21,FALSE)*IF(F722="H",Priors!$H$28,Priors!$H$29)</f>
        <v>1.4869438132441029</v>
      </c>
      <c r="I722" s="37">
        <f>Priors!$H$27*VLOOKUP(E722,Team_26_27!$A$2:$U$21,20,FALSE)*VLOOKUP(D722,Team_26_27!$A$2:$U$21,21,FALSE)*IF(F722="H",Priors!$H$29,Priors!$H$28)</f>
        <v>1.6631853153348992</v>
      </c>
      <c r="J722" s="15"/>
      <c r="K722" s="15"/>
      <c r="L722" s="47" t="b">
        <v>0</v>
      </c>
      <c r="M722" s="45">
        <v>0</v>
      </c>
      <c r="N722" s="45"/>
      <c r="O722" s="45"/>
      <c r="P722" s="38">
        <f t="shared" si="55"/>
        <v>1.4869438132441029</v>
      </c>
      <c r="Q722" s="38">
        <f t="shared" si="56"/>
        <v>1.6631853153348992</v>
      </c>
      <c r="R722" s="17">
        <f t="shared" si="57"/>
        <v>0.18953429106634562</v>
      </c>
      <c r="S722" s="17">
        <f t="shared" si="58"/>
        <v>0.22606249005906398</v>
      </c>
      <c r="T722" s="38" t="str">
        <f t="shared" si="59"/>
        <v/>
      </c>
      <c r="U722" s="31" t="s">
        <v>1876</v>
      </c>
      <c r="V722" s="31"/>
    </row>
    <row r="723" spans="1:22" ht="30">
      <c r="A723" s="7">
        <v>37</v>
      </c>
      <c r="B723" s="7">
        <v>361</v>
      </c>
      <c r="C723" s="7">
        <v>46530.583333333336</v>
      </c>
      <c r="D723" s="7" t="s">
        <v>41</v>
      </c>
      <c r="E723" s="7" t="s">
        <v>44</v>
      </c>
      <c r="F723" s="7" t="s">
        <v>1743</v>
      </c>
      <c r="G723" s="7">
        <v>4</v>
      </c>
      <c r="H723" s="37">
        <f>Priors!$H$27*VLOOKUP(D723,Team_26_27!$A$2:$U$21,20,FALSE)*VLOOKUP(E723,Team_26_27!$A$2:$U$21,21,FALSE)*IF(F723="H",Priors!$H$28,Priors!$H$29)</f>
        <v>1.6631853153348992</v>
      </c>
      <c r="I723" s="37">
        <f>Priors!$H$27*VLOOKUP(E723,Team_26_27!$A$2:$U$21,20,FALSE)*VLOOKUP(D723,Team_26_27!$A$2:$U$21,21,FALSE)*IF(F723="H",Priors!$H$29,Priors!$H$28)</f>
        <v>1.4869438132441029</v>
      </c>
      <c r="J723" s="15"/>
      <c r="K723" s="15"/>
      <c r="L723" s="47" t="b">
        <v>0</v>
      </c>
      <c r="M723" s="45">
        <v>0</v>
      </c>
      <c r="N723" s="45"/>
      <c r="O723" s="45"/>
      <c r="P723" s="38">
        <f t="shared" si="55"/>
        <v>1.6631853153348992</v>
      </c>
      <c r="Q723" s="38">
        <f t="shared" si="56"/>
        <v>1.4869438132441029</v>
      </c>
      <c r="R723" s="17">
        <f t="shared" si="57"/>
        <v>0.22606249005906398</v>
      </c>
      <c r="S723" s="17">
        <f t="shared" si="58"/>
        <v>0.18953429106634562</v>
      </c>
      <c r="T723" s="38" t="str">
        <f t="shared" si="59"/>
        <v/>
      </c>
      <c r="U723" s="31" t="s">
        <v>1876</v>
      </c>
      <c r="V723" s="31"/>
    </row>
    <row r="724" spans="1:22" ht="30">
      <c r="A724" s="7">
        <v>37</v>
      </c>
      <c r="B724" s="7">
        <v>362</v>
      </c>
      <c r="C724" s="7">
        <v>46530.583333333336</v>
      </c>
      <c r="D724" s="7" t="s">
        <v>49</v>
      </c>
      <c r="E724" s="7" t="s">
        <v>42</v>
      </c>
      <c r="F724" s="7" t="s">
        <v>1742</v>
      </c>
      <c r="G724" s="7">
        <v>3</v>
      </c>
      <c r="H724" s="37">
        <f>Priors!$H$27*VLOOKUP(D724,Team_26_27!$A$2:$U$21,20,FALSE)*VLOOKUP(E724,Team_26_27!$A$2:$U$21,21,FALSE)*IF(F724="H",Priors!$H$28,Priors!$H$29)</f>
        <v>0.89278965982883218</v>
      </c>
      <c r="I724" s="37">
        <f>Priors!$H$27*VLOOKUP(E724,Team_26_27!$A$2:$U$21,20,FALSE)*VLOOKUP(D724,Team_26_27!$A$2:$U$21,21,FALSE)*IF(F724="H",Priors!$H$29,Priors!$H$28)</f>
        <v>2.299027986070044</v>
      </c>
      <c r="J724" s="15"/>
      <c r="K724" s="15"/>
      <c r="L724" s="47" t="b">
        <v>0</v>
      </c>
      <c r="M724" s="45">
        <v>0</v>
      </c>
      <c r="N724" s="45"/>
      <c r="O724" s="45"/>
      <c r="P724" s="38">
        <f t="shared" si="55"/>
        <v>0.89278965982883218</v>
      </c>
      <c r="Q724" s="38">
        <f t="shared" si="56"/>
        <v>2.299027986070044</v>
      </c>
      <c r="R724" s="17">
        <f t="shared" si="57"/>
        <v>0.10035634409368629</v>
      </c>
      <c r="S724" s="17">
        <f t="shared" si="58"/>
        <v>0.40951175931358264</v>
      </c>
      <c r="T724" s="38" t="str">
        <f t="shared" si="59"/>
        <v/>
      </c>
      <c r="U724" s="31" t="s">
        <v>1876</v>
      </c>
      <c r="V724" s="31"/>
    </row>
    <row r="725" spans="1:22" ht="30">
      <c r="A725" s="7">
        <v>37</v>
      </c>
      <c r="B725" s="7">
        <v>362</v>
      </c>
      <c r="C725" s="7">
        <v>46530.583333333336</v>
      </c>
      <c r="D725" s="7" t="s">
        <v>42</v>
      </c>
      <c r="E725" s="7" t="s">
        <v>49</v>
      </c>
      <c r="F725" s="7" t="s">
        <v>1743</v>
      </c>
      <c r="G725" s="7">
        <v>2</v>
      </c>
      <c r="H725" s="37">
        <f>Priors!$H$27*VLOOKUP(D725,Team_26_27!$A$2:$U$21,20,FALSE)*VLOOKUP(E725,Team_26_27!$A$2:$U$21,21,FALSE)*IF(F725="H",Priors!$H$28,Priors!$H$29)</f>
        <v>2.299027986070044</v>
      </c>
      <c r="I725" s="37">
        <f>Priors!$H$27*VLOOKUP(E725,Team_26_27!$A$2:$U$21,20,FALSE)*VLOOKUP(D725,Team_26_27!$A$2:$U$21,21,FALSE)*IF(F725="H",Priors!$H$29,Priors!$H$28)</f>
        <v>0.89278965982883218</v>
      </c>
      <c r="J725" s="15"/>
      <c r="K725" s="15"/>
      <c r="L725" s="47" t="b">
        <v>0</v>
      </c>
      <c r="M725" s="45">
        <v>0</v>
      </c>
      <c r="N725" s="45"/>
      <c r="O725" s="45"/>
      <c r="P725" s="38">
        <f t="shared" si="55"/>
        <v>2.299027986070044</v>
      </c>
      <c r="Q725" s="38">
        <f t="shared" si="56"/>
        <v>0.89278965982883218</v>
      </c>
      <c r="R725" s="17">
        <f t="shared" si="57"/>
        <v>0.40951175931358264</v>
      </c>
      <c r="S725" s="17">
        <f t="shared" si="58"/>
        <v>0.10035634409368629</v>
      </c>
      <c r="T725" s="38" t="str">
        <f t="shared" si="59"/>
        <v/>
      </c>
      <c r="U725" s="31" t="s">
        <v>1876</v>
      </c>
      <c r="V725" s="31"/>
    </row>
    <row r="726" spans="1:22" ht="30">
      <c r="A726" s="7">
        <v>37</v>
      </c>
      <c r="B726" s="7">
        <v>363</v>
      </c>
      <c r="C726" s="7">
        <v>46530.583333333336</v>
      </c>
      <c r="D726" s="7" t="s">
        <v>52</v>
      </c>
      <c r="E726" s="7" t="s">
        <v>43</v>
      </c>
      <c r="F726" s="7" t="s">
        <v>1742</v>
      </c>
      <c r="G726" s="7">
        <v>3</v>
      </c>
      <c r="H726" s="37">
        <f>Priors!$H$27*VLOOKUP(D726,Team_26_27!$A$2:$U$21,20,FALSE)*VLOOKUP(E726,Team_26_27!$A$2:$U$21,21,FALSE)*IF(F726="H",Priors!$H$28,Priors!$H$29)</f>
        <v>1.2923506362683748</v>
      </c>
      <c r="I726" s="37">
        <f>Priors!$H$27*VLOOKUP(E726,Team_26_27!$A$2:$U$21,20,FALSE)*VLOOKUP(D726,Team_26_27!$A$2:$U$21,21,FALSE)*IF(F726="H",Priors!$H$29,Priors!$H$28)</f>
        <v>1.537731145565481</v>
      </c>
      <c r="J726" s="15"/>
      <c r="K726" s="15"/>
      <c r="L726" s="47" t="b">
        <v>0</v>
      </c>
      <c r="M726" s="45">
        <v>0</v>
      </c>
      <c r="N726" s="45"/>
      <c r="O726" s="45"/>
      <c r="P726" s="38">
        <f t="shared" si="55"/>
        <v>1.2923506362683748</v>
      </c>
      <c r="Q726" s="38">
        <f t="shared" si="56"/>
        <v>1.537731145565481</v>
      </c>
      <c r="R726" s="17">
        <f t="shared" si="57"/>
        <v>0.21486805314201654</v>
      </c>
      <c r="S726" s="17">
        <f t="shared" si="58"/>
        <v>0.27462448151095781</v>
      </c>
      <c r="T726" s="38" t="str">
        <f t="shared" si="59"/>
        <v/>
      </c>
      <c r="U726" s="31" t="s">
        <v>1876</v>
      </c>
      <c r="V726" s="31"/>
    </row>
    <row r="727" spans="1:22" ht="30">
      <c r="A727" s="7">
        <v>37</v>
      </c>
      <c r="B727" s="7">
        <v>363</v>
      </c>
      <c r="C727" s="7">
        <v>46530.583333333336</v>
      </c>
      <c r="D727" s="7" t="s">
        <v>43</v>
      </c>
      <c r="E727" s="7" t="s">
        <v>52</v>
      </c>
      <c r="F727" s="7" t="s">
        <v>1743</v>
      </c>
      <c r="G727" s="7">
        <v>4</v>
      </c>
      <c r="H727" s="37">
        <f>Priors!$H$27*VLOOKUP(D727,Team_26_27!$A$2:$U$21,20,FALSE)*VLOOKUP(E727,Team_26_27!$A$2:$U$21,21,FALSE)*IF(F727="H",Priors!$H$28,Priors!$H$29)</f>
        <v>1.537731145565481</v>
      </c>
      <c r="I727" s="37">
        <f>Priors!$H$27*VLOOKUP(E727,Team_26_27!$A$2:$U$21,20,FALSE)*VLOOKUP(D727,Team_26_27!$A$2:$U$21,21,FALSE)*IF(F727="H",Priors!$H$29,Priors!$H$28)</f>
        <v>1.2923506362683748</v>
      </c>
      <c r="J727" s="15"/>
      <c r="K727" s="15"/>
      <c r="L727" s="47" t="b">
        <v>0</v>
      </c>
      <c r="M727" s="45">
        <v>0</v>
      </c>
      <c r="N727" s="45"/>
      <c r="O727" s="45"/>
      <c r="P727" s="38">
        <f t="shared" si="55"/>
        <v>1.537731145565481</v>
      </c>
      <c r="Q727" s="38">
        <f t="shared" si="56"/>
        <v>1.2923506362683748</v>
      </c>
      <c r="R727" s="17">
        <f t="shared" si="57"/>
        <v>0.27462448151095781</v>
      </c>
      <c r="S727" s="17">
        <f t="shared" si="58"/>
        <v>0.21486805314201654</v>
      </c>
      <c r="T727" s="38" t="str">
        <f t="shared" si="59"/>
        <v/>
      </c>
      <c r="U727" s="31" t="s">
        <v>1876</v>
      </c>
      <c r="V727" s="31"/>
    </row>
    <row r="728" spans="1:22" ht="30">
      <c r="A728" s="7">
        <v>37</v>
      </c>
      <c r="B728" s="7">
        <v>364</v>
      </c>
      <c r="C728" s="7">
        <v>46530.583333333336</v>
      </c>
      <c r="D728" s="7" t="s">
        <v>39</v>
      </c>
      <c r="E728" s="7" t="s">
        <v>47</v>
      </c>
      <c r="F728" s="7" t="s">
        <v>1742</v>
      </c>
      <c r="G728" s="7">
        <v>3</v>
      </c>
      <c r="H728" s="37">
        <f>Priors!$H$27*VLOOKUP(D728,Team_26_27!$A$2:$U$21,20,FALSE)*VLOOKUP(E728,Team_26_27!$A$2:$U$21,21,FALSE)*IF(F728="H",Priors!$H$28,Priors!$H$29)</f>
        <v>1.5302915226891005</v>
      </c>
      <c r="I728" s="37">
        <f>Priors!$H$27*VLOOKUP(E728,Team_26_27!$A$2:$U$21,20,FALSE)*VLOOKUP(D728,Team_26_27!$A$2:$U$21,21,FALSE)*IF(F728="H",Priors!$H$29,Priors!$H$28)</f>
        <v>0.94720259707090393</v>
      </c>
      <c r="J728" s="15"/>
      <c r="K728" s="15"/>
      <c r="L728" s="47" t="b">
        <v>0</v>
      </c>
      <c r="M728" s="45">
        <v>0</v>
      </c>
      <c r="N728" s="45"/>
      <c r="O728" s="45"/>
      <c r="P728" s="38">
        <f t="shared" si="55"/>
        <v>1.5302915226891005</v>
      </c>
      <c r="Q728" s="38">
        <f t="shared" si="56"/>
        <v>0.94720259707090393</v>
      </c>
      <c r="R728" s="17">
        <f t="shared" si="57"/>
        <v>0.38782440855213807</v>
      </c>
      <c r="S728" s="17">
        <f t="shared" si="58"/>
        <v>0.2164725514562845</v>
      </c>
      <c r="T728" s="38" t="str">
        <f t="shared" si="59"/>
        <v/>
      </c>
      <c r="U728" s="31" t="s">
        <v>1876</v>
      </c>
      <c r="V728" s="31"/>
    </row>
    <row r="729" spans="1:22" ht="30">
      <c r="A729" s="7">
        <v>37</v>
      </c>
      <c r="B729" s="7">
        <v>364</v>
      </c>
      <c r="C729" s="7">
        <v>46530.583333333336</v>
      </c>
      <c r="D729" s="7" t="s">
        <v>47</v>
      </c>
      <c r="E729" s="7" t="s">
        <v>39</v>
      </c>
      <c r="F729" s="7" t="s">
        <v>1743</v>
      </c>
      <c r="G729" s="7">
        <v>4</v>
      </c>
      <c r="H729" s="37">
        <f>Priors!$H$27*VLOOKUP(D729,Team_26_27!$A$2:$U$21,20,FALSE)*VLOOKUP(E729,Team_26_27!$A$2:$U$21,21,FALSE)*IF(F729="H",Priors!$H$28,Priors!$H$29)</f>
        <v>0.94720259707090393</v>
      </c>
      <c r="I729" s="37">
        <f>Priors!$H$27*VLOOKUP(E729,Team_26_27!$A$2:$U$21,20,FALSE)*VLOOKUP(D729,Team_26_27!$A$2:$U$21,21,FALSE)*IF(F729="H",Priors!$H$29,Priors!$H$28)</f>
        <v>1.5302915226891005</v>
      </c>
      <c r="J729" s="15"/>
      <c r="K729" s="15"/>
      <c r="L729" s="47" t="b">
        <v>0</v>
      </c>
      <c r="M729" s="45">
        <v>0</v>
      </c>
      <c r="N729" s="45"/>
      <c r="O729" s="45"/>
      <c r="P729" s="38">
        <f t="shared" si="55"/>
        <v>0.94720259707090393</v>
      </c>
      <c r="Q729" s="38">
        <f t="shared" si="56"/>
        <v>1.5302915226891005</v>
      </c>
      <c r="R729" s="17">
        <f t="shared" si="57"/>
        <v>0.2164725514562845</v>
      </c>
      <c r="S729" s="17">
        <f t="shared" si="58"/>
        <v>0.38782440855213807</v>
      </c>
      <c r="T729" s="38" t="str">
        <f t="shared" si="59"/>
        <v/>
      </c>
      <c r="U729" s="31" t="s">
        <v>1876</v>
      </c>
      <c r="V729" s="31"/>
    </row>
    <row r="730" spans="1:22" ht="30">
      <c r="A730" s="7">
        <v>37</v>
      </c>
      <c r="B730" s="7">
        <v>365</v>
      </c>
      <c r="C730" s="7">
        <v>46530.583333333336</v>
      </c>
      <c r="D730" s="7" t="s">
        <v>45</v>
      </c>
      <c r="E730" s="7" t="s">
        <v>48</v>
      </c>
      <c r="F730" s="7" t="s">
        <v>1742</v>
      </c>
      <c r="G730" s="7">
        <v>3</v>
      </c>
      <c r="H730" s="37">
        <f>Priors!$H$27*VLOOKUP(D730,Team_26_27!$A$2:$U$21,20,FALSE)*VLOOKUP(E730,Team_26_27!$A$2:$U$21,21,FALSE)*IF(F730="H",Priors!$H$28,Priors!$H$29)</f>
        <v>0.99596264619372388</v>
      </c>
      <c r="I730" s="37">
        <f>Priors!$H$27*VLOOKUP(E730,Team_26_27!$A$2:$U$21,20,FALSE)*VLOOKUP(D730,Team_26_27!$A$2:$U$21,21,FALSE)*IF(F730="H",Priors!$H$29,Priors!$H$28)</f>
        <v>1.837281784659607</v>
      </c>
      <c r="J730" s="15"/>
      <c r="K730" s="15"/>
      <c r="L730" s="47" t="b">
        <v>0</v>
      </c>
      <c r="M730" s="45">
        <v>0</v>
      </c>
      <c r="N730" s="45"/>
      <c r="O730" s="45"/>
      <c r="P730" s="38">
        <f t="shared" si="55"/>
        <v>0.99596264619372388</v>
      </c>
      <c r="Q730" s="38">
        <f t="shared" si="56"/>
        <v>1.837281784659607</v>
      </c>
      <c r="R730" s="17">
        <f t="shared" si="57"/>
        <v>0.1592497133295965</v>
      </c>
      <c r="S730" s="17">
        <f t="shared" si="58"/>
        <v>0.36936770293156457</v>
      </c>
      <c r="T730" s="38" t="str">
        <f t="shared" si="59"/>
        <v/>
      </c>
      <c r="U730" s="31" t="s">
        <v>1876</v>
      </c>
      <c r="V730" s="31"/>
    </row>
    <row r="731" spans="1:22" ht="30">
      <c r="A731" s="7">
        <v>37</v>
      </c>
      <c r="B731" s="7">
        <v>365</v>
      </c>
      <c r="C731" s="7">
        <v>46530.583333333336</v>
      </c>
      <c r="D731" s="7" t="s">
        <v>48</v>
      </c>
      <c r="E731" s="7" t="s">
        <v>45</v>
      </c>
      <c r="F731" s="7" t="s">
        <v>1743</v>
      </c>
      <c r="G731" s="7">
        <v>2</v>
      </c>
      <c r="H731" s="37">
        <f>Priors!$H$27*VLOOKUP(D731,Team_26_27!$A$2:$U$21,20,FALSE)*VLOOKUP(E731,Team_26_27!$A$2:$U$21,21,FALSE)*IF(F731="H",Priors!$H$28,Priors!$H$29)</f>
        <v>1.837281784659607</v>
      </c>
      <c r="I731" s="37">
        <f>Priors!$H$27*VLOOKUP(E731,Team_26_27!$A$2:$U$21,20,FALSE)*VLOOKUP(D731,Team_26_27!$A$2:$U$21,21,FALSE)*IF(F731="H",Priors!$H$29,Priors!$H$28)</f>
        <v>0.99596264619372388</v>
      </c>
      <c r="J731" s="15"/>
      <c r="K731" s="15"/>
      <c r="L731" s="47" t="b">
        <v>0</v>
      </c>
      <c r="M731" s="45">
        <v>0</v>
      </c>
      <c r="N731" s="45"/>
      <c r="O731" s="45"/>
      <c r="P731" s="38">
        <f t="shared" si="55"/>
        <v>1.837281784659607</v>
      </c>
      <c r="Q731" s="38">
        <f t="shared" si="56"/>
        <v>0.99596264619372388</v>
      </c>
      <c r="R731" s="17">
        <f t="shared" si="57"/>
        <v>0.36936770293156457</v>
      </c>
      <c r="S731" s="17">
        <f t="shared" si="58"/>
        <v>0.1592497133295965</v>
      </c>
      <c r="T731" s="38" t="str">
        <f t="shared" si="59"/>
        <v/>
      </c>
      <c r="U731" s="31" t="s">
        <v>1876</v>
      </c>
      <c r="V731" s="31"/>
    </row>
    <row r="732" spans="1:22" ht="30">
      <c r="A732" s="7">
        <v>37</v>
      </c>
      <c r="B732" s="7">
        <v>366</v>
      </c>
      <c r="C732" s="7">
        <v>46530.583333333336</v>
      </c>
      <c r="D732" s="7" t="s">
        <v>58</v>
      </c>
      <c r="E732" s="7" t="s">
        <v>51</v>
      </c>
      <c r="F732" s="7" t="s">
        <v>1742</v>
      </c>
      <c r="G732" s="7">
        <v>3</v>
      </c>
      <c r="H732" s="37">
        <f>Priors!$H$27*VLOOKUP(D732,Team_26_27!$A$2:$U$21,20,FALSE)*VLOOKUP(E732,Team_26_27!$A$2:$U$21,21,FALSE)*IF(F732="H",Priors!$H$28,Priors!$H$29)</f>
        <v>1.0571082478187845</v>
      </c>
      <c r="I732" s="37">
        <f>Priors!$H$27*VLOOKUP(E732,Team_26_27!$A$2:$U$21,20,FALSE)*VLOOKUP(D732,Team_26_27!$A$2:$U$21,21,FALSE)*IF(F732="H",Priors!$H$29,Priors!$H$28)</f>
        <v>1.5858913253516449</v>
      </c>
      <c r="J732" s="15"/>
      <c r="K732" s="15"/>
      <c r="L732" s="47" t="b">
        <v>0</v>
      </c>
      <c r="M732" s="45">
        <v>0</v>
      </c>
      <c r="N732" s="45"/>
      <c r="O732" s="45"/>
      <c r="P732" s="38">
        <f t="shared" si="55"/>
        <v>1.0571082478187845</v>
      </c>
      <c r="Q732" s="38">
        <f t="shared" si="56"/>
        <v>1.5858913253516449</v>
      </c>
      <c r="R732" s="17">
        <f t="shared" si="57"/>
        <v>0.20476519934034826</v>
      </c>
      <c r="S732" s="17">
        <f t="shared" si="58"/>
        <v>0.34745912464429041</v>
      </c>
      <c r="T732" s="38" t="str">
        <f t="shared" si="59"/>
        <v/>
      </c>
      <c r="U732" s="31" t="s">
        <v>1876</v>
      </c>
      <c r="V732" s="31"/>
    </row>
    <row r="733" spans="1:22" ht="30">
      <c r="A733" s="7">
        <v>37</v>
      </c>
      <c r="B733" s="7">
        <v>366</v>
      </c>
      <c r="C733" s="7">
        <v>46530.583333333336</v>
      </c>
      <c r="D733" s="7" t="s">
        <v>51</v>
      </c>
      <c r="E733" s="7" t="s">
        <v>58</v>
      </c>
      <c r="F733" s="7" t="s">
        <v>1743</v>
      </c>
      <c r="G733" s="7">
        <v>2</v>
      </c>
      <c r="H733" s="37">
        <f>Priors!$H$27*VLOOKUP(D733,Team_26_27!$A$2:$U$21,20,FALSE)*VLOOKUP(E733,Team_26_27!$A$2:$U$21,21,FALSE)*IF(F733="H",Priors!$H$28,Priors!$H$29)</f>
        <v>1.5858913253516449</v>
      </c>
      <c r="I733" s="37">
        <f>Priors!$H$27*VLOOKUP(E733,Team_26_27!$A$2:$U$21,20,FALSE)*VLOOKUP(D733,Team_26_27!$A$2:$U$21,21,FALSE)*IF(F733="H",Priors!$H$29,Priors!$H$28)</f>
        <v>1.0571082478187845</v>
      </c>
      <c r="J733" s="15"/>
      <c r="K733" s="15"/>
      <c r="L733" s="47" t="b">
        <v>0</v>
      </c>
      <c r="M733" s="45">
        <v>0</v>
      </c>
      <c r="N733" s="45"/>
      <c r="O733" s="45"/>
      <c r="P733" s="38">
        <f t="shared" si="55"/>
        <v>1.5858913253516449</v>
      </c>
      <c r="Q733" s="38">
        <f t="shared" si="56"/>
        <v>1.0571082478187845</v>
      </c>
      <c r="R733" s="17">
        <f t="shared" si="57"/>
        <v>0.34745912464429041</v>
      </c>
      <c r="S733" s="17">
        <f t="shared" si="58"/>
        <v>0.20476519934034826</v>
      </c>
      <c r="T733" s="38" t="str">
        <f t="shared" si="59"/>
        <v/>
      </c>
      <c r="U733" s="31" t="s">
        <v>1876</v>
      </c>
      <c r="V733" s="31"/>
    </row>
    <row r="734" spans="1:22" ht="30">
      <c r="A734" s="7">
        <v>37</v>
      </c>
      <c r="B734" s="7">
        <v>367</v>
      </c>
      <c r="C734" s="7">
        <v>46530.583333333336</v>
      </c>
      <c r="D734" s="7" t="s">
        <v>40</v>
      </c>
      <c r="E734" s="7" t="s">
        <v>53</v>
      </c>
      <c r="F734" s="7" t="s">
        <v>1742</v>
      </c>
      <c r="G734" s="7">
        <v>5</v>
      </c>
      <c r="H734" s="37">
        <f>Priors!$H$27*VLOOKUP(D734,Team_26_27!$A$2:$U$21,20,FALSE)*VLOOKUP(E734,Team_26_27!$A$2:$U$21,21,FALSE)*IF(F734="H",Priors!$H$28,Priors!$H$29)</f>
        <v>1.067861706215907</v>
      </c>
      <c r="I734" s="37">
        <f>Priors!$H$27*VLOOKUP(E734,Team_26_27!$A$2:$U$21,20,FALSE)*VLOOKUP(D734,Team_26_27!$A$2:$U$21,21,FALSE)*IF(F734="H",Priors!$H$29,Priors!$H$28)</f>
        <v>1.8507255857573188</v>
      </c>
      <c r="J734" s="15"/>
      <c r="K734" s="15"/>
      <c r="L734" s="47" t="b">
        <v>0</v>
      </c>
      <c r="M734" s="45">
        <v>0</v>
      </c>
      <c r="N734" s="45"/>
      <c r="O734" s="45"/>
      <c r="P734" s="38">
        <f t="shared" si="55"/>
        <v>1.067861706215907</v>
      </c>
      <c r="Q734" s="38">
        <f t="shared" si="56"/>
        <v>1.8507255857573188</v>
      </c>
      <c r="R734" s="17">
        <f t="shared" si="57"/>
        <v>0.15712311864591455</v>
      </c>
      <c r="S734" s="17">
        <f t="shared" si="58"/>
        <v>0.34374275512759561</v>
      </c>
      <c r="T734" s="38" t="str">
        <f t="shared" si="59"/>
        <v/>
      </c>
      <c r="U734" s="31" t="s">
        <v>1876</v>
      </c>
      <c r="V734" s="31"/>
    </row>
    <row r="735" spans="1:22" ht="30">
      <c r="A735" s="7">
        <v>37</v>
      </c>
      <c r="B735" s="7">
        <v>367</v>
      </c>
      <c r="C735" s="7">
        <v>46530.583333333336</v>
      </c>
      <c r="D735" s="7" t="s">
        <v>53</v>
      </c>
      <c r="E735" s="7" t="s">
        <v>40</v>
      </c>
      <c r="F735" s="7" t="s">
        <v>1743</v>
      </c>
      <c r="G735" s="7">
        <v>3</v>
      </c>
      <c r="H735" s="37">
        <f>Priors!$H$27*VLOOKUP(D735,Team_26_27!$A$2:$U$21,20,FALSE)*VLOOKUP(E735,Team_26_27!$A$2:$U$21,21,FALSE)*IF(F735="H",Priors!$H$28,Priors!$H$29)</f>
        <v>1.8507255857573188</v>
      </c>
      <c r="I735" s="37">
        <f>Priors!$H$27*VLOOKUP(E735,Team_26_27!$A$2:$U$21,20,FALSE)*VLOOKUP(D735,Team_26_27!$A$2:$U$21,21,FALSE)*IF(F735="H",Priors!$H$29,Priors!$H$28)</f>
        <v>1.067861706215907</v>
      </c>
      <c r="J735" s="15"/>
      <c r="K735" s="15"/>
      <c r="L735" s="47" t="b">
        <v>0</v>
      </c>
      <c r="M735" s="45">
        <v>0</v>
      </c>
      <c r="N735" s="45"/>
      <c r="O735" s="45"/>
      <c r="P735" s="38">
        <f t="shared" si="55"/>
        <v>1.8507255857573188</v>
      </c>
      <c r="Q735" s="38">
        <f t="shared" si="56"/>
        <v>1.067861706215907</v>
      </c>
      <c r="R735" s="17">
        <f t="shared" si="57"/>
        <v>0.34374275512759561</v>
      </c>
      <c r="S735" s="17">
        <f t="shared" si="58"/>
        <v>0.15712311864591455</v>
      </c>
      <c r="T735" s="38" t="str">
        <f t="shared" si="59"/>
        <v/>
      </c>
      <c r="U735" s="31" t="s">
        <v>1876</v>
      </c>
      <c r="V735" s="31"/>
    </row>
    <row r="736" spans="1:22" ht="30">
      <c r="A736" s="7">
        <v>37</v>
      </c>
      <c r="B736" s="7">
        <v>368</v>
      </c>
      <c r="C736" s="7">
        <v>46530.583333333336</v>
      </c>
      <c r="D736" s="7" t="s">
        <v>46</v>
      </c>
      <c r="E736" s="7" t="s">
        <v>55</v>
      </c>
      <c r="F736" s="7" t="s">
        <v>1742</v>
      </c>
      <c r="G736" s="7">
        <v>3</v>
      </c>
      <c r="H736" s="37">
        <f>Priors!$H$27*VLOOKUP(D736,Team_26_27!$A$2:$U$21,20,FALSE)*VLOOKUP(E736,Team_26_27!$A$2:$U$21,21,FALSE)*IF(F736="H",Priors!$H$28,Priors!$H$29)</f>
        <v>1.2992857061453051</v>
      </c>
      <c r="I736" s="37">
        <f>Priors!$H$27*VLOOKUP(E736,Team_26_27!$A$2:$U$21,20,FALSE)*VLOOKUP(D736,Team_26_27!$A$2:$U$21,21,FALSE)*IF(F736="H",Priors!$H$29,Priors!$H$28)</f>
        <v>1.5807782586505446</v>
      </c>
      <c r="J736" s="15"/>
      <c r="K736" s="15"/>
      <c r="L736" s="47" t="b">
        <v>0</v>
      </c>
      <c r="M736" s="45">
        <v>0</v>
      </c>
      <c r="N736" s="45"/>
      <c r="O736" s="45"/>
      <c r="P736" s="38">
        <f t="shared" si="55"/>
        <v>1.2992857061453051</v>
      </c>
      <c r="Q736" s="38">
        <f t="shared" si="56"/>
        <v>1.5807782586505446</v>
      </c>
      <c r="R736" s="17">
        <f t="shared" si="57"/>
        <v>0.20581485866490073</v>
      </c>
      <c r="S736" s="17">
        <f t="shared" si="58"/>
        <v>0.27272653036054373</v>
      </c>
      <c r="T736" s="38" t="str">
        <f t="shared" si="59"/>
        <v/>
      </c>
      <c r="U736" s="31" t="s">
        <v>1876</v>
      </c>
      <c r="V736" s="31"/>
    </row>
    <row r="737" spans="1:22" ht="30">
      <c r="A737" s="7">
        <v>37</v>
      </c>
      <c r="B737" s="7">
        <v>368</v>
      </c>
      <c r="C737" s="7">
        <v>46530.583333333336</v>
      </c>
      <c r="D737" s="7" t="s">
        <v>55</v>
      </c>
      <c r="E737" s="7" t="s">
        <v>46</v>
      </c>
      <c r="F737" s="7" t="s">
        <v>1743</v>
      </c>
      <c r="G737" s="7">
        <v>3</v>
      </c>
      <c r="H737" s="37">
        <f>Priors!$H$27*VLOOKUP(D737,Team_26_27!$A$2:$U$21,20,FALSE)*VLOOKUP(E737,Team_26_27!$A$2:$U$21,21,FALSE)*IF(F737="H",Priors!$H$28,Priors!$H$29)</f>
        <v>1.5807782586505446</v>
      </c>
      <c r="I737" s="37">
        <f>Priors!$H$27*VLOOKUP(E737,Team_26_27!$A$2:$U$21,20,FALSE)*VLOOKUP(D737,Team_26_27!$A$2:$U$21,21,FALSE)*IF(F737="H",Priors!$H$29,Priors!$H$28)</f>
        <v>1.2992857061453051</v>
      </c>
      <c r="J737" s="15"/>
      <c r="K737" s="15"/>
      <c r="L737" s="47" t="b">
        <v>0</v>
      </c>
      <c r="M737" s="45">
        <v>0</v>
      </c>
      <c r="N737" s="45"/>
      <c r="O737" s="45"/>
      <c r="P737" s="38">
        <f t="shared" si="55"/>
        <v>1.5807782586505446</v>
      </c>
      <c r="Q737" s="38">
        <f t="shared" si="56"/>
        <v>1.2992857061453051</v>
      </c>
      <c r="R737" s="17">
        <f t="shared" si="57"/>
        <v>0.27272653036054373</v>
      </c>
      <c r="S737" s="17">
        <f t="shared" si="58"/>
        <v>0.20581485866490073</v>
      </c>
      <c r="T737" s="38" t="str">
        <f t="shared" si="59"/>
        <v/>
      </c>
      <c r="U737" s="31" t="s">
        <v>1876</v>
      </c>
      <c r="V737" s="31"/>
    </row>
    <row r="738" spans="1:22" ht="30">
      <c r="A738" s="7">
        <v>37</v>
      </c>
      <c r="B738" s="7">
        <v>369</v>
      </c>
      <c r="C738" s="7">
        <v>46530.583333333336</v>
      </c>
      <c r="D738" s="7" t="s">
        <v>50</v>
      </c>
      <c r="E738" s="7" t="s">
        <v>56</v>
      </c>
      <c r="F738" s="7" t="s">
        <v>1742</v>
      </c>
      <c r="G738" s="7">
        <v>3</v>
      </c>
      <c r="H738" s="37">
        <f>Priors!$H$27*VLOOKUP(D738,Team_26_27!$A$2:$U$21,20,FALSE)*VLOOKUP(E738,Team_26_27!$A$2:$U$21,21,FALSE)*IF(F738="H",Priors!$H$28,Priors!$H$29)</f>
        <v>1.0008190875027394</v>
      </c>
      <c r="I738" s="37">
        <f>Priors!$H$27*VLOOKUP(E738,Team_26_27!$A$2:$U$21,20,FALSE)*VLOOKUP(D738,Team_26_27!$A$2:$U$21,21,FALSE)*IF(F738="H",Priors!$H$29,Priors!$H$28)</f>
        <v>1.7569668971180636</v>
      </c>
      <c r="J738" s="15"/>
      <c r="K738" s="15"/>
      <c r="L738" s="47" t="b">
        <v>0</v>
      </c>
      <c r="M738" s="45">
        <v>0</v>
      </c>
      <c r="N738" s="45"/>
      <c r="O738" s="45"/>
      <c r="P738" s="38">
        <f t="shared" si="55"/>
        <v>1.0008190875027394</v>
      </c>
      <c r="Q738" s="38">
        <f t="shared" si="56"/>
        <v>1.7569668971180636</v>
      </c>
      <c r="R738" s="17">
        <f t="shared" si="57"/>
        <v>0.17256748577774877</v>
      </c>
      <c r="S738" s="17">
        <f t="shared" si="58"/>
        <v>0.36757823909093384</v>
      </c>
      <c r="T738" s="38" t="str">
        <f t="shared" si="59"/>
        <v/>
      </c>
      <c r="U738" s="31" t="s">
        <v>1876</v>
      </c>
      <c r="V738" s="31"/>
    </row>
    <row r="739" spans="1:22" ht="30">
      <c r="A739" s="7">
        <v>37</v>
      </c>
      <c r="B739" s="7">
        <v>369</v>
      </c>
      <c r="C739" s="7">
        <v>46530.583333333336</v>
      </c>
      <c r="D739" s="7" t="s">
        <v>56</v>
      </c>
      <c r="E739" s="7" t="s">
        <v>50</v>
      </c>
      <c r="F739" s="7" t="s">
        <v>1743</v>
      </c>
      <c r="G739" s="7">
        <v>2</v>
      </c>
      <c r="H739" s="37">
        <f>Priors!$H$27*VLOOKUP(D739,Team_26_27!$A$2:$U$21,20,FALSE)*VLOOKUP(E739,Team_26_27!$A$2:$U$21,21,FALSE)*IF(F739="H",Priors!$H$28,Priors!$H$29)</f>
        <v>1.7569668971180636</v>
      </c>
      <c r="I739" s="37">
        <f>Priors!$H$27*VLOOKUP(E739,Team_26_27!$A$2:$U$21,20,FALSE)*VLOOKUP(D739,Team_26_27!$A$2:$U$21,21,FALSE)*IF(F739="H",Priors!$H$29,Priors!$H$28)</f>
        <v>1.0008190875027394</v>
      </c>
      <c r="J739" s="15"/>
      <c r="K739" s="15"/>
      <c r="L739" s="47" t="b">
        <v>0</v>
      </c>
      <c r="M739" s="45">
        <v>0</v>
      </c>
      <c r="N739" s="45"/>
      <c r="O739" s="45"/>
      <c r="P739" s="38">
        <f t="shared" si="55"/>
        <v>1.7569668971180636</v>
      </c>
      <c r="Q739" s="38">
        <f t="shared" si="56"/>
        <v>1.0008190875027394</v>
      </c>
      <c r="R739" s="17">
        <f t="shared" si="57"/>
        <v>0.36757823909093384</v>
      </c>
      <c r="S739" s="17">
        <f t="shared" si="58"/>
        <v>0.17256748577774877</v>
      </c>
      <c r="T739" s="38" t="str">
        <f t="shared" si="59"/>
        <v/>
      </c>
      <c r="U739" s="31" t="s">
        <v>1876</v>
      </c>
      <c r="V739" s="31"/>
    </row>
    <row r="740" spans="1:22" ht="30">
      <c r="A740" s="7">
        <v>37</v>
      </c>
      <c r="B740" s="7">
        <v>370</v>
      </c>
      <c r="C740" s="7">
        <v>46530.583333333336</v>
      </c>
      <c r="D740" s="7" t="s">
        <v>54</v>
      </c>
      <c r="E740" s="7" t="s">
        <v>57</v>
      </c>
      <c r="F740" s="7" t="s">
        <v>1742</v>
      </c>
      <c r="G740" s="7">
        <v>3</v>
      </c>
      <c r="H740" s="37">
        <f>Priors!$H$27*VLOOKUP(D740,Team_26_27!$A$2:$U$21,20,FALSE)*VLOOKUP(E740,Team_26_27!$A$2:$U$21,21,FALSE)*IF(F740="H",Priors!$H$28,Priors!$H$29)</f>
        <v>1.4442845227336907</v>
      </c>
      <c r="I740" s="37">
        <f>Priors!$H$27*VLOOKUP(E740,Team_26_27!$A$2:$U$21,20,FALSE)*VLOOKUP(D740,Team_26_27!$A$2:$U$21,21,FALSE)*IF(F740="H",Priors!$H$29,Priors!$H$28)</f>
        <v>1.1960721539410513</v>
      </c>
      <c r="J740" s="15"/>
      <c r="K740" s="15"/>
      <c r="L740" s="47" t="b">
        <v>0</v>
      </c>
      <c r="M740" s="45">
        <v>0</v>
      </c>
      <c r="N740" s="45"/>
      <c r="O740" s="45"/>
      <c r="P740" s="38">
        <f t="shared" si="55"/>
        <v>1.4442845227336907</v>
      </c>
      <c r="Q740" s="38">
        <f t="shared" si="56"/>
        <v>1.1960721539410513</v>
      </c>
      <c r="R740" s="17">
        <f t="shared" si="57"/>
        <v>0.30237958286376082</v>
      </c>
      <c r="S740" s="17">
        <f t="shared" si="58"/>
        <v>0.23591480786877222</v>
      </c>
      <c r="T740" s="38" t="str">
        <f t="shared" si="59"/>
        <v/>
      </c>
      <c r="U740" s="31" t="s">
        <v>1876</v>
      </c>
      <c r="V740" s="31"/>
    </row>
    <row r="741" spans="1:22" ht="30">
      <c r="A741" s="7">
        <v>37</v>
      </c>
      <c r="B741" s="7">
        <v>370</v>
      </c>
      <c r="C741" s="7">
        <v>46530.583333333336</v>
      </c>
      <c r="D741" s="7" t="s">
        <v>57</v>
      </c>
      <c r="E741" s="7" t="s">
        <v>54</v>
      </c>
      <c r="F741" s="7" t="s">
        <v>1743</v>
      </c>
      <c r="G741" s="7">
        <v>4</v>
      </c>
      <c r="H741" s="37">
        <f>Priors!$H$27*VLOOKUP(D741,Team_26_27!$A$2:$U$21,20,FALSE)*VLOOKUP(E741,Team_26_27!$A$2:$U$21,21,FALSE)*IF(F741="H",Priors!$H$28,Priors!$H$29)</f>
        <v>1.1960721539410513</v>
      </c>
      <c r="I741" s="37">
        <f>Priors!$H$27*VLOOKUP(E741,Team_26_27!$A$2:$U$21,20,FALSE)*VLOOKUP(D741,Team_26_27!$A$2:$U$21,21,FALSE)*IF(F741="H",Priors!$H$29,Priors!$H$28)</f>
        <v>1.4442845227336907</v>
      </c>
      <c r="J741" s="15"/>
      <c r="K741" s="15"/>
      <c r="L741" s="47" t="b">
        <v>0</v>
      </c>
      <c r="M741" s="45">
        <v>0</v>
      </c>
      <c r="N741" s="45"/>
      <c r="O741" s="45"/>
      <c r="P741" s="38">
        <f t="shared" si="55"/>
        <v>1.1960721539410513</v>
      </c>
      <c r="Q741" s="38">
        <f t="shared" si="56"/>
        <v>1.4442845227336907</v>
      </c>
      <c r="R741" s="17">
        <f t="shared" si="57"/>
        <v>0.23591480786877222</v>
      </c>
      <c r="S741" s="17">
        <f t="shared" si="58"/>
        <v>0.30237958286376082</v>
      </c>
      <c r="T741" s="38" t="str">
        <f t="shared" si="59"/>
        <v/>
      </c>
      <c r="U741" s="31" t="s">
        <v>1876</v>
      </c>
      <c r="V741" s="31"/>
    </row>
    <row r="742" spans="1:22" ht="30">
      <c r="A742" s="7">
        <v>38</v>
      </c>
      <c r="B742" s="7">
        <v>371</v>
      </c>
      <c r="C742" s="7">
        <v>46537.625</v>
      </c>
      <c r="D742" s="7" t="s">
        <v>43</v>
      </c>
      <c r="E742" s="7" t="s">
        <v>39</v>
      </c>
      <c r="F742" s="7" t="s">
        <v>1742</v>
      </c>
      <c r="G742" s="7">
        <v>5</v>
      </c>
      <c r="H742" s="37">
        <f>Priors!$H$27*VLOOKUP(D742,Team_26_27!$A$2:$U$21,20,FALSE)*VLOOKUP(E742,Team_26_27!$A$2:$U$21,21,FALSE)*IF(F742="H",Priors!$H$28,Priors!$H$29)</f>
        <v>0.89994279203020267</v>
      </c>
      <c r="I742" s="37">
        <f>Priors!$H$27*VLOOKUP(E742,Team_26_27!$A$2:$U$21,20,FALSE)*VLOOKUP(D742,Team_26_27!$A$2:$U$21,21,FALSE)*IF(F742="H",Priors!$H$29,Priors!$H$28)</f>
        <v>1.6957409505442511</v>
      </c>
      <c r="J742" s="15"/>
      <c r="K742" s="15"/>
      <c r="L742" s="47" t="b">
        <v>0</v>
      </c>
      <c r="M742" s="45">
        <v>0</v>
      </c>
      <c r="N742" s="45"/>
      <c r="O742" s="45"/>
      <c r="P742" s="38">
        <f t="shared" si="55"/>
        <v>0.89994279203020267</v>
      </c>
      <c r="Q742" s="38">
        <f t="shared" si="56"/>
        <v>1.6957409505442511</v>
      </c>
      <c r="R742" s="17">
        <f t="shared" si="57"/>
        <v>0.18346324146529641</v>
      </c>
      <c r="S742" s="17">
        <f t="shared" si="58"/>
        <v>0.40659291943072756</v>
      </c>
      <c r="T742" s="38" t="str">
        <f t="shared" si="59"/>
        <v/>
      </c>
      <c r="U742" s="31" t="s">
        <v>1876</v>
      </c>
      <c r="V742" s="31"/>
    </row>
    <row r="743" spans="1:22" ht="30">
      <c r="A743" s="7">
        <v>38</v>
      </c>
      <c r="B743" s="7">
        <v>371</v>
      </c>
      <c r="C743" s="7">
        <v>46537.625</v>
      </c>
      <c r="D743" s="7" t="s">
        <v>39</v>
      </c>
      <c r="E743" s="7" t="s">
        <v>43</v>
      </c>
      <c r="F743" s="7" t="s">
        <v>1743</v>
      </c>
      <c r="G743" s="7">
        <v>2</v>
      </c>
      <c r="H743" s="37">
        <f>Priors!$H$27*VLOOKUP(D743,Team_26_27!$A$2:$U$21,20,FALSE)*VLOOKUP(E743,Team_26_27!$A$2:$U$21,21,FALSE)*IF(F743="H",Priors!$H$28,Priors!$H$29)</f>
        <v>1.6957409505442511</v>
      </c>
      <c r="I743" s="37">
        <f>Priors!$H$27*VLOOKUP(E743,Team_26_27!$A$2:$U$21,20,FALSE)*VLOOKUP(D743,Team_26_27!$A$2:$U$21,21,FALSE)*IF(F743="H",Priors!$H$29,Priors!$H$28)</f>
        <v>0.89994279203020267</v>
      </c>
      <c r="J743" s="15"/>
      <c r="K743" s="15"/>
      <c r="L743" s="47" t="b">
        <v>0</v>
      </c>
      <c r="M743" s="45">
        <v>0</v>
      </c>
      <c r="N743" s="45"/>
      <c r="O743" s="45"/>
      <c r="P743" s="38">
        <f t="shared" si="55"/>
        <v>1.6957409505442511</v>
      </c>
      <c r="Q743" s="38">
        <f t="shared" si="56"/>
        <v>0.89994279203020267</v>
      </c>
      <c r="R743" s="17">
        <f t="shared" si="57"/>
        <v>0.40659291943072756</v>
      </c>
      <c r="S743" s="17">
        <f t="shared" si="58"/>
        <v>0.18346324146529641</v>
      </c>
      <c r="T743" s="38" t="str">
        <f t="shared" si="59"/>
        <v/>
      </c>
      <c r="U743" s="31" t="s">
        <v>1876</v>
      </c>
      <c r="V743" s="31"/>
    </row>
    <row r="744" spans="1:22" ht="30">
      <c r="A744" s="7">
        <v>38</v>
      </c>
      <c r="B744" s="7">
        <v>372</v>
      </c>
      <c r="C744" s="7">
        <v>46537.625</v>
      </c>
      <c r="D744" s="7" t="s">
        <v>57</v>
      </c>
      <c r="E744" s="7" t="s">
        <v>40</v>
      </c>
      <c r="F744" s="7" t="s">
        <v>1742</v>
      </c>
      <c r="G744" s="7">
        <v>4</v>
      </c>
      <c r="H744" s="37">
        <f>Priors!$H$27*VLOOKUP(D744,Team_26_27!$A$2:$U$21,20,FALSE)*VLOOKUP(E744,Team_26_27!$A$2:$U$21,21,FALSE)*IF(F744="H",Priors!$H$28,Priors!$H$29)</f>
        <v>1.0512830802330593</v>
      </c>
      <c r="I744" s="37">
        <f>Priors!$H$27*VLOOKUP(E744,Team_26_27!$A$2:$U$21,20,FALSE)*VLOOKUP(D744,Team_26_27!$A$2:$U$21,21,FALSE)*IF(F744="H",Priors!$H$29,Priors!$H$28)</f>
        <v>1.4224583418055163</v>
      </c>
      <c r="J744" s="15"/>
      <c r="K744" s="15"/>
      <c r="L744" s="47" t="b">
        <v>0</v>
      </c>
      <c r="M744" s="45">
        <v>0</v>
      </c>
      <c r="N744" s="45"/>
      <c r="O744" s="45"/>
      <c r="P744" s="38">
        <f t="shared" si="55"/>
        <v>1.0512830802330593</v>
      </c>
      <c r="Q744" s="38">
        <f t="shared" si="56"/>
        <v>1.4224583418055163</v>
      </c>
      <c r="R744" s="17">
        <f t="shared" si="57"/>
        <v>0.24112053101878347</v>
      </c>
      <c r="S744" s="17">
        <f t="shared" si="58"/>
        <v>0.34948903882967497</v>
      </c>
      <c r="T744" s="38" t="str">
        <f t="shared" si="59"/>
        <v/>
      </c>
      <c r="U744" s="31" t="s">
        <v>1876</v>
      </c>
      <c r="V744" s="31"/>
    </row>
    <row r="745" spans="1:22" ht="30">
      <c r="A745" s="7">
        <v>38</v>
      </c>
      <c r="B745" s="7">
        <v>372</v>
      </c>
      <c r="C745" s="7">
        <v>46537.625</v>
      </c>
      <c r="D745" s="7" t="s">
        <v>40</v>
      </c>
      <c r="E745" s="7" t="s">
        <v>57</v>
      </c>
      <c r="F745" s="7" t="s">
        <v>1743</v>
      </c>
      <c r="G745" s="7">
        <v>3</v>
      </c>
      <c r="H745" s="37">
        <f>Priors!$H$27*VLOOKUP(D745,Team_26_27!$A$2:$U$21,20,FALSE)*VLOOKUP(E745,Team_26_27!$A$2:$U$21,21,FALSE)*IF(F745="H",Priors!$H$28,Priors!$H$29)</f>
        <v>1.4224583418055163</v>
      </c>
      <c r="I745" s="37">
        <f>Priors!$H$27*VLOOKUP(E745,Team_26_27!$A$2:$U$21,20,FALSE)*VLOOKUP(D745,Team_26_27!$A$2:$U$21,21,FALSE)*IF(F745="H",Priors!$H$29,Priors!$H$28)</f>
        <v>1.0512830802330593</v>
      </c>
      <c r="J745" s="15"/>
      <c r="K745" s="15"/>
      <c r="L745" s="47" t="b">
        <v>0</v>
      </c>
      <c r="M745" s="45">
        <v>0</v>
      </c>
      <c r="N745" s="45"/>
      <c r="O745" s="45"/>
      <c r="P745" s="38">
        <f t="shared" si="55"/>
        <v>1.4224583418055163</v>
      </c>
      <c r="Q745" s="38">
        <f t="shared" si="56"/>
        <v>1.0512830802330593</v>
      </c>
      <c r="R745" s="17">
        <f t="shared" si="57"/>
        <v>0.34948903882967497</v>
      </c>
      <c r="S745" s="17">
        <f t="shared" si="58"/>
        <v>0.24112053101878347</v>
      </c>
      <c r="T745" s="38" t="str">
        <f t="shared" si="59"/>
        <v/>
      </c>
      <c r="U745" s="31" t="s">
        <v>1876</v>
      </c>
      <c r="V745" s="31"/>
    </row>
    <row r="746" spans="1:22" ht="30">
      <c r="A746" s="7">
        <v>38</v>
      </c>
      <c r="B746" s="7">
        <v>373</v>
      </c>
      <c r="C746" s="7">
        <v>46537.625</v>
      </c>
      <c r="D746" s="7" t="s">
        <v>42</v>
      </c>
      <c r="E746" s="7" t="s">
        <v>44</v>
      </c>
      <c r="F746" s="7" t="s">
        <v>1742</v>
      </c>
      <c r="G746" s="7">
        <v>4</v>
      </c>
      <c r="H746" s="37">
        <f>Priors!$H$27*VLOOKUP(D746,Team_26_27!$A$2:$U$21,20,FALSE)*VLOOKUP(E746,Team_26_27!$A$2:$U$21,21,FALSE)*IF(F746="H",Priors!$H$28,Priors!$H$29)</f>
        <v>1.3654496255518065</v>
      </c>
      <c r="I746" s="37">
        <f>Priors!$H$27*VLOOKUP(E746,Team_26_27!$A$2:$U$21,20,FALSE)*VLOOKUP(D746,Team_26_27!$A$2:$U$21,21,FALSE)*IF(F746="H",Priors!$H$29,Priors!$H$28)</f>
        <v>1.780223580550147</v>
      </c>
      <c r="J746" s="15"/>
      <c r="K746" s="15"/>
      <c r="L746" s="47" t="b">
        <v>0</v>
      </c>
      <c r="M746" s="45">
        <v>0</v>
      </c>
      <c r="N746" s="45"/>
      <c r="O746" s="45"/>
      <c r="P746" s="38">
        <f t="shared" si="55"/>
        <v>1.3654496255518065</v>
      </c>
      <c r="Q746" s="38">
        <f t="shared" si="56"/>
        <v>1.780223580550147</v>
      </c>
      <c r="R746" s="17">
        <f t="shared" si="57"/>
        <v>0.16860044727350329</v>
      </c>
      <c r="S746" s="17">
        <f t="shared" si="58"/>
        <v>0.25526587612112661</v>
      </c>
      <c r="T746" s="38" t="str">
        <f t="shared" si="59"/>
        <v/>
      </c>
      <c r="U746" s="31" t="s">
        <v>1876</v>
      </c>
      <c r="V746" s="31"/>
    </row>
    <row r="747" spans="1:22" ht="30">
      <c r="A747" s="7">
        <v>38</v>
      </c>
      <c r="B747" s="7">
        <v>373</v>
      </c>
      <c r="C747" s="7">
        <v>46537.625</v>
      </c>
      <c r="D747" s="7" t="s">
        <v>44</v>
      </c>
      <c r="E747" s="7" t="s">
        <v>42</v>
      </c>
      <c r="F747" s="7" t="s">
        <v>1743</v>
      </c>
      <c r="G747" s="7">
        <v>3</v>
      </c>
      <c r="H747" s="37">
        <f>Priors!$H$27*VLOOKUP(D747,Team_26_27!$A$2:$U$21,20,FALSE)*VLOOKUP(E747,Team_26_27!$A$2:$U$21,21,FALSE)*IF(F747="H",Priors!$H$28,Priors!$H$29)</f>
        <v>1.780223580550147</v>
      </c>
      <c r="I747" s="37">
        <f>Priors!$H$27*VLOOKUP(E747,Team_26_27!$A$2:$U$21,20,FALSE)*VLOOKUP(D747,Team_26_27!$A$2:$U$21,21,FALSE)*IF(F747="H",Priors!$H$29,Priors!$H$28)</f>
        <v>1.3654496255518065</v>
      </c>
      <c r="J747" s="15"/>
      <c r="K747" s="15"/>
      <c r="L747" s="47" t="b">
        <v>0</v>
      </c>
      <c r="M747" s="45">
        <v>0</v>
      </c>
      <c r="N747" s="45"/>
      <c r="O747" s="45"/>
      <c r="P747" s="38">
        <f t="shared" si="55"/>
        <v>1.780223580550147</v>
      </c>
      <c r="Q747" s="38">
        <f t="shared" si="56"/>
        <v>1.3654496255518065</v>
      </c>
      <c r="R747" s="17">
        <f t="shared" si="57"/>
        <v>0.25526587612112661</v>
      </c>
      <c r="S747" s="17">
        <f t="shared" si="58"/>
        <v>0.16860044727350329</v>
      </c>
      <c r="T747" s="38" t="str">
        <f t="shared" si="59"/>
        <v/>
      </c>
      <c r="U747" s="31" t="s">
        <v>1876</v>
      </c>
      <c r="V747" s="31"/>
    </row>
    <row r="748" spans="1:22" ht="30">
      <c r="A748" s="7">
        <v>38</v>
      </c>
      <c r="B748" s="7">
        <v>374</v>
      </c>
      <c r="C748" s="7">
        <v>46537.625</v>
      </c>
      <c r="D748" s="7" t="s">
        <v>56</v>
      </c>
      <c r="E748" s="7" t="s">
        <v>45</v>
      </c>
      <c r="F748" s="7" t="s">
        <v>1742</v>
      </c>
      <c r="G748" s="7">
        <v>2</v>
      </c>
      <c r="H748" s="37">
        <f>Priors!$H$27*VLOOKUP(D748,Team_26_27!$A$2:$U$21,20,FALSE)*VLOOKUP(E748,Team_26_27!$A$2:$U$21,21,FALSE)*IF(F748="H",Priors!$H$28,Priors!$H$29)</f>
        <v>1.4639533546078842</v>
      </c>
      <c r="I748" s="37">
        <f>Priors!$H$27*VLOOKUP(E748,Team_26_27!$A$2:$U$21,20,FALSE)*VLOOKUP(D748,Team_26_27!$A$2:$U$21,21,FALSE)*IF(F748="H",Priors!$H$29,Priors!$H$28)</f>
        <v>1.2663020638060023</v>
      </c>
      <c r="J748" s="15"/>
      <c r="K748" s="15"/>
      <c r="L748" s="47" t="b">
        <v>0</v>
      </c>
      <c r="M748" s="45">
        <v>0</v>
      </c>
      <c r="N748" s="45"/>
      <c r="O748" s="45"/>
      <c r="P748" s="38">
        <f t="shared" si="55"/>
        <v>1.4639533546078842</v>
      </c>
      <c r="Q748" s="38">
        <f t="shared" si="56"/>
        <v>1.2663020638060023</v>
      </c>
      <c r="R748" s="17">
        <f t="shared" si="57"/>
        <v>0.28187204171462099</v>
      </c>
      <c r="S748" s="17">
        <f t="shared" si="58"/>
        <v>0.23131997480560668</v>
      </c>
      <c r="T748" s="38" t="str">
        <f t="shared" si="59"/>
        <v/>
      </c>
      <c r="U748" s="31" t="s">
        <v>1876</v>
      </c>
      <c r="V748" s="31"/>
    </row>
    <row r="749" spans="1:22" ht="30">
      <c r="A749" s="7">
        <v>38</v>
      </c>
      <c r="B749" s="7">
        <v>374</v>
      </c>
      <c r="C749" s="7">
        <v>46537.625</v>
      </c>
      <c r="D749" s="7" t="s">
        <v>45</v>
      </c>
      <c r="E749" s="7" t="s">
        <v>56</v>
      </c>
      <c r="F749" s="7" t="s">
        <v>1743</v>
      </c>
      <c r="G749" s="7">
        <v>3</v>
      </c>
      <c r="H749" s="37">
        <f>Priors!$H$27*VLOOKUP(D749,Team_26_27!$A$2:$U$21,20,FALSE)*VLOOKUP(E749,Team_26_27!$A$2:$U$21,21,FALSE)*IF(F749="H",Priors!$H$28,Priors!$H$29)</f>
        <v>1.2663020638060023</v>
      </c>
      <c r="I749" s="37">
        <f>Priors!$H$27*VLOOKUP(E749,Team_26_27!$A$2:$U$21,20,FALSE)*VLOOKUP(D749,Team_26_27!$A$2:$U$21,21,FALSE)*IF(F749="H",Priors!$H$29,Priors!$H$28)</f>
        <v>1.4639533546078842</v>
      </c>
      <c r="J749" s="15"/>
      <c r="K749" s="15"/>
      <c r="L749" s="47" t="b">
        <v>0</v>
      </c>
      <c r="M749" s="45">
        <v>0</v>
      </c>
      <c r="N749" s="45"/>
      <c r="O749" s="45"/>
      <c r="P749" s="38">
        <f t="shared" si="55"/>
        <v>1.2663020638060023</v>
      </c>
      <c r="Q749" s="38">
        <f t="shared" si="56"/>
        <v>1.4639533546078842</v>
      </c>
      <c r="R749" s="17">
        <f t="shared" si="57"/>
        <v>0.23131997480560668</v>
      </c>
      <c r="S749" s="17">
        <f t="shared" si="58"/>
        <v>0.28187204171462099</v>
      </c>
      <c r="T749" s="38" t="str">
        <f t="shared" si="59"/>
        <v/>
      </c>
      <c r="U749" s="31" t="s">
        <v>1876</v>
      </c>
      <c r="V749" s="31"/>
    </row>
    <row r="750" spans="1:22" ht="30">
      <c r="A750" s="7">
        <v>38</v>
      </c>
      <c r="B750" s="7">
        <v>375</v>
      </c>
      <c r="C750" s="7">
        <v>46537.625</v>
      </c>
      <c r="D750" s="7" t="s">
        <v>51</v>
      </c>
      <c r="E750" s="7" t="s">
        <v>46</v>
      </c>
      <c r="F750" s="7" t="s">
        <v>1742</v>
      </c>
      <c r="G750" s="7">
        <v>3</v>
      </c>
      <c r="H750" s="37">
        <f>Priors!$H$27*VLOOKUP(D750,Team_26_27!$A$2:$U$21,20,FALSE)*VLOOKUP(E750,Team_26_27!$A$2:$U$21,21,FALSE)*IF(F750="H",Priors!$H$28,Priors!$H$29)</f>
        <v>1.2598866344996207</v>
      </c>
      <c r="I750" s="37">
        <f>Priors!$H$27*VLOOKUP(E750,Team_26_27!$A$2:$U$21,20,FALSE)*VLOOKUP(D750,Team_26_27!$A$2:$U$21,21,FALSE)*IF(F750="H",Priors!$H$29,Priors!$H$28)</f>
        <v>1.6735690017315952</v>
      </c>
      <c r="J750" s="15"/>
      <c r="K750" s="15"/>
      <c r="L750" s="47" t="b">
        <v>0</v>
      </c>
      <c r="M750" s="45">
        <v>0</v>
      </c>
      <c r="N750" s="45"/>
      <c r="O750" s="45"/>
      <c r="P750" s="38">
        <f t="shared" si="55"/>
        <v>1.2598866344996207</v>
      </c>
      <c r="Q750" s="38">
        <f t="shared" si="56"/>
        <v>1.6735690017315952</v>
      </c>
      <c r="R750" s="17">
        <f t="shared" si="57"/>
        <v>0.18757640903469414</v>
      </c>
      <c r="S750" s="17">
        <f t="shared" si="58"/>
        <v>0.28368618490321146</v>
      </c>
      <c r="T750" s="38" t="str">
        <f t="shared" si="59"/>
        <v/>
      </c>
      <c r="U750" s="31" t="s">
        <v>1876</v>
      </c>
      <c r="V750" s="31"/>
    </row>
    <row r="751" spans="1:22" ht="30">
      <c r="A751" s="7">
        <v>38</v>
      </c>
      <c r="B751" s="7">
        <v>375</v>
      </c>
      <c r="C751" s="7">
        <v>46537.625</v>
      </c>
      <c r="D751" s="7" t="s">
        <v>46</v>
      </c>
      <c r="E751" s="7" t="s">
        <v>51</v>
      </c>
      <c r="F751" s="7" t="s">
        <v>1743</v>
      </c>
      <c r="G751" s="7">
        <v>2</v>
      </c>
      <c r="H751" s="37">
        <f>Priors!$H$27*VLOOKUP(D751,Team_26_27!$A$2:$U$21,20,FALSE)*VLOOKUP(E751,Team_26_27!$A$2:$U$21,21,FALSE)*IF(F751="H",Priors!$H$28,Priors!$H$29)</f>
        <v>1.6735690017315952</v>
      </c>
      <c r="I751" s="37">
        <f>Priors!$H$27*VLOOKUP(E751,Team_26_27!$A$2:$U$21,20,FALSE)*VLOOKUP(D751,Team_26_27!$A$2:$U$21,21,FALSE)*IF(F751="H",Priors!$H$29,Priors!$H$28)</f>
        <v>1.2598866344996207</v>
      </c>
      <c r="J751" s="15"/>
      <c r="K751" s="15"/>
      <c r="L751" s="47" t="b">
        <v>0</v>
      </c>
      <c r="M751" s="45">
        <v>0</v>
      </c>
      <c r="N751" s="45"/>
      <c r="O751" s="45"/>
      <c r="P751" s="38">
        <f t="shared" si="55"/>
        <v>1.6735690017315952</v>
      </c>
      <c r="Q751" s="38">
        <f t="shared" si="56"/>
        <v>1.2598866344996207</v>
      </c>
      <c r="R751" s="17">
        <f t="shared" si="57"/>
        <v>0.28368618490321146</v>
      </c>
      <c r="S751" s="17">
        <f t="shared" si="58"/>
        <v>0.18757640903469414</v>
      </c>
      <c r="T751" s="38" t="str">
        <f t="shared" si="59"/>
        <v/>
      </c>
      <c r="U751" s="31" t="s">
        <v>1876</v>
      </c>
      <c r="V751" s="31"/>
    </row>
    <row r="752" spans="1:22" ht="30">
      <c r="A752" s="7">
        <v>38</v>
      </c>
      <c r="B752" s="7">
        <v>376</v>
      </c>
      <c r="C752" s="7">
        <v>46537.625</v>
      </c>
      <c r="D752" s="7" t="s">
        <v>55</v>
      </c>
      <c r="E752" s="7" t="s">
        <v>49</v>
      </c>
      <c r="F752" s="7" t="s">
        <v>1742</v>
      </c>
      <c r="G752" s="7">
        <v>2</v>
      </c>
      <c r="H752" s="37">
        <f>Priors!$H$27*VLOOKUP(D752,Team_26_27!$A$2:$U$21,20,FALSE)*VLOOKUP(E752,Team_26_27!$A$2:$U$21,21,FALSE)*IF(F752="H",Priors!$H$28,Priors!$H$29)</f>
        <v>1.7891926946579932</v>
      </c>
      <c r="I752" s="37">
        <f>Priors!$H$27*VLOOKUP(E752,Team_26_27!$A$2:$U$21,20,FALSE)*VLOOKUP(D752,Team_26_27!$A$2:$U$21,21,FALSE)*IF(F752="H",Priors!$H$29,Priors!$H$28)</f>
        <v>1.0528494931766823</v>
      </c>
      <c r="J752" s="15"/>
      <c r="K752" s="15"/>
      <c r="L752" s="47" t="b">
        <v>0</v>
      </c>
      <c r="M752" s="45">
        <v>0</v>
      </c>
      <c r="N752" s="45"/>
      <c r="O752" s="45"/>
      <c r="P752" s="38">
        <f t="shared" si="55"/>
        <v>1.7891926946579932</v>
      </c>
      <c r="Q752" s="38">
        <f t="shared" si="56"/>
        <v>1.0528494931766823</v>
      </c>
      <c r="R752" s="17">
        <f t="shared" si="57"/>
        <v>0.34894202321361717</v>
      </c>
      <c r="S752" s="17">
        <f t="shared" si="58"/>
        <v>0.16709501192602974</v>
      </c>
      <c r="T752" s="38" t="str">
        <f t="shared" si="59"/>
        <v/>
      </c>
      <c r="U752" s="31" t="s">
        <v>1876</v>
      </c>
      <c r="V752" s="31"/>
    </row>
    <row r="753" spans="1:22" ht="30">
      <c r="A753" s="7">
        <v>38</v>
      </c>
      <c r="B753" s="7">
        <v>376</v>
      </c>
      <c r="C753" s="7">
        <v>46537.625</v>
      </c>
      <c r="D753" s="7" t="s">
        <v>49</v>
      </c>
      <c r="E753" s="7" t="s">
        <v>55</v>
      </c>
      <c r="F753" s="7" t="s">
        <v>1743</v>
      </c>
      <c r="G753" s="7">
        <v>2</v>
      </c>
      <c r="H753" s="37">
        <f>Priors!$H$27*VLOOKUP(D753,Team_26_27!$A$2:$U$21,20,FALSE)*VLOOKUP(E753,Team_26_27!$A$2:$U$21,21,FALSE)*IF(F753="H",Priors!$H$28,Priors!$H$29)</f>
        <v>1.0528494931766823</v>
      </c>
      <c r="I753" s="37">
        <f>Priors!$H$27*VLOOKUP(E753,Team_26_27!$A$2:$U$21,20,FALSE)*VLOOKUP(D753,Team_26_27!$A$2:$U$21,21,FALSE)*IF(F753="H",Priors!$H$29,Priors!$H$28)</f>
        <v>1.7891926946579932</v>
      </c>
      <c r="J753" s="15"/>
      <c r="K753" s="15"/>
      <c r="L753" s="47" t="b">
        <v>0</v>
      </c>
      <c r="M753" s="45">
        <v>0</v>
      </c>
      <c r="N753" s="45"/>
      <c r="O753" s="45"/>
      <c r="P753" s="38">
        <f t="shared" si="55"/>
        <v>1.0528494931766823</v>
      </c>
      <c r="Q753" s="38">
        <f t="shared" si="56"/>
        <v>1.7891926946579932</v>
      </c>
      <c r="R753" s="17">
        <f t="shared" si="57"/>
        <v>0.16709501192602974</v>
      </c>
      <c r="S753" s="17">
        <f t="shared" si="58"/>
        <v>0.34894202321361717</v>
      </c>
      <c r="T753" s="38" t="str">
        <f t="shared" si="59"/>
        <v/>
      </c>
      <c r="U753" s="31" t="s">
        <v>1876</v>
      </c>
      <c r="V753" s="31"/>
    </row>
    <row r="754" spans="1:22" ht="30">
      <c r="A754" s="7">
        <v>38</v>
      </c>
      <c r="B754" s="7">
        <v>377</v>
      </c>
      <c r="C754" s="7">
        <v>46537.625</v>
      </c>
      <c r="D754" s="7" t="s">
        <v>47</v>
      </c>
      <c r="E754" s="7" t="s">
        <v>50</v>
      </c>
      <c r="F754" s="7" t="s">
        <v>1742</v>
      </c>
      <c r="G754" s="7">
        <v>2</v>
      </c>
      <c r="H754" s="37">
        <f>Priors!$H$27*VLOOKUP(D754,Team_26_27!$A$2:$U$21,20,FALSE)*VLOOKUP(E754,Team_26_27!$A$2:$U$21,21,FALSE)*IF(F754="H",Priors!$H$28,Priors!$H$29)</f>
        <v>1.4206741069008357</v>
      </c>
      <c r="I754" s="37">
        <f>Priors!$H$27*VLOOKUP(E754,Team_26_27!$A$2:$U$21,20,FALSE)*VLOOKUP(D754,Team_26_27!$A$2:$U$21,21,FALSE)*IF(F754="H",Priors!$H$29,Priors!$H$28)</f>
        <v>1.2247187864198767</v>
      </c>
      <c r="J754" s="15"/>
      <c r="K754" s="15"/>
      <c r="L754" s="47" t="b">
        <v>0</v>
      </c>
      <c r="M754" s="45">
        <v>0</v>
      </c>
      <c r="N754" s="45"/>
      <c r="O754" s="45"/>
      <c r="P754" s="38">
        <f t="shared" si="55"/>
        <v>1.4206741069008357</v>
      </c>
      <c r="Q754" s="38">
        <f t="shared" si="56"/>
        <v>1.2247187864198767</v>
      </c>
      <c r="R754" s="17">
        <f t="shared" si="57"/>
        <v>0.29384032059455617</v>
      </c>
      <c r="S754" s="17">
        <f t="shared" si="58"/>
        <v>0.24155113071773443</v>
      </c>
      <c r="T754" s="38" t="str">
        <f t="shared" si="59"/>
        <v/>
      </c>
      <c r="U754" s="31" t="s">
        <v>1876</v>
      </c>
      <c r="V754" s="31"/>
    </row>
    <row r="755" spans="1:22" ht="30">
      <c r="A755" s="7">
        <v>38</v>
      </c>
      <c r="B755" s="7">
        <v>377</v>
      </c>
      <c r="C755" s="7">
        <v>46537.625</v>
      </c>
      <c r="D755" s="7" t="s">
        <v>50</v>
      </c>
      <c r="E755" s="7" t="s">
        <v>47</v>
      </c>
      <c r="F755" s="7" t="s">
        <v>1743</v>
      </c>
      <c r="G755" s="7">
        <v>3</v>
      </c>
      <c r="H755" s="37">
        <f>Priors!$H$27*VLOOKUP(D755,Team_26_27!$A$2:$U$21,20,FALSE)*VLOOKUP(E755,Team_26_27!$A$2:$U$21,21,FALSE)*IF(F755="H",Priors!$H$28,Priors!$H$29)</f>
        <v>1.2247187864198767</v>
      </c>
      <c r="I755" s="37">
        <f>Priors!$H$27*VLOOKUP(E755,Team_26_27!$A$2:$U$21,20,FALSE)*VLOOKUP(D755,Team_26_27!$A$2:$U$21,21,FALSE)*IF(F755="H",Priors!$H$29,Priors!$H$28)</f>
        <v>1.4206741069008357</v>
      </c>
      <c r="J755" s="15"/>
      <c r="K755" s="15"/>
      <c r="L755" s="47" t="b">
        <v>0</v>
      </c>
      <c r="M755" s="45">
        <v>0</v>
      </c>
      <c r="N755" s="45"/>
      <c r="O755" s="45"/>
      <c r="P755" s="38">
        <f t="shared" si="55"/>
        <v>1.2247187864198767</v>
      </c>
      <c r="Q755" s="38">
        <f t="shared" si="56"/>
        <v>1.4206741069008357</v>
      </c>
      <c r="R755" s="17">
        <f t="shared" si="57"/>
        <v>0.24155113071773443</v>
      </c>
      <c r="S755" s="17">
        <f t="shared" si="58"/>
        <v>0.29384032059455617</v>
      </c>
      <c r="T755" s="38" t="str">
        <f t="shared" si="59"/>
        <v/>
      </c>
      <c r="U755" s="31" t="s">
        <v>1876</v>
      </c>
      <c r="V755" s="31"/>
    </row>
    <row r="756" spans="1:22" ht="30">
      <c r="A756" s="7">
        <v>38</v>
      </c>
      <c r="B756" s="7">
        <v>378</v>
      </c>
      <c r="C756" s="7">
        <v>46537.625</v>
      </c>
      <c r="D756" s="7" t="s">
        <v>41</v>
      </c>
      <c r="E756" s="7" t="s">
        <v>52</v>
      </c>
      <c r="F756" s="7" t="s">
        <v>1742</v>
      </c>
      <c r="G756" s="7">
        <v>4</v>
      </c>
      <c r="H756" s="37">
        <f>Priors!$H$27*VLOOKUP(D756,Team_26_27!$A$2:$U$21,20,FALSE)*VLOOKUP(E756,Team_26_27!$A$2:$U$21,21,FALSE)*IF(F756="H",Priors!$H$28,Priors!$H$29)</f>
        <v>1.2911553684842225</v>
      </c>
      <c r="I756" s="37">
        <f>Priors!$H$27*VLOOKUP(E756,Team_26_27!$A$2:$U$21,20,FALSE)*VLOOKUP(D756,Team_26_27!$A$2:$U$21,21,FALSE)*IF(F756="H",Priors!$H$29,Priors!$H$28)</f>
        <v>1.7314272362909178</v>
      </c>
      <c r="J756" s="15"/>
      <c r="K756" s="15"/>
      <c r="L756" s="47" t="b">
        <v>0</v>
      </c>
      <c r="M756" s="45">
        <v>0</v>
      </c>
      <c r="N756" s="45"/>
      <c r="O756" s="45"/>
      <c r="P756" s="38">
        <f t="shared" si="55"/>
        <v>1.2911553684842225</v>
      </c>
      <c r="Q756" s="38">
        <f t="shared" si="56"/>
        <v>1.7314272362909178</v>
      </c>
      <c r="R756" s="17">
        <f t="shared" si="57"/>
        <v>0.17703156370475837</v>
      </c>
      <c r="S756" s="17">
        <f t="shared" si="58"/>
        <v>0.2749529275578334</v>
      </c>
      <c r="T756" s="38" t="str">
        <f t="shared" si="59"/>
        <v/>
      </c>
      <c r="U756" s="31" t="s">
        <v>1876</v>
      </c>
      <c r="V756" s="31"/>
    </row>
    <row r="757" spans="1:22" ht="30">
      <c r="A757" s="7">
        <v>38</v>
      </c>
      <c r="B757" s="7">
        <v>378</v>
      </c>
      <c r="C757" s="7">
        <v>46537.625</v>
      </c>
      <c r="D757" s="7" t="s">
        <v>52</v>
      </c>
      <c r="E757" s="7" t="s">
        <v>41</v>
      </c>
      <c r="F757" s="7" t="s">
        <v>1743</v>
      </c>
      <c r="G757" s="7">
        <v>3</v>
      </c>
      <c r="H757" s="37">
        <f>Priors!$H$27*VLOOKUP(D757,Team_26_27!$A$2:$U$21,20,FALSE)*VLOOKUP(E757,Team_26_27!$A$2:$U$21,21,FALSE)*IF(F757="H",Priors!$H$28,Priors!$H$29)</f>
        <v>1.7314272362909178</v>
      </c>
      <c r="I757" s="37">
        <f>Priors!$H$27*VLOOKUP(E757,Team_26_27!$A$2:$U$21,20,FALSE)*VLOOKUP(D757,Team_26_27!$A$2:$U$21,21,FALSE)*IF(F757="H",Priors!$H$29,Priors!$H$28)</f>
        <v>1.2911553684842225</v>
      </c>
      <c r="J757" s="15"/>
      <c r="K757" s="15"/>
      <c r="L757" s="47" t="b">
        <v>0</v>
      </c>
      <c r="M757" s="45">
        <v>0</v>
      </c>
      <c r="N757" s="45"/>
      <c r="O757" s="45"/>
      <c r="P757" s="38">
        <f t="shared" si="55"/>
        <v>1.7314272362909178</v>
      </c>
      <c r="Q757" s="38">
        <f t="shared" si="56"/>
        <v>1.2911553684842225</v>
      </c>
      <c r="R757" s="17">
        <f t="shared" si="57"/>
        <v>0.2749529275578334</v>
      </c>
      <c r="S757" s="17">
        <f t="shared" si="58"/>
        <v>0.17703156370475837</v>
      </c>
      <c r="T757" s="38" t="str">
        <f t="shared" si="59"/>
        <v/>
      </c>
      <c r="U757" s="31" t="s">
        <v>1876</v>
      </c>
      <c r="V757" s="31"/>
    </row>
    <row r="758" spans="1:22" ht="30">
      <c r="A758" s="7">
        <v>38</v>
      </c>
      <c r="B758" s="7">
        <v>379</v>
      </c>
      <c r="C758" s="7">
        <v>46537.625</v>
      </c>
      <c r="D758" s="7" t="s">
        <v>48</v>
      </c>
      <c r="E758" s="7" t="s">
        <v>54</v>
      </c>
      <c r="F758" s="7" t="s">
        <v>1742</v>
      </c>
      <c r="G758" s="7">
        <v>4</v>
      </c>
      <c r="H758" s="37">
        <f>Priors!$H$27*VLOOKUP(D758,Team_26_27!$A$2:$U$21,20,FALSE)*VLOOKUP(E758,Team_26_27!$A$2:$U$21,21,FALSE)*IF(F758="H",Priors!$H$28,Priors!$H$29)</f>
        <v>1.1253183145186461</v>
      </c>
      <c r="I758" s="37">
        <f>Priors!$H$27*VLOOKUP(E758,Team_26_27!$A$2:$U$21,20,FALSE)*VLOOKUP(D758,Team_26_27!$A$2:$U$21,21,FALSE)*IF(F758="H",Priors!$H$29,Priors!$H$28)</f>
        <v>1.789668660243166</v>
      </c>
      <c r="J758" s="15"/>
      <c r="K758" s="15"/>
      <c r="L758" s="47" t="b">
        <v>0</v>
      </c>
      <c r="M758" s="45">
        <v>0</v>
      </c>
      <c r="N758" s="45"/>
      <c r="O758" s="45"/>
      <c r="P758" s="38">
        <f t="shared" si="55"/>
        <v>1.1253183145186461</v>
      </c>
      <c r="Q758" s="38">
        <f t="shared" si="56"/>
        <v>1.789668660243166</v>
      </c>
      <c r="R758" s="17">
        <f t="shared" si="57"/>
        <v>0.16701549937501894</v>
      </c>
      <c r="S758" s="17">
        <f t="shared" si="58"/>
        <v>0.32454914221029513</v>
      </c>
      <c r="T758" s="38" t="str">
        <f t="shared" si="59"/>
        <v/>
      </c>
      <c r="U758" s="31" t="s">
        <v>1876</v>
      </c>
      <c r="V758" s="31"/>
    </row>
    <row r="759" spans="1:22" ht="30">
      <c r="A759" s="7">
        <v>38</v>
      </c>
      <c r="B759" s="7">
        <v>379</v>
      </c>
      <c r="C759" s="7">
        <v>46537.625</v>
      </c>
      <c r="D759" s="7" t="s">
        <v>54</v>
      </c>
      <c r="E759" s="7" t="s">
        <v>48</v>
      </c>
      <c r="F759" s="7" t="s">
        <v>1743</v>
      </c>
      <c r="G759" s="7">
        <v>2</v>
      </c>
      <c r="H759" s="37">
        <f>Priors!$H$27*VLOOKUP(D759,Team_26_27!$A$2:$U$21,20,FALSE)*VLOOKUP(E759,Team_26_27!$A$2:$U$21,21,FALSE)*IF(F759="H",Priors!$H$28,Priors!$H$29)</f>
        <v>1.789668660243166</v>
      </c>
      <c r="I759" s="37">
        <f>Priors!$H$27*VLOOKUP(E759,Team_26_27!$A$2:$U$21,20,FALSE)*VLOOKUP(D759,Team_26_27!$A$2:$U$21,21,FALSE)*IF(F759="H",Priors!$H$29,Priors!$H$28)</f>
        <v>1.1253183145186461</v>
      </c>
      <c r="J759" s="15"/>
      <c r="K759" s="15"/>
      <c r="L759" s="47" t="b">
        <v>0</v>
      </c>
      <c r="M759" s="45">
        <v>0</v>
      </c>
      <c r="N759" s="45"/>
      <c r="O759" s="45"/>
      <c r="P759" s="38">
        <f t="shared" si="55"/>
        <v>1.789668660243166</v>
      </c>
      <c r="Q759" s="38">
        <f t="shared" si="56"/>
        <v>1.1253183145186461</v>
      </c>
      <c r="R759" s="17">
        <f t="shared" si="57"/>
        <v>0.32454914221029513</v>
      </c>
      <c r="S759" s="17">
        <f t="shared" si="58"/>
        <v>0.16701549937501894</v>
      </c>
      <c r="T759" s="38" t="str">
        <f t="shared" si="59"/>
        <v/>
      </c>
      <c r="U759" s="31" t="s">
        <v>1876</v>
      </c>
      <c r="V759" s="31"/>
    </row>
    <row r="760" spans="1:22" ht="30">
      <c r="A760" s="7">
        <v>38</v>
      </c>
      <c r="B760" s="7">
        <v>380</v>
      </c>
      <c r="C760" s="7">
        <v>46537.625</v>
      </c>
      <c r="D760" s="7" t="s">
        <v>53</v>
      </c>
      <c r="E760" s="7" t="s">
        <v>58</v>
      </c>
      <c r="F760" s="7" t="s">
        <v>1742</v>
      </c>
      <c r="G760" s="7">
        <v>3</v>
      </c>
      <c r="H760" s="37">
        <f>Priors!$H$27*VLOOKUP(D760,Team_26_27!$A$2:$U$21,20,FALSE)*VLOOKUP(E760,Team_26_27!$A$2:$U$21,21,FALSE)*IF(F760="H",Priors!$H$28,Priors!$H$29)</f>
        <v>1.5241058366280709</v>
      </c>
      <c r="I760" s="37">
        <f>Priors!$H$27*VLOOKUP(E760,Team_26_27!$A$2:$U$21,20,FALSE)*VLOOKUP(D760,Team_26_27!$A$2:$U$21,21,FALSE)*IF(F760="H",Priors!$H$29,Priors!$H$28)</f>
        <v>1.1341132407710184</v>
      </c>
      <c r="J760" s="15"/>
      <c r="K760" s="15"/>
      <c r="L760" s="47" t="b">
        <v>0</v>
      </c>
      <c r="M760" s="45">
        <v>0</v>
      </c>
      <c r="N760" s="45"/>
      <c r="O760" s="45"/>
      <c r="P760" s="38">
        <f t="shared" si="55"/>
        <v>1.5241058366280709</v>
      </c>
      <c r="Q760" s="38">
        <f t="shared" si="56"/>
        <v>1.1341132407710184</v>
      </c>
      <c r="R760" s="17">
        <f t="shared" si="57"/>
        <v>0.32170727177809177</v>
      </c>
      <c r="S760" s="17">
        <f t="shared" si="58"/>
        <v>0.21781573266625689</v>
      </c>
      <c r="T760" s="38" t="str">
        <f t="shared" si="59"/>
        <v/>
      </c>
      <c r="U760" s="31" t="s">
        <v>1876</v>
      </c>
      <c r="V760" s="31"/>
    </row>
    <row r="761" spans="1:22" ht="30">
      <c r="A761" s="7">
        <v>38</v>
      </c>
      <c r="B761" s="7">
        <v>380</v>
      </c>
      <c r="C761" s="7">
        <v>46537.625</v>
      </c>
      <c r="D761" s="7" t="s">
        <v>58</v>
      </c>
      <c r="E761" s="7" t="s">
        <v>53</v>
      </c>
      <c r="F761" s="7" t="s">
        <v>1743</v>
      </c>
      <c r="G761" s="7">
        <v>4</v>
      </c>
      <c r="H761" s="37">
        <f>Priors!$H$27*VLOOKUP(D761,Team_26_27!$A$2:$U$21,20,FALSE)*VLOOKUP(E761,Team_26_27!$A$2:$U$21,21,FALSE)*IF(F761="H",Priors!$H$28,Priors!$H$29)</f>
        <v>1.1341132407710184</v>
      </c>
      <c r="I761" s="37">
        <f>Priors!$H$27*VLOOKUP(E761,Team_26_27!$A$2:$U$21,20,FALSE)*VLOOKUP(D761,Team_26_27!$A$2:$U$21,21,FALSE)*IF(F761="H",Priors!$H$29,Priors!$H$28)</f>
        <v>1.5241058366280709</v>
      </c>
      <c r="J761" s="15"/>
      <c r="K761" s="15"/>
      <c r="L761" s="47" t="b">
        <v>0</v>
      </c>
      <c r="M761" s="45">
        <v>0</v>
      </c>
      <c r="N761" s="45"/>
      <c r="O761" s="45"/>
      <c r="P761" s="38">
        <f t="shared" si="55"/>
        <v>1.1341132407710184</v>
      </c>
      <c r="Q761" s="38">
        <f t="shared" si="56"/>
        <v>1.5241058366280709</v>
      </c>
      <c r="R761" s="17">
        <f t="shared" si="57"/>
        <v>0.21781573266625689</v>
      </c>
      <c r="S761" s="17">
        <f t="shared" si="58"/>
        <v>0.32170727177809177</v>
      </c>
      <c r="T761" s="38" t="str">
        <f t="shared" si="59"/>
        <v/>
      </c>
      <c r="U761" s="31" t="s">
        <v>1876</v>
      </c>
      <c r="V761" s="31"/>
    </row>
  </sheetData>
  <conditionalFormatting sqref="T2:T7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568"/>
  <sheetViews>
    <sheetView workbookViewId="0"/>
  </sheetViews>
  <sheetFormatPr baseColWidth="10" defaultColWidth="8.83203125" defaultRowHeight="14"/>
  <cols>
    <col min="1" max="1" width="9" customWidth="1"/>
    <col min="2" max="2" width="18" customWidth="1"/>
    <col min="3" max="3" width="17" customWidth="1"/>
    <col min="4" max="4" width="9" customWidth="1"/>
    <col min="5" max="5" width="11" customWidth="1"/>
    <col min="6" max="6" width="18" customWidth="1"/>
    <col min="7" max="7" width="7" customWidth="1"/>
    <col min="8" max="10" width="14" customWidth="1"/>
    <col min="11" max="15" width="16" customWidth="1"/>
    <col min="16" max="18" width="15" customWidth="1"/>
    <col min="19" max="22" width="16" customWidth="1"/>
    <col min="23" max="23" width="48" customWidth="1"/>
  </cols>
  <sheetData>
    <row r="1" spans="1:23" ht="15">
      <c r="A1" s="44" t="s">
        <v>60</v>
      </c>
      <c r="B1" s="44" t="s">
        <v>62</v>
      </c>
      <c r="C1" s="44" t="s">
        <v>33</v>
      </c>
      <c r="D1" s="44" t="s">
        <v>64</v>
      </c>
      <c r="E1" s="44" t="s">
        <v>66</v>
      </c>
      <c r="F1" s="44" t="s">
        <v>1734</v>
      </c>
      <c r="G1" s="44" t="s">
        <v>1735</v>
      </c>
      <c r="H1" s="44" t="s">
        <v>1870</v>
      </c>
      <c r="I1" s="44" t="s">
        <v>1871</v>
      </c>
      <c r="J1" s="44" t="s">
        <v>1739</v>
      </c>
      <c r="K1" s="44" t="s">
        <v>1630</v>
      </c>
      <c r="L1" s="44" t="s">
        <v>1631</v>
      </c>
      <c r="M1" s="44" t="s">
        <v>1877</v>
      </c>
      <c r="N1" s="44" t="s">
        <v>1878</v>
      </c>
      <c r="O1" s="44" t="s">
        <v>1879</v>
      </c>
      <c r="P1" s="44" t="s">
        <v>1880</v>
      </c>
      <c r="Q1" s="44" t="s">
        <v>1881</v>
      </c>
      <c r="R1" s="44" t="s">
        <v>1882</v>
      </c>
      <c r="S1" s="44" t="s">
        <v>1883</v>
      </c>
      <c r="T1" s="44" t="s">
        <v>1884</v>
      </c>
      <c r="U1" s="44" t="s">
        <v>1640</v>
      </c>
      <c r="V1" s="44" t="s">
        <v>1634</v>
      </c>
      <c r="W1" s="44" t="s">
        <v>1637</v>
      </c>
    </row>
    <row r="2" spans="1:23" ht="30">
      <c r="A2" s="7">
        <v>1</v>
      </c>
      <c r="B2" s="7" t="s">
        <v>83</v>
      </c>
      <c r="C2" s="7" t="s">
        <v>39</v>
      </c>
      <c r="D2" s="7" t="s">
        <v>85</v>
      </c>
      <c r="E2" s="11">
        <v>6</v>
      </c>
      <c r="F2" s="7" t="s">
        <v>45</v>
      </c>
      <c r="G2" s="7" t="s">
        <v>1743</v>
      </c>
      <c r="H2" s="37">
        <f>IFERROR(VLOOKUP(C2,Fixture_Engine!$D$2:$R$21,13,FALSE),"")</f>
        <v>2.6529358272146251</v>
      </c>
      <c r="I2" s="37">
        <f>IFERROR(VLOOKUP(C2,Fixture_Engine!$D$2:$R$21,14,FALSE),"")</f>
        <v>0.52865868671275384</v>
      </c>
      <c r="J2" s="37">
        <f>IFERROR(VLOOKUP(C2,Fixture_Engine!$D$2:$R$21,15,FALSE),"")</f>
        <v>0.58939500306781811</v>
      </c>
      <c r="K2" s="13">
        <v>1.6719534964712218E-4</v>
      </c>
      <c r="L2" s="13">
        <v>1.1613745677808772E-3</v>
      </c>
      <c r="M2" s="13">
        <v>0.23094688221709003</v>
      </c>
      <c r="N2" s="38">
        <f t="shared" ref="N2:N65" si="0">IF(OR(H2="",K2=""),"",H2*K2)</f>
        <v>4.4355853322252656E-4</v>
      </c>
      <c r="O2" s="38">
        <f t="shared" ref="O2:O65" si="1">IF(OR(H2="",L2=""),"",H2*L2)</f>
        <v>3.0810521996817888E-3</v>
      </c>
      <c r="P2" s="26"/>
      <c r="Q2" s="45"/>
      <c r="R2" s="38"/>
      <c r="S2" s="38"/>
      <c r="T2" s="38"/>
      <c r="U2" s="1" t="b">
        <v>0</v>
      </c>
      <c r="V2" s="1" t="b">
        <v>0</v>
      </c>
      <c r="W2" s="31" t="s">
        <v>1885</v>
      </c>
    </row>
    <row r="3" spans="1:23" ht="30">
      <c r="A3" s="7">
        <v>2</v>
      </c>
      <c r="B3" s="7" t="s">
        <v>91</v>
      </c>
      <c r="C3" s="7" t="s">
        <v>39</v>
      </c>
      <c r="D3" s="7" t="s">
        <v>85</v>
      </c>
      <c r="E3" s="11">
        <v>5</v>
      </c>
      <c r="F3" s="7" t="s">
        <v>45</v>
      </c>
      <c r="G3" s="7" t="s">
        <v>1743</v>
      </c>
      <c r="H3" s="37">
        <f>IFERROR(VLOOKUP(C3,Fixture_Engine!$D$2:$R$21,13,FALSE),"")</f>
        <v>2.6529358272146251</v>
      </c>
      <c r="I3" s="37">
        <f>IFERROR(VLOOKUP(C3,Fixture_Engine!$D$2:$R$21,14,FALSE),"")</f>
        <v>0.52865868671275384</v>
      </c>
      <c r="J3" s="37">
        <f>IFERROR(VLOOKUP(C3,Fixture_Engine!$D$2:$R$21,15,FALSE),"")</f>
        <v>0.58939500306781811</v>
      </c>
      <c r="K3" s="13">
        <v>1.6719534964712218E-4</v>
      </c>
      <c r="L3" s="13">
        <v>1.379361634588758E-3</v>
      </c>
      <c r="M3" s="13">
        <v>0.91743119266055051</v>
      </c>
      <c r="N3" s="38">
        <f t="shared" si="0"/>
        <v>4.4355853322252656E-4</v>
      </c>
      <c r="O3" s="38">
        <f t="shared" si="1"/>
        <v>3.6593578990858442E-3</v>
      </c>
      <c r="P3" s="26"/>
      <c r="Q3" s="45"/>
      <c r="R3" s="38"/>
      <c r="S3" s="38"/>
      <c r="T3" s="38"/>
      <c r="U3" s="1" t="b">
        <v>0</v>
      </c>
      <c r="V3" s="1" t="b">
        <v>1</v>
      </c>
      <c r="W3" s="31" t="s">
        <v>1885</v>
      </c>
    </row>
    <row r="4" spans="1:23" ht="30">
      <c r="A4" s="7">
        <v>3</v>
      </c>
      <c r="B4" s="7" t="s">
        <v>94</v>
      </c>
      <c r="C4" s="7" t="s">
        <v>39</v>
      </c>
      <c r="D4" s="7" t="s">
        <v>85</v>
      </c>
      <c r="E4" s="11">
        <v>5</v>
      </c>
      <c r="F4" s="7" t="s">
        <v>45</v>
      </c>
      <c r="G4" s="7" t="s">
        <v>1743</v>
      </c>
      <c r="H4" s="37">
        <f>IFERROR(VLOOKUP(C4,Fixture_Engine!$D$2:$R$21,13,FALSE),"")</f>
        <v>2.6529358272146251</v>
      </c>
      <c r="I4" s="37">
        <f>IFERROR(VLOOKUP(C4,Fixture_Engine!$D$2:$R$21,14,FALSE),"")</f>
        <v>0.52865868671275384</v>
      </c>
      <c r="J4" s="37">
        <f>IFERROR(VLOOKUP(C4,Fixture_Engine!$D$2:$R$21,15,FALSE),"")</f>
        <v>0.58939500306781811</v>
      </c>
      <c r="K4" s="13">
        <v>1.6719534964712218E-4</v>
      </c>
      <c r="L4" s="13">
        <v>1.379361634588758E-3</v>
      </c>
      <c r="M4" s="13">
        <v>1</v>
      </c>
      <c r="N4" s="38">
        <f t="shared" si="0"/>
        <v>4.4355853322252656E-4</v>
      </c>
      <c r="O4" s="38">
        <f t="shared" si="1"/>
        <v>3.6593578990858442E-3</v>
      </c>
      <c r="P4" s="26"/>
      <c r="Q4" s="45"/>
      <c r="R4" s="38"/>
      <c r="S4" s="38"/>
      <c r="T4" s="38"/>
      <c r="U4" s="1" t="b">
        <v>0</v>
      </c>
      <c r="V4" s="1" t="b">
        <v>1</v>
      </c>
      <c r="W4" s="31" t="s">
        <v>1885</v>
      </c>
    </row>
    <row r="5" spans="1:23" ht="30">
      <c r="A5" s="7">
        <v>4</v>
      </c>
      <c r="B5" s="7" t="s">
        <v>97</v>
      </c>
      <c r="C5" s="7" t="s">
        <v>39</v>
      </c>
      <c r="D5" s="7" t="s">
        <v>99</v>
      </c>
      <c r="E5" s="11">
        <v>8</v>
      </c>
      <c r="F5" s="7" t="s">
        <v>45</v>
      </c>
      <c r="G5" s="7" t="s">
        <v>1743</v>
      </c>
      <c r="H5" s="37">
        <f>IFERROR(VLOOKUP(C5,Fixture_Engine!$D$2:$R$21,13,FALSE),"")</f>
        <v>2.6529358272146251</v>
      </c>
      <c r="I5" s="37">
        <f>IFERROR(VLOOKUP(C5,Fixture_Engine!$D$2:$R$21,14,FALSE),"")</f>
        <v>0.52865868671275384</v>
      </c>
      <c r="J5" s="37">
        <f>IFERROR(VLOOKUP(C5,Fixture_Engine!$D$2:$R$21,15,FALSE),"")</f>
        <v>0.58939500306781811</v>
      </c>
      <c r="K5" s="13">
        <v>5.1844467070782302E-2</v>
      </c>
      <c r="L5" s="13">
        <v>3.5132756265364093E-2</v>
      </c>
      <c r="M5" s="13">
        <v>0.26666666666666672</v>
      </c>
      <c r="N5" s="38">
        <f t="shared" si="0"/>
        <v>0.13754004413492724</v>
      </c>
      <c r="O5" s="38">
        <f t="shared" si="1"/>
        <v>9.3204947805183486E-2</v>
      </c>
      <c r="P5" s="26"/>
      <c r="Q5" s="45"/>
      <c r="R5" s="38"/>
      <c r="S5" s="38"/>
      <c r="T5" s="38"/>
      <c r="U5" s="1" t="b">
        <v>0</v>
      </c>
      <c r="V5" s="1" t="b">
        <v>0</v>
      </c>
      <c r="W5" s="31" t="s">
        <v>1885</v>
      </c>
    </row>
    <row r="6" spans="1:23" ht="30">
      <c r="A6" s="7">
        <v>5</v>
      </c>
      <c r="B6" s="7" t="s">
        <v>101</v>
      </c>
      <c r="C6" s="7" t="s">
        <v>39</v>
      </c>
      <c r="D6" s="7" t="s">
        <v>99</v>
      </c>
      <c r="E6" s="11">
        <v>6.5</v>
      </c>
      <c r="F6" s="7" t="s">
        <v>45</v>
      </c>
      <c r="G6" s="7" t="s">
        <v>1743</v>
      </c>
      <c r="H6" s="37">
        <f>IFERROR(VLOOKUP(C6,Fixture_Engine!$D$2:$R$21,13,FALSE),"")</f>
        <v>2.6529358272146251</v>
      </c>
      <c r="I6" s="37">
        <f>IFERROR(VLOOKUP(C6,Fixture_Engine!$D$2:$R$21,14,FALSE),"")</f>
        <v>0.52865868671275384</v>
      </c>
      <c r="J6" s="37">
        <f>IFERROR(VLOOKUP(C6,Fixture_Engine!$D$2:$R$21,15,FALSE),"")</f>
        <v>0.58939500306781811</v>
      </c>
      <c r="K6" s="13">
        <v>8.3051619507480842E-2</v>
      </c>
      <c r="L6" s="13">
        <v>3.4843083371956365E-2</v>
      </c>
      <c r="M6" s="13">
        <v>0.28968713789107758</v>
      </c>
      <c r="N6" s="38">
        <f t="shared" si="0"/>
        <v>0.22033061689959299</v>
      </c>
      <c r="O6" s="38">
        <f t="shared" si="1"/>
        <v>9.2436464208089208E-2</v>
      </c>
      <c r="P6" s="26"/>
      <c r="Q6" s="45"/>
      <c r="R6" s="38"/>
      <c r="S6" s="38"/>
      <c r="T6" s="38"/>
      <c r="U6" s="1" t="b">
        <v>0</v>
      </c>
      <c r="V6" s="1" t="b">
        <v>0</v>
      </c>
      <c r="W6" s="31" t="s">
        <v>1885</v>
      </c>
    </row>
    <row r="7" spans="1:23" ht="30">
      <c r="A7" s="7">
        <v>6</v>
      </c>
      <c r="B7" s="7" t="s">
        <v>106</v>
      </c>
      <c r="C7" s="7" t="s">
        <v>39</v>
      </c>
      <c r="D7" s="7" t="s">
        <v>99</v>
      </c>
      <c r="E7" s="11">
        <v>6</v>
      </c>
      <c r="F7" s="7" t="s">
        <v>45</v>
      </c>
      <c r="G7" s="7" t="s">
        <v>1743</v>
      </c>
      <c r="H7" s="37">
        <f>IFERROR(VLOOKUP(C7,Fixture_Engine!$D$2:$R$21,13,FALSE),"")</f>
        <v>2.6529358272146251</v>
      </c>
      <c r="I7" s="37">
        <f>IFERROR(VLOOKUP(C7,Fixture_Engine!$D$2:$R$21,14,FALSE),"")</f>
        <v>0.52865868671275384</v>
      </c>
      <c r="J7" s="37">
        <f>IFERROR(VLOOKUP(C7,Fixture_Engine!$D$2:$R$21,15,FALSE),"")</f>
        <v>0.58939500306781811</v>
      </c>
      <c r="K7" s="13">
        <v>2.4078696749313493E-2</v>
      </c>
      <c r="L7" s="13">
        <v>2.8665024064948835E-2</v>
      </c>
      <c r="M7" s="13">
        <v>0.27670171555063638</v>
      </c>
      <c r="N7" s="38">
        <f t="shared" si="0"/>
        <v>6.3879237278890097E-2</v>
      </c>
      <c r="O7" s="38">
        <f t="shared" si="1"/>
        <v>7.6046469329872177E-2</v>
      </c>
      <c r="P7" s="26"/>
      <c r="Q7" s="45"/>
      <c r="R7" s="38"/>
      <c r="S7" s="38"/>
      <c r="T7" s="38"/>
      <c r="U7" s="1" t="b">
        <v>0</v>
      </c>
      <c r="V7" s="1" t="b">
        <v>0</v>
      </c>
      <c r="W7" s="31" t="s">
        <v>1885</v>
      </c>
    </row>
    <row r="8" spans="1:23" ht="30">
      <c r="A8" s="7">
        <v>7</v>
      </c>
      <c r="B8" s="7" t="s">
        <v>110</v>
      </c>
      <c r="C8" s="7" t="s">
        <v>39</v>
      </c>
      <c r="D8" s="7" t="s">
        <v>112</v>
      </c>
      <c r="E8" s="11">
        <v>5.5</v>
      </c>
      <c r="F8" s="7" t="s">
        <v>45</v>
      </c>
      <c r="G8" s="7" t="s">
        <v>1743</v>
      </c>
      <c r="H8" s="37">
        <f>IFERROR(VLOOKUP(C8,Fixture_Engine!$D$2:$R$21,13,FALSE),"")</f>
        <v>2.6529358272146251</v>
      </c>
      <c r="I8" s="37">
        <f>IFERROR(VLOOKUP(C8,Fixture_Engine!$D$2:$R$21,14,FALSE),"")</f>
        <v>0.52865868671275384</v>
      </c>
      <c r="J8" s="37">
        <f>IFERROR(VLOOKUP(C8,Fixture_Engine!$D$2:$R$21,15,FALSE),"")</f>
        <v>0.58939500306781811</v>
      </c>
      <c r="K8" s="13">
        <v>6.6429744052047199E-2</v>
      </c>
      <c r="L8" s="13">
        <v>5.9320861071157784E-2</v>
      </c>
      <c r="M8" s="13">
        <v>0.58927519151443719</v>
      </c>
      <c r="N8" s="38">
        <f t="shared" si="0"/>
        <v>0.17623384798837366</v>
      </c>
      <c r="O8" s="38">
        <f t="shared" si="1"/>
        <v>0.15737443763689582</v>
      </c>
      <c r="P8" s="26"/>
      <c r="Q8" s="45"/>
      <c r="R8" s="38"/>
      <c r="S8" s="38"/>
      <c r="T8" s="38"/>
      <c r="U8" s="1" t="b">
        <v>0</v>
      </c>
      <c r="V8" s="1" t="b">
        <v>1</v>
      </c>
      <c r="W8" s="31" t="s">
        <v>1885</v>
      </c>
    </row>
    <row r="9" spans="1:23" ht="30">
      <c r="A9" s="7">
        <v>8</v>
      </c>
      <c r="B9" s="7" t="s">
        <v>114</v>
      </c>
      <c r="C9" s="7" t="s">
        <v>39</v>
      </c>
      <c r="D9" s="7" t="s">
        <v>99</v>
      </c>
      <c r="E9" s="11">
        <v>5.5</v>
      </c>
      <c r="F9" s="7" t="s">
        <v>45</v>
      </c>
      <c r="G9" s="7" t="s">
        <v>1743</v>
      </c>
      <c r="H9" s="37">
        <f>IFERROR(VLOOKUP(C9,Fixture_Engine!$D$2:$R$21,13,FALSE),"")</f>
        <v>2.6529358272146251</v>
      </c>
      <c r="I9" s="37">
        <f>IFERROR(VLOOKUP(C9,Fixture_Engine!$D$2:$R$21,14,FALSE),"")</f>
        <v>0.52865868671275384</v>
      </c>
      <c r="J9" s="37">
        <f>IFERROR(VLOOKUP(C9,Fixture_Engine!$D$2:$R$21,15,FALSE),"")</f>
        <v>0.58939500306781811</v>
      </c>
      <c r="K9" s="13">
        <v>8.0205077114886253E-2</v>
      </c>
      <c r="L9" s="13">
        <v>2.9712655215820012E-2</v>
      </c>
      <c r="M9" s="13">
        <v>0.3707823507601038</v>
      </c>
      <c r="N9" s="38">
        <f t="shared" si="0"/>
        <v>0.21277892260259357</v>
      </c>
      <c r="O9" s="38">
        <f t="shared" si="1"/>
        <v>7.8825767543724404E-2</v>
      </c>
      <c r="P9" s="26"/>
      <c r="Q9" s="45"/>
      <c r="R9" s="38"/>
      <c r="S9" s="38"/>
      <c r="T9" s="38"/>
      <c r="U9" s="1" t="b">
        <v>0</v>
      </c>
      <c r="V9" s="1" t="b">
        <v>0</v>
      </c>
      <c r="W9" s="31" t="s">
        <v>1885</v>
      </c>
    </row>
    <row r="10" spans="1:23" ht="30">
      <c r="A10" s="7">
        <v>9</v>
      </c>
      <c r="B10" s="7" t="s">
        <v>117</v>
      </c>
      <c r="C10" s="7" t="s">
        <v>39</v>
      </c>
      <c r="D10" s="7" t="s">
        <v>99</v>
      </c>
      <c r="E10" s="11">
        <v>5.5</v>
      </c>
      <c r="F10" s="7" t="s">
        <v>45</v>
      </c>
      <c r="G10" s="7" t="s">
        <v>1743</v>
      </c>
      <c r="H10" s="37">
        <f>IFERROR(VLOOKUP(C10,Fixture_Engine!$D$2:$R$21,13,FALSE),"")</f>
        <v>2.6529358272146251</v>
      </c>
      <c r="I10" s="37">
        <f>IFERROR(VLOOKUP(C10,Fixture_Engine!$D$2:$R$21,14,FALSE),"")</f>
        <v>0.52865868671275384</v>
      </c>
      <c r="J10" s="37">
        <f>IFERROR(VLOOKUP(C10,Fixture_Engine!$D$2:$R$21,15,FALSE),"")</f>
        <v>0.58939500306781811</v>
      </c>
      <c r="K10" s="13">
        <v>2.1496467152658055E-2</v>
      </c>
      <c r="L10" s="13">
        <v>4.5775781947541533E-2</v>
      </c>
      <c r="M10" s="13">
        <v>0.35880875493362041</v>
      </c>
      <c r="N10" s="38">
        <f t="shared" si="0"/>
        <v>5.7028747867828911E-2</v>
      </c>
      <c r="O10" s="38">
        <f t="shared" si="1"/>
        <v>0.1214402119473974</v>
      </c>
      <c r="P10" s="26"/>
      <c r="Q10" s="45"/>
      <c r="R10" s="38"/>
      <c r="S10" s="38"/>
      <c r="T10" s="38"/>
      <c r="U10" s="1" t="b">
        <v>0</v>
      </c>
      <c r="V10" s="1" t="b">
        <v>0</v>
      </c>
      <c r="W10" s="31" t="s">
        <v>1885</v>
      </c>
    </row>
    <row r="11" spans="1:23" ht="30">
      <c r="A11" s="7">
        <v>10</v>
      </c>
      <c r="B11" s="7" t="s">
        <v>120</v>
      </c>
      <c r="C11" s="7" t="s">
        <v>39</v>
      </c>
      <c r="D11" s="7" t="s">
        <v>99</v>
      </c>
      <c r="E11" s="11">
        <v>5.5</v>
      </c>
      <c r="F11" s="7" t="s">
        <v>45</v>
      </c>
      <c r="G11" s="7" t="s">
        <v>1743</v>
      </c>
      <c r="H11" s="37">
        <f>IFERROR(VLOOKUP(C11,Fixture_Engine!$D$2:$R$21,13,FALSE),"")</f>
        <v>2.6529358272146251</v>
      </c>
      <c r="I11" s="37">
        <f>IFERROR(VLOOKUP(C11,Fixture_Engine!$D$2:$R$21,14,FALSE),"")</f>
        <v>0.52865868671275384</v>
      </c>
      <c r="J11" s="37">
        <f>IFERROR(VLOOKUP(C11,Fixture_Engine!$D$2:$R$21,15,FALSE),"")</f>
        <v>0.58939500306781811</v>
      </c>
      <c r="K11" s="13">
        <v>3.8023971233189936E-2</v>
      </c>
      <c r="L11" s="13">
        <v>4.5018034651656338E-2</v>
      </c>
      <c r="M11" s="13">
        <v>0.58858151854031782</v>
      </c>
      <c r="N11" s="38">
        <f t="shared" si="0"/>
        <v>0.10087515557750786</v>
      </c>
      <c r="O11" s="38">
        <f t="shared" si="1"/>
        <v>0.11942995699816857</v>
      </c>
      <c r="P11" s="26"/>
      <c r="Q11" s="45"/>
      <c r="R11" s="38"/>
      <c r="S11" s="38"/>
      <c r="T11" s="38"/>
      <c r="U11" s="1" t="b">
        <v>0</v>
      </c>
      <c r="V11" s="1" t="b">
        <v>1</v>
      </c>
      <c r="W11" s="31" t="s">
        <v>1885</v>
      </c>
    </row>
    <row r="12" spans="1:23" ht="30">
      <c r="A12" s="7">
        <v>11</v>
      </c>
      <c r="B12" s="7" t="s">
        <v>123</v>
      </c>
      <c r="C12" s="7" t="s">
        <v>39</v>
      </c>
      <c r="D12" s="7" t="s">
        <v>99</v>
      </c>
      <c r="E12" s="11">
        <v>5.5</v>
      </c>
      <c r="F12" s="7" t="s">
        <v>45</v>
      </c>
      <c r="G12" s="7" t="s">
        <v>1743</v>
      </c>
      <c r="H12" s="37">
        <f>IFERROR(VLOOKUP(C12,Fixture_Engine!$D$2:$R$21,13,FALSE),"")</f>
        <v>2.6529358272146251</v>
      </c>
      <c r="I12" s="37">
        <f>IFERROR(VLOOKUP(C12,Fixture_Engine!$D$2:$R$21,14,FALSE),"")</f>
        <v>0.52865868671275384</v>
      </c>
      <c r="J12" s="37">
        <f>IFERROR(VLOOKUP(C12,Fixture_Engine!$D$2:$R$21,15,FALSE),"")</f>
        <v>0.58939500306781811</v>
      </c>
      <c r="K12" s="13">
        <v>2.3341276891076283E-2</v>
      </c>
      <c r="L12" s="13">
        <v>3.693735754918244E-2</v>
      </c>
      <c r="M12" s="13">
        <v>0.50352467270896273</v>
      </c>
      <c r="N12" s="38">
        <f t="shared" si="0"/>
        <v>6.1922909717273072E-2</v>
      </c>
      <c r="O12" s="38">
        <f t="shared" si="1"/>
        <v>9.7992439204862697E-2</v>
      </c>
      <c r="P12" s="26"/>
      <c r="Q12" s="45"/>
      <c r="R12" s="38"/>
      <c r="S12" s="38"/>
      <c r="T12" s="38"/>
      <c r="U12" s="1" t="b">
        <v>0</v>
      </c>
      <c r="V12" s="1" t="b">
        <v>0</v>
      </c>
      <c r="W12" s="31" t="s">
        <v>1885</v>
      </c>
    </row>
    <row r="13" spans="1:23" ht="30">
      <c r="A13" s="7">
        <v>12</v>
      </c>
      <c r="B13" s="7" t="s">
        <v>126</v>
      </c>
      <c r="C13" s="7" t="s">
        <v>39</v>
      </c>
      <c r="D13" s="7" t="s">
        <v>112</v>
      </c>
      <c r="E13" s="11">
        <v>9.5</v>
      </c>
      <c r="F13" s="7" t="s">
        <v>45</v>
      </c>
      <c r="G13" s="7" t="s">
        <v>1743</v>
      </c>
      <c r="H13" s="37">
        <f>IFERROR(VLOOKUP(C13,Fixture_Engine!$D$2:$R$21,13,FALSE),"")</f>
        <v>2.6529358272146251</v>
      </c>
      <c r="I13" s="37">
        <f>IFERROR(VLOOKUP(C13,Fixture_Engine!$D$2:$R$21,14,FALSE),"")</f>
        <v>0.52865868671275384</v>
      </c>
      <c r="J13" s="37">
        <f>IFERROR(VLOOKUP(C13,Fixture_Engine!$D$2:$R$21,15,FALSE),"")</f>
        <v>0.58939500306781811</v>
      </c>
      <c r="K13" s="13">
        <v>0.15605138248199377</v>
      </c>
      <c r="L13" s="13">
        <v>0.14404013666076451</v>
      </c>
      <c r="M13" s="13">
        <v>0.31075201988812928</v>
      </c>
      <c r="N13" s="38">
        <f t="shared" si="0"/>
        <v>0.41399430347285399</v>
      </c>
      <c r="O13" s="38">
        <f t="shared" si="1"/>
        <v>0.38212923910423297</v>
      </c>
      <c r="P13" s="26"/>
      <c r="Q13" s="45"/>
      <c r="R13" s="38"/>
      <c r="S13" s="38"/>
      <c r="T13" s="38"/>
      <c r="U13" s="1" t="b">
        <v>1</v>
      </c>
      <c r="V13" s="1" t="b">
        <v>0</v>
      </c>
      <c r="W13" s="31" t="s">
        <v>1885</v>
      </c>
    </row>
    <row r="14" spans="1:23" ht="30">
      <c r="A14" s="7">
        <v>13</v>
      </c>
      <c r="B14" s="7" t="s">
        <v>129</v>
      </c>
      <c r="C14" s="7" t="s">
        <v>39</v>
      </c>
      <c r="D14" s="7" t="s">
        <v>112</v>
      </c>
      <c r="E14" s="11">
        <v>7.5</v>
      </c>
      <c r="F14" s="7" t="s">
        <v>45</v>
      </c>
      <c r="G14" s="7" t="s">
        <v>1743</v>
      </c>
      <c r="H14" s="37">
        <f>IFERROR(VLOOKUP(C14,Fixture_Engine!$D$2:$R$21,13,FALSE),"")</f>
        <v>2.6529358272146251</v>
      </c>
      <c r="I14" s="37">
        <f>IFERROR(VLOOKUP(C14,Fixture_Engine!$D$2:$R$21,14,FALSE),"")</f>
        <v>0.52865868671275384</v>
      </c>
      <c r="J14" s="37">
        <f>IFERROR(VLOOKUP(C14,Fixture_Engine!$D$2:$R$21,15,FALSE),"")</f>
        <v>0.58939500306781811</v>
      </c>
      <c r="K14" s="13">
        <v>6.6391503053454079E-2</v>
      </c>
      <c r="L14" s="13">
        <v>0.11528527319544939</v>
      </c>
      <c r="M14" s="13">
        <v>0.24431956999755677</v>
      </c>
      <c r="N14" s="38">
        <f t="shared" si="0"/>
        <v>0.17613239707313749</v>
      </c>
      <c r="O14" s="38">
        <f t="shared" si="1"/>
        <v>0.30584443161043356</v>
      </c>
      <c r="P14" s="26"/>
      <c r="Q14" s="45"/>
      <c r="R14" s="38"/>
      <c r="S14" s="38"/>
      <c r="T14" s="38"/>
      <c r="U14" s="1" t="b">
        <v>0</v>
      </c>
      <c r="V14" s="1" t="b">
        <v>0</v>
      </c>
      <c r="W14" s="31" t="s">
        <v>1885</v>
      </c>
    </row>
    <row r="15" spans="1:23" ht="30">
      <c r="A15" s="7">
        <v>14</v>
      </c>
      <c r="B15" s="7" t="s">
        <v>132</v>
      </c>
      <c r="C15" s="7" t="s">
        <v>39</v>
      </c>
      <c r="D15" s="7" t="s">
        <v>112</v>
      </c>
      <c r="E15" s="11">
        <v>6.5</v>
      </c>
      <c r="F15" s="7" t="s">
        <v>45</v>
      </c>
      <c r="G15" s="7" t="s">
        <v>1743</v>
      </c>
      <c r="H15" s="37">
        <f>IFERROR(VLOOKUP(C15,Fixture_Engine!$D$2:$R$21,13,FALSE),"")</f>
        <v>2.6529358272146251</v>
      </c>
      <c r="I15" s="37">
        <f>IFERROR(VLOOKUP(C15,Fixture_Engine!$D$2:$R$21,14,FALSE),"")</f>
        <v>0.52865868671275384</v>
      </c>
      <c r="J15" s="37">
        <f>IFERROR(VLOOKUP(C15,Fixture_Engine!$D$2:$R$21,15,FALSE),"")</f>
        <v>0.58939500306781811</v>
      </c>
      <c r="K15" s="13">
        <v>0.1308744329535384</v>
      </c>
      <c r="L15" s="13">
        <v>7.9347487430764224E-2</v>
      </c>
      <c r="M15" s="13">
        <v>0.34662045060658575</v>
      </c>
      <c r="N15" s="38">
        <f t="shared" si="0"/>
        <v>0.34720147204884039</v>
      </c>
      <c r="O15" s="38">
        <f t="shared" si="1"/>
        <v>0.21050379220453655</v>
      </c>
      <c r="P15" s="26"/>
      <c r="Q15" s="45"/>
      <c r="R15" s="38"/>
      <c r="S15" s="38"/>
      <c r="T15" s="38"/>
      <c r="U15" s="1" t="b">
        <v>0</v>
      </c>
      <c r="V15" s="1" t="b">
        <v>0</v>
      </c>
      <c r="W15" s="31" t="s">
        <v>1885</v>
      </c>
    </row>
    <row r="16" spans="1:23" ht="30">
      <c r="A16" s="7">
        <v>15</v>
      </c>
      <c r="B16" s="7" t="s">
        <v>135</v>
      </c>
      <c r="C16" s="7" t="s">
        <v>39</v>
      </c>
      <c r="D16" s="7" t="s">
        <v>112</v>
      </c>
      <c r="E16" s="11">
        <v>6.5</v>
      </c>
      <c r="F16" s="7" t="s">
        <v>45</v>
      </c>
      <c r="G16" s="7" t="s">
        <v>1743</v>
      </c>
      <c r="H16" s="37">
        <f>IFERROR(VLOOKUP(C16,Fixture_Engine!$D$2:$R$21,13,FALSE),"")</f>
        <v>2.6529358272146251</v>
      </c>
      <c r="I16" s="37">
        <f>IFERROR(VLOOKUP(C16,Fixture_Engine!$D$2:$R$21,14,FALSE),"")</f>
        <v>0.52865868671275384</v>
      </c>
      <c r="J16" s="37">
        <f>IFERROR(VLOOKUP(C16,Fixture_Engine!$D$2:$R$21,15,FALSE),"")</f>
        <v>0.58939500306781811</v>
      </c>
      <c r="K16" s="13">
        <v>7.3078943694035989E-2</v>
      </c>
      <c r="L16" s="13">
        <v>0.11871786124240524</v>
      </c>
      <c r="M16" s="13">
        <v>0.42319085907744391</v>
      </c>
      <c r="N16" s="38">
        <f t="shared" si="0"/>
        <v>0.19387374794090836</v>
      </c>
      <c r="O16" s="38">
        <f t="shared" si="1"/>
        <v>0.31495086742027145</v>
      </c>
      <c r="P16" s="26"/>
      <c r="Q16" s="45"/>
      <c r="R16" s="38"/>
      <c r="S16" s="38"/>
      <c r="T16" s="38"/>
      <c r="U16" s="1" t="b">
        <v>0</v>
      </c>
      <c r="V16" s="1" t="b">
        <v>0</v>
      </c>
      <c r="W16" s="31" t="s">
        <v>1885</v>
      </c>
    </row>
    <row r="17" spans="1:23" ht="30">
      <c r="A17" s="7">
        <v>16</v>
      </c>
      <c r="B17" s="7" t="s">
        <v>138</v>
      </c>
      <c r="C17" s="7" t="s">
        <v>39</v>
      </c>
      <c r="D17" s="7" t="s">
        <v>112</v>
      </c>
      <c r="E17" s="11">
        <v>6.5</v>
      </c>
      <c r="F17" s="7" t="s">
        <v>45</v>
      </c>
      <c r="G17" s="7" t="s">
        <v>1743</v>
      </c>
      <c r="H17" s="37">
        <f>IFERROR(VLOOKUP(C17,Fixture_Engine!$D$2:$R$21,13,FALSE),"")</f>
        <v>2.6529358272146251</v>
      </c>
      <c r="I17" s="37">
        <f>IFERROR(VLOOKUP(C17,Fixture_Engine!$D$2:$R$21,14,FALSE),"")</f>
        <v>0.52865868671275384</v>
      </c>
      <c r="J17" s="37">
        <f>IFERROR(VLOOKUP(C17,Fixture_Engine!$D$2:$R$21,15,FALSE),"")</f>
        <v>0.58939500306781811</v>
      </c>
      <c r="K17" s="13">
        <v>7.7842567356996725E-2</v>
      </c>
      <c r="L17" s="13">
        <v>0.10854618163539567</v>
      </c>
      <c r="M17" s="13">
        <v>0.45351473922902497</v>
      </c>
      <c r="N17" s="38">
        <f t="shared" si="0"/>
        <v>0.20651133582374429</v>
      </c>
      <c r="O17" s="38">
        <f t="shared" si="1"/>
        <v>0.28796605416788734</v>
      </c>
      <c r="P17" s="26"/>
      <c r="Q17" s="45"/>
      <c r="R17" s="38"/>
      <c r="S17" s="38"/>
      <c r="T17" s="38"/>
      <c r="U17" s="1" t="b">
        <v>0</v>
      </c>
      <c r="V17" s="1" t="b">
        <v>0</v>
      </c>
      <c r="W17" s="31" t="s">
        <v>1885</v>
      </c>
    </row>
    <row r="18" spans="1:23" ht="30">
      <c r="A18" s="7">
        <v>17</v>
      </c>
      <c r="B18" s="7" t="s">
        <v>141</v>
      </c>
      <c r="C18" s="7" t="s">
        <v>39</v>
      </c>
      <c r="D18" s="7" t="s">
        <v>112</v>
      </c>
      <c r="E18" s="11">
        <v>6</v>
      </c>
      <c r="F18" s="7" t="s">
        <v>45</v>
      </c>
      <c r="G18" s="7" t="s">
        <v>1743</v>
      </c>
      <c r="H18" s="37">
        <f>IFERROR(VLOOKUP(C18,Fixture_Engine!$D$2:$R$21,13,FALSE),"")</f>
        <v>2.6529358272146251</v>
      </c>
      <c r="I18" s="37">
        <f>IFERROR(VLOOKUP(C18,Fixture_Engine!$D$2:$R$21,14,FALSE),"")</f>
        <v>0.52865868671275384</v>
      </c>
      <c r="J18" s="37">
        <f>IFERROR(VLOOKUP(C18,Fixture_Engine!$D$2:$R$21,15,FALSE),"")</f>
        <v>0.58939500306781811</v>
      </c>
      <c r="K18" s="13">
        <v>0.13966827704026424</v>
      </c>
      <c r="L18" s="13">
        <v>8.1934379527956541E-2</v>
      </c>
      <c r="M18" s="13">
        <v>0.49407114624505932</v>
      </c>
      <c r="N18" s="38">
        <f t="shared" si="0"/>
        <v>0.37053097608545482</v>
      </c>
      <c r="O18" s="38">
        <f t="shared" si="1"/>
        <v>0.21736665093031643</v>
      </c>
      <c r="P18" s="26"/>
      <c r="Q18" s="45"/>
      <c r="R18" s="38"/>
      <c r="S18" s="38"/>
      <c r="T18" s="38"/>
      <c r="U18" s="1" t="b">
        <v>0</v>
      </c>
      <c r="V18" s="1" t="b">
        <v>0</v>
      </c>
      <c r="W18" s="31" t="s">
        <v>1885</v>
      </c>
    </row>
    <row r="19" spans="1:23" ht="30">
      <c r="A19" s="7">
        <v>18</v>
      </c>
      <c r="B19" s="7" t="s">
        <v>144</v>
      </c>
      <c r="C19" s="7" t="s">
        <v>39</v>
      </c>
      <c r="D19" s="7" t="s">
        <v>112</v>
      </c>
      <c r="E19" s="11">
        <v>6.5</v>
      </c>
      <c r="F19" s="7" t="s">
        <v>45</v>
      </c>
      <c r="G19" s="7" t="s">
        <v>1743</v>
      </c>
      <c r="H19" s="37">
        <f>IFERROR(VLOOKUP(C19,Fixture_Engine!$D$2:$R$21,13,FALSE),"")</f>
        <v>2.6529358272146251</v>
      </c>
      <c r="I19" s="37">
        <f>IFERROR(VLOOKUP(C19,Fixture_Engine!$D$2:$R$21,14,FALSE),"")</f>
        <v>0.52865868671275384</v>
      </c>
      <c r="J19" s="37">
        <f>IFERROR(VLOOKUP(C19,Fixture_Engine!$D$2:$R$21,15,FALSE),"")</f>
        <v>0.58939500306781811</v>
      </c>
      <c r="K19" s="13">
        <v>0.15608258786876855</v>
      </c>
      <c r="L19" s="13">
        <v>7.576321444218917E-2</v>
      </c>
      <c r="M19" s="13">
        <v>0.4842615012106537</v>
      </c>
      <c r="N19" s="38">
        <f t="shared" si="0"/>
        <v>0.41407708936143089</v>
      </c>
      <c r="O19" s="38">
        <f t="shared" si="1"/>
        <v>0.20099494597862816</v>
      </c>
      <c r="P19" s="26"/>
      <c r="Q19" s="45"/>
      <c r="R19" s="38"/>
      <c r="S19" s="38"/>
      <c r="T19" s="38"/>
      <c r="U19" s="1" t="b">
        <v>0</v>
      </c>
      <c r="V19" s="1" t="b">
        <v>0</v>
      </c>
      <c r="W19" s="31" t="s">
        <v>1885</v>
      </c>
    </row>
    <row r="20" spans="1:23" ht="30">
      <c r="A20" s="7">
        <v>19</v>
      </c>
      <c r="B20" s="7" t="s">
        <v>147</v>
      </c>
      <c r="C20" s="7" t="s">
        <v>39</v>
      </c>
      <c r="D20" s="7" t="s">
        <v>112</v>
      </c>
      <c r="E20" s="11">
        <v>5.5</v>
      </c>
      <c r="F20" s="7" t="s">
        <v>45</v>
      </c>
      <c r="G20" s="7" t="s">
        <v>1743</v>
      </c>
      <c r="H20" s="37">
        <f>IFERROR(VLOOKUP(C20,Fixture_Engine!$D$2:$R$21,13,FALSE),"")</f>
        <v>2.6529358272146251</v>
      </c>
      <c r="I20" s="37">
        <f>IFERROR(VLOOKUP(C20,Fixture_Engine!$D$2:$R$21,14,FALSE),"")</f>
        <v>0.52865868671275384</v>
      </c>
      <c r="J20" s="37">
        <f>IFERROR(VLOOKUP(C20,Fixture_Engine!$D$2:$R$21,15,FALSE),"")</f>
        <v>0.58939500306781811</v>
      </c>
      <c r="K20" s="13">
        <v>6.4038796449995966E-2</v>
      </c>
      <c r="L20" s="13">
        <v>5.2263889793180668E-2</v>
      </c>
      <c r="M20" s="13">
        <v>0.25056376847907791</v>
      </c>
      <c r="N20" s="38">
        <f t="shared" si="0"/>
        <v>0.16989081743389906</v>
      </c>
      <c r="O20" s="38">
        <f t="shared" si="1"/>
        <v>0.13865274570192576</v>
      </c>
      <c r="P20" s="26"/>
      <c r="Q20" s="45"/>
      <c r="R20" s="38"/>
      <c r="S20" s="38"/>
      <c r="T20" s="38"/>
      <c r="U20" s="1" t="b">
        <v>0</v>
      </c>
      <c r="V20" s="1" t="b">
        <v>0</v>
      </c>
      <c r="W20" s="31" t="s">
        <v>1885</v>
      </c>
    </row>
    <row r="21" spans="1:23" ht="30">
      <c r="A21" s="7">
        <v>20</v>
      </c>
      <c r="B21" s="7" t="s">
        <v>150</v>
      </c>
      <c r="C21" s="7" t="s">
        <v>39</v>
      </c>
      <c r="D21" s="7" t="s">
        <v>112</v>
      </c>
      <c r="E21" s="11">
        <v>5.5</v>
      </c>
      <c r="F21" s="7" t="s">
        <v>45</v>
      </c>
      <c r="G21" s="7" t="s">
        <v>1743</v>
      </c>
      <c r="H21" s="37">
        <f>IFERROR(VLOOKUP(C21,Fixture_Engine!$D$2:$R$21,13,FALSE),"")</f>
        <v>2.6529358272146251</v>
      </c>
      <c r="I21" s="37">
        <f>IFERROR(VLOOKUP(C21,Fixture_Engine!$D$2:$R$21,14,FALSE),"")</f>
        <v>0.52865868671275384</v>
      </c>
      <c r="J21" s="37">
        <f>IFERROR(VLOOKUP(C21,Fixture_Engine!$D$2:$R$21,15,FALSE),"")</f>
        <v>0.58939500306781811</v>
      </c>
      <c r="K21" s="13">
        <v>0.14718532566711739</v>
      </c>
      <c r="L21" s="13">
        <v>9.191051724991417E-2</v>
      </c>
      <c r="M21" s="13">
        <v>0.86805555555555558</v>
      </c>
      <c r="N21" s="38">
        <f t="shared" si="0"/>
        <v>0.39047322370254806</v>
      </c>
      <c r="O21" s="38">
        <f t="shared" si="1"/>
        <v>0.24383270411012511</v>
      </c>
      <c r="P21" s="26"/>
      <c r="Q21" s="45"/>
      <c r="R21" s="38"/>
      <c r="S21" s="38"/>
      <c r="T21" s="38"/>
      <c r="U21" s="1" t="b">
        <v>0</v>
      </c>
      <c r="V21" s="1" t="b">
        <v>1</v>
      </c>
      <c r="W21" s="31" t="s">
        <v>1885</v>
      </c>
    </row>
    <row r="22" spans="1:23" ht="30">
      <c r="A22" s="7">
        <v>21</v>
      </c>
      <c r="B22" s="7" t="s">
        <v>153</v>
      </c>
      <c r="C22" s="7" t="s">
        <v>39</v>
      </c>
      <c r="D22" s="7" t="s">
        <v>112</v>
      </c>
      <c r="E22" s="11">
        <v>5</v>
      </c>
      <c r="F22" s="7" t="s">
        <v>45</v>
      </c>
      <c r="G22" s="7" t="s">
        <v>1743</v>
      </c>
      <c r="H22" s="37">
        <f>IFERROR(VLOOKUP(C22,Fixture_Engine!$D$2:$R$21,13,FALSE),"")</f>
        <v>2.6529358272146251</v>
      </c>
      <c r="I22" s="37">
        <f>IFERROR(VLOOKUP(C22,Fixture_Engine!$D$2:$R$21,14,FALSE),"")</f>
        <v>0.52865868671275384</v>
      </c>
      <c r="J22" s="37">
        <f>IFERROR(VLOOKUP(C22,Fixture_Engine!$D$2:$R$21,15,FALSE),"")</f>
        <v>0.58939500306781811</v>
      </c>
      <c r="K22" s="13">
        <v>0.10144286351452755</v>
      </c>
      <c r="L22" s="13">
        <v>8.3856528449700832E-2</v>
      </c>
      <c r="M22" s="13">
        <v>0.90826521344232514</v>
      </c>
      <c r="N22" s="38">
        <f t="shared" si="0"/>
        <v>0.26912140703293347</v>
      </c>
      <c r="O22" s="38">
        <f t="shared" si="1"/>
        <v>0.22246598867005382</v>
      </c>
      <c r="P22" s="26"/>
      <c r="Q22" s="45"/>
      <c r="R22" s="38"/>
      <c r="S22" s="38"/>
      <c r="T22" s="38"/>
      <c r="U22" s="1" t="b">
        <v>0</v>
      </c>
      <c r="V22" s="1" t="b">
        <v>1</v>
      </c>
      <c r="W22" s="31" t="s">
        <v>1885</v>
      </c>
    </row>
    <row r="23" spans="1:23" ht="30">
      <c r="A23" s="7">
        <v>22</v>
      </c>
      <c r="B23" s="7" t="s">
        <v>156</v>
      </c>
      <c r="C23" s="7" t="s">
        <v>39</v>
      </c>
      <c r="D23" s="7" t="s">
        <v>112</v>
      </c>
      <c r="E23" s="11">
        <v>5.5</v>
      </c>
      <c r="F23" s="7" t="s">
        <v>45</v>
      </c>
      <c r="G23" s="7" t="s">
        <v>1743</v>
      </c>
      <c r="H23" s="37">
        <f>IFERROR(VLOOKUP(C23,Fixture_Engine!$D$2:$R$21,13,FALSE),"")</f>
        <v>2.6529358272146251</v>
      </c>
      <c r="I23" s="37">
        <f>IFERROR(VLOOKUP(C23,Fixture_Engine!$D$2:$R$21,14,FALSE),"")</f>
        <v>0.52865868671275384</v>
      </c>
      <c r="J23" s="37">
        <f>IFERROR(VLOOKUP(C23,Fixture_Engine!$D$2:$R$21,15,FALSE),"")</f>
        <v>0.58939500306781811</v>
      </c>
      <c r="K23" s="13">
        <v>0.10258258770876769</v>
      </c>
      <c r="L23" s="13">
        <v>8.1039831482213873E-2</v>
      </c>
      <c r="M23" s="13">
        <v>0.85836909871244638</v>
      </c>
      <c r="N23" s="38">
        <f t="shared" si="0"/>
        <v>0.27214502218097641</v>
      </c>
      <c r="O23" s="38">
        <f t="shared" si="1"/>
        <v>0.21499347237060087</v>
      </c>
      <c r="P23" s="26"/>
      <c r="Q23" s="45"/>
      <c r="R23" s="38"/>
      <c r="S23" s="38"/>
      <c r="T23" s="38"/>
      <c r="U23" s="1" t="b">
        <v>0</v>
      </c>
      <c r="V23" s="1" t="b">
        <v>1</v>
      </c>
      <c r="W23" s="31" t="s">
        <v>1885</v>
      </c>
    </row>
    <row r="24" spans="1:23" ht="30">
      <c r="A24" s="7">
        <v>23</v>
      </c>
      <c r="B24" s="7" t="s">
        <v>159</v>
      </c>
      <c r="C24" s="7" t="s">
        <v>39</v>
      </c>
      <c r="D24" s="7" t="s">
        <v>112</v>
      </c>
      <c r="E24" s="11">
        <v>5.5</v>
      </c>
      <c r="F24" s="7" t="s">
        <v>45</v>
      </c>
      <c r="G24" s="7" t="s">
        <v>1743</v>
      </c>
      <c r="H24" s="37">
        <f>IFERROR(VLOOKUP(C24,Fixture_Engine!$D$2:$R$21,13,FALSE),"")</f>
        <v>2.6529358272146251</v>
      </c>
      <c r="I24" s="37">
        <f>IFERROR(VLOOKUP(C24,Fixture_Engine!$D$2:$R$21,14,FALSE),"")</f>
        <v>0.52865868671275384</v>
      </c>
      <c r="J24" s="37">
        <f>IFERROR(VLOOKUP(C24,Fixture_Engine!$D$2:$R$21,15,FALSE),"")</f>
        <v>0.58939500306781811</v>
      </c>
      <c r="K24" s="13">
        <v>0.10751786102217777</v>
      </c>
      <c r="L24" s="13">
        <v>9.0240671969462088E-2</v>
      </c>
      <c r="M24" s="13">
        <v>1</v>
      </c>
      <c r="N24" s="38">
        <f t="shared" si="0"/>
        <v>0.28523798557121827</v>
      </c>
      <c r="O24" s="38">
        <f t="shared" si="1"/>
        <v>0.23940271173970853</v>
      </c>
      <c r="P24" s="26"/>
      <c r="Q24" s="45"/>
      <c r="R24" s="38"/>
      <c r="S24" s="38"/>
      <c r="T24" s="38"/>
      <c r="U24" s="1" t="b">
        <v>0</v>
      </c>
      <c r="V24" s="1" t="b">
        <v>1</v>
      </c>
      <c r="W24" s="31" t="s">
        <v>1885</v>
      </c>
    </row>
    <row r="25" spans="1:23" ht="30">
      <c r="A25" s="7">
        <v>24</v>
      </c>
      <c r="B25" s="7" t="s">
        <v>162</v>
      </c>
      <c r="C25" s="7" t="s">
        <v>39</v>
      </c>
      <c r="D25" s="7" t="s">
        <v>112</v>
      </c>
      <c r="E25" s="11">
        <v>5.5</v>
      </c>
      <c r="F25" s="7" t="s">
        <v>45</v>
      </c>
      <c r="G25" s="7" t="s">
        <v>1743</v>
      </c>
      <c r="H25" s="37">
        <f>IFERROR(VLOOKUP(C25,Fixture_Engine!$D$2:$R$21,13,FALSE),"")</f>
        <v>2.6529358272146251</v>
      </c>
      <c r="I25" s="37">
        <f>IFERROR(VLOOKUP(C25,Fixture_Engine!$D$2:$R$21,14,FALSE),"")</f>
        <v>0.52865868671275384</v>
      </c>
      <c r="J25" s="37">
        <f>IFERROR(VLOOKUP(C25,Fixture_Engine!$D$2:$R$21,15,FALSE),"")</f>
        <v>0.58939500306781811</v>
      </c>
      <c r="K25" s="13">
        <v>0.12848773289018384</v>
      </c>
      <c r="L25" s="13">
        <v>8.6888118906930628E-2</v>
      </c>
      <c r="M25" s="13">
        <v>0.91028622540250448</v>
      </c>
      <c r="N25" s="38">
        <f t="shared" si="0"/>
        <v>0.34086970994195165</v>
      </c>
      <c r="O25" s="38">
        <f t="shared" si="1"/>
        <v>0.23050860360748071</v>
      </c>
      <c r="P25" s="26"/>
      <c r="Q25" s="45"/>
      <c r="R25" s="38"/>
      <c r="S25" s="38"/>
      <c r="T25" s="38"/>
      <c r="U25" s="1" t="b">
        <v>0</v>
      </c>
      <c r="V25" s="1" t="b">
        <v>1</v>
      </c>
      <c r="W25" s="31" t="s">
        <v>1885</v>
      </c>
    </row>
    <row r="26" spans="1:23" ht="30">
      <c r="A26" s="7">
        <v>25</v>
      </c>
      <c r="B26" s="7" t="s">
        <v>165</v>
      </c>
      <c r="C26" s="7" t="s">
        <v>39</v>
      </c>
      <c r="D26" s="7" t="s">
        <v>167</v>
      </c>
      <c r="E26" s="11">
        <v>7.5</v>
      </c>
      <c r="F26" s="7" t="s">
        <v>45</v>
      </c>
      <c r="G26" s="7" t="s">
        <v>1743</v>
      </c>
      <c r="H26" s="37">
        <f>IFERROR(VLOOKUP(C26,Fixture_Engine!$D$2:$R$21,13,FALSE),"")</f>
        <v>2.6529358272146251</v>
      </c>
      <c r="I26" s="37">
        <f>IFERROR(VLOOKUP(C26,Fixture_Engine!$D$2:$R$21,14,FALSE),"")</f>
        <v>0.52865868671275384</v>
      </c>
      <c r="J26" s="37">
        <f>IFERROR(VLOOKUP(C26,Fixture_Engine!$D$2:$R$21,15,FALSE),"")</f>
        <v>0.58939500306781811</v>
      </c>
      <c r="K26" s="13">
        <v>0.29337267305771364</v>
      </c>
      <c r="L26" s="13">
        <v>4.3642619039795931E-2</v>
      </c>
      <c r="M26" s="13">
        <v>0.3108486167236556</v>
      </c>
      <c r="N26" s="38">
        <f t="shared" si="0"/>
        <v>0.7782988750805313</v>
      </c>
      <c r="O26" s="38">
        <f t="shared" si="1"/>
        <v>0.11578106764415376</v>
      </c>
      <c r="P26" s="26"/>
      <c r="Q26" s="45"/>
      <c r="R26" s="38"/>
      <c r="S26" s="38"/>
      <c r="T26" s="38"/>
      <c r="U26" s="1" t="b">
        <v>1</v>
      </c>
      <c r="V26" s="1" t="b">
        <v>0</v>
      </c>
      <c r="W26" s="31" t="s">
        <v>1885</v>
      </c>
    </row>
    <row r="27" spans="1:23" ht="30">
      <c r="A27" s="7">
        <v>26</v>
      </c>
      <c r="B27" s="7" t="s">
        <v>169</v>
      </c>
      <c r="C27" s="7" t="s">
        <v>39</v>
      </c>
      <c r="D27" s="7" t="s">
        <v>167</v>
      </c>
      <c r="E27" s="11">
        <v>7.5</v>
      </c>
      <c r="F27" s="7" t="s">
        <v>45</v>
      </c>
      <c r="G27" s="7" t="s">
        <v>1743</v>
      </c>
      <c r="H27" s="37">
        <f>IFERROR(VLOOKUP(C27,Fixture_Engine!$D$2:$R$21,13,FALSE),"")</f>
        <v>2.6529358272146251</v>
      </c>
      <c r="I27" s="37">
        <f>IFERROR(VLOOKUP(C27,Fixture_Engine!$D$2:$R$21,14,FALSE),"")</f>
        <v>0.52865868671275384</v>
      </c>
      <c r="J27" s="37">
        <f>IFERROR(VLOOKUP(C27,Fixture_Engine!$D$2:$R$21,15,FALSE),"")</f>
        <v>0.58939500306781811</v>
      </c>
      <c r="K27" s="13">
        <v>0.30258673396992203</v>
      </c>
      <c r="L27" s="13">
        <v>4.6051943695067252E-2</v>
      </c>
      <c r="M27" s="13">
        <v>0.63411540900443875</v>
      </c>
      <c r="N27" s="38">
        <f t="shared" si="0"/>
        <v>0.80274318738866679</v>
      </c>
      <c r="O27" s="38">
        <f t="shared" si="1"/>
        <v>0.12217285134151458</v>
      </c>
      <c r="P27" s="26"/>
      <c r="Q27" s="45"/>
      <c r="R27" s="38"/>
      <c r="S27" s="38"/>
      <c r="T27" s="38"/>
      <c r="U27" s="1" t="b">
        <v>0</v>
      </c>
      <c r="V27" s="1" t="b">
        <v>1</v>
      </c>
      <c r="W27" s="31" t="s">
        <v>1885</v>
      </c>
    </row>
    <row r="28" spans="1:23" ht="30">
      <c r="A28" s="7">
        <v>27</v>
      </c>
      <c r="B28" s="7" t="s">
        <v>172</v>
      </c>
      <c r="C28" s="7" t="s">
        <v>39</v>
      </c>
      <c r="D28" s="7" t="s">
        <v>167</v>
      </c>
      <c r="E28" s="11">
        <v>6</v>
      </c>
      <c r="F28" s="7" t="s">
        <v>45</v>
      </c>
      <c r="G28" s="7" t="s">
        <v>1743</v>
      </c>
      <c r="H28" s="37">
        <f>IFERROR(VLOOKUP(C28,Fixture_Engine!$D$2:$R$21,13,FALSE),"")</f>
        <v>2.6529358272146251</v>
      </c>
      <c r="I28" s="37">
        <f>IFERROR(VLOOKUP(C28,Fixture_Engine!$D$2:$R$21,14,FALSE),"")</f>
        <v>0.52865868671275384</v>
      </c>
      <c r="J28" s="37">
        <f>IFERROR(VLOOKUP(C28,Fixture_Engine!$D$2:$R$21,15,FALSE),"")</f>
        <v>0.58939500306781811</v>
      </c>
      <c r="K28" s="13">
        <v>0.31445612952446333</v>
      </c>
      <c r="L28" s="13">
        <v>3.7244668263303915E-2</v>
      </c>
      <c r="M28" s="13">
        <v>0.70521861777150918</v>
      </c>
      <c r="N28" s="38">
        <f t="shared" si="0"/>
        <v>0.83423193210269142</v>
      </c>
      <c r="O28" s="38">
        <f t="shared" si="1"/>
        <v>9.8807714808442471E-2</v>
      </c>
      <c r="P28" s="26"/>
      <c r="Q28" s="45"/>
      <c r="R28" s="38"/>
      <c r="S28" s="38"/>
      <c r="T28" s="38"/>
      <c r="U28" s="1" t="b">
        <v>0</v>
      </c>
      <c r="V28" s="1" t="b">
        <v>1</v>
      </c>
      <c r="W28" s="31" t="s">
        <v>1885</v>
      </c>
    </row>
    <row r="29" spans="1:23" ht="30">
      <c r="A29" s="7">
        <v>28</v>
      </c>
      <c r="B29" s="7" t="s">
        <v>178</v>
      </c>
      <c r="C29" s="7" t="s">
        <v>40</v>
      </c>
      <c r="D29" s="7" t="s">
        <v>85</v>
      </c>
      <c r="E29" s="11">
        <v>5</v>
      </c>
      <c r="F29" s="7" t="s">
        <v>43</v>
      </c>
      <c r="G29" s="7" t="s">
        <v>1742</v>
      </c>
      <c r="H29" s="37">
        <f>IFERROR(VLOOKUP(C29,Fixture_Engine!$D$2:$R$21,13,FALSE),"")</f>
        <v>1.2147039153583923</v>
      </c>
      <c r="I29" s="37">
        <f>IFERROR(VLOOKUP(C29,Fixture_Engine!$D$2:$R$21,14,FALSE),"")</f>
        <v>1.452548189055803</v>
      </c>
      <c r="J29" s="37">
        <f>IFERROR(VLOOKUP(C29,Fixture_Engine!$D$2:$R$21,15,FALSE),"")</f>
        <v>0.2339733195702127</v>
      </c>
      <c r="K29" s="13">
        <v>1.6719534964712218E-4</v>
      </c>
      <c r="L29" s="13">
        <v>1.839820125764433E-3</v>
      </c>
      <c r="M29" s="13">
        <v>0.26075619295958274</v>
      </c>
      <c r="N29" s="38">
        <f t="shared" si="0"/>
        <v>2.030928458460747E-4</v>
      </c>
      <c r="O29" s="38">
        <f t="shared" si="1"/>
        <v>2.2348367103212263E-3</v>
      </c>
      <c r="P29" s="26"/>
      <c r="Q29" s="45"/>
      <c r="R29" s="38"/>
      <c r="S29" s="38"/>
      <c r="T29" s="38"/>
      <c r="U29" s="1" t="b">
        <v>0</v>
      </c>
      <c r="V29" s="1" t="b">
        <v>0</v>
      </c>
      <c r="W29" s="31" t="s">
        <v>1885</v>
      </c>
    </row>
    <row r="30" spans="1:23" ht="30">
      <c r="A30" s="7">
        <v>29</v>
      </c>
      <c r="B30" s="7" t="s">
        <v>183</v>
      </c>
      <c r="C30" s="7" t="s">
        <v>40</v>
      </c>
      <c r="D30" s="7" t="s">
        <v>85</v>
      </c>
      <c r="E30" s="11">
        <v>4.5</v>
      </c>
      <c r="F30" s="7" t="s">
        <v>43</v>
      </c>
      <c r="G30" s="7" t="s">
        <v>1742</v>
      </c>
      <c r="H30" s="37">
        <f>IFERROR(VLOOKUP(C30,Fixture_Engine!$D$2:$R$21,13,FALSE),"")</f>
        <v>1.2147039153583923</v>
      </c>
      <c r="I30" s="37">
        <f>IFERROR(VLOOKUP(C30,Fixture_Engine!$D$2:$R$21,14,FALSE),"")</f>
        <v>1.452548189055803</v>
      </c>
      <c r="J30" s="37">
        <f>IFERROR(VLOOKUP(C30,Fixture_Engine!$D$2:$R$21,15,FALSE),"")</f>
        <v>0.2339733195702127</v>
      </c>
      <c r="K30" s="13">
        <v>1.6719534964712218E-4</v>
      </c>
      <c r="L30" s="13">
        <v>1.379361634588758E-3</v>
      </c>
      <c r="M30" s="13">
        <v>0.63091482649842279</v>
      </c>
      <c r="N30" s="38">
        <f t="shared" si="0"/>
        <v>2.030928458460747E-4</v>
      </c>
      <c r="O30" s="38">
        <f t="shared" si="1"/>
        <v>1.6755159782301163E-3</v>
      </c>
      <c r="P30" s="26"/>
      <c r="Q30" s="45"/>
      <c r="R30" s="38"/>
      <c r="S30" s="38"/>
      <c r="T30" s="38"/>
      <c r="U30" s="1" t="b">
        <v>0</v>
      </c>
      <c r="V30" s="1" t="b">
        <v>1</v>
      </c>
      <c r="W30" s="31" t="s">
        <v>1885</v>
      </c>
    </row>
    <row r="31" spans="1:23" ht="30">
      <c r="A31" s="7">
        <v>30</v>
      </c>
      <c r="B31" s="7" t="s">
        <v>186</v>
      </c>
      <c r="C31" s="7" t="s">
        <v>40</v>
      </c>
      <c r="D31" s="7" t="s">
        <v>99</v>
      </c>
      <c r="E31" s="11">
        <v>4.5</v>
      </c>
      <c r="F31" s="7" t="s">
        <v>43</v>
      </c>
      <c r="G31" s="7" t="s">
        <v>1742</v>
      </c>
      <c r="H31" s="37">
        <f>IFERROR(VLOOKUP(C31,Fixture_Engine!$D$2:$R$21,13,FALSE),"")</f>
        <v>1.2147039153583923</v>
      </c>
      <c r="I31" s="37">
        <f>IFERROR(VLOOKUP(C31,Fixture_Engine!$D$2:$R$21,14,FALSE),"")</f>
        <v>1.452548189055803</v>
      </c>
      <c r="J31" s="37">
        <f>IFERROR(VLOOKUP(C31,Fixture_Engine!$D$2:$R$21,15,FALSE),"")</f>
        <v>0.2339733195702127</v>
      </c>
      <c r="K31" s="13">
        <v>3.1204004348581314E-2</v>
      </c>
      <c r="L31" s="13">
        <v>9.6144746781838805E-2</v>
      </c>
      <c r="M31" s="13">
        <v>0.35186488388458836</v>
      </c>
      <c r="N31" s="38">
        <f t="shared" si="0"/>
        <v>3.7903626257082018E-2</v>
      </c>
      <c r="O31" s="38">
        <f t="shared" si="1"/>
        <v>0.11678740035704079</v>
      </c>
      <c r="P31" s="26"/>
      <c r="Q31" s="45"/>
      <c r="R31" s="38"/>
      <c r="S31" s="38"/>
      <c r="T31" s="38"/>
      <c r="U31" s="1" t="b">
        <v>0</v>
      </c>
      <c r="V31" s="1" t="b">
        <v>0</v>
      </c>
      <c r="W31" s="31" t="s">
        <v>1885</v>
      </c>
    </row>
    <row r="32" spans="1:23" ht="30">
      <c r="A32" s="7">
        <v>31</v>
      </c>
      <c r="B32" s="7" t="s">
        <v>189</v>
      </c>
      <c r="C32" s="7" t="s">
        <v>40</v>
      </c>
      <c r="D32" s="7" t="s">
        <v>99</v>
      </c>
      <c r="E32" s="11">
        <v>4.5</v>
      </c>
      <c r="F32" s="7" t="s">
        <v>43</v>
      </c>
      <c r="G32" s="7" t="s">
        <v>1742</v>
      </c>
      <c r="H32" s="37">
        <f>IFERROR(VLOOKUP(C32,Fixture_Engine!$D$2:$R$21,13,FALSE),"")</f>
        <v>1.2147039153583923</v>
      </c>
      <c r="I32" s="37">
        <f>IFERROR(VLOOKUP(C32,Fixture_Engine!$D$2:$R$21,14,FALSE),"")</f>
        <v>1.452548189055803</v>
      </c>
      <c r="J32" s="37">
        <f>IFERROR(VLOOKUP(C32,Fixture_Engine!$D$2:$R$21,15,FALSE),"")</f>
        <v>0.2339733195702127</v>
      </c>
      <c r="K32" s="13">
        <v>3.2528970128017816E-2</v>
      </c>
      <c r="L32" s="13">
        <v>2.0415402834441994E-2</v>
      </c>
      <c r="M32" s="13">
        <v>0.24783147459727384</v>
      </c>
      <c r="N32" s="38">
        <f t="shared" si="0"/>
        <v>3.9513067377079422E-2</v>
      </c>
      <c r="O32" s="38">
        <f t="shared" si="1"/>
        <v>2.4798669756615509E-2</v>
      </c>
      <c r="P32" s="26"/>
      <c r="Q32" s="45"/>
      <c r="R32" s="38"/>
      <c r="S32" s="38"/>
      <c r="T32" s="38"/>
      <c r="U32" s="1" t="b">
        <v>0</v>
      </c>
      <c r="V32" s="1" t="b">
        <v>0</v>
      </c>
      <c r="W32" s="31" t="s">
        <v>1885</v>
      </c>
    </row>
    <row r="33" spans="1:23" ht="30">
      <c r="A33" s="7">
        <v>32</v>
      </c>
      <c r="B33" s="7" t="s">
        <v>192</v>
      </c>
      <c r="C33" s="7" t="s">
        <v>40</v>
      </c>
      <c r="D33" s="7" t="s">
        <v>99</v>
      </c>
      <c r="E33" s="11">
        <v>4.5</v>
      </c>
      <c r="F33" s="7" t="s">
        <v>43</v>
      </c>
      <c r="G33" s="7" t="s">
        <v>1742</v>
      </c>
      <c r="H33" s="37">
        <f>IFERROR(VLOOKUP(C33,Fixture_Engine!$D$2:$R$21,13,FALSE),"")</f>
        <v>1.2147039153583923</v>
      </c>
      <c r="I33" s="37">
        <f>IFERROR(VLOOKUP(C33,Fixture_Engine!$D$2:$R$21,14,FALSE),"")</f>
        <v>1.452548189055803</v>
      </c>
      <c r="J33" s="37">
        <f>IFERROR(VLOOKUP(C33,Fixture_Engine!$D$2:$R$21,15,FALSE),"")</f>
        <v>0.2339733195702127</v>
      </c>
      <c r="K33" s="13">
        <v>3.0386037867656972E-2</v>
      </c>
      <c r="L33" s="13">
        <v>6.2031595873054048E-2</v>
      </c>
      <c r="M33" s="13">
        <v>0.24900398406374502</v>
      </c>
      <c r="N33" s="38">
        <f t="shared" si="0"/>
        <v>3.6910039170071296E-2</v>
      </c>
      <c r="O33" s="38">
        <f t="shared" si="1"/>
        <v>7.5350022382928233E-2</v>
      </c>
      <c r="P33" s="26"/>
      <c r="Q33" s="45"/>
      <c r="R33" s="38"/>
      <c r="S33" s="38"/>
      <c r="T33" s="38"/>
      <c r="U33" s="1" t="b">
        <v>0</v>
      </c>
      <c r="V33" s="1" t="b">
        <v>0</v>
      </c>
      <c r="W33" s="31" t="s">
        <v>1885</v>
      </c>
    </row>
    <row r="34" spans="1:23" ht="30">
      <c r="A34" s="7">
        <v>33</v>
      </c>
      <c r="B34" s="7" t="s">
        <v>195</v>
      </c>
      <c r="C34" s="7" t="s">
        <v>40</v>
      </c>
      <c r="D34" s="7" t="s">
        <v>99</v>
      </c>
      <c r="E34" s="11">
        <v>4.5</v>
      </c>
      <c r="F34" s="7" t="s">
        <v>43</v>
      </c>
      <c r="G34" s="7" t="s">
        <v>1742</v>
      </c>
      <c r="H34" s="37">
        <f>IFERROR(VLOOKUP(C34,Fixture_Engine!$D$2:$R$21,13,FALSE),"")</f>
        <v>1.2147039153583923</v>
      </c>
      <c r="I34" s="37">
        <f>IFERROR(VLOOKUP(C34,Fixture_Engine!$D$2:$R$21,14,FALSE),"")</f>
        <v>1.452548189055803</v>
      </c>
      <c r="J34" s="37">
        <f>IFERROR(VLOOKUP(C34,Fixture_Engine!$D$2:$R$21,15,FALSE),"")</f>
        <v>0.2339733195702127</v>
      </c>
      <c r="K34" s="13">
        <v>5.7443163295411756E-2</v>
      </c>
      <c r="L34" s="13">
        <v>3.0281614889351001E-2</v>
      </c>
      <c r="M34" s="13">
        <v>0.43066322136089574</v>
      </c>
      <c r="N34" s="38">
        <f t="shared" si="0"/>
        <v>6.9776435365508149E-2</v>
      </c>
      <c r="O34" s="38">
        <f t="shared" si="1"/>
        <v>3.6783196169469651E-2</v>
      </c>
      <c r="P34" s="26"/>
      <c r="Q34" s="45"/>
      <c r="R34" s="38"/>
      <c r="S34" s="38"/>
      <c r="T34" s="38"/>
      <c r="U34" s="1" t="b">
        <v>0</v>
      </c>
      <c r="V34" s="1" t="b">
        <v>0</v>
      </c>
      <c r="W34" s="31" t="s">
        <v>1885</v>
      </c>
    </row>
    <row r="35" spans="1:23" ht="30">
      <c r="A35" s="7">
        <v>34</v>
      </c>
      <c r="B35" s="7" t="s">
        <v>198</v>
      </c>
      <c r="C35" s="7" t="s">
        <v>40</v>
      </c>
      <c r="D35" s="7" t="s">
        <v>99</v>
      </c>
      <c r="E35" s="11">
        <v>4.5</v>
      </c>
      <c r="F35" s="7" t="s">
        <v>43</v>
      </c>
      <c r="G35" s="7" t="s">
        <v>1742</v>
      </c>
      <c r="H35" s="37">
        <f>IFERROR(VLOOKUP(C35,Fixture_Engine!$D$2:$R$21,13,FALSE),"")</f>
        <v>1.2147039153583923</v>
      </c>
      <c r="I35" s="37">
        <f>IFERROR(VLOOKUP(C35,Fixture_Engine!$D$2:$R$21,14,FALSE),"")</f>
        <v>1.452548189055803</v>
      </c>
      <c r="J35" s="37">
        <f>IFERROR(VLOOKUP(C35,Fixture_Engine!$D$2:$R$21,15,FALSE),"")</f>
        <v>0.2339733195702127</v>
      </c>
      <c r="K35" s="13">
        <v>5.0696466845245147E-2</v>
      </c>
      <c r="L35" s="13">
        <v>2.550889602232654E-2</v>
      </c>
      <c r="M35" s="13">
        <v>0.3741114852225963</v>
      </c>
      <c r="N35" s="38">
        <f t="shared" si="0"/>
        <v>6.1581196771756205E-2</v>
      </c>
      <c r="O35" s="38">
        <f t="shared" si="1"/>
        <v>3.0985755874790168E-2</v>
      </c>
      <c r="P35" s="26"/>
      <c r="Q35" s="45"/>
      <c r="R35" s="38"/>
      <c r="S35" s="38"/>
      <c r="T35" s="38"/>
      <c r="U35" s="1" t="b">
        <v>0</v>
      </c>
      <c r="V35" s="1" t="b">
        <v>0</v>
      </c>
      <c r="W35" s="31" t="s">
        <v>1885</v>
      </c>
    </row>
    <row r="36" spans="1:23" ht="30">
      <c r="A36" s="7">
        <v>35</v>
      </c>
      <c r="B36" s="7" t="s">
        <v>201</v>
      </c>
      <c r="C36" s="7" t="s">
        <v>40</v>
      </c>
      <c r="D36" s="7" t="s">
        <v>112</v>
      </c>
      <c r="E36" s="11">
        <v>5</v>
      </c>
      <c r="F36" s="7" t="s">
        <v>43</v>
      </c>
      <c r="G36" s="7" t="s">
        <v>1742</v>
      </c>
      <c r="H36" s="37">
        <f>IFERROR(VLOOKUP(C36,Fixture_Engine!$D$2:$R$21,13,FALSE),"")</f>
        <v>1.2147039153583923</v>
      </c>
      <c r="I36" s="37">
        <f>IFERROR(VLOOKUP(C36,Fixture_Engine!$D$2:$R$21,14,FALSE),"")</f>
        <v>1.452548189055803</v>
      </c>
      <c r="J36" s="37">
        <f>IFERROR(VLOOKUP(C36,Fixture_Engine!$D$2:$R$21,15,FALSE),"")</f>
        <v>0.2339733195702127</v>
      </c>
      <c r="K36" s="13">
        <v>0.10751786102217777</v>
      </c>
      <c r="L36" s="13">
        <v>5.1141793995473403E-2</v>
      </c>
      <c r="M36" s="13">
        <v>0.48971596474045054</v>
      </c>
      <c r="N36" s="38">
        <f t="shared" si="0"/>
        <v>0.1306023667545988</v>
      </c>
      <c r="O36" s="38">
        <f t="shared" si="1"/>
        <v>6.2122137404753856E-2</v>
      </c>
      <c r="P36" s="26"/>
      <c r="Q36" s="45"/>
      <c r="R36" s="38"/>
      <c r="S36" s="38"/>
      <c r="T36" s="38"/>
      <c r="U36" s="1" t="b">
        <v>0</v>
      </c>
      <c r="V36" s="1" t="b">
        <v>0</v>
      </c>
      <c r="W36" s="31" t="s">
        <v>1885</v>
      </c>
    </row>
    <row r="37" spans="1:23" ht="30">
      <c r="A37" s="7">
        <v>36</v>
      </c>
      <c r="B37" s="7" t="s">
        <v>204</v>
      </c>
      <c r="C37" s="7" t="s">
        <v>40</v>
      </c>
      <c r="D37" s="7" t="s">
        <v>99</v>
      </c>
      <c r="E37" s="11">
        <v>4.5</v>
      </c>
      <c r="F37" s="7" t="s">
        <v>43</v>
      </c>
      <c r="G37" s="7" t="s">
        <v>1742</v>
      </c>
      <c r="H37" s="37">
        <f>IFERROR(VLOOKUP(C37,Fixture_Engine!$D$2:$R$21,13,FALSE),"")</f>
        <v>1.2147039153583923</v>
      </c>
      <c r="I37" s="37">
        <f>IFERROR(VLOOKUP(C37,Fixture_Engine!$D$2:$R$21,14,FALSE),"")</f>
        <v>1.452548189055803</v>
      </c>
      <c r="J37" s="37">
        <f>IFERROR(VLOOKUP(C37,Fixture_Engine!$D$2:$R$21,15,FALSE),"")</f>
        <v>0.2339733195702127</v>
      </c>
      <c r="K37" s="13">
        <v>5.0403417335168794E-2</v>
      </c>
      <c r="L37" s="13">
        <v>8.111737172224899E-2</v>
      </c>
      <c r="M37" s="13">
        <v>0.38610038610038611</v>
      </c>
      <c r="N37" s="38">
        <f t="shared" si="0"/>
        <v>6.1225228384472599E-2</v>
      </c>
      <c r="O37" s="38">
        <f t="shared" si="1"/>
        <v>9.8533589034597982E-2</v>
      </c>
      <c r="P37" s="26"/>
      <c r="Q37" s="45"/>
      <c r="R37" s="38"/>
      <c r="S37" s="38"/>
      <c r="T37" s="38"/>
      <c r="U37" s="1" t="b">
        <v>0</v>
      </c>
      <c r="V37" s="1" t="b">
        <v>0</v>
      </c>
      <c r="W37" s="31" t="s">
        <v>1885</v>
      </c>
    </row>
    <row r="38" spans="1:23" ht="30">
      <c r="A38" s="7">
        <v>37</v>
      </c>
      <c r="B38" s="7" t="s">
        <v>207</v>
      </c>
      <c r="C38" s="7" t="s">
        <v>40</v>
      </c>
      <c r="D38" s="7" t="s">
        <v>99</v>
      </c>
      <c r="E38" s="11">
        <v>4.5</v>
      </c>
      <c r="F38" s="7" t="s">
        <v>43</v>
      </c>
      <c r="G38" s="7" t="s">
        <v>1742</v>
      </c>
      <c r="H38" s="37">
        <f>IFERROR(VLOOKUP(C38,Fixture_Engine!$D$2:$R$21,13,FALSE),"")</f>
        <v>1.2147039153583923</v>
      </c>
      <c r="I38" s="37">
        <f>IFERROR(VLOOKUP(C38,Fixture_Engine!$D$2:$R$21,14,FALSE),"")</f>
        <v>1.452548189055803</v>
      </c>
      <c r="J38" s="37">
        <f>IFERROR(VLOOKUP(C38,Fixture_Engine!$D$2:$R$21,15,FALSE),"")</f>
        <v>0.2339733195702127</v>
      </c>
      <c r="K38" s="13">
        <v>3.1415850251567255E-2</v>
      </c>
      <c r="L38" s="13">
        <v>2.4515198549022486E-2</v>
      </c>
      <c r="M38" s="13">
        <v>0.51493305870236872</v>
      </c>
      <c r="N38" s="38">
        <f t="shared" si="0"/>
        <v>3.8160956304891677E-2</v>
      </c>
      <c r="O38" s="38">
        <f t="shared" si="1"/>
        <v>2.977870766328599E-2</v>
      </c>
      <c r="P38" s="26"/>
      <c r="Q38" s="45"/>
      <c r="R38" s="38"/>
      <c r="S38" s="38"/>
      <c r="T38" s="38"/>
      <c r="U38" s="1" t="b">
        <v>0</v>
      </c>
      <c r="V38" s="1" t="b">
        <v>0</v>
      </c>
      <c r="W38" s="31" t="s">
        <v>1885</v>
      </c>
    </row>
    <row r="39" spans="1:23" ht="30">
      <c r="A39" s="7">
        <v>38</v>
      </c>
      <c r="B39" s="7" t="s">
        <v>210</v>
      </c>
      <c r="C39" s="7" t="s">
        <v>40</v>
      </c>
      <c r="D39" s="7" t="s">
        <v>99</v>
      </c>
      <c r="E39" s="11">
        <v>4</v>
      </c>
      <c r="F39" s="7" t="s">
        <v>43</v>
      </c>
      <c r="G39" s="7" t="s">
        <v>1742</v>
      </c>
      <c r="H39" s="37">
        <f>IFERROR(VLOOKUP(C39,Fixture_Engine!$D$2:$R$21,13,FALSE),"")</f>
        <v>1.2147039153583923</v>
      </c>
      <c r="I39" s="37">
        <f>IFERROR(VLOOKUP(C39,Fixture_Engine!$D$2:$R$21,14,FALSE),"")</f>
        <v>1.452548189055803</v>
      </c>
      <c r="J39" s="37">
        <f>IFERROR(VLOOKUP(C39,Fixture_Engine!$D$2:$R$21,15,FALSE),"")</f>
        <v>0.2339733195702127</v>
      </c>
      <c r="K39" s="13">
        <v>4.1142361271531161E-2</v>
      </c>
      <c r="L39" s="13">
        <v>3.8063364234551332E-2</v>
      </c>
      <c r="M39" s="13">
        <v>0.92336103416435822</v>
      </c>
      <c r="N39" s="38">
        <f t="shared" si="0"/>
        <v>4.9975787323618383E-2</v>
      </c>
      <c r="O39" s="38">
        <f t="shared" si="1"/>
        <v>4.6235717567422098E-2</v>
      </c>
      <c r="P39" s="26"/>
      <c r="Q39" s="45"/>
      <c r="R39" s="38"/>
      <c r="S39" s="38"/>
      <c r="T39" s="38"/>
      <c r="V39" s="1" t="b">
        <v>1</v>
      </c>
      <c r="W39" s="31" t="s">
        <v>1885</v>
      </c>
    </row>
    <row r="40" spans="1:23" ht="30">
      <c r="A40" s="7">
        <v>39</v>
      </c>
      <c r="B40" s="7" t="s">
        <v>212</v>
      </c>
      <c r="C40" s="7" t="s">
        <v>40</v>
      </c>
      <c r="D40" s="7" t="s">
        <v>99</v>
      </c>
      <c r="E40" s="11">
        <v>4</v>
      </c>
      <c r="F40" s="7" t="s">
        <v>43</v>
      </c>
      <c r="G40" s="7" t="s">
        <v>1742</v>
      </c>
      <c r="H40" s="37">
        <f>IFERROR(VLOOKUP(C40,Fixture_Engine!$D$2:$R$21,13,FALSE),"")</f>
        <v>1.2147039153583923</v>
      </c>
      <c r="I40" s="37">
        <f>IFERROR(VLOOKUP(C40,Fixture_Engine!$D$2:$R$21,14,FALSE),"")</f>
        <v>1.452548189055803</v>
      </c>
      <c r="J40" s="37">
        <f>IFERROR(VLOOKUP(C40,Fixture_Engine!$D$2:$R$21,15,FALSE),"")</f>
        <v>0.2339733195702127</v>
      </c>
      <c r="K40" s="13">
        <v>4.1142361271531161E-2</v>
      </c>
      <c r="L40" s="13">
        <v>4.0513079897554365E-2</v>
      </c>
      <c r="M40" s="13">
        <v>1</v>
      </c>
      <c r="N40" s="38">
        <f t="shared" si="0"/>
        <v>4.9975787323618383E-2</v>
      </c>
      <c r="O40" s="38">
        <f t="shared" si="1"/>
        <v>4.9211396774786663E-2</v>
      </c>
      <c r="P40" s="26"/>
      <c r="Q40" s="45"/>
      <c r="R40" s="38"/>
      <c r="S40" s="38"/>
      <c r="T40" s="38"/>
      <c r="U40" s="1" t="b">
        <v>0</v>
      </c>
      <c r="V40" s="1" t="b">
        <v>1</v>
      </c>
      <c r="W40" s="31" t="s">
        <v>1885</v>
      </c>
    </row>
    <row r="41" spans="1:23" ht="30">
      <c r="A41" s="7">
        <v>40</v>
      </c>
      <c r="B41" s="7" t="s">
        <v>506</v>
      </c>
      <c r="C41" s="7" t="s">
        <v>44</v>
      </c>
      <c r="D41" s="7" t="s">
        <v>112</v>
      </c>
      <c r="E41" s="11">
        <v>7.5</v>
      </c>
      <c r="F41" s="7" t="s">
        <v>48</v>
      </c>
      <c r="G41" s="7" t="s">
        <v>1742</v>
      </c>
      <c r="H41" s="37">
        <f>IFERROR(VLOOKUP(C41,Fixture_Engine!$D$2:$R$21,13,FALSE),"")</f>
        <v>1.529190937318446</v>
      </c>
      <c r="I41" s="37">
        <f>IFERROR(VLOOKUP(C41,Fixture_Engine!$D$2:$R$21,14,FALSE),"")</f>
        <v>1.0345389928276891</v>
      </c>
      <c r="J41" s="37">
        <f>IFERROR(VLOOKUP(C41,Fixture_Engine!$D$2:$R$21,15,FALSE),"")</f>
        <v>0.35539018058786065</v>
      </c>
      <c r="K41" s="13">
        <v>0.13123093362918858</v>
      </c>
      <c r="L41" s="13">
        <v>9.212339729666999E-2</v>
      </c>
      <c r="M41" s="13">
        <v>0.41373831775700942</v>
      </c>
      <c r="N41" s="38">
        <f t="shared" si="0"/>
        <v>0.20067715440159367</v>
      </c>
      <c r="O41" s="38">
        <f t="shared" si="1"/>
        <v>0.14087426426105437</v>
      </c>
      <c r="P41" s="26"/>
      <c r="Q41" s="45"/>
      <c r="R41" s="38"/>
      <c r="S41" s="38"/>
      <c r="T41" s="38"/>
      <c r="U41" s="1" t="b">
        <v>0</v>
      </c>
      <c r="V41" s="1" t="b">
        <v>1</v>
      </c>
      <c r="W41" s="31" t="s">
        <v>1885</v>
      </c>
    </row>
    <row r="42" spans="1:23" ht="30">
      <c r="A42" s="7">
        <v>41</v>
      </c>
      <c r="B42" s="7" t="s">
        <v>215</v>
      </c>
      <c r="C42" s="7" t="s">
        <v>40</v>
      </c>
      <c r="D42" s="7" t="s">
        <v>112</v>
      </c>
      <c r="E42" s="11">
        <v>6</v>
      </c>
      <c r="F42" s="7" t="s">
        <v>43</v>
      </c>
      <c r="G42" s="7" t="s">
        <v>1742</v>
      </c>
      <c r="H42" s="37">
        <f>IFERROR(VLOOKUP(C42,Fixture_Engine!$D$2:$R$21,13,FALSE),"")</f>
        <v>1.2147039153583923</v>
      </c>
      <c r="I42" s="37">
        <f>IFERROR(VLOOKUP(C42,Fixture_Engine!$D$2:$R$21,14,FALSE),"")</f>
        <v>1.452548189055803</v>
      </c>
      <c r="J42" s="37">
        <f>IFERROR(VLOOKUP(C42,Fixture_Engine!$D$2:$R$21,15,FALSE),"")</f>
        <v>0.2339733195702127</v>
      </c>
      <c r="K42" s="13">
        <v>0.12616911992853488</v>
      </c>
      <c r="L42" s="13">
        <v>9.0253864052705024E-2</v>
      </c>
      <c r="M42" s="13">
        <v>0.36324010170722842</v>
      </c>
      <c r="N42" s="38">
        <f t="shared" si="0"/>
        <v>0.15325812397451388</v>
      </c>
      <c r="O42" s="38">
        <f t="shared" si="1"/>
        <v>0.10963172204104485</v>
      </c>
      <c r="P42" s="26"/>
      <c r="Q42" s="45"/>
      <c r="R42" s="38"/>
      <c r="S42" s="38"/>
      <c r="T42" s="38"/>
      <c r="U42" s="1" t="b">
        <v>1</v>
      </c>
      <c r="V42" s="1" t="b">
        <v>0</v>
      </c>
      <c r="W42" s="31" t="s">
        <v>1885</v>
      </c>
    </row>
    <row r="43" spans="1:23" ht="30">
      <c r="A43" s="7">
        <v>42</v>
      </c>
      <c r="B43" s="7" t="s">
        <v>218</v>
      </c>
      <c r="C43" s="7" t="s">
        <v>40</v>
      </c>
      <c r="D43" s="7" t="s">
        <v>112</v>
      </c>
      <c r="E43" s="11">
        <v>5.5</v>
      </c>
      <c r="F43" s="7" t="s">
        <v>43</v>
      </c>
      <c r="G43" s="7" t="s">
        <v>1742</v>
      </c>
      <c r="H43" s="37">
        <f>IFERROR(VLOOKUP(C43,Fixture_Engine!$D$2:$R$21,13,FALSE),"")</f>
        <v>1.2147039153583923</v>
      </c>
      <c r="I43" s="37">
        <f>IFERROR(VLOOKUP(C43,Fixture_Engine!$D$2:$R$21,14,FALSE),"")</f>
        <v>1.452548189055803</v>
      </c>
      <c r="J43" s="37">
        <f>IFERROR(VLOOKUP(C43,Fixture_Engine!$D$2:$R$21,15,FALSE),"")</f>
        <v>0.2339733195702127</v>
      </c>
      <c r="K43" s="13">
        <v>0.10481797223751581</v>
      </c>
      <c r="L43" s="13">
        <v>7.5956612446049537E-2</v>
      </c>
      <c r="M43" s="13">
        <v>0.59525929806181255</v>
      </c>
      <c r="N43" s="38">
        <f t="shared" si="0"/>
        <v>0.1273228012768377</v>
      </c>
      <c r="O43" s="38">
        <f t="shared" si="1"/>
        <v>9.2264794535576358E-2</v>
      </c>
      <c r="P43" s="26"/>
      <c r="Q43" s="45"/>
      <c r="R43" s="38"/>
      <c r="S43" s="38"/>
      <c r="T43" s="38"/>
      <c r="U43" s="1" t="b">
        <v>0</v>
      </c>
      <c r="V43" s="1" t="b">
        <v>1</v>
      </c>
      <c r="W43" s="31" t="s">
        <v>1885</v>
      </c>
    </row>
    <row r="44" spans="1:23" ht="30">
      <c r="A44" s="7">
        <v>43</v>
      </c>
      <c r="B44" s="7" t="s">
        <v>1244</v>
      </c>
      <c r="C44" s="7" t="s">
        <v>54</v>
      </c>
      <c r="D44" s="7" t="s">
        <v>112</v>
      </c>
      <c r="E44" s="11">
        <v>6</v>
      </c>
      <c r="F44" s="7" t="s">
        <v>49</v>
      </c>
      <c r="G44" s="7" t="s">
        <v>1742</v>
      </c>
      <c r="H44" s="37">
        <f>IFERROR(VLOOKUP(C44,Fixture_Engine!$D$2:$R$21,13,FALSE),"")</f>
        <v>1.9843123696263989</v>
      </c>
      <c r="I44" s="37">
        <f>IFERROR(VLOOKUP(C44,Fixture_Engine!$D$2:$R$21,14,FALSE),"")</f>
        <v>0.60545882999044243</v>
      </c>
      <c r="J44" s="37">
        <f>IFERROR(VLOOKUP(C44,Fixture_Engine!$D$2:$R$21,15,FALSE),"")</f>
        <v>0.54582392878811159</v>
      </c>
      <c r="K44" s="13">
        <v>7.2181215608728644E-2</v>
      </c>
      <c r="L44" s="13">
        <v>0.10920256701719723</v>
      </c>
      <c r="M44" s="13">
        <v>0.44751487574378723</v>
      </c>
      <c r="N44" s="38">
        <f t="shared" si="0"/>
        <v>0.14323007898707035</v>
      </c>
      <c r="O44" s="38">
        <f t="shared" si="1"/>
        <v>0.21669200452718027</v>
      </c>
      <c r="P44" s="26"/>
      <c r="Q44" s="45"/>
      <c r="R44" s="38"/>
      <c r="S44" s="38"/>
      <c r="T44" s="38"/>
      <c r="U44" s="1" t="b">
        <v>0</v>
      </c>
      <c r="V44" s="1" t="b">
        <v>1</v>
      </c>
      <c r="W44" s="31" t="s">
        <v>1885</v>
      </c>
    </row>
    <row r="45" spans="1:23" ht="30">
      <c r="A45" s="7">
        <v>44</v>
      </c>
      <c r="B45" s="7" t="s">
        <v>221</v>
      </c>
      <c r="C45" s="7" t="s">
        <v>40</v>
      </c>
      <c r="D45" s="7" t="s">
        <v>112</v>
      </c>
      <c r="E45" s="11">
        <v>5.5</v>
      </c>
      <c r="F45" s="7" t="s">
        <v>43</v>
      </c>
      <c r="G45" s="7" t="s">
        <v>1742</v>
      </c>
      <c r="H45" s="37">
        <f>IFERROR(VLOOKUP(C45,Fixture_Engine!$D$2:$R$21,13,FALSE),"")</f>
        <v>1.2147039153583923</v>
      </c>
      <c r="I45" s="37">
        <f>IFERROR(VLOOKUP(C45,Fixture_Engine!$D$2:$R$21,14,FALSE),"")</f>
        <v>1.452548189055803</v>
      </c>
      <c r="J45" s="37">
        <f>IFERROR(VLOOKUP(C45,Fixture_Engine!$D$2:$R$21,15,FALSE),"")</f>
        <v>0.2339733195702127</v>
      </c>
      <c r="K45" s="13">
        <v>9.8617268583044329E-2</v>
      </c>
      <c r="L45" s="13">
        <v>0.13367864342435359</v>
      </c>
      <c r="M45" s="13">
        <v>0.68965517241379315</v>
      </c>
      <c r="N45" s="38">
        <f t="shared" si="0"/>
        <v>0.11979078226977412</v>
      </c>
      <c r="O45" s="38">
        <f t="shared" si="1"/>
        <v>0.1623799715673607</v>
      </c>
      <c r="P45" s="26"/>
      <c r="Q45" s="45"/>
      <c r="R45" s="38"/>
      <c r="S45" s="38"/>
      <c r="T45" s="38"/>
      <c r="U45" s="1" t="b">
        <v>0</v>
      </c>
      <c r="V45" s="1" t="b">
        <v>1</v>
      </c>
      <c r="W45" s="31" t="s">
        <v>1885</v>
      </c>
    </row>
    <row r="46" spans="1:23" ht="30">
      <c r="A46" s="7">
        <v>45</v>
      </c>
      <c r="B46" s="7" t="s">
        <v>224</v>
      </c>
      <c r="C46" s="7" t="s">
        <v>40</v>
      </c>
      <c r="D46" s="7" t="s">
        <v>112</v>
      </c>
      <c r="E46" s="11">
        <v>5.5</v>
      </c>
      <c r="F46" s="7" t="s">
        <v>43</v>
      </c>
      <c r="G46" s="7" t="s">
        <v>1742</v>
      </c>
      <c r="H46" s="37">
        <f>IFERROR(VLOOKUP(C46,Fixture_Engine!$D$2:$R$21,13,FALSE),"")</f>
        <v>1.2147039153583923</v>
      </c>
      <c r="I46" s="37">
        <f>IFERROR(VLOOKUP(C46,Fixture_Engine!$D$2:$R$21,14,FALSE),"")</f>
        <v>1.452548189055803</v>
      </c>
      <c r="J46" s="37">
        <f>IFERROR(VLOOKUP(C46,Fixture_Engine!$D$2:$R$21,15,FALSE),"")</f>
        <v>0.2339733195702127</v>
      </c>
      <c r="K46" s="13">
        <v>0.10216228684999898</v>
      </c>
      <c r="L46" s="13">
        <v>0.12176756333178132</v>
      </c>
      <c r="M46" s="13">
        <v>0.31887755102040816</v>
      </c>
      <c r="N46" s="38">
        <f t="shared" si="0"/>
        <v>0.12409692983866095</v>
      </c>
      <c r="O46" s="38">
        <f t="shared" si="1"/>
        <v>0.14791153594276576</v>
      </c>
      <c r="P46" s="26"/>
      <c r="Q46" s="45"/>
      <c r="R46" s="38"/>
      <c r="S46" s="38"/>
      <c r="T46" s="38"/>
      <c r="U46" s="1" t="b">
        <v>0</v>
      </c>
      <c r="V46" s="1" t="b">
        <v>0</v>
      </c>
      <c r="W46" s="31" t="s">
        <v>1885</v>
      </c>
    </row>
    <row r="47" spans="1:23" ht="30">
      <c r="A47" s="7">
        <v>46</v>
      </c>
      <c r="B47" s="7" t="s">
        <v>227</v>
      </c>
      <c r="C47" s="7" t="s">
        <v>40</v>
      </c>
      <c r="D47" s="7" t="s">
        <v>112</v>
      </c>
      <c r="E47" s="11">
        <v>5</v>
      </c>
      <c r="F47" s="7" t="s">
        <v>43</v>
      </c>
      <c r="G47" s="7" t="s">
        <v>1742</v>
      </c>
      <c r="H47" s="37">
        <f>IFERROR(VLOOKUP(C47,Fixture_Engine!$D$2:$R$21,13,FALSE),"")</f>
        <v>1.2147039153583923</v>
      </c>
      <c r="I47" s="37">
        <f>IFERROR(VLOOKUP(C47,Fixture_Engine!$D$2:$R$21,14,FALSE),"")</f>
        <v>1.452548189055803</v>
      </c>
      <c r="J47" s="37">
        <f>IFERROR(VLOOKUP(C47,Fixture_Engine!$D$2:$R$21,15,FALSE),"")</f>
        <v>0.2339733195702127</v>
      </c>
      <c r="K47" s="13">
        <v>0.11910289850303966</v>
      </c>
      <c r="L47" s="13">
        <v>9.7420369629077047E-2</v>
      </c>
      <c r="M47" s="13">
        <v>0.54229934924078094</v>
      </c>
      <c r="N47" s="38">
        <f t="shared" si="0"/>
        <v>0.14467475714217548</v>
      </c>
      <c r="O47" s="38">
        <f t="shared" si="1"/>
        <v>0.11833690442410169</v>
      </c>
      <c r="P47" s="26"/>
      <c r="Q47" s="45"/>
      <c r="R47" s="38"/>
      <c r="S47" s="38"/>
      <c r="T47" s="38"/>
      <c r="U47" s="1" t="b">
        <v>0</v>
      </c>
      <c r="V47" s="1" t="b">
        <v>0</v>
      </c>
      <c r="W47" s="31" t="s">
        <v>1885</v>
      </c>
    </row>
    <row r="48" spans="1:23" ht="30">
      <c r="A48" s="7">
        <v>47</v>
      </c>
      <c r="B48" s="7" t="s">
        <v>230</v>
      </c>
      <c r="C48" s="7" t="s">
        <v>40</v>
      </c>
      <c r="D48" s="7" t="s">
        <v>112</v>
      </c>
      <c r="E48" s="11">
        <v>5</v>
      </c>
      <c r="F48" s="7" t="s">
        <v>43</v>
      </c>
      <c r="G48" s="7" t="s">
        <v>1742</v>
      </c>
      <c r="H48" s="37">
        <f>IFERROR(VLOOKUP(C48,Fixture_Engine!$D$2:$R$21,13,FALSE),"")</f>
        <v>1.2147039153583923</v>
      </c>
      <c r="I48" s="37">
        <f>IFERROR(VLOOKUP(C48,Fixture_Engine!$D$2:$R$21,14,FALSE),"")</f>
        <v>1.452548189055803</v>
      </c>
      <c r="J48" s="37">
        <f>IFERROR(VLOOKUP(C48,Fixture_Engine!$D$2:$R$21,15,FALSE),"")</f>
        <v>0.2339733195702127</v>
      </c>
      <c r="K48" s="13">
        <v>6.0217290519007656E-2</v>
      </c>
      <c r="L48" s="13">
        <v>6.2175241377800589E-2</v>
      </c>
      <c r="M48" s="13">
        <v>0.41493775933609955</v>
      </c>
      <c r="N48" s="38">
        <f t="shared" si="0"/>
        <v>7.31461785657124E-2</v>
      </c>
      <c r="O48" s="38">
        <f t="shared" si="1"/>
        <v>7.5524509139967499E-2</v>
      </c>
      <c r="P48" s="26"/>
      <c r="Q48" s="45"/>
      <c r="R48" s="38"/>
      <c r="S48" s="38"/>
      <c r="T48" s="38"/>
      <c r="U48" s="1" t="b">
        <v>0</v>
      </c>
      <c r="V48" s="1" t="b">
        <v>0</v>
      </c>
      <c r="W48" s="31" t="s">
        <v>1885</v>
      </c>
    </row>
    <row r="49" spans="1:23" ht="30">
      <c r="A49" s="7">
        <v>48</v>
      </c>
      <c r="B49" s="7" t="s">
        <v>235</v>
      </c>
      <c r="C49" s="7" t="s">
        <v>40</v>
      </c>
      <c r="D49" s="7" t="s">
        <v>112</v>
      </c>
      <c r="E49" s="11">
        <v>5</v>
      </c>
      <c r="F49" s="7" t="s">
        <v>43</v>
      </c>
      <c r="G49" s="7" t="s">
        <v>1742</v>
      </c>
      <c r="H49" s="37">
        <f>IFERROR(VLOOKUP(C49,Fixture_Engine!$D$2:$R$21,13,FALSE),"")</f>
        <v>1.2147039153583923</v>
      </c>
      <c r="I49" s="37">
        <f>IFERROR(VLOOKUP(C49,Fixture_Engine!$D$2:$R$21,14,FALSE),"")</f>
        <v>1.452548189055803</v>
      </c>
      <c r="J49" s="37">
        <f>IFERROR(VLOOKUP(C49,Fixture_Engine!$D$2:$R$21,15,FALSE),"")</f>
        <v>0.2339733195702127</v>
      </c>
      <c r="K49" s="13">
        <v>8.2294439391743177E-2</v>
      </c>
      <c r="L49" s="13">
        <v>5.0526017493113785E-2</v>
      </c>
      <c r="M49" s="13">
        <v>0.36297640653357532</v>
      </c>
      <c r="N49" s="38">
        <f t="shared" si="0"/>
        <v>9.9963377741374343E-2</v>
      </c>
      <c r="O49" s="38">
        <f t="shared" si="1"/>
        <v>6.1374151276351936E-2</v>
      </c>
      <c r="P49" s="26"/>
      <c r="Q49" s="45"/>
      <c r="R49" s="38"/>
      <c r="S49" s="38"/>
      <c r="T49" s="38"/>
      <c r="U49" s="1" t="b">
        <v>0</v>
      </c>
      <c r="V49" s="1" t="b">
        <v>0</v>
      </c>
      <c r="W49" s="31" t="s">
        <v>1885</v>
      </c>
    </row>
    <row r="50" spans="1:23" ht="30">
      <c r="A50" s="7">
        <v>49</v>
      </c>
      <c r="B50" s="7" t="s">
        <v>239</v>
      </c>
      <c r="C50" s="7" t="s">
        <v>40</v>
      </c>
      <c r="D50" s="7" t="s">
        <v>112</v>
      </c>
      <c r="E50" s="11">
        <v>5</v>
      </c>
      <c r="F50" s="7" t="s">
        <v>43</v>
      </c>
      <c r="G50" s="7" t="s">
        <v>1742</v>
      </c>
      <c r="H50" s="37">
        <f>IFERROR(VLOOKUP(C50,Fixture_Engine!$D$2:$R$21,13,FALSE),"")</f>
        <v>1.2147039153583923</v>
      </c>
      <c r="I50" s="37">
        <f>IFERROR(VLOOKUP(C50,Fixture_Engine!$D$2:$R$21,14,FALSE),"")</f>
        <v>1.452548189055803</v>
      </c>
      <c r="J50" s="37">
        <f>IFERROR(VLOOKUP(C50,Fixture_Engine!$D$2:$R$21,15,FALSE),"")</f>
        <v>0.2339733195702127</v>
      </c>
      <c r="K50" s="13">
        <v>0.10751786102217777</v>
      </c>
      <c r="L50" s="13">
        <v>9.0240671969462088E-2</v>
      </c>
      <c r="M50" s="13">
        <v>1</v>
      </c>
      <c r="N50" s="38">
        <f t="shared" si="0"/>
        <v>0.1306023667545988</v>
      </c>
      <c r="O50" s="38">
        <f t="shared" si="1"/>
        <v>0.10961569756587793</v>
      </c>
      <c r="P50" s="26"/>
      <c r="Q50" s="45"/>
      <c r="R50" s="38"/>
      <c r="S50" s="38"/>
      <c r="T50" s="38"/>
      <c r="U50" s="1" t="b">
        <v>0</v>
      </c>
      <c r="V50" s="1" t="b">
        <v>1</v>
      </c>
      <c r="W50" s="31" t="s">
        <v>1885</v>
      </c>
    </row>
    <row r="51" spans="1:23" ht="30">
      <c r="A51" s="7">
        <v>50</v>
      </c>
      <c r="B51" s="7" t="s">
        <v>241</v>
      </c>
      <c r="C51" s="7" t="s">
        <v>40</v>
      </c>
      <c r="D51" s="7" t="s">
        <v>112</v>
      </c>
      <c r="E51" s="11">
        <v>4.5</v>
      </c>
      <c r="F51" s="7" t="s">
        <v>43</v>
      </c>
      <c r="G51" s="7" t="s">
        <v>1742</v>
      </c>
      <c r="H51" s="37">
        <f>IFERROR(VLOOKUP(C51,Fixture_Engine!$D$2:$R$21,13,FALSE),"")</f>
        <v>1.2147039153583923</v>
      </c>
      <c r="I51" s="37">
        <f>IFERROR(VLOOKUP(C51,Fixture_Engine!$D$2:$R$21,14,FALSE),"")</f>
        <v>1.452548189055803</v>
      </c>
      <c r="J51" s="37">
        <f>IFERROR(VLOOKUP(C51,Fixture_Engine!$D$2:$R$21,15,FALSE),"")</f>
        <v>0.2339733195702127</v>
      </c>
      <c r="K51" s="13">
        <v>0.10751786102217777</v>
      </c>
      <c r="L51" s="13">
        <v>9.0240671969462088E-2</v>
      </c>
      <c r="M51" s="13">
        <v>0.98425196850393704</v>
      </c>
      <c r="N51" s="38">
        <f t="shared" si="0"/>
        <v>0.1306023667545988</v>
      </c>
      <c r="O51" s="38">
        <f t="shared" si="1"/>
        <v>0.10961569756587793</v>
      </c>
      <c r="P51" s="26"/>
      <c r="Q51" s="45"/>
      <c r="R51" s="38"/>
      <c r="S51" s="38"/>
      <c r="T51" s="38"/>
      <c r="U51" s="1" t="b">
        <v>0</v>
      </c>
      <c r="V51" s="1" t="b">
        <v>1</v>
      </c>
      <c r="W51" s="31" t="s">
        <v>1885</v>
      </c>
    </row>
    <row r="52" spans="1:23" ht="30">
      <c r="A52" s="7">
        <v>51</v>
      </c>
      <c r="B52" s="7" t="s">
        <v>243</v>
      </c>
      <c r="C52" s="7" t="s">
        <v>40</v>
      </c>
      <c r="D52" s="7" t="s">
        <v>112</v>
      </c>
      <c r="E52" s="11">
        <v>4.5</v>
      </c>
      <c r="F52" s="7" t="s">
        <v>43</v>
      </c>
      <c r="G52" s="7" t="s">
        <v>1742</v>
      </c>
      <c r="H52" s="37">
        <f>IFERROR(VLOOKUP(C52,Fixture_Engine!$D$2:$R$21,13,FALSE),"")</f>
        <v>1.2147039153583923</v>
      </c>
      <c r="I52" s="37">
        <f>IFERROR(VLOOKUP(C52,Fixture_Engine!$D$2:$R$21,14,FALSE),"")</f>
        <v>1.452548189055803</v>
      </c>
      <c r="J52" s="37">
        <f>IFERROR(VLOOKUP(C52,Fixture_Engine!$D$2:$R$21,15,FALSE),"")</f>
        <v>0.2339733195702127</v>
      </c>
      <c r="K52" s="13">
        <v>0.10766442467906018</v>
      </c>
      <c r="L52" s="13">
        <v>8.8731917597977383E-2</v>
      </c>
      <c r="M52" s="13">
        <v>0.97560975609756095</v>
      </c>
      <c r="N52" s="38">
        <f t="shared" si="0"/>
        <v>0.13078039820246312</v>
      </c>
      <c r="O52" s="38">
        <f t="shared" si="1"/>
        <v>0.10778300772352135</v>
      </c>
      <c r="P52" s="26"/>
      <c r="Q52" s="45"/>
      <c r="R52" s="38"/>
      <c r="S52" s="38"/>
      <c r="T52" s="38"/>
      <c r="U52" s="1" t="b">
        <v>0</v>
      </c>
      <c r="V52" s="1" t="b">
        <v>1</v>
      </c>
      <c r="W52" s="31" t="s">
        <v>1885</v>
      </c>
    </row>
    <row r="53" spans="1:23" ht="30">
      <c r="A53" s="7">
        <v>52</v>
      </c>
      <c r="B53" s="7" t="s">
        <v>244</v>
      </c>
      <c r="C53" s="7" t="s">
        <v>40</v>
      </c>
      <c r="D53" s="7" t="s">
        <v>112</v>
      </c>
      <c r="E53" s="11">
        <v>5</v>
      </c>
      <c r="F53" s="7" t="s">
        <v>43</v>
      </c>
      <c r="G53" s="7" t="s">
        <v>1742</v>
      </c>
      <c r="H53" s="37">
        <f>IFERROR(VLOOKUP(C53,Fixture_Engine!$D$2:$R$21,13,FALSE),"")</f>
        <v>1.2147039153583923</v>
      </c>
      <c r="I53" s="37">
        <f>IFERROR(VLOOKUP(C53,Fixture_Engine!$D$2:$R$21,14,FALSE),"")</f>
        <v>1.452548189055803</v>
      </c>
      <c r="J53" s="37">
        <f>IFERROR(VLOOKUP(C53,Fixture_Engine!$D$2:$R$21,15,FALSE),"")</f>
        <v>0.2339733195702127</v>
      </c>
      <c r="K53" s="13">
        <v>0.10607982699570336</v>
      </c>
      <c r="L53" s="13">
        <v>8.9578213764838335E-2</v>
      </c>
      <c r="M53" s="13">
        <v>0.95510983763132762</v>
      </c>
      <c r="N53" s="38">
        <f t="shared" si="0"/>
        <v>0.12885558119222174</v>
      </c>
      <c r="O53" s="38">
        <f t="shared" si="1"/>
        <v>0.10881100699096015</v>
      </c>
      <c r="P53" s="26"/>
      <c r="Q53" s="45"/>
      <c r="R53" s="38"/>
      <c r="S53" s="38"/>
      <c r="T53" s="38"/>
      <c r="U53" s="1" t="b">
        <v>0</v>
      </c>
      <c r="V53" s="1" t="b">
        <v>1</v>
      </c>
      <c r="W53" s="31" t="s">
        <v>1885</v>
      </c>
    </row>
    <row r="54" spans="1:23" ht="30">
      <c r="A54" s="7">
        <v>53</v>
      </c>
      <c r="B54" s="7" t="s">
        <v>247</v>
      </c>
      <c r="C54" s="7" t="s">
        <v>40</v>
      </c>
      <c r="D54" s="7" t="s">
        <v>112</v>
      </c>
      <c r="E54" s="11">
        <v>6</v>
      </c>
      <c r="F54" s="7" t="s">
        <v>43</v>
      </c>
      <c r="G54" s="7" t="s">
        <v>1742</v>
      </c>
      <c r="H54" s="37">
        <f>IFERROR(VLOOKUP(C54,Fixture_Engine!$D$2:$R$21,13,FALSE),"")</f>
        <v>1.2147039153583923</v>
      </c>
      <c r="I54" s="37">
        <f>IFERROR(VLOOKUP(C54,Fixture_Engine!$D$2:$R$21,14,FALSE),"")</f>
        <v>1.452548189055803</v>
      </c>
      <c r="J54" s="37">
        <f>IFERROR(VLOOKUP(C54,Fixture_Engine!$D$2:$R$21,15,FALSE),"")</f>
        <v>0.2339733195702127</v>
      </c>
      <c r="K54" s="13">
        <v>0.10751786102217777</v>
      </c>
      <c r="L54" s="13">
        <v>9.0240671969462088E-2</v>
      </c>
      <c r="M54" s="13">
        <v>1</v>
      </c>
      <c r="N54" s="38">
        <f t="shared" si="0"/>
        <v>0.1306023667545988</v>
      </c>
      <c r="O54" s="38">
        <f t="shared" si="1"/>
        <v>0.10961569756587793</v>
      </c>
      <c r="P54" s="26"/>
      <c r="Q54" s="45"/>
      <c r="R54" s="38"/>
      <c r="S54" s="38"/>
      <c r="T54" s="38"/>
      <c r="U54" s="1" t="b">
        <v>0</v>
      </c>
      <c r="V54" s="1" t="b">
        <v>1</v>
      </c>
      <c r="W54" s="31" t="s">
        <v>1885</v>
      </c>
    </row>
    <row r="55" spans="1:23" ht="30">
      <c r="A55" s="7">
        <v>54</v>
      </c>
      <c r="B55" s="7" t="s">
        <v>250</v>
      </c>
      <c r="C55" s="7" t="s">
        <v>40</v>
      </c>
      <c r="D55" s="7" t="s">
        <v>112</v>
      </c>
      <c r="E55" s="11">
        <v>5.5</v>
      </c>
      <c r="F55" s="7" t="s">
        <v>43</v>
      </c>
      <c r="G55" s="7" t="s">
        <v>1742</v>
      </c>
      <c r="H55" s="37">
        <f>IFERROR(VLOOKUP(C55,Fixture_Engine!$D$2:$R$21,13,FALSE),"")</f>
        <v>1.2147039153583923</v>
      </c>
      <c r="I55" s="37">
        <f>IFERROR(VLOOKUP(C55,Fixture_Engine!$D$2:$R$21,14,FALSE),"")</f>
        <v>1.452548189055803</v>
      </c>
      <c r="J55" s="37">
        <f>IFERROR(VLOOKUP(C55,Fixture_Engine!$D$2:$R$21,15,FALSE),"")</f>
        <v>0.2339733195702127</v>
      </c>
      <c r="K55" s="13">
        <v>6.7583628423677947E-2</v>
      </c>
      <c r="L55" s="13">
        <v>7.826555449515718E-2</v>
      </c>
      <c r="M55" s="13">
        <v>0.37199007573779053</v>
      </c>
      <c r="N55" s="38">
        <f t="shared" si="0"/>
        <v>8.2094098060368326E-2</v>
      </c>
      <c r="O55" s="38">
        <f t="shared" si="1"/>
        <v>9.5069475482963045E-2</v>
      </c>
      <c r="P55" s="26"/>
      <c r="Q55" s="45"/>
      <c r="R55" s="38"/>
      <c r="S55" s="38"/>
      <c r="T55" s="38"/>
      <c r="V55" s="1" t="b">
        <v>1</v>
      </c>
      <c r="W55" s="31" t="s">
        <v>1885</v>
      </c>
    </row>
    <row r="56" spans="1:23" ht="30">
      <c r="A56" s="7">
        <v>55</v>
      </c>
      <c r="B56" s="7" t="s">
        <v>253</v>
      </c>
      <c r="C56" s="7" t="s">
        <v>40</v>
      </c>
      <c r="D56" s="7" t="s">
        <v>167</v>
      </c>
      <c r="E56" s="11">
        <v>8</v>
      </c>
      <c r="F56" s="7" t="s">
        <v>43</v>
      </c>
      <c r="G56" s="7" t="s">
        <v>1742</v>
      </c>
      <c r="H56" s="37">
        <f>IFERROR(VLOOKUP(C56,Fixture_Engine!$D$2:$R$21,13,FALSE),"")</f>
        <v>1.2147039153583923</v>
      </c>
      <c r="I56" s="37">
        <f>IFERROR(VLOOKUP(C56,Fixture_Engine!$D$2:$R$21,14,FALSE),"")</f>
        <v>1.452548189055803</v>
      </c>
      <c r="J56" s="37">
        <f>IFERROR(VLOOKUP(C56,Fixture_Engine!$D$2:$R$21,15,FALSE),"")</f>
        <v>0.2339733195702127</v>
      </c>
      <c r="K56" s="13">
        <v>0.36454796517506072</v>
      </c>
      <c r="L56" s="13">
        <v>3.2085625522416547E-2</v>
      </c>
      <c r="M56" s="13">
        <v>0.2608922515001304</v>
      </c>
      <c r="N56" s="38">
        <f t="shared" si="0"/>
        <v>0.44281784063408108</v>
      </c>
      <c r="O56" s="38">
        <f t="shared" si="1"/>
        <v>3.8974534948802542E-2</v>
      </c>
      <c r="P56" s="26"/>
      <c r="Q56" s="45"/>
      <c r="R56" s="38"/>
      <c r="S56" s="38"/>
      <c r="T56" s="38"/>
      <c r="U56" s="1" t="b">
        <v>0</v>
      </c>
      <c r="V56" s="1" t="b">
        <v>0</v>
      </c>
      <c r="W56" s="31" t="s">
        <v>1885</v>
      </c>
    </row>
    <row r="57" spans="1:23" ht="30">
      <c r="A57" s="7">
        <v>56</v>
      </c>
      <c r="B57" s="7" t="s">
        <v>256</v>
      </c>
      <c r="C57" s="7" t="s">
        <v>40</v>
      </c>
      <c r="D57" s="7" t="s">
        <v>167</v>
      </c>
      <c r="E57" s="11">
        <v>5.5</v>
      </c>
      <c r="F57" s="7" t="s">
        <v>43</v>
      </c>
      <c r="G57" s="7" t="s">
        <v>1742</v>
      </c>
      <c r="H57" s="37">
        <f>IFERROR(VLOOKUP(C57,Fixture_Engine!$D$2:$R$21,13,FALSE),"")</f>
        <v>1.2147039153583923</v>
      </c>
      <c r="I57" s="37">
        <f>IFERROR(VLOOKUP(C57,Fixture_Engine!$D$2:$R$21,14,FALSE),"")</f>
        <v>1.452548189055803</v>
      </c>
      <c r="J57" s="37">
        <f>IFERROR(VLOOKUP(C57,Fixture_Engine!$D$2:$R$21,15,FALSE),"")</f>
        <v>0.2339733195702127</v>
      </c>
      <c r="K57" s="13">
        <v>0.35216876886979093</v>
      </c>
      <c r="L57" s="13">
        <v>5.0705500792891045E-2</v>
      </c>
      <c r="M57" s="13">
        <v>0.78247261345852892</v>
      </c>
      <c r="N57" s="38">
        <f t="shared" si="0"/>
        <v>0.42778078241307971</v>
      </c>
      <c r="O57" s="38">
        <f t="shared" si="1"/>
        <v>6.1592170343332815E-2</v>
      </c>
      <c r="P57" s="26"/>
      <c r="Q57" s="45"/>
      <c r="R57" s="38"/>
      <c r="S57" s="38"/>
      <c r="T57" s="38"/>
      <c r="U57" s="1" t="b">
        <v>0</v>
      </c>
      <c r="V57" s="1" t="b">
        <v>1</v>
      </c>
      <c r="W57" s="31" t="s">
        <v>1885</v>
      </c>
    </row>
    <row r="58" spans="1:23" ht="30">
      <c r="A58" s="7">
        <v>57</v>
      </c>
      <c r="B58" s="7" t="s">
        <v>262</v>
      </c>
      <c r="C58" s="7" t="s">
        <v>41</v>
      </c>
      <c r="D58" s="7" t="s">
        <v>85</v>
      </c>
      <c r="E58" s="11">
        <v>4.5</v>
      </c>
      <c r="F58" s="7" t="s">
        <v>53</v>
      </c>
      <c r="G58" s="7" t="s">
        <v>1742</v>
      </c>
      <c r="H58" s="37">
        <f>IFERROR(VLOOKUP(C58,Fixture_Engine!$D$2:$R$21,13,FALSE),"")</f>
        <v>0.9191782076853533</v>
      </c>
      <c r="I58" s="37">
        <f>IFERROR(VLOOKUP(C58,Fixture_Engine!$D$2:$R$21,14,FALSE),"")</f>
        <v>2.1387927682342065</v>
      </c>
      <c r="J58" s="37">
        <f>IFERROR(VLOOKUP(C58,Fixture_Engine!$D$2:$R$21,15,FALSE),"")</f>
        <v>0.11779696545577215</v>
      </c>
      <c r="K58" s="13">
        <v>1.6719534964712218E-4</v>
      </c>
      <c r="L58" s="13">
        <v>1.379361634588758E-3</v>
      </c>
      <c r="M58" s="13">
        <v>0.30361990950226236</v>
      </c>
      <c r="N58" s="38">
        <f t="shared" si="0"/>
        <v>1.5368232182196774E-4</v>
      </c>
      <c r="O58" s="38">
        <f t="shared" si="1"/>
        <v>1.2678791550312339E-3</v>
      </c>
      <c r="P58" s="26"/>
      <c r="Q58" s="45"/>
      <c r="R58" s="38"/>
      <c r="S58" s="38"/>
      <c r="T58" s="38"/>
      <c r="U58" s="1" t="b">
        <v>0</v>
      </c>
      <c r="V58" s="1" t="b">
        <v>1</v>
      </c>
      <c r="W58" s="31" t="s">
        <v>1885</v>
      </c>
    </row>
    <row r="59" spans="1:23" ht="30">
      <c r="A59" s="7">
        <v>58</v>
      </c>
      <c r="B59" s="7" t="s">
        <v>267</v>
      </c>
      <c r="C59" s="7" t="s">
        <v>41</v>
      </c>
      <c r="D59" s="7" t="s">
        <v>85</v>
      </c>
      <c r="E59" s="11">
        <v>4</v>
      </c>
      <c r="F59" s="7" t="s">
        <v>53</v>
      </c>
      <c r="G59" s="7" t="s">
        <v>1742</v>
      </c>
      <c r="H59" s="37">
        <f>IFERROR(VLOOKUP(C59,Fixture_Engine!$D$2:$R$21,13,FALSE),"")</f>
        <v>0.9191782076853533</v>
      </c>
      <c r="I59" s="37">
        <f>IFERROR(VLOOKUP(C59,Fixture_Engine!$D$2:$R$21,14,FALSE),"")</f>
        <v>2.1387927682342065</v>
      </c>
      <c r="J59" s="37">
        <f>IFERROR(VLOOKUP(C59,Fixture_Engine!$D$2:$R$21,15,FALSE),"")</f>
        <v>0.11779696545577215</v>
      </c>
      <c r="K59" s="13">
        <v>1.6719534964712218E-4</v>
      </c>
      <c r="L59" s="13">
        <v>1.379361634588758E-3</v>
      </c>
      <c r="M59" s="13">
        <v>1</v>
      </c>
      <c r="N59" s="38">
        <f t="shared" si="0"/>
        <v>1.5368232182196774E-4</v>
      </c>
      <c r="O59" s="38">
        <f t="shared" si="1"/>
        <v>1.2678791550312339E-3</v>
      </c>
      <c r="P59" s="26"/>
      <c r="Q59" s="45"/>
      <c r="R59" s="38"/>
      <c r="S59" s="38"/>
      <c r="T59" s="38"/>
      <c r="U59" s="1" t="b">
        <v>0</v>
      </c>
      <c r="V59" s="1" t="b">
        <v>1</v>
      </c>
      <c r="W59" s="31" t="s">
        <v>1885</v>
      </c>
    </row>
    <row r="60" spans="1:23" ht="30">
      <c r="A60" s="7">
        <v>59</v>
      </c>
      <c r="B60" s="7" t="s">
        <v>270</v>
      </c>
      <c r="C60" s="7" t="s">
        <v>41</v>
      </c>
      <c r="D60" s="7" t="s">
        <v>85</v>
      </c>
      <c r="E60" s="11">
        <v>4</v>
      </c>
      <c r="F60" s="7" t="s">
        <v>53</v>
      </c>
      <c r="G60" s="7" t="s">
        <v>1742</v>
      </c>
      <c r="H60" s="37">
        <f>IFERROR(VLOOKUP(C60,Fixture_Engine!$D$2:$R$21,13,FALSE),"")</f>
        <v>0.9191782076853533</v>
      </c>
      <c r="I60" s="37">
        <f>IFERROR(VLOOKUP(C60,Fixture_Engine!$D$2:$R$21,14,FALSE),"")</f>
        <v>2.1387927682342065</v>
      </c>
      <c r="J60" s="37">
        <f>IFERROR(VLOOKUP(C60,Fixture_Engine!$D$2:$R$21,15,FALSE),"")</f>
        <v>0.11779696545577215</v>
      </c>
      <c r="K60" s="13">
        <v>1.6719534964712218E-4</v>
      </c>
      <c r="L60" s="13">
        <v>1.379361634588758E-3</v>
      </c>
      <c r="M60" s="13">
        <v>1</v>
      </c>
      <c r="N60" s="38">
        <f t="shared" si="0"/>
        <v>1.5368232182196774E-4</v>
      </c>
      <c r="O60" s="38">
        <f t="shared" si="1"/>
        <v>1.2678791550312339E-3</v>
      </c>
      <c r="P60" s="26"/>
      <c r="Q60" s="45"/>
      <c r="R60" s="38"/>
      <c r="S60" s="38"/>
      <c r="T60" s="38"/>
      <c r="U60" s="1" t="b">
        <v>0</v>
      </c>
      <c r="V60" s="1" t="b">
        <v>1</v>
      </c>
      <c r="W60" s="31" t="s">
        <v>1885</v>
      </c>
    </row>
    <row r="61" spans="1:23" ht="30">
      <c r="A61" s="7">
        <v>60</v>
      </c>
      <c r="B61" s="7" t="s">
        <v>273</v>
      </c>
      <c r="C61" s="7" t="s">
        <v>41</v>
      </c>
      <c r="D61" s="7" t="s">
        <v>99</v>
      </c>
      <c r="E61" s="11">
        <v>5.5</v>
      </c>
      <c r="F61" s="7" t="s">
        <v>53</v>
      </c>
      <c r="G61" s="7" t="s">
        <v>1742</v>
      </c>
      <c r="H61" s="37">
        <f>IFERROR(VLOOKUP(C61,Fixture_Engine!$D$2:$R$21,13,FALSE),"")</f>
        <v>0.9191782076853533</v>
      </c>
      <c r="I61" s="37">
        <f>IFERROR(VLOOKUP(C61,Fixture_Engine!$D$2:$R$21,14,FALSE),"")</f>
        <v>2.1387927682342065</v>
      </c>
      <c r="J61" s="37">
        <f>IFERROR(VLOOKUP(C61,Fixture_Engine!$D$2:$R$21,15,FALSE),"")</f>
        <v>0.11779696545577215</v>
      </c>
      <c r="K61" s="13">
        <v>3.0317878503050059E-2</v>
      </c>
      <c r="L61" s="13">
        <v>3.4400499980605848E-2</v>
      </c>
      <c r="M61" s="13">
        <v>0.39013539651837525</v>
      </c>
      <c r="N61" s="38">
        <f t="shared" si="0"/>
        <v>2.7867533223255855E-2</v>
      </c>
      <c r="O61" s="38">
        <f t="shared" si="1"/>
        <v>3.1620189915653317E-2</v>
      </c>
      <c r="P61" s="26"/>
      <c r="Q61" s="45"/>
      <c r="R61" s="38"/>
      <c r="S61" s="38"/>
      <c r="T61" s="38"/>
      <c r="U61" s="1" t="b">
        <v>0</v>
      </c>
      <c r="V61" s="1" t="b">
        <v>1</v>
      </c>
      <c r="W61" s="31" t="s">
        <v>1885</v>
      </c>
    </row>
    <row r="62" spans="1:23" ht="30">
      <c r="A62" s="7">
        <v>61</v>
      </c>
      <c r="B62" s="7" t="s">
        <v>276</v>
      </c>
      <c r="C62" s="7" t="s">
        <v>41</v>
      </c>
      <c r="D62" s="7" t="s">
        <v>99</v>
      </c>
      <c r="E62" s="11">
        <v>5.5</v>
      </c>
      <c r="F62" s="7" t="s">
        <v>53</v>
      </c>
      <c r="G62" s="7" t="s">
        <v>1742</v>
      </c>
      <c r="H62" s="37">
        <f>IFERROR(VLOOKUP(C62,Fixture_Engine!$D$2:$R$21,13,FALSE),"")</f>
        <v>0.9191782076853533</v>
      </c>
      <c r="I62" s="37">
        <f>IFERROR(VLOOKUP(C62,Fixture_Engine!$D$2:$R$21,14,FALSE),"")</f>
        <v>2.1387927682342065</v>
      </c>
      <c r="J62" s="37">
        <f>IFERROR(VLOOKUP(C62,Fixture_Engine!$D$2:$R$21,15,FALSE),"")</f>
        <v>0.11779696545577215</v>
      </c>
      <c r="K62" s="13">
        <v>2.7905320150725971E-2</v>
      </c>
      <c r="L62" s="13">
        <v>4.7248804065717395E-2</v>
      </c>
      <c r="M62" s="13">
        <v>0.3055733211512105</v>
      </c>
      <c r="N62" s="38">
        <f t="shared" si="0"/>
        <v>2.5649962161030271E-2</v>
      </c>
      <c r="O62" s="38">
        <f t="shared" si="1"/>
        <v>4.3430071036402548E-2</v>
      </c>
      <c r="P62" s="26"/>
      <c r="Q62" s="45"/>
      <c r="R62" s="38"/>
      <c r="S62" s="38"/>
      <c r="T62" s="38"/>
      <c r="U62" s="1" t="b">
        <v>0</v>
      </c>
      <c r="V62" s="1" t="b">
        <v>1</v>
      </c>
      <c r="W62" s="31" t="s">
        <v>1885</v>
      </c>
    </row>
    <row r="63" spans="1:23" ht="30">
      <c r="A63" s="7">
        <v>62</v>
      </c>
      <c r="B63" s="7" t="s">
        <v>279</v>
      </c>
      <c r="C63" s="7" t="s">
        <v>41</v>
      </c>
      <c r="D63" s="7" t="s">
        <v>99</v>
      </c>
      <c r="E63" s="11">
        <v>5</v>
      </c>
      <c r="F63" s="7" t="s">
        <v>53</v>
      </c>
      <c r="G63" s="7" t="s">
        <v>1742</v>
      </c>
      <c r="H63" s="37">
        <f>IFERROR(VLOOKUP(C63,Fixture_Engine!$D$2:$R$21,13,FALSE),"")</f>
        <v>0.9191782076853533</v>
      </c>
      <c r="I63" s="37">
        <f>IFERROR(VLOOKUP(C63,Fixture_Engine!$D$2:$R$21,14,FALSE),"")</f>
        <v>2.1387927682342065</v>
      </c>
      <c r="J63" s="37">
        <f>IFERROR(VLOOKUP(C63,Fixture_Engine!$D$2:$R$21,15,FALSE),"")</f>
        <v>0.11779696545577215</v>
      </c>
      <c r="K63" s="13">
        <v>2.0827481144369834E-2</v>
      </c>
      <c r="L63" s="13">
        <v>2.4231347976921933E-2</v>
      </c>
      <c r="M63" s="13">
        <v>0.49560439560439562</v>
      </c>
      <c r="N63" s="38">
        <f t="shared" si="0"/>
        <v>1.9144166788882356E-2</v>
      </c>
      <c r="O63" s="38">
        <f t="shared" si="1"/>
        <v>2.2272927003227215E-2</v>
      </c>
      <c r="P63" s="26"/>
      <c r="Q63" s="45"/>
      <c r="R63" s="38"/>
      <c r="S63" s="38"/>
      <c r="T63" s="38"/>
      <c r="U63" s="1" t="b">
        <v>0</v>
      </c>
      <c r="V63" s="1" t="b">
        <v>1</v>
      </c>
      <c r="W63" s="31" t="s">
        <v>1885</v>
      </c>
    </row>
    <row r="64" spans="1:23" ht="30">
      <c r="A64" s="7">
        <v>63</v>
      </c>
      <c r="B64" s="7" t="s">
        <v>282</v>
      </c>
      <c r="C64" s="7" t="s">
        <v>41</v>
      </c>
      <c r="D64" s="7" t="s">
        <v>99</v>
      </c>
      <c r="E64" s="11">
        <v>5</v>
      </c>
      <c r="F64" s="7" t="s">
        <v>53</v>
      </c>
      <c r="G64" s="7" t="s">
        <v>1742</v>
      </c>
      <c r="H64" s="37">
        <f>IFERROR(VLOOKUP(C64,Fixture_Engine!$D$2:$R$21,13,FALSE),"")</f>
        <v>0.9191782076853533</v>
      </c>
      <c r="I64" s="37">
        <f>IFERROR(VLOOKUP(C64,Fixture_Engine!$D$2:$R$21,14,FALSE),"")</f>
        <v>2.1387927682342065</v>
      </c>
      <c r="J64" s="37">
        <f>IFERROR(VLOOKUP(C64,Fixture_Engine!$D$2:$R$21,15,FALSE),"")</f>
        <v>0.11779696545577215</v>
      </c>
      <c r="K64" s="13">
        <v>3.6657710646394462E-2</v>
      </c>
      <c r="L64" s="13">
        <v>3.7635500360497037E-2</v>
      </c>
      <c r="M64" s="13">
        <v>0.75837600585223108</v>
      </c>
      <c r="N64" s="38">
        <f t="shared" si="0"/>
        <v>3.3694968769801152E-2</v>
      </c>
      <c r="O64" s="38">
        <f t="shared" si="1"/>
        <v>3.4593731766703134E-2</v>
      </c>
      <c r="P64" s="26"/>
      <c r="Q64" s="45"/>
      <c r="R64" s="38"/>
      <c r="S64" s="38"/>
      <c r="T64" s="38"/>
      <c r="U64" s="1" t="b">
        <v>0</v>
      </c>
      <c r="V64" s="1" t="b">
        <v>1</v>
      </c>
      <c r="W64" s="31" t="s">
        <v>1885</v>
      </c>
    </row>
    <row r="65" spans="1:23" ht="30">
      <c r="A65" s="7">
        <v>64</v>
      </c>
      <c r="B65" s="7" t="s">
        <v>284</v>
      </c>
      <c r="C65" s="7" t="s">
        <v>41</v>
      </c>
      <c r="D65" s="7" t="s">
        <v>99</v>
      </c>
      <c r="E65" s="11">
        <v>4.5</v>
      </c>
      <c r="F65" s="7" t="s">
        <v>53</v>
      </c>
      <c r="G65" s="7" t="s">
        <v>1742</v>
      </c>
      <c r="H65" s="37">
        <f>IFERROR(VLOOKUP(C65,Fixture_Engine!$D$2:$R$21,13,FALSE),"")</f>
        <v>0.9191782076853533</v>
      </c>
      <c r="I65" s="37">
        <f>IFERROR(VLOOKUP(C65,Fixture_Engine!$D$2:$R$21,14,FALSE),"")</f>
        <v>2.1387927682342065</v>
      </c>
      <c r="J65" s="37">
        <f>IFERROR(VLOOKUP(C65,Fixture_Engine!$D$2:$R$21,15,FALSE),"")</f>
        <v>0.11779696545577215</v>
      </c>
      <c r="K65" s="13">
        <v>4.1142361271531161E-2</v>
      </c>
      <c r="L65" s="13">
        <v>2.715724407773602E-2</v>
      </c>
      <c r="M65" s="13">
        <v>0.53415340086830687</v>
      </c>
      <c r="N65" s="38">
        <f t="shared" si="0"/>
        <v>3.7817161893509303E-2</v>
      </c>
      <c r="O65" s="38">
        <f t="shared" si="1"/>
        <v>2.4962346937047068E-2</v>
      </c>
      <c r="P65" s="26"/>
      <c r="Q65" s="45"/>
      <c r="R65" s="38"/>
      <c r="S65" s="38"/>
      <c r="T65" s="38"/>
      <c r="U65" s="1" t="b">
        <v>0</v>
      </c>
      <c r="V65" s="1" t="b">
        <v>1</v>
      </c>
      <c r="W65" s="31" t="s">
        <v>1885</v>
      </c>
    </row>
    <row r="66" spans="1:23" ht="30">
      <c r="A66" s="7">
        <v>65</v>
      </c>
      <c r="B66" s="7" t="s">
        <v>287</v>
      </c>
      <c r="C66" s="7" t="s">
        <v>41</v>
      </c>
      <c r="D66" s="7" t="s">
        <v>99</v>
      </c>
      <c r="E66" s="11">
        <v>4.5</v>
      </c>
      <c r="F66" s="7" t="s">
        <v>53</v>
      </c>
      <c r="G66" s="7" t="s">
        <v>1742</v>
      </c>
      <c r="H66" s="37">
        <f>IFERROR(VLOOKUP(C66,Fixture_Engine!$D$2:$R$21,13,FALSE),"")</f>
        <v>0.9191782076853533</v>
      </c>
      <c r="I66" s="37">
        <f>IFERROR(VLOOKUP(C66,Fixture_Engine!$D$2:$R$21,14,FALSE),"")</f>
        <v>2.1387927682342065</v>
      </c>
      <c r="J66" s="37">
        <f>IFERROR(VLOOKUP(C66,Fixture_Engine!$D$2:$R$21,15,FALSE),"")</f>
        <v>0.11779696545577215</v>
      </c>
      <c r="K66" s="13">
        <v>4.1142361271531161E-2</v>
      </c>
      <c r="L66" s="13">
        <v>4.0513079897554365E-2</v>
      </c>
      <c r="M66" s="13">
        <v>1</v>
      </c>
      <c r="N66" s="38">
        <f t="shared" ref="N66:N129" si="2">IF(OR(H66="",K66=""),"",H66*K66)</f>
        <v>3.7817161893509303E-2</v>
      </c>
      <c r="O66" s="38">
        <f t="shared" ref="O66:O129" si="3">IF(OR(H66="",L66=""),"",H66*L66)</f>
        <v>3.7238740168047541E-2</v>
      </c>
      <c r="P66" s="26"/>
      <c r="Q66" s="45"/>
      <c r="R66" s="38"/>
      <c r="S66" s="38"/>
      <c r="T66" s="38"/>
      <c r="U66" s="1" t="b">
        <v>0</v>
      </c>
      <c r="V66" s="1" t="b">
        <v>1</v>
      </c>
      <c r="W66" s="31" t="s">
        <v>1885</v>
      </c>
    </row>
    <row r="67" spans="1:23" ht="30">
      <c r="A67" s="7">
        <v>66</v>
      </c>
      <c r="B67" s="7" t="s">
        <v>290</v>
      </c>
      <c r="C67" s="7" t="s">
        <v>41</v>
      </c>
      <c r="D67" s="7" t="s">
        <v>99</v>
      </c>
      <c r="E67" s="11">
        <v>4</v>
      </c>
      <c r="F67" s="7" t="s">
        <v>53</v>
      </c>
      <c r="G67" s="7" t="s">
        <v>1742</v>
      </c>
      <c r="H67" s="37">
        <f>IFERROR(VLOOKUP(C67,Fixture_Engine!$D$2:$R$21,13,FALSE),"")</f>
        <v>0.9191782076853533</v>
      </c>
      <c r="I67" s="37">
        <f>IFERROR(VLOOKUP(C67,Fixture_Engine!$D$2:$R$21,14,FALSE),"")</f>
        <v>2.1387927682342065</v>
      </c>
      <c r="J67" s="37">
        <f>IFERROR(VLOOKUP(C67,Fixture_Engine!$D$2:$R$21,15,FALSE),"")</f>
        <v>0.11779696545577215</v>
      </c>
      <c r="K67" s="13">
        <v>4.1142361271531161E-2</v>
      </c>
      <c r="L67" s="13">
        <v>4.0513079897554365E-2</v>
      </c>
      <c r="M67" s="13">
        <v>0.9704061895551257</v>
      </c>
      <c r="N67" s="38">
        <f t="shared" si="2"/>
        <v>3.7817161893509303E-2</v>
      </c>
      <c r="O67" s="38">
        <f t="shared" si="3"/>
        <v>3.7238740168047541E-2</v>
      </c>
      <c r="P67" s="26"/>
      <c r="Q67" s="45"/>
      <c r="R67" s="38"/>
      <c r="S67" s="38"/>
      <c r="T67" s="38"/>
      <c r="U67" s="1" t="b">
        <v>0</v>
      </c>
      <c r="V67" s="1" t="b">
        <v>1</v>
      </c>
      <c r="W67" s="31" t="s">
        <v>1885</v>
      </c>
    </row>
    <row r="68" spans="1:23" ht="30">
      <c r="A68" s="7">
        <v>67</v>
      </c>
      <c r="B68" s="7" t="s">
        <v>293</v>
      </c>
      <c r="C68" s="7" t="s">
        <v>41</v>
      </c>
      <c r="D68" s="7" t="s">
        <v>112</v>
      </c>
      <c r="E68" s="11">
        <v>6.5</v>
      </c>
      <c r="F68" s="7" t="s">
        <v>53</v>
      </c>
      <c r="G68" s="7" t="s">
        <v>1742</v>
      </c>
      <c r="H68" s="37">
        <f>IFERROR(VLOOKUP(C68,Fixture_Engine!$D$2:$R$21,13,FALSE),"")</f>
        <v>0.9191782076853533</v>
      </c>
      <c r="I68" s="37">
        <f>IFERROR(VLOOKUP(C68,Fixture_Engine!$D$2:$R$21,14,FALSE),"")</f>
        <v>2.1387927682342065</v>
      </c>
      <c r="J68" s="37">
        <f>IFERROR(VLOOKUP(C68,Fixture_Engine!$D$2:$R$21,15,FALSE),"")</f>
        <v>0.11779696545577215</v>
      </c>
      <c r="K68" s="13">
        <v>0.11953510147516699</v>
      </c>
      <c r="L68" s="13">
        <v>9.0877751364336928E-2</v>
      </c>
      <c r="M68" s="13">
        <v>0.52654028436018963</v>
      </c>
      <c r="N68" s="38">
        <f t="shared" si="2"/>
        <v>0.10987406032943083</v>
      </c>
      <c r="O68" s="38">
        <f t="shared" si="3"/>
        <v>8.3532848617546382E-2</v>
      </c>
      <c r="P68" s="26"/>
      <c r="Q68" s="45"/>
      <c r="R68" s="38"/>
      <c r="S68" s="38"/>
      <c r="T68" s="38"/>
      <c r="U68" s="1" t="b">
        <v>0</v>
      </c>
      <c r="V68" s="1" t="b">
        <v>1</v>
      </c>
      <c r="W68" s="31" t="s">
        <v>1885</v>
      </c>
    </row>
    <row r="69" spans="1:23" ht="30">
      <c r="A69" s="7">
        <v>68</v>
      </c>
      <c r="B69" s="7" t="s">
        <v>295</v>
      </c>
      <c r="C69" s="7" t="s">
        <v>41</v>
      </c>
      <c r="D69" s="7" t="s">
        <v>112</v>
      </c>
      <c r="E69" s="11">
        <v>6</v>
      </c>
      <c r="F69" s="7" t="s">
        <v>53</v>
      </c>
      <c r="G69" s="7" t="s">
        <v>1742</v>
      </c>
      <c r="H69" s="37">
        <f>IFERROR(VLOOKUP(C69,Fixture_Engine!$D$2:$R$21,13,FALSE),"")</f>
        <v>0.9191782076853533</v>
      </c>
      <c r="I69" s="37">
        <f>IFERROR(VLOOKUP(C69,Fixture_Engine!$D$2:$R$21,14,FALSE),"")</f>
        <v>2.1387927682342065</v>
      </c>
      <c r="J69" s="37">
        <f>IFERROR(VLOOKUP(C69,Fixture_Engine!$D$2:$R$21,15,FALSE),"")</f>
        <v>0.11779696545577215</v>
      </c>
      <c r="K69" s="13">
        <v>0.15739644530233105</v>
      </c>
      <c r="L69" s="13">
        <v>9.2076928082319237E-2</v>
      </c>
      <c r="M69" s="13">
        <v>0.34115755627009636</v>
      </c>
      <c r="N69" s="38">
        <f t="shared" si="2"/>
        <v>0.14467538248904241</v>
      </c>
      <c r="O69" s="38">
        <f t="shared" si="3"/>
        <v>8.4635105723879375E-2</v>
      </c>
      <c r="P69" s="26"/>
      <c r="Q69" s="45"/>
      <c r="R69" s="38"/>
      <c r="S69" s="38"/>
      <c r="T69" s="38"/>
      <c r="U69" s="1" t="b">
        <v>0</v>
      </c>
      <c r="V69" s="1" t="b">
        <v>1</v>
      </c>
      <c r="W69" s="31" t="s">
        <v>1885</v>
      </c>
    </row>
    <row r="70" spans="1:23" ht="30">
      <c r="A70" s="7">
        <v>69</v>
      </c>
      <c r="B70" s="7" t="s">
        <v>298</v>
      </c>
      <c r="C70" s="7" t="s">
        <v>41</v>
      </c>
      <c r="D70" s="7" t="s">
        <v>112</v>
      </c>
      <c r="E70" s="11">
        <v>6</v>
      </c>
      <c r="F70" s="7" t="s">
        <v>53</v>
      </c>
      <c r="G70" s="7" t="s">
        <v>1742</v>
      </c>
      <c r="H70" s="37">
        <f>IFERROR(VLOOKUP(C70,Fixture_Engine!$D$2:$R$21,13,FALSE),"")</f>
        <v>0.9191782076853533</v>
      </c>
      <c r="I70" s="37">
        <f>IFERROR(VLOOKUP(C70,Fixture_Engine!$D$2:$R$21,14,FALSE),"")</f>
        <v>2.1387927682342065</v>
      </c>
      <c r="J70" s="37">
        <f>IFERROR(VLOOKUP(C70,Fixture_Engine!$D$2:$R$21,15,FALSE),"")</f>
        <v>0.11779696545577215</v>
      </c>
      <c r="K70" s="13">
        <v>8.500398365420761E-2</v>
      </c>
      <c r="L70" s="13">
        <v>6.8122085240512609E-2</v>
      </c>
      <c r="M70" s="13">
        <v>0.33388773388773385</v>
      </c>
      <c r="N70" s="38">
        <f t="shared" si="2"/>
        <v>7.8133809341389623E-2</v>
      </c>
      <c r="O70" s="38">
        <f t="shared" si="3"/>
        <v>6.2616336215163243E-2</v>
      </c>
      <c r="P70" s="26"/>
      <c r="Q70" s="45"/>
      <c r="R70" s="38"/>
      <c r="S70" s="38"/>
      <c r="T70" s="38"/>
      <c r="U70" s="1" t="b">
        <v>0</v>
      </c>
      <c r="V70" s="1" t="b">
        <v>1</v>
      </c>
      <c r="W70" s="31" t="s">
        <v>1885</v>
      </c>
    </row>
    <row r="71" spans="1:23" ht="30">
      <c r="A71" s="7">
        <v>70</v>
      </c>
      <c r="B71" s="7" t="s">
        <v>301</v>
      </c>
      <c r="C71" s="7" t="s">
        <v>41</v>
      </c>
      <c r="D71" s="7" t="s">
        <v>112</v>
      </c>
      <c r="E71" s="11">
        <v>6</v>
      </c>
      <c r="F71" s="7" t="s">
        <v>53</v>
      </c>
      <c r="G71" s="7" t="s">
        <v>1742</v>
      </c>
      <c r="H71" s="37">
        <f>IFERROR(VLOOKUP(C71,Fixture_Engine!$D$2:$R$21,13,FALSE),"")</f>
        <v>0.9191782076853533</v>
      </c>
      <c r="I71" s="37">
        <f>IFERROR(VLOOKUP(C71,Fixture_Engine!$D$2:$R$21,14,FALSE),"")</f>
        <v>2.1387927682342065</v>
      </c>
      <c r="J71" s="37">
        <f>IFERROR(VLOOKUP(C71,Fixture_Engine!$D$2:$R$21,15,FALSE),"")</f>
        <v>0.11779696545577215</v>
      </c>
      <c r="K71" s="13">
        <v>0.11955983987121682</v>
      </c>
      <c r="L71" s="13">
        <v>9.0407572688586124E-2</v>
      </c>
      <c r="M71" s="13">
        <v>0.56272493573264781</v>
      </c>
      <c r="N71" s="38">
        <f t="shared" si="2"/>
        <v>0.10989679932397292</v>
      </c>
      <c r="O71" s="38">
        <f t="shared" si="3"/>
        <v>8.3100670625077894E-2</v>
      </c>
      <c r="P71" s="26"/>
      <c r="Q71" s="45"/>
      <c r="R71" s="38"/>
      <c r="S71" s="38"/>
      <c r="T71" s="38"/>
      <c r="U71" s="1" t="b">
        <v>1</v>
      </c>
      <c r="V71" s="1" t="b">
        <v>1</v>
      </c>
      <c r="W71" s="31" t="s">
        <v>1885</v>
      </c>
    </row>
    <row r="72" spans="1:23" ht="30">
      <c r="A72" s="7">
        <v>71</v>
      </c>
      <c r="B72" s="7" t="s">
        <v>304</v>
      </c>
      <c r="C72" s="7" t="s">
        <v>41</v>
      </c>
      <c r="D72" s="7" t="s">
        <v>112</v>
      </c>
      <c r="E72" s="11">
        <v>5</v>
      </c>
      <c r="F72" s="7" t="s">
        <v>53</v>
      </c>
      <c r="G72" s="7" t="s">
        <v>1742</v>
      </c>
      <c r="H72" s="37">
        <f>IFERROR(VLOOKUP(C72,Fixture_Engine!$D$2:$R$21,13,FALSE),"")</f>
        <v>0.9191782076853533</v>
      </c>
      <c r="I72" s="37">
        <f>IFERROR(VLOOKUP(C72,Fixture_Engine!$D$2:$R$21,14,FALSE),"")</f>
        <v>2.1387927682342065</v>
      </c>
      <c r="J72" s="37">
        <f>IFERROR(VLOOKUP(C72,Fixture_Engine!$D$2:$R$21,15,FALSE),"")</f>
        <v>0.11779696545577215</v>
      </c>
      <c r="K72" s="13">
        <v>6.4302454031825107E-2</v>
      </c>
      <c r="L72" s="13">
        <v>6.6221606613108303E-2</v>
      </c>
      <c r="M72" s="13">
        <v>0.5807692307692307</v>
      </c>
      <c r="N72" s="38">
        <f t="shared" si="2"/>
        <v>5.9105414446742825E-2</v>
      </c>
      <c r="O72" s="38">
        <f t="shared" si="3"/>
        <v>6.0869457676681428E-2</v>
      </c>
      <c r="P72" s="26"/>
      <c r="Q72" s="45"/>
      <c r="R72" s="38"/>
      <c r="S72" s="38"/>
      <c r="T72" s="38"/>
      <c r="U72" s="1" t="b">
        <v>0</v>
      </c>
      <c r="V72" s="1" t="b">
        <v>1</v>
      </c>
      <c r="W72" s="31" t="s">
        <v>1885</v>
      </c>
    </row>
    <row r="73" spans="1:23" ht="30">
      <c r="A73" s="7">
        <v>72</v>
      </c>
      <c r="B73" s="7" t="s">
        <v>307</v>
      </c>
      <c r="C73" s="7" t="s">
        <v>41</v>
      </c>
      <c r="D73" s="7" t="s">
        <v>112</v>
      </c>
      <c r="E73" s="11">
        <v>5</v>
      </c>
      <c r="F73" s="7" t="s">
        <v>53</v>
      </c>
      <c r="G73" s="7" t="s">
        <v>1742</v>
      </c>
      <c r="H73" s="37">
        <f>IFERROR(VLOOKUP(C73,Fixture_Engine!$D$2:$R$21,13,FALSE),"")</f>
        <v>0.9191782076853533</v>
      </c>
      <c r="I73" s="37">
        <f>IFERROR(VLOOKUP(C73,Fixture_Engine!$D$2:$R$21,14,FALSE),"")</f>
        <v>2.1387927682342065</v>
      </c>
      <c r="J73" s="37">
        <f>IFERROR(VLOOKUP(C73,Fixture_Engine!$D$2:$R$21,15,FALSE),"")</f>
        <v>0.11779696545577215</v>
      </c>
      <c r="K73" s="13">
        <v>0.11002298015400944</v>
      </c>
      <c r="L73" s="13">
        <v>8.8373299799797592E-2</v>
      </c>
      <c r="M73" s="13">
        <v>0.91447963800904974</v>
      </c>
      <c r="N73" s="38">
        <f t="shared" si="2"/>
        <v>0.1011307257021636</v>
      </c>
      <c r="O73" s="38">
        <f t="shared" si="3"/>
        <v>8.1230811317218335E-2</v>
      </c>
      <c r="P73" s="26"/>
      <c r="Q73" s="45"/>
      <c r="R73" s="38"/>
      <c r="S73" s="38"/>
      <c r="T73" s="38"/>
      <c r="U73" s="1" t="b">
        <v>0</v>
      </c>
      <c r="V73" s="1" t="b">
        <v>1</v>
      </c>
      <c r="W73" s="31" t="s">
        <v>1885</v>
      </c>
    </row>
    <row r="74" spans="1:23" ht="30">
      <c r="A74" s="7">
        <v>73</v>
      </c>
      <c r="B74" s="7" t="s">
        <v>310</v>
      </c>
      <c r="C74" s="7" t="s">
        <v>41</v>
      </c>
      <c r="D74" s="7" t="s">
        <v>112</v>
      </c>
      <c r="E74" s="11">
        <v>5</v>
      </c>
      <c r="F74" s="7" t="s">
        <v>53</v>
      </c>
      <c r="G74" s="7" t="s">
        <v>1742</v>
      </c>
      <c r="H74" s="37">
        <f>IFERROR(VLOOKUP(C74,Fixture_Engine!$D$2:$R$21,13,FALSE),"")</f>
        <v>0.9191782076853533</v>
      </c>
      <c r="I74" s="37">
        <f>IFERROR(VLOOKUP(C74,Fixture_Engine!$D$2:$R$21,14,FALSE),"")</f>
        <v>2.1387927682342065</v>
      </c>
      <c r="J74" s="37">
        <f>IFERROR(VLOOKUP(C74,Fixture_Engine!$D$2:$R$21,15,FALSE),"")</f>
        <v>0.11779696545577215</v>
      </c>
      <c r="K74" s="13">
        <v>5.7011466101619897E-2</v>
      </c>
      <c r="L74" s="13">
        <v>4.9668192791348653E-2</v>
      </c>
      <c r="M74" s="13">
        <v>0.42502708559046587</v>
      </c>
      <c r="N74" s="38">
        <f t="shared" si="2"/>
        <v>5.2403697228801255E-2</v>
      </c>
      <c r="O74" s="38">
        <f t="shared" si="3"/>
        <v>4.565392042892244E-2</v>
      </c>
      <c r="P74" s="26"/>
      <c r="Q74" s="45"/>
      <c r="R74" s="38"/>
      <c r="S74" s="38"/>
      <c r="T74" s="38"/>
      <c r="U74" s="1" t="b">
        <v>0</v>
      </c>
      <c r="V74" s="1" t="b">
        <v>1</v>
      </c>
      <c r="W74" s="31" t="s">
        <v>1885</v>
      </c>
    </row>
    <row r="75" spans="1:23" ht="30">
      <c r="A75" s="7">
        <v>74</v>
      </c>
      <c r="B75" s="7" t="s">
        <v>313</v>
      </c>
      <c r="C75" s="7" t="s">
        <v>41</v>
      </c>
      <c r="D75" s="7" t="s">
        <v>112</v>
      </c>
      <c r="E75" s="11">
        <v>5</v>
      </c>
      <c r="F75" s="7" t="s">
        <v>53</v>
      </c>
      <c r="G75" s="7" t="s">
        <v>1742</v>
      </c>
      <c r="H75" s="37">
        <f>IFERROR(VLOOKUP(C75,Fixture_Engine!$D$2:$R$21,13,FALSE),"")</f>
        <v>0.9191782076853533</v>
      </c>
      <c r="I75" s="37">
        <f>IFERROR(VLOOKUP(C75,Fixture_Engine!$D$2:$R$21,14,FALSE),"")</f>
        <v>2.1387927682342065</v>
      </c>
      <c r="J75" s="37">
        <f>IFERROR(VLOOKUP(C75,Fixture_Engine!$D$2:$R$21,15,FALSE),"")</f>
        <v>0.11779696545577215</v>
      </c>
      <c r="K75" s="13">
        <v>0.18701798207751497</v>
      </c>
      <c r="L75" s="13">
        <v>0.12341293403278403</v>
      </c>
      <c r="M75" s="13">
        <v>0.51133455210237666</v>
      </c>
      <c r="N75" s="38">
        <f t="shared" si="2"/>
        <v>0.17190285357094173</v>
      </c>
      <c r="O75" s="38">
        <f t="shared" si="3"/>
        <v>0.11343847950944516</v>
      </c>
      <c r="P75" s="26"/>
      <c r="Q75" s="45"/>
      <c r="R75" s="38"/>
      <c r="S75" s="38"/>
      <c r="T75" s="38"/>
      <c r="U75" s="1" t="b">
        <v>0</v>
      </c>
      <c r="V75" s="1" t="b">
        <v>1</v>
      </c>
      <c r="W75" s="31" t="s">
        <v>1885</v>
      </c>
    </row>
    <row r="76" spans="1:23" ht="30">
      <c r="A76" s="7">
        <v>75</v>
      </c>
      <c r="B76" s="7" t="s">
        <v>316</v>
      </c>
      <c r="C76" s="7" t="s">
        <v>41</v>
      </c>
      <c r="D76" s="7" t="s">
        <v>112</v>
      </c>
      <c r="E76" s="11">
        <v>5</v>
      </c>
      <c r="F76" s="7" t="s">
        <v>53</v>
      </c>
      <c r="G76" s="7" t="s">
        <v>1742</v>
      </c>
      <c r="H76" s="37">
        <f>IFERROR(VLOOKUP(C76,Fixture_Engine!$D$2:$R$21,13,FALSE),"")</f>
        <v>0.9191782076853533</v>
      </c>
      <c r="I76" s="37">
        <f>IFERROR(VLOOKUP(C76,Fixture_Engine!$D$2:$R$21,14,FALSE),"")</f>
        <v>2.1387927682342065</v>
      </c>
      <c r="J76" s="37">
        <f>IFERROR(VLOOKUP(C76,Fixture_Engine!$D$2:$R$21,15,FALSE),"")</f>
        <v>0.11779696545577215</v>
      </c>
      <c r="K76" s="13">
        <v>0.10517493212646122</v>
      </c>
      <c r="L76" s="13">
        <v>6.9944007504944311E-2</v>
      </c>
      <c r="M76" s="13">
        <v>0.55500505561172897</v>
      </c>
      <c r="N76" s="38">
        <f t="shared" si="2"/>
        <v>9.6674505605429298E-2</v>
      </c>
      <c r="O76" s="38">
        <f t="shared" si="3"/>
        <v>6.4291007456725613E-2</v>
      </c>
      <c r="P76" s="26"/>
      <c r="Q76" s="45"/>
      <c r="R76" s="38"/>
      <c r="S76" s="38"/>
      <c r="T76" s="38"/>
      <c r="U76" s="1" t="b">
        <v>0</v>
      </c>
      <c r="V76" s="1" t="b">
        <v>1</v>
      </c>
      <c r="W76" s="31" t="s">
        <v>1885</v>
      </c>
    </row>
    <row r="77" spans="1:23" ht="30">
      <c r="A77" s="7">
        <v>76</v>
      </c>
      <c r="B77" s="7" t="s">
        <v>321</v>
      </c>
      <c r="C77" s="7" t="s">
        <v>41</v>
      </c>
      <c r="D77" s="7" t="s">
        <v>112</v>
      </c>
      <c r="E77" s="11">
        <v>5</v>
      </c>
      <c r="F77" s="7" t="s">
        <v>53</v>
      </c>
      <c r="G77" s="7" t="s">
        <v>1742</v>
      </c>
      <c r="H77" s="37">
        <f>IFERROR(VLOOKUP(C77,Fixture_Engine!$D$2:$R$21,13,FALSE),"")</f>
        <v>0.9191782076853533</v>
      </c>
      <c r="I77" s="37">
        <f>IFERROR(VLOOKUP(C77,Fixture_Engine!$D$2:$R$21,14,FALSE),"")</f>
        <v>2.1387927682342065</v>
      </c>
      <c r="J77" s="37">
        <f>IFERROR(VLOOKUP(C77,Fixture_Engine!$D$2:$R$21,15,FALSE),"")</f>
        <v>0.11779696545577215</v>
      </c>
      <c r="K77" s="13">
        <v>0.10082743799984324</v>
      </c>
      <c r="L77" s="13">
        <v>9.5038141843686835E-2</v>
      </c>
      <c r="M77" s="13">
        <v>0.8929515418502203</v>
      </c>
      <c r="N77" s="38">
        <f t="shared" si="2"/>
        <v>9.2678383746201992E-2</v>
      </c>
      <c r="O77" s="38">
        <f t="shared" si="3"/>
        <v>8.7356988881626449E-2</v>
      </c>
      <c r="P77" s="26"/>
      <c r="Q77" s="45"/>
      <c r="R77" s="38"/>
      <c r="S77" s="38"/>
      <c r="T77" s="38"/>
      <c r="U77" s="1" t="b">
        <v>0</v>
      </c>
      <c r="V77" s="1" t="b">
        <v>1</v>
      </c>
      <c r="W77" s="31" t="s">
        <v>1885</v>
      </c>
    </row>
    <row r="78" spans="1:23" ht="30">
      <c r="A78" s="7">
        <v>77</v>
      </c>
      <c r="B78" s="7" t="s">
        <v>324</v>
      </c>
      <c r="C78" s="7" t="s">
        <v>41</v>
      </c>
      <c r="D78" s="7" t="s">
        <v>112</v>
      </c>
      <c r="E78" s="11">
        <v>5</v>
      </c>
      <c r="F78" s="7" t="s">
        <v>53</v>
      </c>
      <c r="G78" s="7" t="s">
        <v>1742</v>
      </c>
      <c r="H78" s="37">
        <f>IFERROR(VLOOKUP(C78,Fixture_Engine!$D$2:$R$21,13,FALSE),"")</f>
        <v>0.9191782076853533</v>
      </c>
      <c r="I78" s="37">
        <f>IFERROR(VLOOKUP(C78,Fixture_Engine!$D$2:$R$21,14,FALSE),"")</f>
        <v>2.1387927682342065</v>
      </c>
      <c r="J78" s="37">
        <f>IFERROR(VLOOKUP(C78,Fixture_Engine!$D$2:$R$21,15,FALSE),"")</f>
        <v>0.11779696545577215</v>
      </c>
      <c r="K78" s="13">
        <v>0.1197450455007992</v>
      </c>
      <c r="L78" s="13">
        <v>8.7023919475395867E-2</v>
      </c>
      <c r="M78" s="13">
        <v>0.5339440694310511</v>
      </c>
      <c r="N78" s="38">
        <f t="shared" si="2"/>
        <v>0.1100670363026257</v>
      </c>
      <c r="O78" s="38">
        <f t="shared" si="3"/>
        <v>7.9990490329148886E-2</v>
      </c>
      <c r="P78" s="26"/>
      <c r="Q78" s="45"/>
      <c r="R78" s="38"/>
      <c r="S78" s="38"/>
      <c r="T78" s="38"/>
      <c r="U78" s="1" t="b">
        <v>0</v>
      </c>
      <c r="V78" s="1" t="b">
        <v>1</v>
      </c>
      <c r="W78" s="31" t="s">
        <v>1885</v>
      </c>
    </row>
    <row r="79" spans="1:23" ht="30">
      <c r="A79" s="7">
        <v>78</v>
      </c>
      <c r="B79" s="7" t="s">
        <v>327</v>
      </c>
      <c r="C79" s="7" t="s">
        <v>41</v>
      </c>
      <c r="D79" s="7" t="s">
        <v>112</v>
      </c>
      <c r="E79" s="11">
        <v>7.5</v>
      </c>
      <c r="F79" s="7" t="s">
        <v>53</v>
      </c>
      <c r="G79" s="7" t="s">
        <v>1742</v>
      </c>
      <c r="H79" s="37">
        <f>IFERROR(VLOOKUP(C79,Fixture_Engine!$D$2:$R$21,13,FALSE),"")</f>
        <v>0.9191782076853533</v>
      </c>
      <c r="I79" s="37">
        <f>IFERROR(VLOOKUP(C79,Fixture_Engine!$D$2:$R$21,14,FALSE),"")</f>
        <v>2.1387927682342065</v>
      </c>
      <c r="J79" s="37">
        <f>IFERROR(VLOOKUP(C79,Fixture_Engine!$D$2:$R$21,15,FALSE),"")</f>
        <v>0.11779696545577215</v>
      </c>
      <c r="K79" s="13">
        <v>0.20225905066012176</v>
      </c>
      <c r="L79" s="13">
        <v>6.7717985199822528E-2</v>
      </c>
      <c r="M79" s="13">
        <v>0.43796470146451372</v>
      </c>
      <c r="N79" s="38">
        <f t="shared" si="2"/>
        <v>0.18591211167391178</v>
      </c>
      <c r="O79" s="38">
        <f t="shared" si="3"/>
        <v>6.2244896264036155E-2</v>
      </c>
      <c r="P79" s="26"/>
      <c r="Q79" s="45"/>
      <c r="R79" s="38"/>
      <c r="S79" s="38"/>
      <c r="T79" s="38"/>
      <c r="U79" s="1" t="b">
        <v>1</v>
      </c>
      <c r="V79" s="1" t="b">
        <v>1</v>
      </c>
      <c r="W79" s="31" t="s">
        <v>1885</v>
      </c>
    </row>
    <row r="80" spans="1:23" ht="30">
      <c r="A80" s="7">
        <v>79</v>
      </c>
      <c r="B80" s="7" t="s">
        <v>331</v>
      </c>
      <c r="C80" s="7" t="s">
        <v>41</v>
      </c>
      <c r="D80" s="7" t="s">
        <v>167</v>
      </c>
      <c r="E80" s="11">
        <v>6</v>
      </c>
      <c r="F80" s="7" t="s">
        <v>53</v>
      </c>
      <c r="G80" s="7" t="s">
        <v>1742</v>
      </c>
      <c r="H80" s="37">
        <f>IFERROR(VLOOKUP(C80,Fixture_Engine!$D$2:$R$21,13,FALSE),"")</f>
        <v>0.9191782076853533</v>
      </c>
      <c r="I80" s="37">
        <f>IFERROR(VLOOKUP(C80,Fixture_Engine!$D$2:$R$21,14,FALSE),"")</f>
        <v>2.1387927682342065</v>
      </c>
      <c r="J80" s="37">
        <f>IFERROR(VLOOKUP(C80,Fixture_Engine!$D$2:$R$21,15,FALSE),"")</f>
        <v>0.11779696545577215</v>
      </c>
      <c r="K80" s="13">
        <v>0.2451719230222163</v>
      </c>
      <c r="L80" s="13">
        <v>3.3042564603985636E-2</v>
      </c>
      <c r="M80" s="13">
        <v>0.34057738572574181</v>
      </c>
      <c r="N80" s="38">
        <f t="shared" si="2"/>
        <v>0.22535668877833218</v>
      </c>
      <c r="O80" s="38">
        <f t="shared" si="3"/>
        <v>3.0372005310019011E-2</v>
      </c>
      <c r="P80" s="26"/>
      <c r="Q80" s="45"/>
      <c r="R80" s="38"/>
      <c r="S80" s="38"/>
      <c r="T80" s="38"/>
      <c r="U80" s="1" t="b">
        <v>0</v>
      </c>
      <c r="V80" s="1" t="b">
        <v>1</v>
      </c>
      <c r="W80" s="31" t="s">
        <v>1885</v>
      </c>
    </row>
    <row r="81" spans="1:23" ht="30">
      <c r="A81" s="7">
        <v>80</v>
      </c>
      <c r="B81" s="7" t="s">
        <v>334</v>
      </c>
      <c r="C81" s="7" t="s">
        <v>41</v>
      </c>
      <c r="D81" s="7" t="s">
        <v>167</v>
      </c>
      <c r="E81" s="11">
        <v>5.5</v>
      </c>
      <c r="F81" s="7" t="s">
        <v>53</v>
      </c>
      <c r="G81" s="7" t="s">
        <v>1742</v>
      </c>
      <c r="H81" s="37">
        <f>IFERROR(VLOOKUP(C81,Fixture_Engine!$D$2:$R$21,13,FALSE),"")</f>
        <v>0.9191782076853533</v>
      </c>
      <c r="I81" s="37">
        <f>IFERROR(VLOOKUP(C81,Fixture_Engine!$D$2:$R$21,14,FALSE),"")</f>
        <v>2.1387927682342065</v>
      </c>
      <c r="J81" s="37">
        <f>IFERROR(VLOOKUP(C81,Fixture_Engine!$D$2:$R$21,15,FALSE),"")</f>
        <v>0.11779696545577215</v>
      </c>
      <c r="K81" s="13">
        <v>0.33820819482540398</v>
      </c>
      <c r="L81" s="13">
        <v>3.5897001243813106E-2</v>
      </c>
      <c r="M81" s="13">
        <v>0.84135090609555185</v>
      </c>
      <c r="N81" s="38">
        <f t="shared" si="2"/>
        <v>0.3108736023441136</v>
      </c>
      <c r="O81" s="38">
        <f t="shared" si="3"/>
        <v>3.299574126456703E-2</v>
      </c>
      <c r="P81" s="26"/>
      <c r="Q81" s="45"/>
      <c r="R81" s="38"/>
      <c r="S81" s="38"/>
      <c r="T81" s="38"/>
      <c r="U81" s="1" t="b">
        <v>0</v>
      </c>
      <c r="V81" s="1" t="b">
        <v>1</v>
      </c>
      <c r="W81" s="31" t="s">
        <v>1885</v>
      </c>
    </row>
    <row r="82" spans="1:23" ht="30">
      <c r="A82" s="7">
        <v>81</v>
      </c>
      <c r="B82" s="7" t="s">
        <v>335</v>
      </c>
      <c r="C82" s="7" t="s">
        <v>41</v>
      </c>
      <c r="D82" s="7" t="s">
        <v>167</v>
      </c>
      <c r="E82" s="11">
        <v>6</v>
      </c>
      <c r="F82" s="7" t="s">
        <v>53</v>
      </c>
      <c r="G82" s="7" t="s">
        <v>1742</v>
      </c>
      <c r="H82" s="37">
        <f>IFERROR(VLOOKUP(C82,Fixture_Engine!$D$2:$R$21,13,FALSE),"")</f>
        <v>0.9191782076853533</v>
      </c>
      <c r="I82" s="37">
        <f>IFERROR(VLOOKUP(C82,Fixture_Engine!$D$2:$R$21,14,FALSE),"")</f>
        <v>2.1387927682342065</v>
      </c>
      <c r="J82" s="37">
        <f>IFERROR(VLOOKUP(C82,Fixture_Engine!$D$2:$R$21,15,FALSE),"")</f>
        <v>0.11779696545577215</v>
      </c>
      <c r="K82" s="13">
        <v>0.30461525508032317</v>
      </c>
      <c r="L82" s="13">
        <v>3.9258061548584466E-2</v>
      </c>
      <c r="M82" s="13">
        <v>1</v>
      </c>
      <c r="N82" s="38">
        <f t="shared" si="2"/>
        <v>0.27999570419834818</v>
      </c>
      <c r="O82" s="38">
        <f t="shared" si="3"/>
        <v>3.6085154651429155E-2</v>
      </c>
      <c r="P82" s="26"/>
      <c r="Q82" s="45"/>
      <c r="R82" s="38"/>
      <c r="S82" s="38"/>
      <c r="T82" s="38"/>
      <c r="V82" s="1" t="b">
        <v>1</v>
      </c>
      <c r="W82" s="31" t="s">
        <v>1885</v>
      </c>
    </row>
    <row r="83" spans="1:23" ht="30">
      <c r="A83" s="7">
        <v>82</v>
      </c>
      <c r="B83" s="7" t="s">
        <v>341</v>
      </c>
      <c r="C83" s="7" t="s">
        <v>42</v>
      </c>
      <c r="D83" s="7" t="s">
        <v>85</v>
      </c>
      <c r="E83" s="11">
        <v>5</v>
      </c>
      <c r="F83" s="7" t="s">
        <v>57</v>
      </c>
      <c r="G83" s="7" t="s">
        <v>1743</v>
      </c>
      <c r="H83" s="37">
        <f>IFERROR(VLOOKUP(C83,Fixture_Engine!$D$2:$R$21,13,FALSE),"")</f>
        <v>1.3720338233100562</v>
      </c>
      <c r="I83" s="37">
        <f>IFERROR(VLOOKUP(C83,Fixture_Engine!$D$2:$R$21,14,FALSE),"")</f>
        <v>1.2818599603231151</v>
      </c>
      <c r="J83" s="37">
        <f>IFERROR(VLOOKUP(C83,Fixture_Engine!$D$2:$R$21,15,FALSE),"")</f>
        <v>0.27752064273637816</v>
      </c>
      <c r="K83" s="13">
        <v>1.6719534964712218E-4</v>
      </c>
      <c r="L83" s="13">
        <v>3.2002248440848187E-3</v>
      </c>
      <c r="M83" s="13">
        <v>0.23094688221709003</v>
      </c>
      <c r="N83" s="38">
        <f t="shared" si="2"/>
        <v>2.2939767481600269E-4</v>
      </c>
      <c r="O83" s="38">
        <f t="shared" si="3"/>
        <v>4.3908167282815224E-3</v>
      </c>
      <c r="P83" s="26"/>
      <c r="Q83" s="45"/>
      <c r="R83" s="38"/>
      <c r="S83" s="38"/>
      <c r="T83" s="38"/>
      <c r="U83" s="1" t="b">
        <v>0</v>
      </c>
      <c r="V83" s="1" t="b">
        <v>0</v>
      </c>
      <c r="W83" s="31" t="s">
        <v>1885</v>
      </c>
    </row>
    <row r="84" spans="1:23" ht="30">
      <c r="A84" s="7">
        <v>83</v>
      </c>
      <c r="B84" s="7" t="s">
        <v>346</v>
      </c>
      <c r="C84" s="7" t="s">
        <v>42</v>
      </c>
      <c r="D84" s="7" t="s">
        <v>85</v>
      </c>
      <c r="E84" s="11">
        <v>4.5</v>
      </c>
      <c r="F84" s="7" t="s">
        <v>57</v>
      </c>
      <c r="G84" s="7" t="s">
        <v>1743</v>
      </c>
      <c r="H84" s="37">
        <f>IFERROR(VLOOKUP(C84,Fixture_Engine!$D$2:$R$21,13,FALSE),"")</f>
        <v>1.3720338233100562</v>
      </c>
      <c r="I84" s="37">
        <f>IFERROR(VLOOKUP(C84,Fixture_Engine!$D$2:$R$21,14,FALSE),"")</f>
        <v>1.2818599603231151</v>
      </c>
      <c r="J84" s="37">
        <f>IFERROR(VLOOKUP(C84,Fixture_Engine!$D$2:$R$21,15,FALSE),"")</f>
        <v>0.27752064273637816</v>
      </c>
      <c r="K84" s="13">
        <v>1.6719534964712218E-4</v>
      </c>
      <c r="L84" s="13">
        <v>1.379361634588758E-3</v>
      </c>
      <c r="M84" s="13">
        <v>0.91743119266055051</v>
      </c>
      <c r="N84" s="38">
        <f t="shared" si="2"/>
        <v>2.2939767481600269E-4</v>
      </c>
      <c r="O84" s="38">
        <f t="shared" si="3"/>
        <v>1.8925308172320224E-3</v>
      </c>
      <c r="P84" s="26"/>
      <c r="Q84" s="45"/>
      <c r="R84" s="38"/>
      <c r="S84" s="38"/>
      <c r="T84" s="38"/>
      <c r="U84" s="1" t="b">
        <v>0</v>
      </c>
      <c r="V84" s="1" t="b">
        <v>1</v>
      </c>
      <c r="W84" s="31" t="s">
        <v>1885</v>
      </c>
    </row>
    <row r="85" spans="1:23" ht="30">
      <c r="A85" s="7">
        <v>84</v>
      </c>
      <c r="B85" s="7" t="s">
        <v>349</v>
      </c>
      <c r="C85" s="7" t="s">
        <v>42</v>
      </c>
      <c r="D85" s="7" t="s">
        <v>99</v>
      </c>
      <c r="E85" s="11">
        <v>5.5</v>
      </c>
      <c r="F85" s="7" t="s">
        <v>57</v>
      </c>
      <c r="G85" s="7" t="s">
        <v>1743</v>
      </c>
      <c r="H85" s="37">
        <f>IFERROR(VLOOKUP(C85,Fixture_Engine!$D$2:$R$21,13,FALSE),"")</f>
        <v>1.3720338233100562</v>
      </c>
      <c r="I85" s="37">
        <f>IFERROR(VLOOKUP(C85,Fixture_Engine!$D$2:$R$21,14,FALSE),"")</f>
        <v>1.2818599603231151</v>
      </c>
      <c r="J85" s="37">
        <f>IFERROR(VLOOKUP(C85,Fixture_Engine!$D$2:$R$21,15,FALSE),"")</f>
        <v>0.27752064273637816</v>
      </c>
      <c r="K85" s="13">
        <v>4.235384975848254E-2</v>
      </c>
      <c r="L85" s="13">
        <v>3.4625574042916149E-2</v>
      </c>
      <c r="M85" s="13">
        <v>0.25182573659027951</v>
      </c>
      <c r="N85" s="38">
        <f t="shared" si="2"/>
        <v>5.8110914416030501E-2</v>
      </c>
      <c r="O85" s="38">
        <f t="shared" si="3"/>
        <v>4.7507458738407685E-2</v>
      </c>
      <c r="P85" s="26"/>
      <c r="Q85" s="45"/>
      <c r="R85" s="38"/>
      <c r="S85" s="38"/>
      <c r="T85" s="38"/>
      <c r="U85" s="1" t="b">
        <v>0</v>
      </c>
      <c r="V85" s="1" t="b">
        <v>0</v>
      </c>
      <c r="W85" s="31" t="s">
        <v>1885</v>
      </c>
    </row>
    <row r="86" spans="1:23" ht="30">
      <c r="A86" s="7">
        <v>85</v>
      </c>
      <c r="B86" s="7" t="s">
        <v>352</v>
      </c>
      <c r="C86" s="7" t="s">
        <v>42</v>
      </c>
      <c r="D86" s="7" t="s">
        <v>99</v>
      </c>
      <c r="E86" s="11">
        <v>5</v>
      </c>
      <c r="F86" s="7" t="s">
        <v>57</v>
      </c>
      <c r="G86" s="7" t="s">
        <v>1743</v>
      </c>
      <c r="H86" s="37">
        <f>IFERROR(VLOOKUP(C86,Fixture_Engine!$D$2:$R$21,13,FALSE),"")</f>
        <v>1.3720338233100562</v>
      </c>
      <c r="I86" s="37">
        <f>IFERROR(VLOOKUP(C86,Fixture_Engine!$D$2:$R$21,14,FALSE),"")</f>
        <v>1.2818599603231151</v>
      </c>
      <c r="J86" s="37">
        <f>IFERROR(VLOOKUP(C86,Fixture_Engine!$D$2:$R$21,15,FALSE),"")</f>
        <v>0.27752064273637816</v>
      </c>
      <c r="K86" s="13">
        <v>6.1608488553745185E-2</v>
      </c>
      <c r="L86" s="13">
        <v>3.2638097811141617E-2</v>
      </c>
      <c r="M86" s="13">
        <v>0.26588673225206061</v>
      </c>
      <c r="N86" s="38">
        <f t="shared" si="2"/>
        <v>8.4528930098748845E-2</v>
      </c>
      <c r="O86" s="38">
        <f t="shared" si="3"/>
        <v>4.478057412538821E-2</v>
      </c>
      <c r="P86" s="26"/>
      <c r="Q86" s="45"/>
      <c r="R86" s="38"/>
      <c r="S86" s="38"/>
      <c r="T86" s="38"/>
      <c r="U86" s="1" t="b">
        <v>0</v>
      </c>
      <c r="V86" s="1" t="b">
        <v>0</v>
      </c>
      <c r="W86" s="31" t="s">
        <v>1885</v>
      </c>
    </row>
    <row r="87" spans="1:23" ht="30">
      <c r="A87" s="7">
        <v>86</v>
      </c>
      <c r="B87" s="7" t="s">
        <v>355</v>
      </c>
      <c r="C87" s="7" t="s">
        <v>42</v>
      </c>
      <c r="D87" s="7" t="s">
        <v>112</v>
      </c>
      <c r="E87" s="11">
        <v>5.5</v>
      </c>
      <c r="F87" s="7" t="s">
        <v>57</v>
      </c>
      <c r="G87" s="7" t="s">
        <v>1743</v>
      </c>
      <c r="H87" s="37">
        <f>IFERROR(VLOOKUP(C87,Fixture_Engine!$D$2:$R$21,13,FALSE),"")</f>
        <v>1.3720338233100562</v>
      </c>
      <c r="I87" s="37">
        <f>IFERROR(VLOOKUP(C87,Fixture_Engine!$D$2:$R$21,14,FALSE),"")</f>
        <v>1.2818599603231151</v>
      </c>
      <c r="J87" s="37">
        <f>IFERROR(VLOOKUP(C87,Fixture_Engine!$D$2:$R$21,15,FALSE),"")</f>
        <v>0.27752064273637816</v>
      </c>
      <c r="K87" s="13">
        <v>9.3998067206968086E-2</v>
      </c>
      <c r="L87" s="13">
        <v>7.8580703015096606E-2</v>
      </c>
      <c r="M87" s="13">
        <v>0.33783783783783783</v>
      </c>
      <c r="N87" s="38">
        <f t="shared" si="2"/>
        <v>0.12896852753373203</v>
      </c>
      <c r="O87" s="38">
        <f t="shared" si="3"/>
        <v>0.10781538239619505</v>
      </c>
      <c r="P87" s="26"/>
      <c r="Q87" s="45"/>
      <c r="R87" s="38"/>
      <c r="S87" s="38"/>
      <c r="T87" s="38"/>
      <c r="U87" s="1" t="b">
        <v>0</v>
      </c>
      <c r="V87" s="1" t="b">
        <v>0</v>
      </c>
      <c r="W87" s="31" t="s">
        <v>1885</v>
      </c>
    </row>
    <row r="88" spans="1:23" ht="30">
      <c r="A88" s="7">
        <v>87</v>
      </c>
      <c r="B88" s="7" t="s">
        <v>358</v>
      </c>
      <c r="C88" s="7" t="s">
        <v>42</v>
      </c>
      <c r="D88" s="7" t="s">
        <v>99</v>
      </c>
      <c r="E88" s="11">
        <v>4.5</v>
      </c>
      <c r="F88" s="7" t="s">
        <v>57</v>
      </c>
      <c r="G88" s="7" t="s">
        <v>1743</v>
      </c>
      <c r="H88" s="37">
        <f>IFERROR(VLOOKUP(C88,Fixture_Engine!$D$2:$R$21,13,FALSE),"")</f>
        <v>1.3720338233100562</v>
      </c>
      <c r="I88" s="37">
        <f>IFERROR(VLOOKUP(C88,Fixture_Engine!$D$2:$R$21,14,FALSE),"")</f>
        <v>1.2818599603231151</v>
      </c>
      <c r="J88" s="37">
        <f>IFERROR(VLOOKUP(C88,Fixture_Engine!$D$2:$R$21,15,FALSE),"")</f>
        <v>0.27752064273637816</v>
      </c>
      <c r="K88" s="13">
        <v>2.8619140687964388E-2</v>
      </c>
      <c r="L88" s="13">
        <v>2.9203588225376553E-2</v>
      </c>
      <c r="M88" s="13">
        <v>0.35650623885917998</v>
      </c>
      <c r="N88" s="38">
        <f t="shared" si="2"/>
        <v>3.926642901795617E-2</v>
      </c>
      <c r="O88" s="38">
        <f t="shared" si="3"/>
        <v>4.0068310807235934E-2</v>
      </c>
      <c r="P88" s="26"/>
      <c r="Q88" s="45"/>
      <c r="R88" s="38"/>
      <c r="S88" s="38"/>
      <c r="T88" s="38"/>
      <c r="U88" s="1" t="b">
        <v>0</v>
      </c>
      <c r="V88" s="1" t="b">
        <v>0</v>
      </c>
      <c r="W88" s="31" t="s">
        <v>1885</v>
      </c>
    </row>
    <row r="89" spans="1:23" ht="30">
      <c r="A89" s="7">
        <v>88</v>
      </c>
      <c r="B89" s="7" t="s">
        <v>361</v>
      </c>
      <c r="C89" s="7" t="s">
        <v>42</v>
      </c>
      <c r="D89" s="7" t="s">
        <v>99</v>
      </c>
      <c r="E89" s="11">
        <v>4.5</v>
      </c>
      <c r="F89" s="7" t="s">
        <v>57</v>
      </c>
      <c r="G89" s="7" t="s">
        <v>1743</v>
      </c>
      <c r="H89" s="37">
        <f>IFERROR(VLOOKUP(C89,Fixture_Engine!$D$2:$R$21,13,FALSE),"")</f>
        <v>1.3720338233100562</v>
      </c>
      <c r="I89" s="37">
        <f>IFERROR(VLOOKUP(C89,Fixture_Engine!$D$2:$R$21,14,FALSE),"")</f>
        <v>1.2818599603231151</v>
      </c>
      <c r="J89" s="37">
        <f>IFERROR(VLOOKUP(C89,Fixture_Engine!$D$2:$R$21,15,FALSE),"")</f>
        <v>0.27752064273637816</v>
      </c>
      <c r="K89" s="13">
        <v>2.6711924893589548E-2</v>
      </c>
      <c r="L89" s="13">
        <v>4.8009283151420487E-2</v>
      </c>
      <c r="M89" s="13">
        <v>0.23485204321277597</v>
      </c>
      <c r="N89" s="38">
        <f t="shared" si="2"/>
        <v>3.6649664439722736E-2</v>
      </c>
      <c r="O89" s="38">
        <f t="shared" si="3"/>
        <v>6.5870360316618512E-2</v>
      </c>
      <c r="P89" s="26"/>
      <c r="Q89" s="45"/>
      <c r="R89" s="38"/>
      <c r="S89" s="38"/>
      <c r="T89" s="38"/>
      <c r="U89" s="1" t="b">
        <v>0</v>
      </c>
      <c r="V89" s="1" t="b">
        <v>0</v>
      </c>
      <c r="W89" s="31" t="s">
        <v>1885</v>
      </c>
    </row>
    <row r="90" spans="1:23" ht="30">
      <c r="A90" s="7">
        <v>89</v>
      </c>
      <c r="B90" s="7" t="s">
        <v>363</v>
      </c>
      <c r="C90" s="7" t="s">
        <v>42</v>
      </c>
      <c r="D90" s="7" t="s">
        <v>99</v>
      </c>
      <c r="E90" s="11">
        <v>4.5</v>
      </c>
      <c r="F90" s="7" t="s">
        <v>57</v>
      </c>
      <c r="G90" s="7" t="s">
        <v>1743</v>
      </c>
      <c r="H90" s="37">
        <f>IFERROR(VLOOKUP(C90,Fixture_Engine!$D$2:$R$21,13,FALSE),"")</f>
        <v>1.3720338233100562</v>
      </c>
      <c r="I90" s="37">
        <f>IFERROR(VLOOKUP(C90,Fixture_Engine!$D$2:$R$21,14,FALSE),"")</f>
        <v>1.2818599603231151</v>
      </c>
      <c r="J90" s="37">
        <f>IFERROR(VLOOKUP(C90,Fixture_Engine!$D$2:$R$21,15,FALSE),"")</f>
        <v>0.27752064273637816</v>
      </c>
      <c r="K90" s="13">
        <v>2.2115123383036932E-2</v>
      </c>
      <c r="L90" s="13">
        <v>3.0637358126268797E-2</v>
      </c>
      <c r="M90" s="13">
        <v>0.43066322136089574</v>
      </c>
      <c r="N90" s="38">
        <f t="shared" si="2"/>
        <v>3.0342697288201787E-2</v>
      </c>
      <c r="O90" s="38">
        <f t="shared" si="3"/>
        <v>4.2035491606103995E-2</v>
      </c>
      <c r="P90" s="26"/>
      <c r="Q90" s="45"/>
      <c r="R90" s="38"/>
      <c r="S90" s="38"/>
      <c r="T90" s="38"/>
      <c r="U90" s="1" t="b">
        <v>0</v>
      </c>
      <c r="V90" s="1" t="b">
        <v>0</v>
      </c>
      <c r="W90" s="31" t="s">
        <v>1885</v>
      </c>
    </row>
    <row r="91" spans="1:23" ht="30">
      <c r="A91" s="7">
        <v>90</v>
      </c>
      <c r="B91" s="7" t="s">
        <v>366</v>
      </c>
      <c r="C91" s="7" t="s">
        <v>42</v>
      </c>
      <c r="D91" s="7" t="s">
        <v>99</v>
      </c>
      <c r="E91" s="11">
        <v>4.5</v>
      </c>
      <c r="F91" s="7" t="s">
        <v>57</v>
      </c>
      <c r="G91" s="7" t="s">
        <v>1743</v>
      </c>
      <c r="H91" s="37">
        <f>IFERROR(VLOOKUP(C91,Fixture_Engine!$D$2:$R$21,13,FALSE),"")</f>
        <v>1.3720338233100562</v>
      </c>
      <c r="I91" s="37">
        <f>IFERROR(VLOOKUP(C91,Fixture_Engine!$D$2:$R$21,14,FALSE),"")</f>
        <v>1.2818599603231151</v>
      </c>
      <c r="J91" s="37">
        <f>IFERROR(VLOOKUP(C91,Fixture_Engine!$D$2:$R$21,15,FALSE),"")</f>
        <v>0.27752064273637816</v>
      </c>
      <c r="K91" s="13">
        <v>3.9367233562911358E-2</v>
      </c>
      <c r="L91" s="13">
        <v>2.9871870722055081E-2</v>
      </c>
      <c r="M91" s="13">
        <v>0.59559261465157831</v>
      </c>
      <c r="N91" s="38">
        <f t="shared" si="2"/>
        <v>5.4013175978461239E-2</v>
      </c>
      <c r="O91" s="38">
        <f t="shared" si="3"/>
        <v>4.0985216996204964E-2</v>
      </c>
      <c r="P91" s="26"/>
      <c r="Q91" s="45"/>
      <c r="R91" s="38"/>
      <c r="S91" s="38"/>
      <c r="T91" s="38"/>
      <c r="U91" s="1" t="b">
        <v>0</v>
      </c>
      <c r="V91" s="1" t="b">
        <v>1</v>
      </c>
      <c r="W91" s="31" t="s">
        <v>1885</v>
      </c>
    </row>
    <row r="92" spans="1:23" ht="30">
      <c r="A92" s="7">
        <v>91</v>
      </c>
      <c r="B92" s="7" t="s">
        <v>369</v>
      </c>
      <c r="C92" s="7" t="s">
        <v>42</v>
      </c>
      <c r="D92" s="7" t="s">
        <v>99</v>
      </c>
      <c r="E92" s="11">
        <v>4.5</v>
      </c>
      <c r="F92" s="7" t="s">
        <v>57</v>
      </c>
      <c r="G92" s="7" t="s">
        <v>1743</v>
      </c>
      <c r="H92" s="37">
        <f>IFERROR(VLOOKUP(C92,Fixture_Engine!$D$2:$R$21,13,FALSE),"")</f>
        <v>1.3720338233100562</v>
      </c>
      <c r="I92" s="37">
        <f>IFERROR(VLOOKUP(C92,Fixture_Engine!$D$2:$R$21,14,FALSE),"")</f>
        <v>1.2818599603231151</v>
      </c>
      <c r="J92" s="37">
        <f>IFERROR(VLOOKUP(C92,Fixture_Engine!$D$2:$R$21,15,FALSE),"")</f>
        <v>0.27752064273637816</v>
      </c>
      <c r="K92" s="13">
        <v>3.1646073938266801E-2</v>
      </c>
      <c r="L92" s="13">
        <v>3.3320231390122336E-2</v>
      </c>
      <c r="M92" s="13">
        <v>0.75872534142640369</v>
      </c>
      <c r="N92" s="38">
        <f t="shared" si="2"/>
        <v>4.3419483818272923E-2</v>
      </c>
      <c r="O92" s="38">
        <f t="shared" si="3"/>
        <v>4.57164844677653E-2</v>
      </c>
      <c r="P92" s="26"/>
      <c r="Q92" s="45"/>
      <c r="R92" s="38"/>
      <c r="S92" s="38"/>
      <c r="T92" s="38"/>
      <c r="U92" s="1" t="b">
        <v>0</v>
      </c>
      <c r="V92" s="1" t="b">
        <v>1</v>
      </c>
      <c r="W92" s="31" t="s">
        <v>1885</v>
      </c>
    </row>
    <row r="93" spans="1:23" ht="30">
      <c r="A93" s="7">
        <v>92</v>
      </c>
      <c r="B93" s="7" t="s">
        <v>372</v>
      </c>
      <c r="C93" s="7" t="s">
        <v>42</v>
      </c>
      <c r="D93" s="7" t="s">
        <v>99</v>
      </c>
      <c r="E93" s="11">
        <v>4.5</v>
      </c>
      <c r="F93" s="7" t="s">
        <v>57</v>
      </c>
      <c r="G93" s="7" t="s">
        <v>1743</v>
      </c>
      <c r="H93" s="37">
        <f>IFERROR(VLOOKUP(C93,Fixture_Engine!$D$2:$R$21,13,FALSE),"")</f>
        <v>1.3720338233100562</v>
      </c>
      <c r="I93" s="37">
        <f>IFERROR(VLOOKUP(C93,Fixture_Engine!$D$2:$R$21,14,FALSE),"")</f>
        <v>1.2818599603231151</v>
      </c>
      <c r="J93" s="37">
        <f>IFERROR(VLOOKUP(C93,Fixture_Engine!$D$2:$R$21,15,FALSE),"")</f>
        <v>0.27752064273637816</v>
      </c>
      <c r="K93" s="13">
        <v>4.1142361271531161E-2</v>
      </c>
      <c r="L93" s="13">
        <v>4.0513079897554365E-2</v>
      </c>
      <c r="M93" s="13">
        <v>1</v>
      </c>
      <c r="N93" s="38">
        <f t="shared" si="2"/>
        <v>5.6448711235382483E-2</v>
      </c>
      <c r="O93" s="38">
        <f t="shared" si="3"/>
        <v>5.5585315905907297E-2</v>
      </c>
      <c r="P93" s="26"/>
      <c r="Q93" s="45"/>
      <c r="R93" s="38"/>
      <c r="S93" s="38"/>
      <c r="T93" s="38"/>
      <c r="V93" s="1" t="b">
        <v>1</v>
      </c>
      <c r="W93" s="31" t="s">
        <v>1885</v>
      </c>
    </row>
    <row r="94" spans="1:23" ht="30">
      <c r="A94" s="7">
        <v>93</v>
      </c>
      <c r="B94" s="7" t="s">
        <v>375</v>
      </c>
      <c r="C94" s="7" t="s">
        <v>42</v>
      </c>
      <c r="D94" s="7" t="s">
        <v>99</v>
      </c>
      <c r="E94" s="11">
        <v>4.5</v>
      </c>
      <c r="F94" s="7" t="s">
        <v>57</v>
      </c>
      <c r="G94" s="7" t="s">
        <v>1743</v>
      </c>
      <c r="H94" s="37">
        <f>IFERROR(VLOOKUP(C94,Fixture_Engine!$D$2:$R$21,13,FALSE),"")</f>
        <v>1.3720338233100562</v>
      </c>
      <c r="I94" s="37">
        <f>IFERROR(VLOOKUP(C94,Fixture_Engine!$D$2:$R$21,14,FALSE),"")</f>
        <v>1.2818599603231151</v>
      </c>
      <c r="J94" s="37">
        <f>IFERROR(VLOOKUP(C94,Fixture_Engine!$D$2:$R$21,15,FALSE),"")</f>
        <v>0.27752064273637816</v>
      </c>
      <c r="K94" s="13">
        <v>4.1142361271531161E-2</v>
      </c>
      <c r="L94" s="13">
        <v>4.0513079897554365E-2</v>
      </c>
      <c r="M94" s="13">
        <v>1</v>
      </c>
      <c r="N94" s="38">
        <f t="shared" si="2"/>
        <v>5.6448711235382483E-2</v>
      </c>
      <c r="O94" s="38">
        <f t="shared" si="3"/>
        <v>5.5585315905907297E-2</v>
      </c>
      <c r="P94" s="26"/>
      <c r="Q94" s="45"/>
      <c r="R94" s="38"/>
      <c r="S94" s="38"/>
      <c r="T94" s="38"/>
      <c r="U94" s="1" t="b">
        <v>1</v>
      </c>
      <c r="V94" s="1" t="b">
        <v>1</v>
      </c>
      <c r="W94" s="31" t="s">
        <v>1885</v>
      </c>
    </row>
    <row r="95" spans="1:23" ht="30">
      <c r="A95" s="7">
        <v>94</v>
      </c>
      <c r="B95" s="7" t="s">
        <v>378</v>
      </c>
      <c r="C95" s="7" t="s">
        <v>42</v>
      </c>
      <c r="D95" s="7" t="s">
        <v>112</v>
      </c>
      <c r="E95" s="11">
        <v>6</v>
      </c>
      <c r="F95" s="7" t="s">
        <v>57</v>
      </c>
      <c r="G95" s="7" t="s">
        <v>1743</v>
      </c>
      <c r="H95" s="37">
        <f>IFERROR(VLOOKUP(C95,Fixture_Engine!$D$2:$R$21,13,FALSE),"")</f>
        <v>1.3720338233100562</v>
      </c>
      <c r="I95" s="37">
        <f>IFERROR(VLOOKUP(C95,Fixture_Engine!$D$2:$R$21,14,FALSE),"")</f>
        <v>1.2818599603231151</v>
      </c>
      <c r="J95" s="37">
        <f>IFERROR(VLOOKUP(C95,Fixture_Engine!$D$2:$R$21,15,FALSE),"")</f>
        <v>0.27752064273637816</v>
      </c>
      <c r="K95" s="13">
        <v>0.21171265741997508</v>
      </c>
      <c r="L95" s="13">
        <v>5.5157406166100431E-2</v>
      </c>
      <c r="M95" s="13">
        <v>0.26709401709401714</v>
      </c>
      <c r="N95" s="38">
        <f t="shared" si="2"/>
        <v>0.29047692680306053</v>
      </c>
      <c r="O95" s="38">
        <f t="shared" si="3"/>
        <v>7.5677826865940448E-2</v>
      </c>
      <c r="P95" s="26"/>
      <c r="Q95" s="45"/>
      <c r="R95" s="38"/>
      <c r="S95" s="38"/>
      <c r="T95" s="38"/>
      <c r="U95" s="1" t="b">
        <v>0</v>
      </c>
      <c r="V95" s="1" t="b">
        <v>0</v>
      </c>
      <c r="W95" s="31" t="s">
        <v>1885</v>
      </c>
    </row>
    <row r="96" spans="1:23" ht="30">
      <c r="A96" s="7">
        <v>95</v>
      </c>
      <c r="B96" s="7" t="s">
        <v>380</v>
      </c>
      <c r="C96" s="7" t="s">
        <v>42</v>
      </c>
      <c r="D96" s="7" t="s">
        <v>112</v>
      </c>
      <c r="E96" s="11">
        <v>6.5</v>
      </c>
      <c r="F96" s="7" t="s">
        <v>57</v>
      </c>
      <c r="G96" s="7" t="s">
        <v>1743</v>
      </c>
      <c r="H96" s="37">
        <f>IFERROR(VLOOKUP(C96,Fixture_Engine!$D$2:$R$21,13,FALSE),"")</f>
        <v>1.3720338233100562</v>
      </c>
      <c r="I96" s="37">
        <f>IFERROR(VLOOKUP(C96,Fixture_Engine!$D$2:$R$21,14,FALSE),"")</f>
        <v>1.2818599603231151</v>
      </c>
      <c r="J96" s="37">
        <f>IFERROR(VLOOKUP(C96,Fixture_Engine!$D$2:$R$21,15,FALSE),"")</f>
        <v>0.27752064273637816</v>
      </c>
      <c r="K96" s="13">
        <v>0.17054302024797707</v>
      </c>
      <c r="L96" s="13">
        <v>9.9025470425101458E-2</v>
      </c>
      <c r="M96" s="13">
        <v>0.30571690614490976</v>
      </c>
      <c r="N96" s="38">
        <f t="shared" si="2"/>
        <v>0.2339907921096763</v>
      </c>
      <c r="O96" s="38">
        <f t="shared" si="3"/>
        <v>0.13586629479242884</v>
      </c>
      <c r="P96" s="26"/>
      <c r="Q96" s="45"/>
      <c r="R96" s="38"/>
      <c r="S96" s="38"/>
      <c r="T96" s="38"/>
      <c r="U96" s="1" t="b">
        <v>0</v>
      </c>
      <c r="V96" s="1" t="b">
        <v>0</v>
      </c>
      <c r="W96" s="31" t="s">
        <v>1885</v>
      </c>
    </row>
    <row r="97" spans="1:23" ht="30">
      <c r="A97" s="7">
        <v>96</v>
      </c>
      <c r="B97" s="7" t="s">
        <v>383</v>
      </c>
      <c r="C97" s="7" t="s">
        <v>42</v>
      </c>
      <c r="D97" s="7" t="s">
        <v>112</v>
      </c>
      <c r="E97" s="11">
        <v>5.5</v>
      </c>
      <c r="F97" s="7" t="s">
        <v>57</v>
      </c>
      <c r="G97" s="7" t="s">
        <v>1743</v>
      </c>
      <c r="H97" s="37">
        <f>IFERROR(VLOOKUP(C97,Fixture_Engine!$D$2:$R$21,13,FALSE),"")</f>
        <v>1.3720338233100562</v>
      </c>
      <c r="I97" s="37">
        <f>IFERROR(VLOOKUP(C97,Fixture_Engine!$D$2:$R$21,14,FALSE),"")</f>
        <v>1.2818599603231151</v>
      </c>
      <c r="J97" s="37">
        <f>IFERROR(VLOOKUP(C97,Fixture_Engine!$D$2:$R$21,15,FALSE),"")</f>
        <v>0.27752064273637816</v>
      </c>
      <c r="K97" s="13">
        <v>8.3896162760487988E-2</v>
      </c>
      <c r="L97" s="13">
        <v>0.13073237728929527</v>
      </c>
      <c r="M97" s="13">
        <v>0.3282994090610637</v>
      </c>
      <c r="N97" s="38">
        <f t="shared" si="2"/>
        <v>0.11510837295331509</v>
      </c>
      <c r="O97" s="38">
        <f t="shared" si="3"/>
        <v>0.17936924344264454</v>
      </c>
      <c r="P97" s="26"/>
      <c r="Q97" s="45"/>
      <c r="R97" s="38"/>
      <c r="S97" s="38"/>
      <c r="T97" s="38"/>
      <c r="U97" s="1" t="b">
        <v>0</v>
      </c>
      <c r="V97" s="1" t="b">
        <v>0</v>
      </c>
      <c r="W97" s="31" t="s">
        <v>1885</v>
      </c>
    </row>
    <row r="98" spans="1:23" ht="30">
      <c r="A98" s="7">
        <v>97</v>
      </c>
      <c r="B98" s="7" t="s">
        <v>386</v>
      </c>
      <c r="C98" s="7" t="s">
        <v>42</v>
      </c>
      <c r="D98" s="7" t="s">
        <v>112</v>
      </c>
      <c r="E98" s="11">
        <v>5.5</v>
      </c>
      <c r="F98" s="7" t="s">
        <v>57</v>
      </c>
      <c r="G98" s="7" t="s">
        <v>1743</v>
      </c>
      <c r="H98" s="37">
        <f>IFERROR(VLOOKUP(C98,Fixture_Engine!$D$2:$R$21,13,FALSE),"")</f>
        <v>1.3720338233100562</v>
      </c>
      <c r="I98" s="37">
        <f>IFERROR(VLOOKUP(C98,Fixture_Engine!$D$2:$R$21,14,FALSE),"")</f>
        <v>1.2818599603231151</v>
      </c>
      <c r="J98" s="37">
        <f>IFERROR(VLOOKUP(C98,Fixture_Engine!$D$2:$R$21,15,FALSE),"")</f>
        <v>0.27752064273637816</v>
      </c>
      <c r="K98" s="13">
        <v>7.1892912813913967E-2</v>
      </c>
      <c r="L98" s="13">
        <v>0.13397411685914651</v>
      </c>
      <c r="M98" s="13">
        <v>0.30873726458783579</v>
      </c>
      <c r="N98" s="38">
        <f t="shared" si="2"/>
        <v>9.8639508036970913E-2</v>
      </c>
      <c r="O98" s="38">
        <f t="shared" si="3"/>
        <v>0.18381701977884304</v>
      </c>
      <c r="P98" s="26"/>
      <c r="Q98" s="45"/>
      <c r="R98" s="38"/>
      <c r="S98" s="38"/>
      <c r="T98" s="38"/>
      <c r="U98" s="1" t="b">
        <v>0</v>
      </c>
      <c r="V98" s="1" t="b">
        <v>0</v>
      </c>
      <c r="W98" s="31" t="s">
        <v>1885</v>
      </c>
    </row>
    <row r="99" spans="1:23" ht="30">
      <c r="A99" s="7">
        <v>98</v>
      </c>
      <c r="B99" s="7" t="s">
        <v>389</v>
      </c>
      <c r="C99" s="7" t="s">
        <v>42</v>
      </c>
      <c r="D99" s="7" t="s">
        <v>112</v>
      </c>
      <c r="E99" s="11">
        <v>5</v>
      </c>
      <c r="F99" s="7" t="s">
        <v>57</v>
      </c>
      <c r="G99" s="7" t="s">
        <v>1743</v>
      </c>
      <c r="H99" s="37">
        <f>IFERROR(VLOOKUP(C99,Fixture_Engine!$D$2:$R$21,13,FALSE),"")</f>
        <v>1.3720338233100562</v>
      </c>
      <c r="I99" s="37">
        <f>IFERROR(VLOOKUP(C99,Fixture_Engine!$D$2:$R$21,14,FALSE),"")</f>
        <v>1.2818599603231151</v>
      </c>
      <c r="J99" s="37">
        <f>IFERROR(VLOOKUP(C99,Fixture_Engine!$D$2:$R$21,15,FALSE),"")</f>
        <v>0.27752064273637816</v>
      </c>
      <c r="K99" s="13">
        <v>6.3280741047142541E-2</v>
      </c>
      <c r="L99" s="13">
        <v>8.9969983823409413E-2</v>
      </c>
      <c r="M99" s="13">
        <v>0.41084634346754312</v>
      </c>
      <c r="N99" s="38">
        <f t="shared" si="2"/>
        <v>8.6823317080804596E-2</v>
      </c>
      <c r="O99" s="38">
        <f t="shared" si="3"/>
        <v>0.12344186088837633</v>
      </c>
      <c r="P99" s="26"/>
      <c r="Q99" s="45"/>
      <c r="R99" s="38"/>
      <c r="S99" s="38"/>
      <c r="T99" s="38"/>
      <c r="U99" s="1" t="b">
        <v>0</v>
      </c>
      <c r="V99" s="1" t="b">
        <v>0</v>
      </c>
      <c r="W99" s="31" t="s">
        <v>1885</v>
      </c>
    </row>
    <row r="100" spans="1:23" ht="30">
      <c r="A100" s="7">
        <v>99</v>
      </c>
      <c r="B100" s="7" t="s">
        <v>392</v>
      </c>
      <c r="C100" s="7" t="s">
        <v>42</v>
      </c>
      <c r="D100" s="7" t="s">
        <v>112</v>
      </c>
      <c r="E100" s="11">
        <v>5</v>
      </c>
      <c r="F100" s="7" t="s">
        <v>57</v>
      </c>
      <c r="G100" s="7" t="s">
        <v>1743</v>
      </c>
      <c r="H100" s="37">
        <f>IFERROR(VLOOKUP(C100,Fixture_Engine!$D$2:$R$21,13,FALSE),"")</f>
        <v>1.3720338233100562</v>
      </c>
      <c r="I100" s="37">
        <f>IFERROR(VLOOKUP(C100,Fixture_Engine!$D$2:$R$21,14,FALSE),"")</f>
        <v>1.2818599603231151</v>
      </c>
      <c r="J100" s="37">
        <f>IFERROR(VLOOKUP(C100,Fixture_Engine!$D$2:$R$21,15,FALSE),"")</f>
        <v>0.27752064273637816</v>
      </c>
      <c r="K100" s="13">
        <v>0.10751786102217777</v>
      </c>
      <c r="L100" s="13">
        <v>8.6897450859872313E-2</v>
      </c>
      <c r="M100" s="13">
        <v>0.9569377990430622</v>
      </c>
      <c r="N100" s="38">
        <f t="shared" si="2"/>
        <v>0.14751814193237783</v>
      </c>
      <c r="O100" s="38">
        <f t="shared" si="3"/>
        <v>0.11922624173916833</v>
      </c>
      <c r="P100" s="26"/>
      <c r="Q100" s="45"/>
      <c r="R100" s="38"/>
      <c r="S100" s="38"/>
      <c r="T100" s="38"/>
      <c r="U100" s="1" t="b">
        <v>0</v>
      </c>
      <c r="V100" s="1" t="b">
        <v>1</v>
      </c>
      <c r="W100" s="31" t="s">
        <v>1885</v>
      </c>
    </row>
    <row r="101" spans="1:23" ht="30">
      <c r="A101" s="7">
        <v>100</v>
      </c>
      <c r="B101" s="7" t="s">
        <v>395</v>
      </c>
      <c r="C101" s="7" t="s">
        <v>42</v>
      </c>
      <c r="D101" s="7" t="s">
        <v>112</v>
      </c>
      <c r="E101" s="11">
        <v>5</v>
      </c>
      <c r="F101" s="7" t="s">
        <v>57</v>
      </c>
      <c r="G101" s="7" t="s">
        <v>1743</v>
      </c>
      <c r="H101" s="37">
        <f>IFERROR(VLOOKUP(C101,Fixture_Engine!$D$2:$R$21,13,FALSE),"")</f>
        <v>1.3720338233100562</v>
      </c>
      <c r="I101" s="37">
        <f>IFERROR(VLOOKUP(C101,Fixture_Engine!$D$2:$R$21,14,FALSE),"")</f>
        <v>1.2818599603231151</v>
      </c>
      <c r="J101" s="37">
        <f>IFERROR(VLOOKUP(C101,Fixture_Engine!$D$2:$R$21,15,FALSE),"")</f>
        <v>0.27752064273637816</v>
      </c>
      <c r="K101" s="13">
        <v>0.13383577596317381</v>
      </c>
      <c r="L101" s="13">
        <v>8.3583785915250466E-2</v>
      </c>
      <c r="M101" s="13">
        <v>0.90909090909090906</v>
      </c>
      <c r="N101" s="38">
        <f t="shared" si="2"/>
        <v>0.18362721139042149</v>
      </c>
      <c r="O101" s="38">
        <f t="shared" si="3"/>
        <v>0.11467978135603032</v>
      </c>
      <c r="P101" s="26"/>
      <c r="Q101" s="45"/>
      <c r="R101" s="38"/>
      <c r="S101" s="38"/>
      <c r="T101" s="38"/>
      <c r="U101" s="1" t="b">
        <v>0</v>
      </c>
      <c r="V101" s="1" t="b">
        <v>1</v>
      </c>
      <c r="W101" s="31" t="s">
        <v>1885</v>
      </c>
    </row>
    <row r="102" spans="1:23" ht="30">
      <c r="A102" s="7">
        <v>101</v>
      </c>
      <c r="B102" s="7" t="s">
        <v>398</v>
      </c>
      <c r="C102" s="7" t="s">
        <v>42</v>
      </c>
      <c r="D102" s="7" t="s">
        <v>112</v>
      </c>
      <c r="E102" s="11">
        <v>5</v>
      </c>
      <c r="F102" s="7" t="s">
        <v>57</v>
      </c>
      <c r="G102" s="7" t="s">
        <v>1743</v>
      </c>
      <c r="H102" s="37">
        <f>IFERROR(VLOOKUP(C102,Fixture_Engine!$D$2:$R$21,13,FALSE),"")</f>
        <v>1.3720338233100562</v>
      </c>
      <c r="I102" s="37">
        <f>IFERROR(VLOOKUP(C102,Fixture_Engine!$D$2:$R$21,14,FALSE),"")</f>
        <v>1.2818599603231151</v>
      </c>
      <c r="J102" s="37">
        <f>IFERROR(VLOOKUP(C102,Fixture_Engine!$D$2:$R$21,15,FALSE),"")</f>
        <v>0.27752064273637816</v>
      </c>
      <c r="K102" s="13">
        <v>4.3364575380496574E-2</v>
      </c>
      <c r="L102" s="13">
        <v>7.6006732168531932E-2</v>
      </c>
      <c r="M102" s="13">
        <v>0.34352456200618342</v>
      </c>
      <c r="N102" s="38">
        <f t="shared" si="2"/>
        <v>5.9497664155519853E-2</v>
      </c>
      <c r="O102" s="38">
        <f t="shared" si="3"/>
        <v>0.1042838073344943</v>
      </c>
      <c r="P102" s="26"/>
      <c r="Q102" s="45"/>
      <c r="R102" s="38"/>
      <c r="S102" s="38"/>
      <c r="T102" s="38"/>
      <c r="U102" s="1" t="b">
        <v>0</v>
      </c>
      <c r="V102" s="1" t="b">
        <v>0</v>
      </c>
      <c r="W102" s="31" t="s">
        <v>1885</v>
      </c>
    </row>
    <row r="103" spans="1:23" ht="30">
      <c r="A103" s="7">
        <v>102</v>
      </c>
      <c r="B103" s="7" t="s">
        <v>402</v>
      </c>
      <c r="C103" s="7" t="s">
        <v>42</v>
      </c>
      <c r="D103" s="7" t="s">
        <v>112</v>
      </c>
      <c r="E103" s="11">
        <v>5</v>
      </c>
      <c r="F103" s="7" t="s">
        <v>57</v>
      </c>
      <c r="G103" s="7" t="s">
        <v>1743</v>
      </c>
      <c r="H103" s="37">
        <f>IFERROR(VLOOKUP(C103,Fixture_Engine!$D$2:$R$21,13,FALSE),"")</f>
        <v>1.3720338233100562</v>
      </c>
      <c r="I103" s="37">
        <f>IFERROR(VLOOKUP(C103,Fixture_Engine!$D$2:$R$21,14,FALSE),"")</f>
        <v>1.2818599603231151</v>
      </c>
      <c r="J103" s="37">
        <f>IFERROR(VLOOKUP(C103,Fixture_Engine!$D$2:$R$21,15,FALSE),"")</f>
        <v>0.27752064273637816</v>
      </c>
      <c r="K103" s="13">
        <v>4.8387702867722898E-2</v>
      </c>
      <c r="L103" s="13">
        <v>4.6296958615822698E-2</v>
      </c>
      <c r="M103" s="13">
        <v>0.2738225629791895</v>
      </c>
      <c r="N103" s="38">
        <f t="shared" si="2"/>
        <v>6.6389564966792824E-2</v>
      </c>
      <c r="O103" s="38">
        <f t="shared" si="3"/>
        <v>6.352099313729466E-2</v>
      </c>
      <c r="P103" s="26"/>
      <c r="Q103" s="45"/>
      <c r="R103" s="38"/>
      <c r="S103" s="38"/>
      <c r="T103" s="38"/>
      <c r="U103" s="1" t="b">
        <v>0</v>
      </c>
      <c r="V103" s="1" t="b">
        <v>0</v>
      </c>
      <c r="W103" s="31" t="s">
        <v>1885</v>
      </c>
    </row>
    <row r="104" spans="1:23" ht="30">
      <c r="A104" s="7">
        <v>103</v>
      </c>
      <c r="B104" s="7" t="s">
        <v>405</v>
      </c>
      <c r="C104" s="7" t="s">
        <v>42</v>
      </c>
      <c r="D104" s="7" t="s">
        <v>112</v>
      </c>
      <c r="E104" s="11">
        <v>5</v>
      </c>
      <c r="F104" s="7" t="s">
        <v>57</v>
      </c>
      <c r="G104" s="7" t="s">
        <v>1743</v>
      </c>
      <c r="H104" s="37">
        <f>IFERROR(VLOOKUP(C104,Fixture_Engine!$D$2:$R$21,13,FALSE),"")</f>
        <v>1.3720338233100562</v>
      </c>
      <c r="I104" s="37">
        <f>IFERROR(VLOOKUP(C104,Fixture_Engine!$D$2:$R$21,14,FALSE),"")</f>
        <v>1.2818599603231151</v>
      </c>
      <c r="J104" s="37">
        <f>IFERROR(VLOOKUP(C104,Fixture_Engine!$D$2:$R$21,15,FALSE),"")</f>
        <v>0.27752064273637816</v>
      </c>
      <c r="K104" s="13">
        <v>0.11183151143214928</v>
      </c>
      <c r="L104" s="13">
        <v>9.0240671969462088E-2</v>
      </c>
      <c r="M104" s="13">
        <v>0.99800399201596801</v>
      </c>
      <c r="N104" s="38">
        <f t="shared" si="2"/>
        <v>0.15343661619679405</v>
      </c>
      <c r="O104" s="38">
        <f t="shared" si="3"/>
        <v>0.12381325418032969</v>
      </c>
      <c r="P104" s="26"/>
      <c r="Q104" s="45"/>
      <c r="R104" s="38"/>
      <c r="S104" s="38"/>
      <c r="T104" s="38"/>
      <c r="U104" s="1" t="b">
        <v>0</v>
      </c>
      <c r="V104" s="1" t="b">
        <v>1</v>
      </c>
      <c r="W104" s="31" t="s">
        <v>1885</v>
      </c>
    </row>
    <row r="105" spans="1:23" ht="30">
      <c r="A105" s="7">
        <v>104</v>
      </c>
      <c r="B105" s="7" t="s">
        <v>601</v>
      </c>
      <c r="C105" s="7" t="s">
        <v>45</v>
      </c>
      <c r="D105" s="7" t="s">
        <v>112</v>
      </c>
      <c r="E105" s="11">
        <v>5</v>
      </c>
      <c r="F105" s="7" t="s">
        <v>39</v>
      </c>
      <c r="G105" s="7" t="s">
        <v>1742</v>
      </c>
      <c r="H105" s="37">
        <f>IFERROR(VLOOKUP(C105,Fixture_Engine!$D$2:$R$21,13,FALSE),"")</f>
        <v>0.52865868671275384</v>
      </c>
      <c r="I105" s="37">
        <f>IFERROR(VLOOKUP(C105,Fixture_Engine!$D$2:$R$21,14,FALSE),"")</f>
        <v>2.6529358272146251</v>
      </c>
      <c r="J105" s="37">
        <f>IFERROR(VLOOKUP(C105,Fixture_Engine!$D$2:$R$21,15,FALSE),"")</f>
        <v>7.0444097482917162E-2</v>
      </c>
      <c r="K105" s="13">
        <v>0.10751786102217777</v>
      </c>
      <c r="L105" s="13">
        <v>9.9988118308874996E-2</v>
      </c>
      <c r="M105" s="13">
        <v>0.93125000000000002</v>
      </c>
      <c r="N105" s="38">
        <f t="shared" si="2"/>
        <v>5.6840251206148884E-2</v>
      </c>
      <c r="O105" s="38">
        <f t="shared" si="3"/>
        <v>5.2859587312049316E-2</v>
      </c>
      <c r="P105" s="26"/>
      <c r="Q105" s="45"/>
      <c r="R105" s="38"/>
      <c r="S105" s="38"/>
      <c r="T105" s="38"/>
      <c r="V105" s="1" t="b">
        <v>1</v>
      </c>
      <c r="W105" s="31" t="s">
        <v>1885</v>
      </c>
    </row>
    <row r="106" spans="1:23" ht="30">
      <c r="A106" s="7">
        <v>105</v>
      </c>
      <c r="B106" s="7" t="s">
        <v>408</v>
      </c>
      <c r="C106" s="7" t="s">
        <v>42</v>
      </c>
      <c r="D106" s="7" t="s">
        <v>112</v>
      </c>
      <c r="E106" s="11">
        <v>6</v>
      </c>
      <c r="F106" s="7" t="s">
        <v>57</v>
      </c>
      <c r="G106" s="7" t="s">
        <v>1743</v>
      </c>
      <c r="H106" s="37">
        <f>IFERROR(VLOOKUP(C106,Fixture_Engine!$D$2:$R$21,13,FALSE),"")</f>
        <v>1.3720338233100562</v>
      </c>
      <c r="I106" s="37">
        <f>IFERROR(VLOOKUP(C106,Fixture_Engine!$D$2:$R$21,14,FALSE),"")</f>
        <v>1.2818599603231151</v>
      </c>
      <c r="J106" s="37">
        <f>IFERROR(VLOOKUP(C106,Fixture_Engine!$D$2:$R$21,15,FALSE),"")</f>
        <v>0.27752064273637816</v>
      </c>
      <c r="K106" s="13">
        <v>0.1636821661112759</v>
      </c>
      <c r="L106" s="13">
        <v>0.10275485506918343</v>
      </c>
      <c r="M106" s="13">
        <v>0.37867904223836435</v>
      </c>
      <c r="N106" s="38">
        <f t="shared" si="2"/>
        <v>0.22457746817732557</v>
      </c>
      <c r="O106" s="38">
        <f t="shared" si="3"/>
        <v>0.14098313666424245</v>
      </c>
      <c r="P106" s="26"/>
      <c r="Q106" s="45"/>
      <c r="R106" s="38"/>
      <c r="S106" s="38"/>
      <c r="T106" s="38"/>
      <c r="U106" s="1" t="b">
        <v>0</v>
      </c>
      <c r="V106" s="1" t="b">
        <v>1</v>
      </c>
      <c r="W106" s="31" t="s">
        <v>1885</v>
      </c>
    </row>
    <row r="107" spans="1:23" ht="30">
      <c r="A107" s="7">
        <v>106</v>
      </c>
      <c r="B107" s="7" t="s">
        <v>411</v>
      </c>
      <c r="C107" s="7" t="s">
        <v>42</v>
      </c>
      <c r="D107" s="7" t="s">
        <v>167</v>
      </c>
      <c r="E107" s="11">
        <v>8</v>
      </c>
      <c r="F107" s="7" t="s">
        <v>57</v>
      </c>
      <c r="G107" s="7" t="s">
        <v>1743</v>
      </c>
      <c r="H107" s="37">
        <f>IFERROR(VLOOKUP(C107,Fixture_Engine!$D$2:$R$21,13,FALSE),"")</f>
        <v>1.3720338233100562</v>
      </c>
      <c r="I107" s="37">
        <f>IFERROR(VLOOKUP(C107,Fixture_Engine!$D$2:$R$21,14,FALSE),"")</f>
        <v>1.2818599603231151</v>
      </c>
      <c r="J107" s="37">
        <f>IFERROR(VLOOKUP(C107,Fixture_Engine!$D$2:$R$21,15,FALSE),"")</f>
        <v>0.27752064273637816</v>
      </c>
      <c r="K107" s="13">
        <v>0.34399193461829691</v>
      </c>
      <c r="L107" s="13">
        <v>3.3407077609692637E-2</v>
      </c>
      <c r="M107" s="13">
        <v>0.23353573096683788</v>
      </c>
      <c r="N107" s="38">
        <f t="shared" si="2"/>
        <v>0.47196856924216479</v>
      </c>
      <c r="O107" s="38">
        <f t="shared" si="3"/>
        <v>4.5835640418442361E-2</v>
      </c>
      <c r="P107" s="26"/>
      <c r="Q107" s="45"/>
      <c r="R107" s="38"/>
      <c r="S107" s="38"/>
      <c r="T107" s="38"/>
      <c r="U107" s="1" t="b">
        <v>1</v>
      </c>
      <c r="V107" s="1" t="b">
        <v>0</v>
      </c>
      <c r="W107" s="31" t="s">
        <v>1885</v>
      </c>
    </row>
    <row r="108" spans="1:23" ht="30">
      <c r="A108" s="7">
        <v>107</v>
      </c>
      <c r="B108" s="7" t="s">
        <v>413</v>
      </c>
      <c r="C108" s="7" t="s">
        <v>42</v>
      </c>
      <c r="D108" s="7" t="s">
        <v>167</v>
      </c>
      <c r="E108" s="11">
        <v>4.5</v>
      </c>
      <c r="F108" s="7" t="s">
        <v>57</v>
      </c>
      <c r="G108" s="7" t="s">
        <v>1743</v>
      </c>
      <c r="H108" s="37">
        <f>IFERROR(VLOOKUP(C108,Fixture_Engine!$D$2:$R$21,13,FALSE),"")</f>
        <v>1.3720338233100562</v>
      </c>
      <c r="I108" s="37">
        <f>IFERROR(VLOOKUP(C108,Fixture_Engine!$D$2:$R$21,14,FALSE),"")</f>
        <v>1.2818599603231151</v>
      </c>
      <c r="J108" s="37">
        <f>IFERROR(VLOOKUP(C108,Fixture_Engine!$D$2:$R$21,15,FALSE),"")</f>
        <v>0.27752064273637816</v>
      </c>
      <c r="K108" s="13">
        <v>0.30461525508032317</v>
      </c>
      <c r="L108" s="13">
        <v>3.9258061548584466E-2</v>
      </c>
      <c r="M108" s="13">
        <v>0.99900099900099903</v>
      </c>
      <c r="N108" s="38">
        <f t="shared" si="2"/>
        <v>0.41794243306642381</v>
      </c>
      <c r="O108" s="38">
        <f t="shared" si="3"/>
        <v>5.386338828224585E-2</v>
      </c>
      <c r="P108" s="26"/>
      <c r="Q108" s="45"/>
      <c r="R108" s="38"/>
      <c r="S108" s="38"/>
      <c r="T108" s="38"/>
      <c r="U108" s="1" t="b">
        <v>0</v>
      </c>
      <c r="V108" s="1" t="b">
        <v>1</v>
      </c>
      <c r="W108" s="31" t="s">
        <v>1885</v>
      </c>
    </row>
    <row r="109" spans="1:23" ht="30">
      <c r="A109" s="7">
        <v>108</v>
      </c>
      <c r="B109" s="7" t="s">
        <v>416</v>
      </c>
      <c r="C109" s="7" t="s">
        <v>42</v>
      </c>
      <c r="D109" s="7" t="s">
        <v>167</v>
      </c>
      <c r="E109" s="11">
        <v>5.5</v>
      </c>
      <c r="F109" s="7" t="s">
        <v>57</v>
      </c>
      <c r="G109" s="7" t="s">
        <v>1743</v>
      </c>
      <c r="H109" s="37">
        <f>IFERROR(VLOOKUP(C109,Fixture_Engine!$D$2:$R$21,13,FALSE),"")</f>
        <v>1.3720338233100562</v>
      </c>
      <c r="I109" s="37">
        <f>IFERROR(VLOOKUP(C109,Fixture_Engine!$D$2:$R$21,14,FALSE),"")</f>
        <v>1.2818599603231151</v>
      </c>
      <c r="J109" s="37">
        <f>IFERROR(VLOOKUP(C109,Fixture_Engine!$D$2:$R$21,15,FALSE),"")</f>
        <v>0.27752064273637816</v>
      </c>
      <c r="K109" s="13">
        <v>0.37611667775360236</v>
      </c>
      <c r="L109" s="13">
        <v>3.6068198585172413E-2</v>
      </c>
      <c r="M109" s="13">
        <v>0.53048343777976725</v>
      </c>
      <c r="N109" s="38">
        <f t="shared" si="2"/>
        <v>0.51604480338895142</v>
      </c>
      <c r="O109" s="38">
        <f t="shared" si="3"/>
        <v>4.9486788404720462E-2</v>
      </c>
      <c r="P109" s="26"/>
      <c r="Q109" s="45"/>
      <c r="R109" s="38"/>
      <c r="S109" s="38"/>
      <c r="T109" s="38"/>
      <c r="U109" s="1" t="b">
        <v>0</v>
      </c>
      <c r="V109" s="1" t="b">
        <v>1</v>
      </c>
      <c r="W109" s="31" t="s">
        <v>1885</v>
      </c>
    </row>
    <row r="110" spans="1:23" ht="30">
      <c r="A110" s="7">
        <v>109</v>
      </c>
      <c r="B110" s="7" t="s">
        <v>420</v>
      </c>
      <c r="C110" s="7" t="s">
        <v>43</v>
      </c>
      <c r="D110" s="7" t="s">
        <v>85</v>
      </c>
      <c r="E110" s="11">
        <v>4.5</v>
      </c>
      <c r="F110" s="7" t="s">
        <v>40</v>
      </c>
      <c r="G110" s="7" t="s">
        <v>1743</v>
      </c>
      <c r="H110" s="37">
        <f>IFERROR(VLOOKUP(C110,Fixture_Engine!$D$2:$R$21,13,FALSE),"")</f>
        <v>1.452548189055803</v>
      </c>
      <c r="I110" s="37">
        <f>IFERROR(VLOOKUP(C110,Fixture_Engine!$D$2:$R$21,14,FALSE),"")</f>
        <v>1.2147039153583923</v>
      </c>
      <c r="J110" s="37">
        <f>IFERROR(VLOOKUP(C110,Fixture_Engine!$D$2:$R$21,15,FALSE),"")</f>
        <v>0.29679787857927975</v>
      </c>
      <c r="K110" s="13">
        <v>1.6719534964712218E-4</v>
      </c>
      <c r="L110" s="13">
        <v>1.1138921007615293E-3</v>
      </c>
      <c r="M110" s="13">
        <v>0.22624434389140269</v>
      </c>
      <c r="N110" s="38">
        <f t="shared" si="2"/>
        <v>2.428593023484791E-4</v>
      </c>
      <c r="O110" s="38">
        <f t="shared" si="3"/>
        <v>1.6179819537647233E-3</v>
      </c>
      <c r="P110" s="26"/>
      <c r="Q110" s="45"/>
      <c r="R110" s="38"/>
      <c r="S110" s="38"/>
      <c r="T110" s="38"/>
      <c r="U110" s="1" t="b">
        <v>0</v>
      </c>
      <c r="V110" s="1" t="b">
        <v>0</v>
      </c>
      <c r="W110" s="31" t="s">
        <v>1885</v>
      </c>
    </row>
    <row r="111" spans="1:23" ht="30">
      <c r="A111" s="7">
        <v>110</v>
      </c>
      <c r="B111" s="7" t="s">
        <v>425</v>
      </c>
      <c r="C111" s="7" t="s">
        <v>43</v>
      </c>
      <c r="D111" s="7" t="s">
        <v>85</v>
      </c>
      <c r="E111" s="11">
        <v>4.5</v>
      </c>
      <c r="F111" s="7" t="s">
        <v>40</v>
      </c>
      <c r="G111" s="7" t="s">
        <v>1743</v>
      </c>
      <c r="H111" s="37">
        <f>IFERROR(VLOOKUP(C111,Fixture_Engine!$D$2:$R$21,13,FALSE),"")</f>
        <v>1.452548189055803</v>
      </c>
      <c r="I111" s="37">
        <f>IFERROR(VLOOKUP(C111,Fixture_Engine!$D$2:$R$21,14,FALSE),"")</f>
        <v>1.2147039153583923</v>
      </c>
      <c r="J111" s="37">
        <f>IFERROR(VLOOKUP(C111,Fixture_Engine!$D$2:$R$21,15,FALSE),"")</f>
        <v>0.29679787857927975</v>
      </c>
      <c r="K111" s="13">
        <v>1.6719534964712218E-4</v>
      </c>
      <c r="L111" s="13">
        <v>1.379361634588758E-3</v>
      </c>
      <c r="M111" s="13">
        <v>1</v>
      </c>
      <c r="N111" s="38">
        <f t="shared" si="2"/>
        <v>2.428593023484791E-4</v>
      </c>
      <c r="O111" s="38">
        <f t="shared" si="3"/>
        <v>2.0035892443749526E-3</v>
      </c>
      <c r="P111" s="26"/>
      <c r="Q111" s="45"/>
      <c r="R111" s="38"/>
      <c r="S111" s="38"/>
      <c r="T111" s="38"/>
      <c r="U111" s="1" t="b">
        <v>0</v>
      </c>
      <c r="V111" s="1" t="b">
        <v>1</v>
      </c>
      <c r="W111" s="31" t="s">
        <v>1885</v>
      </c>
    </row>
    <row r="112" spans="1:23" ht="30">
      <c r="A112" s="7">
        <v>111</v>
      </c>
      <c r="B112" s="7" t="s">
        <v>427</v>
      </c>
      <c r="C112" s="7" t="s">
        <v>43</v>
      </c>
      <c r="D112" s="7" t="s">
        <v>85</v>
      </c>
      <c r="E112" s="11">
        <v>4</v>
      </c>
      <c r="F112" s="7" t="s">
        <v>40</v>
      </c>
      <c r="G112" s="7" t="s">
        <v>1743</v>
      </c>
      <c r="H112" s="37">
        <f>IFERROR(VLOOKUP(C112,Fixture_Engine!$D$2:$R$21,13,FALSE),"")</f>
        <v>1.452548189055803</v>
      </c>
      <c r="I112" s="37">
        <f>IFERROR(VLOOKUP(C112,Fixture_Engine!$D$2:$R$21,14,FALSE),"")</f>
        <v>1.2147039153583923</v>
      </c>
      <c r="J112" s="37">
        <f>IFERROR(VLOOKUP(C112,Fixture_Engine!$D$2:$R$21,15,FALSE),"")</f>
        <v>0.29679787857927975</v>
      </c>
      <c r="K112" s="13">
        <v>1.6719534964712218E-4</v>
      </c>
      <c r="L112" s="13">
        <v>1.379361634588758E-3</v>
      </c>
      <c r="M112" s="13">
        <v>1</v>
      </c>
      <c r="N112" s="38">
        <f t="shared" si="2"/>
        <v>2.428593023484791E-4</v>
      </c>
      <c r="O112" s="38">
        <f t="shared" si="3"/>
        <v>2.0035892443749526E-3</v>
      </c>
      <c r="P112" s="26"/>
      <c r="Q112" s="45"/>
      <c r="R112" s="38"/>
      <c r="S112" s="38"/>
      <c r="T112" s="38"/>
      <c r="U112" s="1" t="b">
        <v>0</v>
      </c>
      <c r="V112" s="1" t="b">
        <v>1</v>
      </c>
      <c r="W112" s="31" t="s">
        <v>1885</v>
      </c>
    </row>
    <row r="113" spans="1:23" ht="30">
      <c r="A113" s="7">
        <v>112</v>
      </c>
      <c r="B113" s="7" t="s">
        <v>1465</v>
      </c>
      <c r="C113" s="7" t="s">
        <v>57</v>
      </c>
      <c r="D113" s="7" t="s">
        <v>99</v>
      </c>
      <c r="E113" s="11">
        <v>5</v>
      </c>
      <c r="F113" s="7" t="s">
        <v>42</v>
      </c>
      <c r="G113" s="7" t="s">
        <v>1742</v>
      </c>
      <c r="H113" s="37">
        <f>IFERROR(VLOOKUP(C113,Fixture_Engine!$D$2:$R$21,13,FALSE),"")</f>
        <v>1.2818599603231151</v>
      </c>
      <c r="I113" s="37">
        <f>IFERROR(VLOOKUP(C113,Fixture_Engine!$D$2:$R$21,14,FALSE),"")</f>
        <v>1.3720338233100562</v>
      </c>
      <c r="J113" s="37">
        <f>IFERROR(VLOOKUP(C113,Fixture_Engine!$D$2:$R$21,15,FALSE),"")</f>
        <v>0.25359067608785163</v>
      </c>
      <c r="K113" s="13">
        <v>5.3952118429089715E-2</v>
      </c>
      <c r="L113" s="13">
        <v>3.2979932653031604E-2</v>
      </c>
      <c r="M113" s="13">
        <v>0.35190023752969124</v>
      </c>
      <c r="N113" s="38">
        <f t="shared" si="2"/>
        <v>6.9159060388860952E-2</v>
      </c>
      <c r="O113" s="38">
        <f t="shared" si="3"/>
        <v>4.2275655162074099E-2</v>
      </c>
      <c r="P113" s="26"/>
      <c r="Q113" s="45"/>
      <c r="R113" s="38"/>
      <c r="S113" s="38"/>
      <c r="T113" s="38"/>
      <c r="U113" s="1" t="b">
        <v>0</v>
      </c>
      <c r="V113" s="1" t="b">
        <v>1</v>
      </c>
      <c r="W113" s="31" t="s">
        <v>1885</v>
      </c>
    </row>
    <row r="114" spans="1:23" ht="30">
      <c r="A114" s="7">
        <v>113</v>
      </c>
      <c r="B114" s="7" t="s">
        <v>429</v>
      </c>
      <c r="C114" s="7" t="s">
        <v>43</v>
      </c>
      <c r="D114" s="7" t="s">
        <v>99</v>
      </c>
      <c r="E114" s="11">
        <v>4.5</v>
      </c>
      <c r="F114" s="7" t="s">
        <v>40</v>
      </c>
      <c r="G114" s="7" t="s">
        <v>1743</v>
      </c>
      <c r="H114" s="37">
        <f>IFERROR(VLOOKUP(C114,Fixture_Engine!$D$2:$R$21,13,FALSE),"")</f>
        <v>1.452548189055803</v>
      </c>
      <c r="I114" s="37">
        <f>IFERROR(VLOOKUP(C114,Fixture_Engine!$D$2:$R$21,14,FALSE),"")</f>
        <v>1.2147039153583923</v>
      </c>
      <c r="J114" s="37">
        <f>IFERROR(VLOOKUP(C114,Fixture_Engine!$D$2:$R$21,15,FALSE),"")</f>
        <v>0.29679787857927975</v>
      </c>
      <c r="K114" s="13">
        <v>3.9423999454773637E-2</v>
      </c>
      <c r="L114" s="13">
        <v>5.7149160596956419E-2</v>
      </c>
      <c r="M114" s="13">
        <v>0.24213075060532685</v>
      </c>
      <c r="N114" s="38">
        <f t="shared" si="2"/>
        <v>5.7265259013368409E-2</v>
      </c>
      <c r="O114" s="38">
        <f t="shared" si="3"/>
        <v>8.3011909731168301E-2</v>
      </c>
      <c r="P114" s="26"/>
      <c r="Q114" s="45"/>
      <c r="R114" s="38"/>
      <c r="S114" s="38"/>
      <c r="T114" s="38"/>
      <c r="U114" s="1" t="b">
        <v>0</v>
      </c>
      <c r="V114" s="1" t="b">
        <v>0</v>
      </c>
      <c r="W114" s="31" t="s">
        <v>1885</v>
      </c>
    </row>
    <row r="115" spans="1:23" ht="30">
      <c r="A115" s="7">
        <v>114</v>
      </c>
      <c r="B115" s="7" t="s">
        <v>431</v>
      </c>
      <c r="C115" s="7" t="s">
        <v>43</v>
      </c>
      <c r="D115" s="7" t="s">
        <v>99</v>
      </c>
      <c r="E115" s="11">
        <v>4.5</v>
      </c>
      <c r="F115" s="7" t="s">
        <v>40</v>
      </c>
      <c r="G115" s="7" t="s">
        <v>1743</v>
      </c>
      <c r="H115" s="37">
        <f>IFERROR(VLOOKUP(C115,Fixture_Engine!$D$2:$R$21,13,FALSE),"")</f>
        <v>1.452548189055803</v>
      </c>
      <c r="I115" s="37">
        <f>IFERROR(VLOOKUP(C115,Fixture_Engine!$D$2:$R$21,14,FALSE),"")</f>
        <v>1.2147039153583923</v>
      </c>
      <c r="J115" s="37">
        <f>IFERROR(VLOOKUP(C115,Fixture_Engine!$D$2:$R$21,15,FALSE),"")</f>
        <v>0.29679787857927975</v>
      </c>
      <c r="K115" s="13">
        <v>2.451124466213387E-2</v>
      </c>
      <c r="L115" s="13">
        <v>3.7951494123759005E-2</v>
      </c>
      <c r="M115" s="13">
        <v>0.5558643690939411</v>
      </c>
      <c r="N115" s="38">
        <f t="shared" si="2"/>
        <v>3.5603764045486271E-2</v>
      </c>
      <c r="O115" s="38">
        <f t="shared" si="3"/>
        <v>5.5126374061428091E-2</v>
      </c>
      <c r="P115" s="26"/>
      <c r="Q115" s="45"/>
      <c r="R115" s="38"/>
      <c r="S115" s="38"/>
      <c r="T115" s="38"/>
      <c r="U115" s="1" t="b">
        <v>0</v>
      </c>
      <c r="V115" s="1" t="b">
        <v>1</v>
      </c>
      <c r="W115" s="31" t="s">
        <v>1885</v>
      </c>
    </row>
    <row r="116" spans="1:23" ht="30">
      <c r="A116" s="7">
        <v>115</v>
      </c>
      <c r="B116" s="7" t="s">
        <v>434</v>
      </c>
      <c r="C116" s="7" t="s">
        <v>43</v>
      </c>
      <c r="D116" s="7" t="s">
        <v>99</v>
      </c>
      <c r="E116" s="11">
        <v>4.5</v>
      </c>
      <c r="F116" s="7" t="s">
        <v>40</v>
      </c>
      <c r="G116" s="7" t="s">
        <v>1743</v>
      </c>
      <c r="H116" s="37">
        <f>IFERROR(VLOOKUP(C116,Fixture_Engine!$D$2:$R$21,13,FALSE),"")</f>
        <v>1.452548189055803</v>
      </c>
      <c r="I116" s="37">
        <f>IFERROR(VLOOKUP(C116,Fixture_Engine!$D$2:$R$21,14,FALSE),"")</f>
        <v>1.2147039153583923</v>
      </c>
      <c r="J116" s="37">
        <f>IFERROR(VLOOKUP(C116,Fixture_Engine!$D$2:$R$21,15,FALSE),"")</f>
        <v>0.29679787857927975</v>
      </c>
      <c r="K116" s="13">
        <v>5.790107102455648E-2</v>
      </c>
      <c r="L116" s="13">
        <v>0.11709979141031786</v>
      </c>
      <c r="M116" s="13">
        <v>0.41597337770382692</v>
      </c>
      <c r="N116" s="38">
        <f t="shared" si="2"/>
        <v>8.4104095861110936E-2</v>
      </c>
      <c r="O116" s="38">
        <f t="shared" si="3"/>
        <v>0.17009308995186947</v>
      </c>
      <c r="P116" s="26"/>
      <c r="Q116" s="45"/>
      <c r="R116" s="38"/>
      <c r="S116" s="38"/>
      <c r="T116" s="38"/>
      <c r="U116" s="1" t="b">
        <v>0</v>
      </c>
      <c r="V116" s="1" t="b">
        <v>0</v>
      </c>
      <c r="W116" s="31" t="s">
        <v>1885</v>
      </c>
    </row>
    <row r="117" spans="1:23" ht="30">
      <c r="A117" s="7">
        <v>116</v>
      </c>
      <c r="B117" s="7" t="s">
        <v>437</v>
      </c>
      <c r="C117" s="7" t="s">
        <v>43</v>
      </c>
      <c r="D117" s="7" t="s">
        <v>99</v>
      </c>
      <c r="E117" s="11">
        <v>4.5</v>
      </c>
      <c r="F117" s="7" t="s">
        <v>40</v>
      </c>
      <c r="G117" s="7" t="s">
        <v>1743</v>
      </c>
      <c r="H117" s="37">
        <f>IFERROR(VLOOKUP(C117,Fixture_Engine!$D$2:$R$21,13,FALSE),"")</f>
        <v>1.452548189055803</v>
      </c>
      <c r="I117" s="37">
        <f>IFERROR(VLOOKUP(C117,Fixture_Engine!$D$2:$R$21,14,FALSE),"")</f>
        <v>1.2147039153583923</v>
      </c>
      <c r="J117" s="37">
        <f>IFERROR(VLOOKUP(C117,Fixture_Engine!$D$2:$R$21,15,FALSE),"")</f>
        <v>0.29679787857927975</v>
      </c>
      <c r="K117" s="13">
        <v>3.8893829950543614E-2</v>
      </c>
      <c r="L117" s="13">
        <v>1.917925465332506E-2</v>
      </c>
      <c r="M117" s="13">
        <v>0.26062027625749284</v>
      </c>
      <c r="N117" s="38">
        <f t="shared" si="2"/>
        <v>5.649516226010648E-2</v>
      </c>
      <c r="O117" s="38">
        <f t="shared" si="3"/>
        <v>2.7858791614127399E-2</v>
      </c>
      <c r="P117" s="26"/>
      <c r="Q117" s="45"/>
      <c r="R117" s="38"/>
      <c r="S117" s="38"/>
      <c r="T117" s="38"/>
      <c r="U117" s="1" t="b">
        <v>0</v>
      </c>
      <c r="V117" s="1" t="b">
        <v>0</v>
      </c>
      <c r="W117" s="31" t="s">
        <v>1885</v>
      </c>
    </row>
    <row r="118" spans="1:23" ht="30">
      <c r="A118" s="7">
        <v>117</v>
      </c>
      <c r="B118" s="7" t="s">
        <v>440</v>
      </c>
      <c r="C118" s="7" t="s">
        <v>43</v>
      </c>
      <c r="D118" s="7" t="s">
        <v>99</v>
      </c>
      <c r="E118" s="11">
        <v>4.5</v>
      </c>
      <c r="F118" s="7" t="s">
        <v>40</v>
      </c>
      <c r="G118" s="7" t="s">
        <v>1743</v>
      </c>
      <c r="H118" s="37">
        <f>IFERROR(VLOOKUP(C118,Fixture_Engine!$D$2:$R$21,13,FALSE),"")</f>
        <v>1.452548189055803</v>
      </c>
      <c r="I118" s="37">
        <f>IFERROR(VLOOKUP(C118,Fixture_Engine!$D$2:$R$21,14,FALSE),"")</f>
        <v>1.2147039153583923</v>
      </c>
      <c r="J118" s="37">
        <f>IFERROR(VLOOKUP(C118,Fixture_Engine!$D$2:$R$21,15,FALSE),"")</f>
        <v>0.29679787857927975</v>
      </c>
      <c r="K118" s="13">
        <v>4.1142361271531161E-2</v>
      </c>
      <c r="L118" s="13">
        <v>3.4454110203423219E-2</v>
      </c>
      <c r="M118" s="13">
        <v>0.83822296730930423</v>
      </c>
      <c r="N118" s="38">
        <f t="shared" si="2"/>
        <v>5.9761262358442188E-2</v>
      </c>
      <c r="O118" s="38">
        <f t="shared" si="3"/>
        <v>5.0046255381511459E-2</v>
      </c>
      <c r="P118" s="26"/>
      <c r="Q118" s="45"/>
      <c r="R118" s="38"/>
      <c r="S118" s="38"/>
      <c r="T118" s="38"/>
      <c r="U118" s="1" t="b">
        <v>0</v>
      </c>
      <c r="V118" s="1" t="b">
        <v>1</v>
      </c>
      <c r="W118" s="31" t="s">
        <v>1885</v>
      </c>
    </row>
    <row r="119" spans="1:23" ht="30">
      <c r="A119" s="7">
        <v>118</v>
      </c>
      <c r="B119" s="7" t="s">
        <v>442</v>
      </c>
      <c r="C119" s="7" t="s">
        <v>43</v>
      </c>
      <c r="D119" s="7" t="s">
        <v>99</v>
      </c>
      <c r="E119" s="11">
        <v>4.5</v>
      </c>
      <c r="F119" s="7" t="s">
        <v>40</v>
      </c>
      <c r="G119" s="7" t="s">
        <v>1743</v>
      </c>
      <c r="H119" s="37">
        <f>IFERROR(VLOOKUP(C119,Fixture_Engine!$D$2:$R$21,13,FALSE),"")</f>
        <v>1.452548189055803</v>
      </c>
      <c r="I119" s="37">
        <f>IFERROR(VLOOKUP(C119,Fixture_Engine!$D$2:$R$21,14,FALSE),"")</f>
        <v>1.2147039153583923</v>
      </c>
      <c r="J119" s="37">
        <f>IFERROR(VLOOKUP(C119,Fixture_Engine!$D$2:$R$21,15,FALSE),"")</f>
        <v>0.29679787857927975</v>
      </c>
      <c r="K119" s="13">
        <v>4.1142361271531161E-2</v>
      </c>
      <c r="L119" s="13">
        <v>4.0513079897554365E-2</v>
      </c>
      <c r="M119" s="13">
        <v>0.90661831368993651</v>
      </c>
      <c r="N119" s="38">
        <f t="shared" si="2"/>
        <v>5.9761262358442188E-2</v>
      </c>
      <c r="O119" s="38">
        <f t="shared" si="3"/>
        <v>5.8847200838265647E-2</v>
      </c>
      <c r="P119" s="26"/>
      <c r="Q119" s="45"/>
      <c r="R119" s="38"/>
      <c r="S119" s="38"/>
      <c r="T119" s="38"/>
      <c r="U119" s="1" t="b">
        <v>0</v>
      </c>
      <c r="V119" s="1" t="b">
        <v>1</v>
      </c>
      <c r="W119" s="31" t="s">
        <v>1885</v>
      </c>
    </row>
    <row r="120" spans="1:23" ht="30">
      <c r="A120" s="7">
        <v>119</v>
      </c>
      <c r="B120" s="7" t="s">
        <v>445</v>
      </c>
      <c r="C120" s="7" t="s">
        <v>43</v>
      </c>
      <c r="D120" s="7" t="s">
        <v>99</v>
      </c>
      <c r="E120" s="11">
        <v>4.5</v>
      </c>
      <c r="F120" s="7" t="s">
        <v>40</v>
      </c>
      <c r="G120" s="7" t="s">
        <v>1743</v>
      </c>
      <c r="H120" s="37">
        <f>IFERROR(VLOOKUP(C120,Fixture_Engine!$D$2:$R$21,13,FALSE),"")</f>
        <v>1.452548189055803</v>
      </c>
      <c r="I120" s="37">
        <f>IFERROR(VLOOKUP(C120,Fixture_Engine!$D$2:$R$21,14,FALSE),"")</f>
        <v>1.2147039153583923</v>
      </c>
      <c r="J120" s="37">
        <f>IFERROR(VLOOKUP(C120,Fixture_Engine!$D$2:$R$21,15,FALSE),"")</f>
        <v>0.29679787857927975</v>
      </c>
      <c r="K120" s="13">
        <v>4.1142361271531161E-2</v>
      </c>
      <c r="L120" s="13">
        <v>4.0513079897554365E-2</v>
      </c>
      <c r="M120" s="13">
        <v>1</v>
      </c>
      <c r="N120" s="38">
        <f t="shared" si="2"/>
        <v>5.9761262358442188E-2</v>
      </c>
      <c r="O120" s="38">
        <f t="shared" si="3"/>
        <v>5.8847200838265647E-2</v>
      </c>
      <c r="P120" s="26"/>
      <c r="Q120" s="45"/>
      <c r="R120" s="38"/>
      <c r="S120" s="38"/>
      <c r="T120" s="38"/>
      <c r="V120" s="1" t="b">
        <v>1</v>
      </c>
      <c r="W120" s="31" t="s">
        <v>1885</v>
      </c>
    </row>
    <row r="121" spans="1:23" ht="30">
      <c r="A121" s="7">
        <v>120</v>
      </c>
      <c r="B121" s="7" t="s">
        <v>447</v>
      </c>
      <c r="C121" s="7" t="s">
        <v>43</v>
      </c>
      <c r="D121" s="7" t="s">
        <v>99</v>
      </c>
      <c r="E121" s="11">
        <v>5</v>
      </c>
      <c r="F121" s="7" t="s">
        <v>40</v>
      </c>
      <c r="G121" s="7" t="s">
        <v>1743</v>
      </c>
      <c r="H121" s="37">
        <f>IFERROR(VLOOKUP(C121,Fixture_Engine!$D$2:$R$21,13,FALSE),"")</f>
        <v>1.452548189055803</v>
      </c>
      <c r="I121" s="37">
        <f>IFERROR(VLOOKUP(C121,Fixture_Engine!$D$2:$R$21,14,FALSE),"")</f>
        <v>1.2147039153583923</v>
      </c>
      <c r="J121" s="37">
        <f>IFERROR(VLOOKUP(C121,Fixture_Engine!$D$2:$R$21,15,FALSE),"")</f>
        <v>0.29679787857927975</v>
      </c>
      <c r="K121" s="13">
        <v>4.1142361271531161E-2</v>
      </c>
      <c r="L121" s="13">
        <v>4.0513079897554365E-2</v>
      </c>
      <c r="M121" s="13">
        <v>1</v>
      </c>
      <c r="N121" s="38">
        <f t="shared" si="2"/>
        <v>5.9761262358442188E-2</v>
      </c>
      <c r="O121" s="38">
        <f t="shared" si="3"/>
        <v>5.8847200838265647E-2</v>
      </c>
      <c r="P121" s="26"/>
      <c r="Q121" s="45"/>
      <c r="R121" s="38"/>
      <c r="S121" s="38"/>
      <c r="T121" s="38"/>
      <c r="V121" s="1" t="b">
        <v>1</v>
      </c>
      <c r="W121" s="31" t="s">
        <v>1885</v>
      </c>
    </row>
    <row r="122" spans="1:23" ht="30">
      <c r="A122" s="7">
        <v>121</v>
      </c>
      <c r="B122" s="7" t="s">
        <v>450</v>
      </c>
      <c r="C122" s="7" t="s">
        <v>43</v>
      </c>
      <c r="D122" s="7" t="s">
        <v>112</v>
      </c>
      <c r="E122" s="11">
        <v>6</v>
      </c>
      <c r="F122" s="7" t="s">
        <v>40</v>
      </c>
      <c r="G122" s="7" t="s">
        <v>1743</v>
      </c>
      <c r="H122" s="37">
        <f>IFERROR(VLOOKUP(C122,Fixture_Engine!$D$2:$R$21,13,FALSE),"")</f>
        <v>1.452548189055803</v>
      </c>
      <c r="I122" s="37">
        <f>IFERROR(VLOOKUP(C122,Fixture_Engine!$D$2:$R$21,14,FALSE),"")</f>
        <v>1.2147039153583923</v>
      </c>
      <c r="J122" s="37">
        <f>IFERROR(VLOOKUP(C122,Fixture_Engine!$D$2:$R$21,15,FALSE),"")</f>
        <v>0.29679787857927975</v>
      </c>
      <c r="K122" s="13">
        <v>0.12754236749245004</v>
      </c>
      <c r="L122" s="13">
        <v>9.2883283550093704E-2</v>
      </c>
      <c r="M122" s="13">
        <v>0.36845983787767134</v>
      </c>
      <c r="N122" s="38">
        <f t="shared" si="2"/>
        <v>0.18526143492904804</v>
      </c>
      <c r="O122" s="38">
        <f t="shared" si="3"/>
        <v>0.13491744531424527</v>
      </c>
      <c r="P122" s="26"/>
      <c r="Q122" s="45"/>
      <c r="R122" s="38"/>
      <c r="S122" s="38"/>
      <c r="T122" s="38"/>
      <c r="U122" s="1" t="b">
        <v>0</v>
      </c>
      <c r="V122" s="1" t="b">
        <v>0</v>
      </c>
      <c r="W122" s="31" t="s">
        <v>1885</v>
      </c>
    </row>
    <row r="123" spans="1:23" ht="30">
      <c r="A123" s="7">
        <v>122</v>
      </c>
      <c r="B123" s="7" t="s">
        <v>454</v>
      </c>
      <c r="C123" s="7" t="s">
        <v>43</v>
      </c>
      <c r="D123" s="7" t="s">
        <v>112</v>
      </c>
      <c r="E123" s="11">
        <v>6</v>
      </c>
      <c r="F123" s="7" t="s">
        <v>40</v>
      </c>
      <c r="G123" s="7" t="s">
        <v>1743</v>
      </c>
      <c r="H123" s="37">
        <f>IFERROR(VLOOKUP(C123,Fixture_Engine!$D$2:$R$21,13,FALSE),"")</f>
        <v>1.452548189055803</v>
      </c>
      <c r="I123" s="37">
        <f>IFERROR(VLOOKUP(C123,Fixture_Engine!$D$2:$R$21,14,FALSE),"")</f>
        <v>1.2147039153583923</v>
      </c>
      <c r="J123" s="37">
        <f>IFERROR(VLOOKUP(C123,Fixture_Engine!$D$2:$R$21,15,FALSE),"")</f>
        <v>0.29679787857927975</v>
      </c>
      <c r="K123" s="13">
        <v>9.8130567467255847E-2</v>
      </c>
      <c r="L123" s="13">
        <v>0.11481897343906938</v>
      </c>
      <c r="M123" s="13">
        <v>0.29507229271171442</v>
      </c>
      <c r="N123" s="38">
        <f t="shared" si="2"/>
        <v>0.14253937806558079</v>
      </c>
      <c r="O123" s="38">
        <f t="shared" si="3"/>
        <v>0.16678009193816656</v>
      </c>
      <c r="P123" s="26"/>
      <c r="Q123" s="45"/>
      <c r="R123" s="38"/>
      <c r="S123" s="38"/>
      <c r="T123" s="38"/>
      <c r="U123" s="1" t="b">
        <v>0</v>
      </c>
      <c r="V123" s="1" t="b">
        <v>0</v>
      </c>
      <c r="W123" s="31" t="s">
        <v>1885</v>
      </c>
    </row>
    <row r="124" spans="1:23" ht="30">
      <c r="A124" s="7">
        <v>123</v>
      </c>
      <c r="B124" s="7" t="s">
        <v>456</v>
      </c>
      <c r="C124" s="7" t="s">
        <v>43</v>
      </c>
      <c r="D124" s="7" t="s">
        <v>112</v>
      </c>
      <c r="E124" s="11">
        <v>6</v>
      </c>
      <c r="F124" s="7" t="s">
        <v>40</v>
      </c>
      <c r="G124" s="7" t="s">
        <v>1743</v>
      </c>
      <c r="H124" s="37">
        <f>IFERROR(VLOOKUP(C124,Fixture_Engine!$D$2:$R$21,13,FALSE),"")</f>
        <v>1.452548189055803</v>
      </c>
      <c r="I124" s="37">
        <f>IFERROR(VLOOKUP(C124,Fixture_Engine!$D$2:$R$21,14,FALSE),"")</f>
        <v>1.2147039153583923</v>
      </c>
      <c r="J124" s="37">
        <f>IFERROR(VLOOKUP(C124,Fixture_Engine!$D$2:$R$21,15,FALSE),"")</f>
        <v>0.29679787857927975</v>
      </c>
      <c r="K124" s="13">
        <v>0.14594685933339455</v>
      </c>
      <c r="L124" s="13">
        <v>8.3500836458250349E-2</v>
      </c>
      <c r="M124" s="13">
        <v>0.36549707602339176</v>
      </c>
      <c r="N124" s="38">
        <f t="shared" si="2"/>
        <v>0.21199484622310427</v>
      </c>
      <c r="O124" s="38">
        <f t="shared" si="3"/>
        <v>0.12128898878207631</v>
      </c>
      <c r="P124" s="26"/>
      <c r="Q124" s="45"/>
      <c r="R124" s="38"/>
      <c r="S124" s="38"/>
      <c r="T124" s="38"/>
      <c r="U124" s="1" t="b">
        <v>0</v>
      </c>
      <c r="V124" s="1" t="b">
        <v>0</v>
      </c>
      <c r="W124" s="31" t="s">
        <v>1885</v>
      </c>
    </row>
    <row r="125" spans="1:23" ht="30">
      <c r="A125" s="7">
        <v>124</v>
      </c>
      <c r="B125" s="7" t="s">
        <v>459</v>
      </c>
      <c r="C125" s="7" t="s">
        <v>43</v>
      </c>
      <c r="D125" s="7" t="s">
        <v>112</v>
      </c>
      <c r="E125" s="11">
        <v>5.5</v>
      </c>
      <c r="F125" s="7" t="s">
        <v>40</v>
      </c>
      <c r="G125" s="7" t="s">
        <v>1743</v>
      </c>
      <c r="H125" s="37">
        <f>IFERROR(VLOOKUP(C125,Fixture_Engine!$D$2:$R$21,13,FALSE),"")</f>
        <v>1.452548189055803</v>
      </c>
      <c r="I125" s="37">
        <f>IFERROR(VLOOKUP(C125,Fixture_Engine!$D$2:$R$21,14,FALSE),"")</f>
        <v>1.2147039153583923</v>
      </c>
      <c r="J125" s="37">
        <f>IFERROR(VLOOKUP(C125,Fixture_Engine!$D$2:$R$21,15,FALSE),"")</f>
        <v>0.29679787857927975</v>
      </c>
      <c r="K125" s="13">
        <v>7.1935314099083061E-2</v>
      </c>
      <c r="L125" s="13">
        <v>0.12274534679272681</v>
      </c>
      <c r="M125" s="13">
        <v>0.37936267071320184</v>
      </c>
      <c r="N125" s="38">
        <f t="shared" si="2"/>
        <v>0.10448951022378347</v>
      </c>
      <c r="O125" s="38">
        <f t="shared" si="3"/>
        <v>0.17829353119880184</v>
      </c>
      <c r="P125" s="26"/>
      <c r="Q125" s="45"/>
      <c r="R125" s="38"/>
      <c r="S125" s="38"/>
      <c r="T125" s="38"/>
      <c r="U125" s="1" t="b">
        <v>0</v>
      </c>
      <c r="V125" s="1" t="b">
        <v>0</v>
      </c>
      <c r="W125" s="31" t="s">
        <v>1885</v>
      </c>
    </row>
    <row r="126" spans="1:23" ht="30">
      <c r="A126" s="7">
        <v>125</v>
      </c>
      <c r="B126" s="7" t="s">
        <v>461</v>
      </c>
      <c r="C126" s="7" t="s">
        <v>43</v>
      </c>
      <c r="D126" s="7" t="s">
        <v>167</v>
      </c>
      <c r="E126" s="11">
        <v>5.5</v>
      </c>
      <c r="F126" s="7" t="s">
        <v>40</v>
      </c>
      <c r="G126" s="7" t="s">
        <v>1743</v>
      </c>
      <c r="H126" s="37">
        <f>IFERROR(VLOOKUP(C126,Fixture_Engine!$D$2:$R$21,13,FALSE),"")</f>
        <v>1.452548189055803</v>
      </c>
      <c r="I126" s="37">
        <f>IFERROR(VLOOKUP(C126,Fixture_Engine!$D$2:$R$21,14,FALSE),"")</f>
        <v>1.2147039153583923</v>
      </c>
      <c r="J126" s="37">
        <f>IFERROR(VLOOKUP(C126,Fixture_Engine!$D$2:$R$21,15,FALSE),"")</f>
        <v>0.29679787857927975</v>
      </c>
      <c r="K126" s="13">
        <v>0.17143753309361959</v>
      </c>
      <c r="L126" s="13">
        <v>7.5847765971235326E-2</v>
      </c>
      <c r="M126" s="13">
        <v>0.36023054755043227</v>
      </c>
      <c r="N126" s="38">
        <f t="shared" si="2"/>
        <v>0.24902127823133141</v>
      </c>
      <c r="O126" s="38">
        <f t="shared" si="3"/>
        <v>0.11017253510544622</v>
      </c>
      <c r="P126" s="26"/>
      <c r="Q126" s="45"/>
      <c r="R126" s="38"/>
      <c r="S126" s="38"/>
      <c r="T126" s="38"/>
      <c r="U126" s="1" t="b">
        <v>0</v>
      </c>
      <c r="V126" s="1" t="b">
        <v>0</v>
      </c>
      <c r="W126" s="31" t="s">
        <v>1885</v>
      </c>
    </row>
    <row r="127" spans="1:23" ht="30">
      <c r="A127" s="7">
        <v>126</v>
      </c>
      <c r="B127" s="7" t="s">
        <v>464</v>
      </c>
      <c r="C127" s="7" t="s">
        <v>43</v>
      </c>
      <c r="D127" s="7" t="s">
        <v>112</v>
      </c>
      <c r="E127" s="11">
        <v>5.5</v>
      </c>
      <c r="F127" s="7" t="s">
        <v>40</v>
      </c>
      <c r="G127" s="7" t="s">
        <v>1743</v>
      </c>
      <c r="H127" s="37">
        <f>IFERROR(VLOOKUP(C127,Fixture_Engine!$D$2:$R$21,13,FALSE),"")</f>
        <v>1.452548189055803</v>
      </c>
      <c r="I127" s="37">
        <f>IFERROR(VLOOKUP(C127,Fixture_Engine!$D$2:$R$21,14,FALSE),"")</f>
        <v>1.2147039153583923</v>
      </c>
      <c r="J127" s="37">
        <f>IFERROR(VLOOKUP(C127,Fixture_Engine!$D$2:$R$21,15,FALSE),"")</f>
        <v>0.29679787857927975</v>
      </c>
      <c r="K127" s="13">
        <v>0.14890962031019245</v>
      </c>
      <c r="L127" s="13">
        <v>8.3920795608813381E-2</v>
      </c>
      <c r="M127" s="13">
        <v>0.83194675540765395</v>
      </c>
      <c r="N127" s="38">
        <f t="shared" si="2"/>
        <v>0.21629839931455724</v>
      </c>
      <c r="O127" s="38">
        <f t="shared" si="3"/>
        <v>0.12189899968570406</v>
      </c>
      <c r="P127" s="26"/>
      <c r="Q127" s="45"/>
      <c r="R127" s="38"/>
      <c r="S127" s="38"/>
      <c r="T127" s="38"/>
      <c r="U127" s="1" t="b">
        <v>0</v>
      </c>
      <c r="V127" s="1" t="b">
        <v>1</v>
      </c>
      <c r="W127" s="31" t="s">
        <v>1885</v>
      </c>
    </row>
    <row r="128" spans="1:23" ht="30">
      <c r="A128" s="7">
        <v>127</v>
      </c>
      <c r="B128" s="7" t="s">
        <v>467</v>
      </c>
      <c r="C128" s="7" t="s">
        <v>43</v>
      </c>
      <c r="D128" s="7" t="s">
        <v>112</v>
      </c>
      <c r="E128" s="11">
        <v>5</v>
      </c>
      <c r="F128" s="7" t="s">
        <v>40</v>
      </c>
      <c r="G128" s="7" t="s">
        <v>1743</v>
      </c>
      <c r="H128" s="37">
        <f>IFERROR(VLOOKUP(C128,Fixture_Engine!$D$2:$R$21,13,FALSE),"")</f>
        <v>1.452548189055803</v>
      </c>
      <c r="I128" s="37">
        <f>IFERROR(VLOOKUP(C128,Fixture_Engine!$D$2:$R$21,14,FALSE),"")</f>
        <v>1.2147039153583923</v>
      </c>
      <c r="J128" s="37">
        <f>IFERROR(VLOOKUP(C128,Fixture_Engine!$D$2:$R$21,15,FALSE),"")</f>
        <v>0.29679787857927975</v>
      </c>
      <c r="K128" s="13">
        <v>0.15274243564421136</v>
      </c>
      <c r="L128" s="13">
        <v>6.1545244431101022E-2</v>
      </c>
      <c r="M128" s="13">
        <v>0.32082130253448826</v>
      </c>
      <c r="N128" s="38">
        <f t="shared" si="2"/>
        <v>0.22186574828697175</v>
      </c>
      <c r="O128" s="38">
        <f t="shared" si="3"/>
        <v>8.9397433343392535E-2</v>
      </c>
      <c r="P128" s="26"/>
      <c r="Q128" s="45"/>
      <c r="R128" s="38"/>
      <c r="S128" s="38"/>
      <c r="T128" s="38"/>
      <c r="U128" s="1" t="b">
        <v>0</v>
      </c>
      <c r="V128" s="1" t="b">
        <v>0</v>
      </c>
      <c r="W128" s="31" t="s">
        <v>1885</v>
      </c>
    </row>
    <row r="129" spans="1:23" ht="30">
      <c r="A129" s="7">
        <v>128</v>
      </c>
      <c r="B129" s="7" t="s">
        <v>470</v>
      </c>
      <c r="C129" s="7" t="s">
        <v>43</v>
      </c>
      <c r="D129" s="7" t="s">
        <v>112</v>
      </c>
      <c r="E129" s="11">
        <v>5</v>
      </c>
      <c r="F129" s="7" t="s">
        <v>40</v>
      </c>
      <c r="G129" s="7" t="s">
        <v>1743</v>
      </c>
      <c r="H129" s="37">
        <f>IFERROR(VLOOKUP(C129,Fixture_Engine!$D$2:$R$21,13,FALSE),"")</f>
        <v>1.452548189055803</v>
      </c>
      <c r="I129" s="37">
        <f>IFERROR(VLOOKUP(C129,Fixture_Engine!$D$2:$R$21,14,FALSE),"")</f>
        <v>1.2147039153583923</v>
      </c>
      <c r="J129" s="37">
        <f>IFERROR(VLOOKUP(C129,Fixture_Engine!$D$2:$R$21,15,FALSE),"")</f>
        <v>0.29679787857927975</v>
      </c>
      <c r="K129" s="13">
        <v>0.10364688641480947</v>
      </c>
      <c r="L129" s="13">
        <v>9.8385576605932307E-2</v>
      </c>
      <c r="M129" s="13">
        <v>0.936308973172988</v>
      </c>
      <c r="N129" s="38">
        <f t="shared" si="2"/>
        <v>0.150552097163104</v>
      </c>
      <c r="O129" s="38">
        <f t="shared" si="3"/>
        <v>0.14290979112815794</v>
      </c>
      <c r="P129" s="26"/>
      <c r="Q129" s="45"/>
      <c r="R129" s="38"/>
      <c r="S129" s="38"/>
      <c r="T129" s="38"/>
      <c r="U129" s="1" t="b">
        <v>0</v>
      </c>
      <c r="V129" s="1" t="b">
        <v>1</v>
      </c>
      <c r="W129" s="31" t="s">
        <v>1885</v>
      </c>
    </row>
    <row r="130" spans="1:23" ht="30">
      <c r="A130" s="7">
        <v>129</v>
      </c>
      <c r="B130" s="7" t="s">
        <v>473</v>
      </c>
      <c r="C130" s="7" t="s">
        <v>43</v>
      </c>
      <c r="D130" s="7" t="s">
        <v>112</v>
      </c>
      <c r="E130" s="11">
        <v>5.5</v>
      </c>
      <c r="F130" s="7" t="s">
        <v>40</v>
      </c>
      <c r="G130" s="7" t="s">
        <v>1743</v>
      </c>
      <c r="H130" s="37">
        <f>IFERROR(VLOOKUP(C130,Fixture_Engine!$D$2:$R$21,13,FALSE),"")</f>
        <v>1.452548189055803</v>
      </c>
      <c r="I130" s="37">
        <f>IFERROR(VLOOKUP(C130,Fixture_Engine!$D$2:$R$21,14,FALSE),"")</f>
        <v>1.2147039153583923</v>
      </c>
      <c r="J130" s="37">
        <f>IFERROR(VLOOKUP(C130,Fixture_Engine!$D$2:$R$21,15,FALSE),"")</f>
        <v>0.29679787857927975</v>
      </c>
      <c r="K130" s="13">
        <v>9.1406958680983197E-2</v>
      </c>
      <c r="L130" s="13">
        <v>5.4148624823470881E-2</v>
      </c>
      <c r="M130" s="13">
        <v>0.3423485107839781</v>
      </c>
      <c r="N130" s="38">
        <f t="shared" ref="N130:N193" si="4">IF(OR(H130="",K130=""),"",H130*K130)</f>
        <v>0.13277301229916075</v>
      </c>
      <c r="O130" s="38">
        <f t="shared" ref="O130:O193" si="5">IF(OR(H130="",L130=""),"",H130*L130)</f>
        <v>7.8653486927194732E-2</v>
      </c>
      <c r="P130" s="26"/>
      <c r="Q130" s="45"/>
      <c r="R130" s="38"/>
      <c r="S130" s="38"/>
      <c r="T130" s="38"/>
      <c r="U130" s="1" t="b">
        <v>0</v>
      </c>
      <c r="V130" s="1" t="b">
        <v>0</v>
      </c>
      <c r="W130" s="31" t="s">
        <v>1885</v>
      </c>
    </row>
    <row r="131" spans="1:23" ht="30">
      <c r="A131" s="7">
        <v>130</v>
      </c>
      <c r="B131" s="7" t="s">
        <v>476</v>
      </c>
      <c r="C131" s="7" t="s">
        <v>43</v>
      </c>
      <c r="D131" s="7" t="s">
        <v>99</v>
      </c>
      <c r="E131" s="11">
        <v>5</v>
      </c>
      <c r="F131" s="7" t="s">
        <v>40</v>
      </c>
      <c r="G131" s="7" t="s">
        <v>1743</v>
      </c>
      <c r="H131" s="37">
        <f>IFERROR(VLOOKUP(C131,Fixture_Engine!$D$2:$R$21,13,FALSE),"")</f>
        <v>1.452548189055803</v>
      </c>
      <c r="I131" s="37">
        <f>IFERROR(VLOOKUP(C131,Fixture_Engine!$D$2:$R$21,14,FALSE),"")</f>
        <v>1.2147039153583923</v>
      </c>
      <c r="J131" s="37">
        <f>IFERROR(VLOOKUP(C131,Fixture_Engine!$D$2:$R$21,15,FALSE),"")</f>
        <v>0.29679787857927975</v>
      </c>
      <c r="K131" s="13">
        <v>5.3275314614409389E-2</v>
      </c>
      <c r="L131" s="13">
        <v>5.1836733840623109E-2</v>
      </c>
      <c r="M131" s="13">
        <v>0.34470872113064466</v>
      </c>
      <c r="N131" s="38">
        <f t="shared" si="4"/>
        <v>7.7384961764538518E-2</v>
      </c>
      <c r="O131" s="38">
        <f t="shared" si="5"/>
        <v>7.5295353866764753E-2</v>
      </c>
      <c r="P131" s="26"/>
      <c r="Q131" s="45"/>
      <c r="R131" s="38"/>
      <c r="S131" s="38"/>
      <c r="T131" s="38"/>
      <c r="U131" s="1" t="b">
        <v>0</v>
      </c>
      <c r="V131" s="1" t="b">
        <v>0</v>
      </c>
      <c r="W131" s="31" t="s">
        <v>1885</v>
      </c>
    </row>
    <row r="132" spans="1:23" ht="30">
      <c r="A132" s="7">
        <v>131</v>
      </c>
      <c r="B132" s="7" t="s">
        <v>479</v>
      </c>
      <c r="C132" s="7" t="s">
        <v>43</v>
      </c>
      <c r="D132" s="7" t="s">
        <v>112</v>
      </c>
      <c r="E132" s="11">
        <v>5</v>
      </c>
      <c r="F132" s="7" t="s">
        <v>40</v>
      </c>
      <c r="G132" s="7" t="s">
        <v>1743</v>
      </c>
      <c r="H132" s="37">
        <f>IFERROR(VLOOKUP(C132,Fixture_Engine!$D$2:$R$21,13,FALSE),"")</f>
        <v>1.452548189055803</v>
      </c>
      <c r="I132" s="37">
        <f>IFERROR(VLOOKUP(C132,Fixture_Engine!$D$2:$R$21,14,FALSE),"")</f>
        <v>1.2147039153583923</v>
      </c>
      <c r="J132" s="37">
        <f>IFERROR(VLOOKUP(C132,Fixture_Engine!$D$2:$R$21,15,FALSE),"")</f>
        <v>0.29679787857927975</v>
      </c>
      <c r="K132" s="13">
        <v>5.8046258458912092E-2</v>
      </c>
      <c r="L132" s="13">
        <v>5.0177312690396256E-2</v>
      </c>
      <c r="M132" s="13">
        <v>0.37792894935752075</v>
      </c>
      <c r="N132" s="38">
        <f t="shared" si="4"/>
        <v>8.4314987605957847E-2</v>
      </c>
      <c r="O132" s="38">
        <f t="shared" si="5"/>
        <v>7.2884964680121844E-2</v>
      </c>
      <c r="P132" s="26"/>
      <c r="Q132" s="45"/>
      <c r="R132" s="38"/>
      <c r="S132" s="38"/>
      <c r="T132" s="38"/>
      <c r="U132" s="1" t="b">
        <v>0</v>
      </c>
      <c r="V132" s="1" t="b">
        <v>0</v>
      </c>
      <c r="W132" s="31" t="s">
        <v>1885</v>
      </c>
    </row>
    <row r="133" spans="1:23" ht="30">
      <c r="A133" s="7">
        <v>132</v>
      </c>
      <c r="B133" s="7" t="s">
        <v>482</v>
      </c>
      <c r="C133" s="7" t="s">
        <v>43</v>
      </c>
      <c r="D133" s="7" t="s">
        <v>112</v>
      </c>
      <c r="E133" s="11">
        <v>4.5</v>
      </c>
      <c r="F133" s="7" t="s">
        <v>40</v>
      </c>
      <c r="G133" s="7" t="s">
        <v>1743</v>
      </c>
      <c r="H133" s="37">
        <f>IFERROR(VLOOKUP(C133,Fixture_Engine!$D$2:$R$21,13,FALSE),"")</f>
        <v>1.452548189055803</v>
      </c>
      <c r="I133" s="37">
        <f>IFERROR(VLOOKUP(C133,Fixture_Engine!$D$2:$R$21,14,FALSE),"")</f>
        <v>1.2147039153583923</v>
      </c>
      <c r="J133" s="37">
        <f>IFERROR(VLOOKUP(C133,Fixture_Engine!$D$2:$R$21,15,FALSE),"")</f>
        <v>0.29679787857927975</v>
      </c>
      <c r="K133" s="13">
        <v>0.10751786102217777</v>
      </c>
      <c r="L133" s="13">
        <v>8.4260707596017115E-2</v>
      </c>
      <c r="M133" s="13">
        <v>0.91575091575091572</v>
      </c>
      <c r="N133" s="38">
        <f t="shared" si="4"/>
        <v>0.15617487431891783</v>
      </c>
      <c r="O133" s="38">
        <f t="shared" si="5"/>
        <v>0.1223927382271552</v>
      </c>
      <c r="P133" s="26"/>
      <c r="Q133" s="45"/>
      <c r="R133" s="38"/>
      <c r="S133" s="38"/>
      <c r="T133" s="38"/>
      <c r="U133" s="1" t="b">
        <v>0</v>
      </c>
      <c r="V133" s="1" t="b">
        <v>1</v>
      </c>
      <c r="W133" s="31" t="s">
        <v>1885</v>
      </c>
    </row>
    <row r="134" spans="1:23" ht="30">
      <c r="A134" s="7">
        <v>133</v>
      </c>
      <c r="B134" s="7" t="s">
        <v>484</v>
      </c>
      <c r="C134" s="7" t="s">
        <v>43</v>
      </c>
      <c r="D134" s="7" t="s">
        <v>112</v>
      </c>
      <c r="E134" s="11">
        <v>5</v>
      </c>
      <c r="F134" s="7" t="s">
        <v>40</v>
      </c>
      <c r="G134" s="7" t="s">
        <v>1743</v>
      </c>
      <c r="H134" s="37">
        <f>IFERROR(VLOOKUP(C134,Fixture_Engine!$D$2:$R$21,13,FALSE),"")</f>
        <v>1.452548189055803</v>
      </c>
      <c r="I134" s="37">
        <f>IFERROR(VLOOKUP(C134,Fixture_Engine!$D$2:$R$21,14,FALSE),"")</f>
        <v>1.2147039153583923</v>
      </c>
      <c r="J134" s="37">
        <f>IFERROR(VLOOKUP(C134,Fixture_Engine!$D$2:$R$21,15,FALSE),"")</f>
        <v>0.29679787857927975</v>
      </c>
      <c r="K134" s="13">
        <v>0.10395511383414938</v>
      </c>
      <c r="L134" s="13">
        <v>8.7050797251514378E-2</v>
      </c>
      <c r="M134" s="13">
        <v>0.94607379375591294</v>
      </c>
      <c r="N134" s="38">
        <f t="shared" si="4"/>
        <v>0.15099981234288354</v>
      </c>
      <c r="O134" s="38">
        <f t="shared" si="5"/>
        <v>0.12644547790355107</v>
      </c>
      <c r="P134" s="26"/>
      <c r="Q134" s="45"/>
      <c r="R134" s="38"/>
      <c r="S134" s="38"/>
      <c r="T134" s="38"/>
      <c r="U134" s="1" t="b">
        <v>0</v>
      </c>
      <c r="V134" s="1" t="b">
        <v>1</v>
      </c>
      <c r="W134" s="31" t="s">
        <v>1885</v>
      </c>
    </row>
    <row r="135" spans="1:23" ht="30">
      <c r="A135" s="7">
        <v>134</v>
      </c>
      <c r="B135" s="7" t="s">
        <v>488</v>
      </c>
      <c r="C135" s="7" t="s">
        <v>43</v>
      </c>
      <c r="D135" s="7" t="s">
        <v>112</v>
      </c>
      <c r="E135" s="11">
        <v>4.5</v>
      </c>
      <c r="F135" s="7" t="s">
        <v>40</v>
      </c>
      <c r="G135" s="7" t="s">
        <v>1743</v>
      </c>
      <c r="H135" s="37">
        <f>IFERROR(VLOOKUP(C135,Fixture_Engine!$D$2:$R$21,13,FALSE),"")</f>
        <v>1.452548189055803</v>
      </c>
      <c r="I135" s="37">
        <f>IFERROR(VLOOKUP(C135,Fixture_Engine!$D$2:$R$21,14,FALSE),"")</f>
        <v>1.2147039153583923</v>
      </c>
      <c r="J135" s="37">
        <f>IFERROR(VLOOKUP(C135,Fixture_Engine!$D$2:$R$21,15,FALSE),"")</f>
        <v>0.29679787857927975</v>
      </c>
      <c r="K135" s="13">
        <v>0.10751786102217777</v>
      </c>
      <c r="L135" s="13">
        <v>9.0240671969462088E-2</v>
      </c>
      <c r="M135" s="13">
        <v>0.99900099900099903</v>
      </c>
      <c r="N135" s="38">
        <f t="shared" si="4"/>
        <v>0.15617487431891783</v>
      </c>
      <c r="O135" s="38">
        <f t="shared" si="5"/>
        <v>0.13107892464842091</v>
      </c>
      <c r="P135" s="26"/>
      <c r="Q135" s="45"/>
      <c r="R135" s="38"/>
      <c r="S135" s="38"/>
      <c r="T135" s="38"/>
      <c r="U135" s="1" t="b">
        <v>0</v>
      </c>
      <c r="V135" s="1" t="b">
        <v>1</v>
      </c>
      <c r="W135" s="31" t="s">
        <v>1885</v>
      </c>
    </row>
    <row r="136" spans="1:23" ht="30">
      <c r="A136" s="7">
        <v>135</v>
      </c>
      <c r="B136" s="7" t="s">
        <v>490</v>
      </c>
      <c r="C136" s="7" t="s">
        <v>43</v>
      </c>
      <c r="D136" s="7" t="s">
        <v>112</v>
      </c>
      <c r="E136" s="11">
        <v>5</v>
      </c>
      <c r="F136" s="7" t="s">
        <v>40</v>
      </c>
      <c r="G136" s="7" t="s">
        <v>1743</v>
      </c>
      <c r="H136" s="37">
        <f>IFERROR(VLOOKUP(C136,Fixture_Engine!$D$2:$R$21,13,FALSE),"")</f>
        <v>1.452548189055803</v>
      </c>
      <c r="I136" s="37">
        <f>IFERROR(VLOOKUP(C136,Fixture_Engine!$D$2:$R$21,14,FALSE),"")</f>
        <v>1.2147039153583923</v>
      </c>
      <c r="J136" s="37">
        <f>IFERROR(VLOOKUP(C136,Fixture_Engine!$D$2:$R$21,15,FALSE),"")</f>
        <v>0.29679787857927975</v>
      </c>
      <c r="K136" s="13">
        <v>0.10751786102217777</v>
      </c>
      <c r="L136" s="13">
        <v>9.0240671969462088E-2</v>
      </c>
      <c r="M136" s="13">
        <v>1</v>
      </c>
      <c r="N136" s="38">
        <f t="shared" si="4"/>
        <v>0.15617487431891783</v>
      </c>
      <c r="O136" s="38">
        <f t="shared" si="5"/>
        <v>0.13107892464842091</v>
      </c>
      <c r="P136" s="26"/>
      <c r="Q136" s="45"/>
      <c r="R136" s="38"/>
      <c r="S136" s="38"/>
      <c r="T136" s="38"/>
      <c r="V136" s="1" t="b">
        <v>1</v>
      </c>
      <c r="W136" s="31" t="s">
        <v>1885</v>
      </c>
    </row>
    <row r="137" spans="1:23" ht="30">
      <c r="A137" s="7">
        <v>136</v>
      </c>
      <c r="B137" s="7" t="s">
        <v>510</v>
      </c>
      <c r="C137" s="7" t="s">
        <v>44</v>
      </c>
      <c r="D137" s="7" t="s">
        <v>167</v>
      </c>
      <c r="E137" s="11">
        <v>6</v>
      </c>
      <c r="F137" s="7" t="s">
        <v>48</v>
      </c>
      <c r="G137" s="7" t="s">
        <v>1742</v>
      </c>
      <c r="H137" s="37">
        <f>IFERROR(VLOOKUP(C137,Fixture_Engine!$D$2:$R$21,13,FALSE),"")</f>
        <v>1.529190937318446</v>
      </c>
      <c r="I137" s="37">
        <f>IFERROR(VLOOKUP(C137,Fixture_Engine!$D$2:$R$21,14,FALSE),"")</f>
        <v>1.0345389928276891</v>
      </c>
      <c r="J137" s="37">
        <f>IFERROR(VLOOKUP(C137,Fixture_Engine!$D$2:$R$21,15,FALSE),"")</f>
        <v>0.35539018058786065</v>
      </c>
      <c r="K137" s="13">
        <v>0.31520913476364398</v>
      </c>
      <c r="L137" s="13">
        <v>3.7940189548878928E-2</v>
      </c>
      <c r="M137" s="13">
        <v>0.47045706371191132</v>
      </c>
      <c r="N137" s="38">
        <f t="shared" si="4"/>
        <v>0.48201495224055313</v>
      </c>
      <c r="O137" s="38">
        <f t="shared" si="5"/>
        <v>5.801779401828968E-2</v>
      </c>
      <c r="P137" s="26"/>
      <c r="Q137" s="45"/>
      <c r="R137" s="38"/>
      <c r="S137" s="38"/>
      <c r="T137" s="38"/>
      <c r="U137" s="1" t="b">
        <v>0</v>
      </c>
      <c r="V137" s="1" t="b">
        <v>1</v>
      </c>
      <c r="W137" s="31" t="s">
        <v>1885</v>
      </c>
    </row>
    <row r="138" spans="1:23" ht="30">
      <c r="A138" s="7">
        <v>137</v>
      </c>
      <c r="B138" s="7" t="s">
        <v>492</v>
      </c>
      <c r="C138" s="7" t="s">
        <v>43</v>
      </c>
      <c r="D138" s="7" t="s">
        <v>167</v>
      </c>
      <c r="E138" s="11">
        <v>5.5</v>
      </c>
      <c r="F138" s="7" t="s">
        <v>40</v>
      </c>
      <c r="G138" s="7" t="s">
        <v>1743</v>
      </c>
      <c r="H138" s="37">
        <f>IFERROR(VLOOKUP(C138,Fixture_Engine!$D$2:$R$21,13,FALSE),"")</f>
        <v>1.452548189055803</v>
      </c>
      <c r="I138" s="37">
        <f>IFERROR(VLOOKUP(C138,Fixture_Engine!$D$2:$R$21,14,FALSE),"")</f>
        <v>1.2147039153583923</v>
      </c>
      <c r="J138" s="37">
        <f>IFERROR(VLOOKUP(C138,Fixture_Engine!$D$2:$R$21,15,FALSE),"")</f>
        <v>0.29679787857927975</v>
      </c>
      <c r="K138" s="13">
        <v>0.29205379186044406</v>
      </c>
      <c r="L138" s="13">
        <v>4.0420027274743232E-2</v>
      </c>
      <c r="M138" s="13">
        <v>0.88339222614840995</v>
      </c>
      <c r="N138" s="38">
        <f t="shared" si="4"/>
        <v>0.4242222064737684</v>
      </c>
      <c r="O138" s="38">
        <f t="shared" si="5"/>
        <v>5.8712037419514446E-2</v>
      </c>
      <c r="P138" s="26"/>
      <c r="Q138" s="45"/>
      <c r="R138" s="38"/>
      <c r="S138" s="38"/>
      <c r="T138" s="38"/>
      <c r="U138" s="1" t="b">
        <v>1</v>
      </c>
      <c r="V138" s="1" t="b">
        <v>1</v>
      </c>
      <c r="W138" s="31" t="s">
        <v>1885</v>
      </c>
    </row>
    <row r="139" spans="1:23" ht="30">
      <c r="A139" s="7">
        <v>138</v>
      </c>
      <c r="B139" s="7" t="s">
        <v>495</v>
      </c>
      <c r="C139" s="7" t="s">
        <v>43</v>
      </c>
      <c r="D139" s="7" t="s">
        <v>167</v>
      </c>
      <c r="E139" s="11">
        <v>5.5</v>
      </c>
      <c r="F139" s="7" t="s">
        <v>40</v>
      </c>
      <c r="G139" s="7" t="s">
        <v>1743</v>
      </c>
      <c r="H139" s="37">
        <f>IFERROR(VLOOKUP(C139,Fixture_Engine!$D$2:$R$21,13,FALSE),"")</f>
        <v>1.452548189055803</v>
      </c>
      <c r="I139" s="37">
        <f>IFERROR(VLOOKUP(C139,Fixture_Engine!$D$2:$R$21,14,FALSE),"")</f>
        <v>1.2147039153583923</v>
      </c>
      <c r="J139" s="37">
        <f>IFERROR(VLOOKUP(C139,Fixture_Engine!$D$2:$R$21,15,FALSE),"")</f>
        <v>0.29679787857927975</v>
      </c>
      <c r="K139" s="13">
        <v>0.31816288157496991</v>
      </c>
      <c r="L139" s="13">
        <v>5.2667975281701918E-2</v>
      </c>
      <c r="M139" s="13">
        <v>0.74019245003700962</v>
      </c>
      <c r="N139" s="38">
        <f t="shared" si="4"/>
        <v>0.46214691745649844</v>
      </c>
      <c r="O139" s="38">
        <f t="shared" si="5"/>
        <v>7.6502772116671919E-2</v>
      </c>
      <c r="P139" s="26"/>
      <c r="Q139" s="45"/>
      <c r="R139" s="38"/>
      <c r="S139" s="38"/>
      <c r="T139" s="38"/>
      <c r="U139" s="1" t="b">
        <v>0</v>
      </c>
      <c r="V139" s="1" t="b">
        <v>1</v>
      </c>
      <c r="W139" s="31" t="s">
        <v>1885</v>
      </c>
    </row>
    <row r="140" spans="1:23" ht="30">
      <c r="A140" s="7">
        <v>139</v>
      </c>
      <c r="B140" s="7" t="s">
        <v>497</v>
      </c>
      <c r="C140" s="7" t="s">
        <v>43</v>
      </c>
      <c r="D140" s="7" t="s">
        <v>167</v>
      </c>
      <c r="E140" s="11">
        <v>5</v>
      </c>
      <c r="F140" s="7" t="s">
        <v>40</v>
      </c>
      <c r="G140" s="7" t="s">
        <v>1743</v>
      </c>
      <c r="H140" s="37">
        <f>IFERROR(VLOOKUP(C140,Fixture_Engine!$D$2:$R$21,13,FALSE),"")</f>
        <v>1.452548189055803</v>
      </c>
      <c r="I140" s="37">
        <f>IFERROR(VLOOKUP(C140,Fixture_Engine!$D$2:$R$21,14,FALSE),"")</f>
        <v>1.2147039153583923</v>
      </c>
      <c r="J140" s="37">
        <f>IFERROR(VLOOKUP(C140,Fixture_Engine!$D$2:$R$21,15,FALSE),"")</f>
        <v>0.29679787857927975</v>
      </c>
      <c r="K140" s="13">
        <v>0.30461525508032317</v>
      </c>
      <c r="L140" s="13">
        <v>3.9258061548584466E-2</v>
      </c>
      <c r="M140" s="13">
        <v>1</v>
      </c>
      <c r="N140" s="38">
        <f t="shared" si="4"/>
        <v>0.44246833712569489</v>
      </c>
      <c r="O140" s="38">
        <f t="shared" si="5"/>
        <v>5.7024226208237619E-2</v>
      </c>
      <c r="P140" s="26"/>
      <c r="Q140" s="45"/>
      <c r="R140" s="38"/>
      <c r="S140" s="38"/>
      <c r="T140" s="38"/>
      <c r="U140" s="1" t="b">
        <v>0</v>
      </c>
      <c r="V140" s="1" t="b">
        <v>1</v>
      </c>
      <c r="W140" s="31" t="s">
        <v>1885</v>
      </c>
    </row>
    <row r="141" spans="1:23" ht="30">
      <c r="A141" s="7">
        <v>140</v>
      </c>
      <c r="B141" s="7" t="s">
        <v>512</v>
      </c>
      <c r="C141" s="7" t="s">
        <v>44</v>
      </c>
      <c r="D141" s="7" t="s">
        <v>85</v>
      </c>
      <c r="E141" s="11">
        <v>5</v>
      </c>
      <c r="F141" s="7" t="s">
        <v>48</v>
      </c>
      <c r="G141" s="7" t="s">
        <v>1742</v>
      </c>
      <c r="H141" s="37">
        <f>IFERROR(VLOOKUP(C141,Fixture_Engine!$D$2:$R$21,13,FALSE),"")</f>
        <v>1.529190937318446</v>
      </c>
      <c r="I141" s="37">
        <f>IFERROR(VLOOKUP(C141,Fixture_Engine!$D$2:$R$21,14,FALSE),"")</f>
        <v>1.0345389928276891</v>
      </c>
      <c r="J141" s="37">
        <f>IFERROR(VLOOKUP(C141,Fixture_Engine!$D$2:$R$21,15,FALSE),"")</f>
        <v>0.35539018058786065</v>
      </c>
      <c r="K141" s="13">
        <v>1.6719534964712218E-4</v>
      </c>
      <c r="L141" s="13">
        <v>9.034940947852257E-4</v>
      </c>
      <c r="M141" s="13">
        <v>0.32277227722772273</v>
      </c>
      <c r="N141" s="38">
        <f t="shared" si="4"/>
        <v>2.5567361344216809E-4</v>
      </c>
      <c r="O141" s="38">
        <f t="shared" si="5"/>
        <v>1.3816149816663001E-3</v>
      </c>
      <c r="P141" s="26"/>
      <c r="Q141" s="45"/>
      <c r="R141" s="38"/>
      <c r="S141" s="38"/>
      <c r="T141" s="38"/>
      <c r="U141" s="1" t="b">
        <v>0</v>
      </c>
      <c r="V141" s="1" t="b">
        <v>1</v>
      </c>
      <c r="W141" s="31" t="s">
        <v>1885</v>
      </c>
    </row>
    <row r="142" spans="1:23" ht="30">
      <c r="A142" s="7">
        <v>141</v>
      </c>
      <c r="B142" s="7" t="s">
        <v>515</v>
      </c>
      <c r="C142" s="7" t="s">
        <v>44</v>
      </c>
      <c r="D142" s="7" t="s">
        <v>85</v>
      </c>
      <c r="E142" s="11">
        <v>5</v>
      </c>
      <c r="F142" s="7" t="s">
        <v>48</v>
      </c>
      <c r="G142" s="7" t="s">
        <v>1742</v>
      </c>
      <c r="H142" s="37">
        <f>IFERROR(VLOOKUP(C142,Fixture_Engine!$D$2:$R$21,13,FALSE),"")</f>
        <v>1.529190937318446</v>
      </c>
      <c r="I142" s="37">
        <f>IFERROR(VLOOKUP(C142,Fixture_Engine!$D$2:$R$21,14,FALSE),"")</f>
        <v>1.0345389928276891</v>
      </c>
      <c r="J142" s="37">
        <f>IFERROR(VLOOKUP(C142,Fixture_Engine!$D$2:$R$21,15,FALSE),"")</f>
        <v>0.35539018058786065</v>
      </c>
      <c r="K142" s="13">
        <v>1.6719534964712218E-4</v>
      </c>
      <c r="L142" s="13">
        <v>1.379361634588758E-3</v>
      </c>
      <c r="M142" s="13">
        <v>0.75312046444121916</v>
      </c>
      <c r="N142" s="38">
        <f t="shared" si="4"/>
        <v>2.5567361344216809E-4</v>
      </c>
      <c r="O142" s="38">
        <f t="shared" si="5"/>
        <v>2.1093073108978868E-3</v>
      </c>
      <c r="P142" s="26"/>
      <c r="Q142" s="45"/>
      <c r="R142" s="38"/>
      <c r="S142" s="38"/>
      <c r="T142" s="38"/>
      <c r="U142" s="1" t="b">
        <v>0</v>
      </c>
      <c r="V142" s="1" t="b">
        <v>1</v>
      </c>
      <c r="W142" s="31" t="s">
        <v>1885</v>
      </c>
    </row>
    <row r="143" spans="1:23" ht="30">
      <c r="A143" s="7">
        <v>142</v>
      </c>
      <c r="B143" s="7" t="s">
        <v>518</v>
      </c>
      <c r="C143" s="7" t="s">
        <v>44</v>
      </c>
      <c r="D143" s="7" t="s">
        <v>99</v>
      </c>
      <c r="E143" s="11">
        <v>5.5</v>
      </c>
      <c r="F143" s="7" t="s">
        <v>48</v>
      </c>
      <c r="G143" s="7" t="s">
        <v>1742</v>
      </c>
      <c r="H143" s="37">
        <f>IFERROR(VLOOKUP(C143,Fixture_Engine!$D$2:$R$21,13,FALSE),"")</f>
        <v>1.529190937318446</v>
      </c>
      <c r="I143" s="37">
        <f>IFERROR(VLOOKUP(C143,Fixture_Engine!$D$2:$R$21,14,FALSE),"")</f>
        <v>1.0345389928276891</v>
      </c>
      <c r="J143" s="37">
        <f>IFERROR(VLOOKUP(C143,Fixture_Engine!$D$2:$R$21,15,FALSE),"")</f>
        <v>0.35539018058786065</v>
      </c>
      <c r="K143" s="13">
        <v>3.2915476574065836E-2</v>
      </c>
      <c r="L143" s="13">
        <v>6.6471347767261241E-2</v>
      </c>
      <c r="M143" s="13">
        <v>0.40436252959080143</v>
      </c>
      <c r="N143" s="38">
        <f t="shared" si="4"/>
        <v>5.0334048474579091E-2</v>
      </c>
      <c r="O143" s="38">
        <f t="shared" si="5"/>
        <v>0.10164738259703861</v>
      </c>
      <c r="P143" s="26"/>
      <c r="Q143" s="45"/>
      <c r="R143" s="38"/>
      <c r="S143" s="38"/>
      <c r="T143" s="38"/>
      <c r="U143" s="1" t="b">
        <v>0</v>
      </c>
      <c r="V143" s="1" t="b">
        <v>1</v>
      </c>
      <c r="W143" s="31" t="s">
        <v>1885</v>
      </c>
    </row>
    <row r="144" spans="1:23" ht="30">
      <c r="A144" s="7">
        <v>143</v>
      </c>
      <c r="B144" s="7" t="s">
        <v>521</v>
      </c>
      <c r="C144" s="7" t="s">
        <v>44</v>
      </c>
      <c r="D144" s="7" t="s">
        <v>99</v>
      </c>
      <c r="E144" s="11">
        <v>5.5</v>
      </c>
      <c r="F144" s="7" t="s">
        <v>48</v>
      </c>
      <c r="G144" s="7" t="s">
        <v>1742</v>
      </c>
      <c r="H144" s="37">
        <f>IFERROR(VLOOKUP(C144,Fixture_Engine!$D$2:$R$21,13,FALSE),"")</f>
        <v>1.529190937318446</v>
      </c>
      <c r="I144" s="37">
        <f>IFERROR(VLOOKUP(C144,Fixture_Engine!$D$2:$R$21,14,FALSE),"")</f>
        <v>1.0345389928276891</v>
      </c>
      <c r="J144" s="37">
        <f>IFERROR(VLOOKUP(C144,Fixture_Engine!$D$2:$R$21,15,FALSE),"")</f>
        <v>0.35539018058786065</v>
      </c>
      <c r="K144" s="13">
        <v>3.154268949112312E-2</v>
      </c>
      <c r="L144" s="13">
        <v>2.6309524291894232E-2</v>
      </c>
      <c r="M144" s="13">
        <v>0.33809523809523812</v>
      </c>
      <c r="N144" s="38">
        <f t="shared" si="4"/>
        <v>4.8234794908475258E-2</v>
      </c>
      <c r="O144" s="38">
        <f t="shared" si="5"/>
        <v>4.0232286112324163E-2</v>
      </c>
      <c r="P144" s="26"/>
      <c r="Q144" s="45"/>
      <c r="R144" s="38"/>
      <c r="S144" s="38"/>
      <c r="T144" s="38"/>
      <c r="U144" s="1" t="b">
        <v>0</v>
      </c>
      <c r="V144" s="1" t="b">
        <v>1</v>
      </c>
      <c r="W144" s="31" t="s">
        <v>1885</v>
      </c>
    </row>
    <row r="145" spans="1:23" ht="30">
      <c r="A145" s="7">
        <v>144</v>
      </c>
      <c r="B145" s="7" t="s">
        <v>524</v>
      </c>
      <c r="C145" s="7" t="s">
        <v>44</v>
      </c>
      <c r="D145" s="7" t="s">
        <v>99</v>
      </c>
      <c r="E145" s="11">
        <v>5</v>
      </c>
      <c r="F145" s="7" t="s">
        <v>48</v>
      </c>
      <c r="G145" s="7" t="s">
        <v>1742</v>
      </c>
      <c r="H145" s="37">
        <f>IFERROR(VLOOKUP(C145,Fixture_Engine!$D$2:$R$21,13,FALSE),"")</f>
        <v>1.529190937318446</v>
      </c>
      <c r="I145" s="37">
        <f>IFERROR(VLOOKUP(C145,Fixture_Engine!$D$2:$R$21,14,FALSE),"")</f>
        <v>1.0345389928276891</v>
      </c>
      <c r="J145" s="37">
        <f>IFERROR(VLOOKUP(C145,Fixture_Engine!$D$2:$R$21,15,FALSE),"")</f>
        <v>0.35539018058786065</v>
      </c>
      <c r="K145" s="13">
        <v>3.7673019362204525E-2</v>
      </c>
      <c r="L145" s="13">
        <v>5.7486129291251714E-2</v>
      </c>
      <c r="M145" s="13">
        <v>0.37649769585253456</v>
      </c>
      <c r="N145" s="38">
        <f t="shared" si="4"/>
        <v>5.7609239790105501E-2</v>
      </c>
      <c r="O145" s="38">
        <f t="shared" si="5"/>
        <v>8.7907267933698588E-2</v>
      </c>
      <c r="P145" s="26"/>
      <c r="Q145" s="45"/>
      <c r="R145" s="38"/>
      <c r="S145" s="38"/>
      <c r="T145" s="38"/>
      <c r="U145" s="1" t="b">
        <v>0</v>
      </c>
      <c r="V145" s="1" t="b">
        <v>1</v>
      </c>
      <c r="W145" s="31" t="s">
        <v>1885</v>
      </c>
    </row>
    <row r="146" spans="1:23" ht="30">
      <c r="A146" s="7">
        <v>145</v>
      </c>
      <c r="B146" s="7" t="s">
        <v>527</v>
      </c>
      <c r="C146" s="7" t="s">
        <v>44</v>
      </c>
      <c r="D146" s="7" t="s">
        <v>99</v>
      </c>
      <c r="E146" s="11">
        <v>5</v>
      </c>
      <c r="F146" s="7" t="s">
        <v>48</v>
      </c>
      <c r="G146" s="7" t="s">
        <v>1742</v>
      </c>
      <c r="H146" s="37">
        <f>IFERROR(VLOOKUP(C146,Fixture_Engine!$D$2:$R$21,13,FALSE),"")</f>
        <v>1.529190937318446</v>
      </c>
      <c r="I146" s="37">
        <f>IFERROR(VLOOKUP(C146,Fixture_Engine!$D$2:$R$21,14,FALSE),"")</f>
        <v>1.0345389928276891</v>
      </c>
      <c r="J146" s="37">
        <f>IFERROR(VLOOKUP(C146,Fixture_Engine!$D$2:$R$21,15,FALSE),"")</f>
        <v>0.35539018058786065</v>
      </c>
      <c r="K146" s="13">
        <v>2.9998650928511589E-2</v>
      </c>
      <c r="L146" s="13">
        <v>2.7683832080714781E-2</v>
      </c>
      <c r="M146" s="13">
        <v>0.43112582781456943</v>
      </c>
      <c r="N146" s="38">
        <f t="shared" si="4"/>
        <v>4.5873665131659511E-2</v>
      </c>
      <c r="O146" s="38">
        <f t="shared" si="5"/>
        <v>4.2333865128074702E-2</v>
      </c>
      <c r="P146" s="26"/>
      <c r="Q146" s="45"/>
      <c r="R146" s="38"/>
      <c r="S146" s="38"/>
      <c r="T146" s="38"/>
      <c r="U146" s="1" t="b">
        <v>0</v>
      </c>
      <c r="V146" s="1" t="b">
        <v>1</v>
      </c>
      <c r="W146" s="31" t="s">
        <v>1885</v>
      </c>
    </row>
    <row r="147" spans="1:23" ht="30">
      <c r="A147" s="7">
        <v>146</v>
      </c>
      <c r="B147" s="7" t="s">
        <v>531</v>
      </c>
      <c r="C147" s="7" t="s">
        <v>44</v>
      </c>
      <c r="D147" s="7" t="s">
        <v>99</v>
      </c>
      <c r="E147" s="11">
        <v>4.5</v>
      </c>
      <c r="F147" s="7" t="s">
        <v>48</v>
      </c>
      <c r="G147" s="7" t="s">
        <v>1742</v>
      </c>
      <c r="H147" s="37">
        <f>IFERROR(VLOOKUP(C147,Fixture_Engine!$D$2:$R$21,13,FALSE),"")</f>
        <v>1.529190937318446</v>
      </c>
      <c r="I147" s="37">
        <f>IFERROR(VLOOKUP(C147,Fixture_Engine!$D$2:$R$21,14,FALSE),"")</f>
        <v>1.0345389928276891</v>
      </c>
      <c r="J147" s="37">
        <f>IFERROR(VLOOKUP(C147,Fixture_Engine!$D$2:$R$21,15,FALSE),"")</f>
        <v>0.35539018058786065</v>
      </c>
      <c r="K147" s="13">
        <v>4.1142361271531161E-2</v>
      </c>
      <c r="L147" s="13">
        <v>3.0744447285634201E-2</v>
      </c>
      <c r="M147" s="13">
        <v>0.71224489795918366</v>
      </c>
      <c r="N147" s="38">
        <f t="shared" si="4"/>
        <v>6.2914525996306869E-2</v>
      </c>
      <c r="O147" s="38">
        <f t="shared" si="5"/>
        <v>4.7014130162056515E-2</v>
      </c>
      <c r="P147" s="26"/>
      <c r="Q147" s="45"/>
      <c r="R147" s="38"/>
      <c r="S147" s="38"/>
      <c r="T147" s="38"/>
      <c r="U147" s="1" t="b">
        <v>0</v>
      </c>
      <c r="V147" s="1" t="b">
        <v>1</v>
      </c>
      <c r="W147" s="31" t="s">
        <v>1885</v>
      </c>
    </row>
    <row r="148" spans="1:23" ht="30">
      <c r="A148" s="7">
        <v>147</v>
      </c>
      <c r="B148" s="7" t="s">
        <v>534</v>
      </c>
      <c r="C148" s="7" t="s">
        <v>44</v>
      </c>
      <c r="D148" s="7" t="s">
        <v>99</v>
      </c>
      <c r="E148" s="11">
        <v>4.5</v>
      </c>
      <c r="F148" s="7" t="s">
        <v>48</v>
      </c>
      <c r="G148" s="7" t="s">
        <v>1742</v>
      </c>
      <c r="H148" s="37">
        <f>IFERROR(VLOOKUP(C148,Fixture_Engine!$D$2:$R$21,13,FALSE),"")</f>
        <v>1.529190937318446</v>
      </c>
      <c r="I148" s="37">
        <f>IFERROR(VLOOKUP(C148,Fixture_Engine!$D$2:$R$21,14,FALSE),"")</f>
        <v>1.0345389928276891</v>
      </c>
      <c r="J148" s="37">
        <f>IFERROR(VLOOKUP(C148,Fixture_Engine!$D$2:$R$21,15,FALSE),"")</f>
        <v>0.35539018058786065</v>
      </c>
      <c r="K148" s="13">
        <v>2.7671033507358153E-2</v>
      </c>
      <c r="L148" s="13">
        <v>3.4798543796290465E-2</v>
      </c>
      <c r="M148" s="13">
        <v>0.60335570469798649</v>
      </c>
      <c r="N148" s="38">
        <f t="shared" si="4"/>
        <v>4.231429366568714E-2</v>
      </c>
      <c r="O148" s="38">
        <f t="shared" si="5"/>
        <v>5.321361780516641E-2</v>
      </c>
      <c r="P148" s="26"/>
      <c r="Q148" s="45"/>
      <c r="R148" s="38"/>
      <c r="S148" s="38"/>
      <c r="T148" s="38"/>
      <c r="U148" s="1" t="b">
        <v>0</v>
      </c>
      <c r="V148" s="1" t="b">
        <v>1</v>
      </c>
      <c r="W148" s="31" t="s">
        <v>1885</v>
      </c>
    </row>
    <row r="149" spans="1:23" ht="30">
      <c r="A149" s="7">
        <v>148</v>
      </c>
      <c r="B149" s="7" t="s">
        <v>536</v>
      </c>
      <c r="C149" s="7" t="s">
        <v>44</v>
      </c>
      <c r="D149" s="7" t="s">
        <v>99</v>
      </c>
      <c r="E149" s="11">
        <v>4.5</v>
      </c>
      <c r="F149" s="7" t="s">
        <v>48</v>
      </c>
      <c r="G149" s="7" t="s">
        <v>1742</v>
      </c>
      <c r="H149" s="37">
        <f>IFERROR(VLOOKUP(C149,Fixture_Engine!$D$2:$R$21,13,FALSE),"")</f>
        <v>1.529190937318446</v>
      </c>
      <c r="I149" s="37">
        <f>IFERROR(VLOOKUP(C149,Fixture_Engine!$D$2:$R$21,14,FALSE),"")</f>
        <v>1.0345389928276891</v>
      </c>
      <c r="J149" s="37">
        <f>IFERROR(VLOOKUP(C149,Fixture_Engine!$D$2:$R$21,15,FALSE),"")</f>
        <v>0.35539018058786065</v>
      </c>
      <c r="K149" s="13">
        <v>2.7916872606859672E-2</v>
      </c>
      <c r="L149" s="13">
        <v>3.4297244231964244E-2</v>
      </c>
      <c r="M149" s="13">
        <v>0.52075736325385691</v>
      </c>
      <c r="N149" s="38">
        <f t="shared" si="4"/>
        <v>4.269022858868339E-2</v>
      </c>
      <c r="O149" s="38">
        <f t="shared" si="5"/>
        <v>5.2447035054517067E-2</v>
      </c>
      <c r="P149" s="26"/>
      <c r="Q149" s="45"/>
      <c r="R149" s="38"/>
      <c r="S149" s="38"/>
      <c r="T149" s="38"/>
      <c r="U149" s="1" t="b">
        <v>0</v>
      </c>
      <c r="V149" s="1" t="b">
        <v>1</v>
      </c>
      <c r="W149" s="31" t="s">
        <v>1885</v>
      </c>
    </row>
    <row r="150" spans="1:23" ht="30">
      <c r="A150" s="7">
        <v>149</v>
      </c>
      <c r="B150" s="7" t="s">
        <v>539</v>
      </c>
      <c r="C150" s="7" t="s">
        <v>44</v>
      </c>
      <c r="D150" s="7" t="s">
        <v>99</v>
      </c>
      <c r="E150" s="11">
        <v>5</v>
      </c>
      <c r="F150" s="7" t="s">
        <v>48</v>
      </c>
      <c r="G150" s="7" t="s">
        <v>1742</v>
      </c>
      <c r="H150" s="37">
        <f>IFERROR(VLOOKUP(C150,Fixture_Engine!$D$2:$R$21,13,FALSE),"")</f>
        <v>1.529190937318446</v>
      </c>
      <c r="I150" s="37">
        <f>IFERROR(VLOOKUP(C150,Fixture_Engine!$D$2:$R$21,14,FALSE),"")</f>
        <v>1.0345389928276891</v>
      </c>
      <c r="J150" s="37">
        <f>IFERROR(VLOOKUP(C150,Fixture_Engine!$D$2:$R$21,15,FALSE),"")</f>
        <v>0.35539018058786065</v>
      </c>
      <c r="K150" s="13">
        <v>4.1142361271531161E-2</v>
      </c>
      <c r="L150" s="13">
        <v>3.8350130538395956E-2</v>
      </c>
      <c r="M150" s="13">
        <v>0.83469387755102042</v>
      </c>
      <c r="N150" s="38">
        <f t="shared" si="4"/>
        <v>6.2914525996306869E-2</v>
      </c>
      <c r="O150" s="38">
        <f t="shared" si="5"/>
        <v>5.8644672064294474E-2</v>
      </c>
      <c r="P150" s="26"/>
      <c r="Q150" s="45"/>
      <c r="R150" s="38"/>
      <c r="S150" s="38"/>
      <c r="T150" s="38"/>
      <c r="V150" s="1" t="b">
        <v>1</v>
      </c>
      <c r="W150" s="31" t="s">
        <v>1885</v>
      </c>
    </row>
    <row r="151" spans="1:23" ht="30">
      <c r="A151" s="7">
        <v>150</v>
      </c>
      <c r="B151" s="7" t="s">
        <v>542</v>
      </c>
      <c r="C151" s="7" t="s">
        <v>44</v>
      </c>
      <c r="D151" s="7" t="s">
        <v>99</v>
      </c>
      <c r="E151" s="11">
        <v>4.5</v>
      </c>
      <c r="F151" s="7" t="s">
        <v>48</v>
      </c>
      <c r="G151" s="7" t="s">
        <v>1742</v>
      </c>
      <c r="H151" s="37">
        <f>IFERROR(VLOOKUP(C151,Fixture_Engine!$D$2:$R$21,13,FALSE),"")</f>
        <v>1.529190937318446</v>
      </c>
      <c r="I151" s="37">
        <f>IFERROR(VLOOKUP(C151,Fixture_Engine!$D$2:$R$21,14,FALSE),"")</f>
        <v>1.0345389928276891</v>
      </c>
      <c r="J151" s="37">
        <f>IFERROR(VLOOKUP(C151,Fixture_Engine!$D$2:$R$21,15,FALSE),"")</f>
        <v>0.35539018058786065</v>
      </c>
      <c r="K151" s="13">
        <v>5.2503440803860421E-2</v>
      </c>
      <c r="L151" s="13">
        <v>4.0513079897554365E-2</v>
      </c>
      <c r="M151" s="13">
        <v>0.91818181818181821</v>
      </c>
      <c r="N151" s="38">
        <f t="shared" si="4"/>
        <v>8.028778585529886E-2</v>
      </c>
      <c r="O151" s="38">
        <f t="shared" si="5"/>
        <v>6.1952234622198253E-2</v>
      </c>
      <c r="P151" s="26"/>
      <c r="Q151" s="45"/>
      <c r="R151" s="38"/>
      <c r="S151" s="38"/>
      <c r="T151" s="38"/>
      <c r="U151" s="1" t="b">
        <v>0</v>
      </c>
      <c r="V151" s="1" t="b">
        <v>1</v>
      </c>
      <c r="W151" s="31" t="s">
        <v>1885</v>
      </c>
    </row>
    <row r="152" spans="1:23" ht="30">
      <c r="A152" s="7">
        <v>151</v>
      </c>
      <c r="B152" s="7" t="s">
        <v>545</v>
      </c>
      <c r="C152" s="7" t="s">
        <v>44</v>
      </c>
      <c r="D152" s="7" t="s">
        <v>99</v>
      </c>
      <c r="E152" s="11">
        <v>4.5</v>
      </c>
      <c r="F152" s="7" t="s">
        <v>48</v>
      </c>
      <c r="G152" s="7" t="s">
        <v>1742</v>
      </c>
      <c r="H152" s="37">
        <f>IFERROR(VLOOKUP(C152,Fixture_Engine!$D$2:$R$21,13,FALSE),"")</f>
        <v>1.529190937318446</v>
      </c>
      <c r="I152" s="37">
        <f>IFERROR(VLOOKUP(C152,Fixture_Engine!$D$2:$R$21,14,FALSE),"")</f>
        <v>1.0345389928276891</v>
      </c>
      <c r="J152" s="37">
        <f>IFERROR(VLOOKUP(C152,Fixture_Engine!$D$2:$R$21,15,FALSE),"")</f>
        <v>0.35539018058786065</v>
      </c>
      <c r="K152" s="13">
        <v>4.3779455198680511E-2</v>
      </c>
      <c r="L152" s="13">
        <v>2.9687345868416745E-2</v>
      </c>
      <c r="M152" s="13">
        <v>0.64315027157513582</v>
      </c>
      <c r="N152" s="38">
        <f t="shared" si="4"/>
        <v>6.6947146130561172E-2</v>
      </c>
      <c r="O152" s="38">
        <f t="shared" si="5"/>
        <v>4.5397620255021101E-2</v>
      </c>
      <c r="P152" s="26"/>
      <c r="Q152" s="45"/>
      <c r="R152" s="38"/>
      <c r="S152" s="38"/>
      <c r="T152" s="38"/>
      <c r="U152" s="1" t="b">
        <v>1</v>
      </c>
      <c r="V152" s="1" t="b">
        <v>1</v>
      </c>
      <c r="W152" s="31" t="s">
        <v>1885</v>
      </c>
    </row>
    <row r="153" spans="1:23" ht="30">
      <c r="A153" s="7">
        <v>152</v>
      </c>
      <c r="B153" s="7" t="s">
        <v>548</v>
      </c>
      <c r="C153" s="7" t="s">
        <v>44</v>
      </c>
      <c r="D153" s="7" t="s">
        <v>99</v>
      </c>
      <c r="E153" s="11">
        <v>5.5</v>
      </c>
      <c r="F153" s="7" t="s">
        <v>48</v>
      </c>
      <c r="G153" s="7" t="s">
        <v>1742</v>
      </c>
      <c r="H153" s="37">
        <f>IFERROR(VLOOKUP(C153,Fixture_Engine!$D$2:$R$21,13,FALSE),"")</f>
        <v>1.529190937318446</v>
      </c>
      <c r="I153" s="37">
        <f>IFERROR(VLOOKUP(C153,Fixture_Engine!$D$2:$R$21,14,FALSE),"")</f>
        <v>1.0345389928276891</v>
      </c>
      <c r="J153" s="37">
        <f>IFERROR(VLOOKUP(C153,Fixture_Engine!$D$2:$R$21,15,FALSE),"")</f>
        <v>0.35539018058786065</v>
      </c>
      <c r="K153" s="13">
        <v>4.1142361271531161E-2</v>
      </c>
      <c r="L153" s="13">
        <v>4.0513079897554365E-2</v>
      </c>
      <c r="M153" s="13">
        <v>1</v>
      </c>
      <c r="N153" s="38">
        <f t="shared" si="4"/>
        <v>6.2914525996306869E-2</v>
      </c>
      <c r="O153" s="38">
        <f t="shared" si="5"/>
        <v>6.1952234622198253E-2</v>
      </c>
      <c r="P153" s="26"/>
      <c r="Q153" s="45"/>
      <c r="R153" s="38"/>
      <c r="S153" s="38"/>
      <c r="T153" s="38"/>
      <c r="U153" s="1" t="b">
        <v>1</v>
      </c>
      <c r="V153" s="1" t="b">
        <v>1</v>
      </c>
      <c r="W153" s="31" t="s">
        <v>1885</v>
      </c>
    </row>
    <row r="154" spans="1:23" ht="30">
      <c r="A154" s="7">
        <v>153</v>
      </c>
      <c r="B154" s="7" t="s">
        <v>550</v>
      </c>
      <c r="C154" s="7" t="s">
        <v>44</v>
      </c>
      <c r="D154" s="7" t="s">
        <v>99</v>
      </c>
      <c r="E154" s="11">
        <v>4.5</v>
      </c>
      <c r="F154" s="7" t="s">
        <v>48</v>
      </c>
      <c r="G154" s="7" t="s">
        <v>1742</v>
      </c>
      <c r="H154" s="37">
        <f>IFERROR(VLOOKUP(C154,Fixture_Engine!$D$2:$R$21,13,FALSE),"")</f>
        <v>1.529190937318446</v>
      </c>
      <c r="I154" s="37">
        <f>IFERROR(VLOOKUP(C154,Fixture_Engine!$D$2:$R$21,14,FALSE),"")</f>
        <v>1.0345389928276891</v>
      </c>
      <c r="J154" s="37">
        <f>IFERROR(VLOOKUP(C154,Fixture_Engine!$D$2:$R$21,15,FALSE),"")</f>
        <v>0.35539018058786065</v>
      </c>
      <c r="K154" s="13">
        <v>5.132856537757742E-2</v>
      </c>
      <c r="L154" s="13">
        <v>2.4025936449630452E-2</v>
      </c>
      <c r="M154" s="13">
        <v>0.57439662821650395</v>
      </c>
      <c r="N154" s="38">
        <f t="shared" si="4"/>
        <v>7.849117700094875E-2</v>
      </c>
      <c r="O154" s="38">
        <f t="shared" si="5"/>
        <v>3.6740244279363808E-2</v>
      </c>
      <c r="P154" s="26"/>
      <c r="Q154" s="45"/>
      <c r="R154" s="38"/>
      <c r="S154" s="38"/>
      <c r="T154" s="38"/>
      <c r="U154" s="1" t="b">
        <v>0</v>
      </c>
      <c r="V154" s="1" t="b">
        <v>1</v>
      </c>
      <c r="W154" s="31" t="s">
        <v>1885</v>
      </c>
    </row>
    <row r="155" spans="1:23" ht="30">
      <c r="A155" s="7">
        <v>154</v>
      </c>
      <c r="B155" s="7" t="s">
        <v>553</v>
      </c>
      <c r="C155" s="7" t="s">
        <v>44</v>
      </c>
      <c r="D155" s="7" t="s">
        <v>112</v>
      </c>
      <c r="E155" s="11">
        <v>9.5</v>
      </c>
      <c r="F155" s="7" t="s">
        <v>48</v>
      </c>
      <c r="G155" s="7" t="s">
        <v>1742</v>
      </c>
      <c r="H155" s="37">
        <f>IFERROR(VLOOKUP(C155,Fixture_Engine!$D$2:$R$21,13,FALSE),"")</f>
        <v>1.529190937318446</v>
      </c>
      <c r="I155" s="37">
        <f>IFERROR(VLOOKUP(C155,Fixture_Engine!$D$2:$R$21,14,FALSE),"")</f>
        <v>1.0345389928276891</v>
      </c>
      <c r="J155" s="37">
        <f>IFERROR(VLOOKUP(C155,Fixture_Engine!$D$2:$R$21,15,FALSE),"")</f>
        <v>0.35539018058786065</v>
      </c>
      <c r="K155" s="13">
        <v>0.20881555070419672</v>
      </c>
      <c r="L155" s="13">
        <v>7.5533218633623417E-2</v>
      </c>
      <c r="M155" s="13">
        <v>0.40467163168584963</v>
      </c>
      <c r="N155" s="38">
        <f t="shared" si="4"/>
        <v>0.31931884770801805</v>
      </c>
      <c r="O155" s="38">
        <f t="shared" si="5"/>
        <v>0.1155047134010297</v>
      </c>
      <c r="P155" s="26"/>
      <c r="Q155" s="45"/>
      <c r="R155" s="38"/>
      <c r="S155" s="38"/>
      <c r="T155" s="38"/>
      <c r="U155" s="1" t="b">
        <v>0</v>
      </c>
      <c r="V155" s="1" t="b">
        <v>1</v>
      </c>
      <c r="W155" s="31" t="s">
        <v>1885</v>
      </c>
    </row>
    <row r="156" spans="1:23" ht="30">
      <c r="A156" s="7">
        <v>155</v>
      </c>
      <c r="B156" s="7" t="s">
        <v>556</v>
      </c>
      <c r="C156" s="7" t="s">
        <v>44</v>
      </c>
      <c r="D156" s="7" t="s">
        <v>112</v>
      </c>
      <c r="E156" s="11">
        <v>7</v>
      </c>
      <c r="F156" s="7" t="s">
        <v>48</v>
      </c>
      <c r="G156" s="7" t="s">
        <v>1742</v>
      </c>
      <c r="H156" s="37">
        <f>IFERROR(VLOOKUP(C156,Fixture_Engine!$D$2:$R$21,13,FALSE),"")</f>
        <v>1.529190937318446</v>
      </c>
      <c r="I156" s="37">
        <f>IFERROR(VLOOKUP(C156,Fixture_Engine!$D$2:$R$21,14,FALSE),"")</f>
        <v>1.0345389928276891</v>
      </c>
      <c r="J156" s="37">
        <f>IFERROR(VLOOKUP(C156,Fixture_Engine!$D$2:$R$21,15,FALSE),"")</f>
        <v>0.35539018058786065</v>
      </c>
      <c r="K156" s="13">
        <v>0.16095674910102739</v>
      </c>
      <c r="L156" s="13">
        <v>0.1104462573979189</v>
      </c>
      <c r="M156" s="13">
        <v>0.31876519202722409</v>
      </c>
      <c r="N156" s="38">
        <f t="shared" si="4"/>
        <v>0.24613360202553003</v>
      </c>
      <c r="O156" s="38">
        <f t="shared" si="5"/>
        <v>0.16889341587363796</v>
      </c>
      <c r="P156" s="26"/>
      <c r="Q156" s="45"/>
      <c r="R156" s="38"/>
      <c r="S156" s="38"/>
      <c r="T156" s="38"/>
      <c r="U156" s="1" t="b">
        <v>0</v>
      </c>
      <c r="V156" s="1" t="b">
        <v>1</v>
      </c>
      <c r="W156" s="31" t="s">
        <v>1885</v>
      </c>
    </row>
    <row r="157" spans="1:23" ht="30">
      <c r="A157" s="7">
        <v>156</v>
      </c>
      <c r="B157" s="7" t="s">
        <v>559</v>
      </c>
      <c r="C157" s="7" t="s">
        <v>44</v>
      </c>
      <c r="D157" s="7" t="s">
        <v>112</v>
      </c>
      <c r="E157" s="11">
        <v>6.5</v>
      </c>
      <c r="F157" s="7" t="s">
        <v>48</v>
      </c>
      <c r="G157" s="7" t="s">
        <v>1742</v>
      </c>
      <c r="H157" s="37">
        <f>IFERROR(VLOOKUP(C157,Fixture_Engine!$D$2:$R$21,13,FALSE),"")</f>
        <v>1.529190937318446</v>
      </c>
      <c r="I157" s="37">
        <f>IFERROR(VLOOKUP(C157,Fixture_Engine!$D$2:$R$21,14,FALSE),"")</f>
        <v>1.0345389928276891</v>
      </c>
      <c r="J157" s="37">
        <f>IFERROR(VLOOKUP(C157,Fixture_Engine!$D$2:$R$21,15,FALSE),"")</f>
        <v>0.35539018058786065</v>
      </c>
      <c r="K157" s="13">
        <v>9.5959144463030277E-2</v>
      </c>
      <c r="L157" s="13">
        <v>0.11864404253086783</v>
      </c>
      <c r="M157" s="13">
        <v>0.34800220446403973</v>
      </c>
      <c r="N157" s="38">
        <f t="shared" si="4"/>
        <v>0.14673985406569745</v>
      </c>
      <c r="O157" s="38">
        <f t="shared" si="5"/>
        <v>0.18142939460502736</v>
      </c>
      <c r="P157" s="26"/>
      <c r="Q157" s="45"/>
      <c r="R157" s="38"/>
      <c r="S157" s="38"/>
      <c r="T157" s="38"/>
      <c r="U157" s="1" t="b">
        <v>0</v>
      </c>
      <c r="V157" s="1" t="b">
        <v>1</v>
      </c>
      <c r="W157" s="31" t="s">
        <v>1885</v>
      </c>
    </row>
    <row r="158" spans="1:23" ht="30">
      <c r="A158" s="7">
        <v>157</v>
      </c>
      <c r="B158" s="7" t="s">
        <v>562</v>
      </c>
      <c r="C158" s="7" t="s">
        <v>44</v>
      </c>
      <c r="D158" s="7" t="s">
        <v>112</v>
      </c>
      <c r="E158" s="11">
        <v>6.5</v>
      </c>
      <c r="F158" s="7" t="s">
        <v>48</v>
      </c>
      <c r="G158" s="7" t="s">
        <v>1742</v>
      </c>
      <c r="H158" s="37">
        <f>IFERROR(VLOOKUP(C158,Fixture_Engine!$D$2:$R$21,13,FALSE),"")</f>
        <v>1.529190937318446</v>
      </c>
      <c r="I158" s="37">
        <f>IFERROR(VLOOKUP(C158,Fixture_Engine!$D$2:$R$21,14,FALSE),"")</f>
        <v>1.0345389928276891</v>
      </c>
      <c r="J158" s="37">
        <f>IFERROR(VLOOKUP(C158,Fixture_Engine!$D$2:$R$21,15,FALSE),"")</f>
        <v>0.35539018058786065</v>
      </c>
      <c r="K158" s="13">
        <v>0.13661231002358187</v>
      </c>
      <c r="L158" s="13">
        <v>0.10704909892285401</v>
      </c>
      <c r="M158" s="13">
        <v>0.58939641109298524</v>
      </c>
      <c r="N158" s="38">
        <f t="shared" si="4"/>
        <v>0.2089063064141993</v>
      </c>
      <c r="O158" s="38">
        <f t="shared" si="5"/>
        <v>0.16369851192093418</v>
      </c>
      <c r="P158" s="26"/>
      <c r="Q158" s="45"/>
      <c r="R158" s="38"/>
      <c r="S158" s="38"/>
      <c r="T158" s="38"/>
      <c r="U158" s="1" t="b">
        <v>0</v>
      </c>
      <c r="V158" s="1" t="b">
        <v>1</v>
      </c>
      <c r="W158" s="31" t="s">
        <v>1885</v>
      </c>
    </row>
    <row r="159" spans="1:23" ht="30">
      <c r="A159" s="7">
        <v>158</v>
      </c>
      <c r="B159" s="7" t="s">
        <v>565</v>
      </c>
      <c r="C159" s="7" t="s">
        <v>44</v>
      </c>
      <c r="D159" s="7" t="s">
        <v>112</v>
      </c>
      <c r="E159" s="11">
        <v>6</v>
      </c>
      <c r="F159" s="7" t="s">
        <v>48</v>
      </c>
      <c r="G159" s="7" t="s">
        <v>1742</v>
      </c>
      <c r="H159" s="37">
        <f>IFERROR(VLOOKUP(C159,Fixture_Engine!$D$2:$R$21,13,FALSE),"")</f>
        <v>1.529190937318446</v>
      </c>
      <c r="I159" s="37">
        <f>IFERROR(VLOOKUP(C159,Fixture_Engine!$D$2:$R$21,14,FALSE),"")</f>
        <v>1.0345389928276891</v>
      </c>
      <c r="J159" s="37">
        <f>IFERROR(VLOOKUP(C159,Fixture_Engine!$D$2:$R$21,15,FALSE),"")</f>
        <v>0.35539018058786065</v>
      </c>
      <c r="K159" s="13">
        <v>0.10110003878821278</v>
      </c>
      <c r="L159" s="13">
        <v>9.2957563967529855E-2</v>
      </c>
      <c r="M159" s="13">
        <v>0.70565275908479141</v>
      </c>
      <c r="N159" s="38">
        <f t="shared" si="4"/>
        <v>0.15460126307747835</v>
      </c>
      <c r="O159" s="38">
        <f t="shared" si="5"/>
        <v>0.14214986437434637</v>
      </c>
      <c r="P159" s="26"/>
      <c r="Q159" s="45"/>
      <c r="R159" s="38"/>
      <c r="S159" s="38"/>
      <c r="T159" s="38"/>
      <c r="U159" s="1" t="b">
        <v>0</v>
      </c>
      <c r="V159" s="1" t="b">
        <v>1</v>
      </c>
      <c r="W159" s="31" t="s">
        <v>1885</v>
      </c>
    </row>
    <row r="160" spans="1:23" ht="30">
      <c r="A160" s="7">
        <v>159</v>
      </c>
      <c r="B160" s="7" t="s">
        <v>567</v>
      </c>
      <c r="C160" s="7" t="s">
        <v>44</v>
      </c>
      <c r="D160" s="7" t="s">
        <v>112</v>
      </c>
      <c r="E160" s="11">
        <v>5.5</v>
      </c>
      <c r="F160" s="7" t="s">
        <v>48</v>
      </c>
      <c r="G160" s="7" t="s">
        <v>1742</v>
      </c>
      <c r="H160" s="37">
        <f>IFERROR(VLOOKUP(C160,Fixture_Engine!$D$2:$R$21,13,FALSE),"")</f>
        <v>1.529190937318446</v>
      </c>
      <c r="I160" s="37">
        <f>IFERROR(VLOOKUP(C160,Fixture_Engine!$D$2:$R$21,14,FALSE),"")</f>
        <v>1.0345389928276891</v>
      </c>
      <c r="J160" s="37">
        <f>IFERROR(VLOOKUP(C160,Fixture_Engine!$D$2:$R$21,15,FALSE),"")</f>
        <v>0.35539018058786065</v>
      </c>
      <c r="K160" s="13">
        <v>5.3923640853072802E-2</v>
      </c>
      <c r="L160" s="13">
        <v>5.9439400382540482E-2</v>
      </c>
      <c r="M160" s="13">
        <v>0.3370916754478398</v>
      </c>
      <c r="N160" s="38">
        <f t="shared" si="4"/>
        <v>8.2459542899733645E-2</v>
      </c>
      <c r="O160" s="38">
        <f t="shared" si="5"/>
        <v>9.0894192384623484E-2</v>
      </c>
      <c r="P160" s="26"/>
      <c r="Q160" s="45"/>
      <c r="R160" s="38"/>
      <c r="S160" s="38"/>
      <c r="T160" s="38"/>
      <c r="U160" s="1" t="b">
        <v>0</v>
      </c>
      <c r="V160" s="1" t="b">
        <v>1</v>
      </c>
      <c r="W160" s="31" t="s">
        <v>1885</v>
      </c>
    </row>
    <row r="161" spans="1:23" ht="30">
      <c r="A161" s="7">
        <v>160</v>
      </c>
      <c r="B161" s="7" t="s">
        <v>260</v>
      </c>
      <c r="C161" s="7" t="s">
        <v>40</v>
      </c>
      <c r="D161" s="7" t="s">
        <v>112</v>
      </c>
      <c r="E161" s="11">
        <v>6</v>
      </c>
      <c r="F161" s="7" t="s">
        <v>43</v>
      </c>
      <c r="G161" s="7" t="s">
        <v>1742</v>
      </c>
      <c r="H161" s="37">
        <f>IFERROR(VLOOKUP(C161,Fixture_Engine!$D$2:$R$21,13,FALSE),"")</f>
        <v>1.2147039153583923</v>
      </c>
      <c r="I161" s="37">
        <f>IFERROR(VLOOKUP(C161,Fixture_Engine!$D$2:$R$21,14,FALSE),"")</f>
        <v>1.452548189055803</v>
      </c>
      <c r="J161" s="37">
        <f>IFERROR(VLOOKUP(C161,Fixture_Engine!$D$2:$R$21,15,FALSE),"")</f>
        <v>0.2339733195702127</v>
      </c>
      <c r="K161" s="13">
        <v>0.12305705762568135</v>
      </c>
      <c r="L161" s="13">
        <v>0.11861046727158658</v>
      </c>
      <c r="M161" s="13">
        <v>0.52593984962406015</v>
      </c>
      <c r="N161" s="38">
        <f t="shared" si="4"/>
        <v>0.14947788971039844</v>
      </c>
      <c r="O161" s="38">
        <f t="shared" si="5"/>
        <v>0.14407659899728467</v>
      </c>
      <c r="P161" s="26"/>
      <c r="Q161" s="45"/>
      <c r="R161" s="38"/>
      <c r="S161" s="38"/>
      <c r="T161" s="38"/>
      <c r="U161" s="1" t="b">
        <v>0</v>
      </c>
      <c r="V161" s="1" t="b">
        <v>1</v>
      </c>
      <c r="W161" s="31" t="s">
        <v>1885</v>
      </c>
    </row>
    <row r="162" spans="1:23" ht="30">
      <c r="A162" s="7">
        <v>161</v>
      </c>
      <c r="B162" s="7" t="s">
        <v>570</v>
      </c>
      <c r="C162" s="7" t="s">
        <v>44</v>
      </c>
      <c r="D162" s="7" t="s">
        <v>112</v>
      </c>
      <c r="E162" s="11">
        <v>5</v>
      </c>
      <c r="F162" s="7" t="s">
        <v>48</v>
      </c>
      <c r="G162" s="7" t="s">
        <v>1742</v>
      </c>
      <c r="H162" s="37">
        <f>IFERROR(VLOOKUP(C162,Fixture_Engine!$D$2:$R$21,13,FALSE),"")</f>
        <v>1.529190937318446</v>
      </c>
      <c r="I162" s="37">
        <f>IFERROR(VLOOKUP(C162,Fixture_Engine!$D$2:$R$21,14,FALSE),"")</f>
        <v>1.0345389928276891</v>
      </c>
      <c r="J162" s="37">
        <f>IFERROR(VLOOKUP(C162,Fixture_Engine!$D$2:$R$21,15,FALSE),"")</f>
        <v>0.35539018058786065</v>
      </c>
      <c r="K162" s="13">
        <v>8.8252568431155171E-2</v>
      </c>
      <c r="L162" s="13">
        <v>8.6661438106450397E-2</v>
      </c>
      <c r="M162" s="13">
        <v>0.75502183406113532</v>
      </c>
      <c r="N162" s="38">
        <f t="shared" si="4"/>
        <v>0.13495502783999846</v>
      </c>
      <c r="O162" s="38">
        <f t="shared" si="5"/>
        <v>0.13252188576736737</v>
      </c>
      <c r="P162" s="26"/>
      <c r="Q162" s="45"/>
      <c r="R162" s="38"/>
      <c r="S162" s="38"/>
      <c r="T162" s="38"/>
      <c r="U162" s="1" t="b">
        <v>0</v>
      </c>
      <c r="V162" s="1" t="b">
        <v>1</v>
      </c>
      <c r="W162" s="31" t="s">
        <v>1885</v>
      </c>
    </row>
    <row r="163" spans="1:23" ht="30">
      <c r="A163" s="7">
        <v>162</v>
      </c>
      <c r="B163" s="7" t="s">
        <v>1248</v>
      </c>
      <c r="C163" s="7" t="s">
        <v>54</v>
      </c>
      <c r="D163" s="7" t="s">
        <v>112</v>
      </c>
      <c r="E163" s="11">
        <v>5</v>
      </c>
      <c r="F163" s="7" t="s">
        <v>49</v>
      </c>
      <c r="G163" s="7" t="s">
        <v>1742</v>
      </c>
      <c r="H163" s="37">
        <f>IFERROR(VLOOKUP(C163,Fixture_Engine!$D$2:$R$21,13,FALSE),"")</f>
        <v>1.9843123696263989</v>
      </c>
      <c r="I163" s="37">
        <f>IFERROR(VLOOKUP(C163,Fixture_Engine!$D$2:$R$21,14,FALSE),"")</f>
        <v>0.60545882999044243</v>
      </c>
      <c r="J163" s="37">
        <f>IFERROR(VLOOKUP(C163,Fixture_Engine!$D$2:$R$21,15,FALSE),"")</f>
        <v>0.54582392878811159</v>
      </c>
      <c r="K163" s="13">
        <v>9.570878876499668E-2</v>
      </c>
      <c r="L163" s="13">
        <v>6.4792506048029108E-2</v>
      </c>
      <c r="M163" s="13">
        <v>0.52828215398308853</v>
      </c>
      <c r="N163" s="38">
        <f t="shared" si="4"/>
        <v>0.18991613342834301</v>
      </c>
      <c r="O163" s="38">
        <f t="shared" si="5"/>
        <v>0.12856857121019744</v>
      </c>
      <c r="P163" s="26"/>
      <c r="Q163" s="45"/>
      <c r="R163" s="38"/>
      <c r="S163" s="38"/>
      <c r="T163" s="38"/>
      <c r="U163" s="1" t="b">
        <v>0</v>
      </c>
      <c r="V163" s="1" t="b">
        <v>1</v>
      </c>
      <c r="W163" s="31" t="s">
        <v>1885</v>
      </c>
    </row>
    <row r="164" spans="1:23" ht="30">
      <c r="A164" s="7">
        <v>163</v>
      </c>
      <c r="B164" s="7" t="s">
        <v>573</v>
      </c>
      <c r="C164" s="7" t="s">
        <v>44</v>
      </c>
      <c r="D164" s="7" t="s">
        <v>112</v>
      </c>
      <c r="E164" s="11">
        <v>4.5</v>
      </c>
      <c r="F164" s="7" t="s">
        <v>48</v>
      </c>
      <c r="G164" s="7" t="s">
        <v>1742</v>
      </c>
      <c r="H164" s="37">
        <f>IFERROR(VLOOKUP(C164,Fixture_Engine!$D$2:$R$21,13,FALSE),"")</f>
        <v>1.529190937318446</v>
      </c>
      <c r="I164" s="37">
        <f>IFERROR(VLOOKUP(C164,Fixture_Engine!$D$2:$R$21,14,FALSE),"")</f>
        <v>1.0345389928276891</v>
      </c>
      <c r="J164" s="37">
        <f>IFERROR(VLOOKUP(C164,Fixture_Engine!$D$2:$R$21,15,FALSE),"")</f>
        <v>0.35539018058786065</v>
      </c>
      <c r="K164" s="13">
        <v>0.10751786102217777</v>
      </c>
      <c r="L164" s="13">
        <v>8.8633679200233753E-2</v>
      </c>
      <c r="M164" s="13">
        <v>0.97719298245614039</v>
      </c>
      <c r="N164" s="38">
        <f t="shared" si="4"/>
        <v>0.16441533867497843</v>
      </c>
      <c r="O164" s="38">
        <f t="shared" si="5"/>
        <v>0.1355378189741879</v>
      </c>
      <c r="P164" s="26"/>
      <c r="Q164" s="45"/>
      <c r="R164" s="38"/>
      <c r="S164" s="38"/>
      <c r="T164" s="38"/>
      <c r="V164" s="1" t="b">
        <v>1</v>
      </c>
      <c r="W164" s="31" t="s">
        <v>1885</v>
      </c>
    </row>
    <row r="165" spans="1:23" ht="30">
      <c r="A165" s="7">
        <v>164</v>
      </c>
      <c r="B165" s="7" t="s">
        <v>576</v>
      </c>
      <c r="C165" s="7" t="s">
        <v>44</v>
      </c>
      <c r="D165" s="7" t="s">
        <v>112</v>
      </c>
      <c r="E165" s="11">
        <v>5.5</v>
      </c>
      <c r="F165" s="7" t="s">
        <v>48</v>
      </c>
      <c r="G165" s="7" t="s">
        <v>1742</v>
      </c>
      <c r="H165" s="37">
        <f>IFERROR(VLOOKUP(C165,Fixture_Engine!$D$2:$R$21,13,FALSE),"")</f>
        <v>1.529190937318446</v>
      </c>
      <c r="I165" s="37">
        <f>IFERROR(VLOOKUP(C165,Fixture_Engine!$D$2:$R$21,14,FALSE),"")</f>
        <v>1.0345389928276891</v>
      </c>
      <c r="J165" s="37">
        <f>IFERROR(VLOOKUP(C165,Fixture_Engine!$D$2:$R$21,15,FALSE),"")</f>
        <v>0.35539018058786065</v>
      </c>
      <c r="K165" s="13">
        <v>0.10751786102217777</v>
      </c>
      <c r="L165" s="13">
        <v>9.0240671969462088E-2</v>
      </c>
      <c r="M165" s="13">
        <v>1</v>
      </c>
      <c r="N165" s="38">
        <f t="shared" si="4"/>
        <v>0.16441533867497843</v>
      </c>
      <c r="O165" s="38">
        <f t="shared" si="5"/>
        <v>0.13799521775322815</v>
      </c>
      <c r="P165" s="26"/>
      <c r="Q165" s="45"/>
      <c r="R165" s="38"/>
      <c r="S165" s="38"/>
      <c r="T165" s="38"/>
      <c r="U165" s="1" t="b">
        <v>0</v>
      </c>
      <c r="V165" s="1" t="b">
        <v>1</v>
      </c>
      <c r="W165" s="31" t="s">
        <v>1885</v>
      </c>
    </row>
    <row r="166" spans="1:23" ht="30">
      <c r="A166" s="7">
        <v>165</v>
      </c>
      <c r="B166" s="7" t="s">
        <v>579</v>
      </c>
      <c r="C166" s="7" t="s">
        <v>44</v>
      </c>
      <c r="D166" s="7" t="s">
        <v>167</v>
      </c>
      <c r="E166" s="11">
        <v>7.5</v>
      </c>
      <c r="F166" s="7" t="s">
        <v>48</v>
      </c>
      <c r="G166" s="7" t="s">
        <v>1742</v>
      </c>
      <c r="H166" s="37">
        <f>IFERROR(VLOOKUP(C166,Fixture_Engine!$D$2:$R$21,13,FALSE),"")</f>
        <v>1.529190937318446</v>
      </c>
      <c r="I166" s="37">
        <f>IFERROR(VLOOKUP(C166,Fixture_Engine!$D$2:$R$21,14,FALSE),"")</f>
        <v>1.0345389928276891</v>
      </c>
      <c r="J166" s="37">
        <f>IFERROR(VLOOKUP(C166,Fixture_Engine!$D$2:$R$21,15,FALSE),"")</f>
        <v>0.35539018058786065</v>
      </c>
      <c r="K166" s="13">
        <v>0.29406834059067061</v>
      </c>
      <c r="L166" s="13">
        <v>3.8385143331929529E-2</v>
      </c>
      <c r="M166" s="13">
        <v>0.34603608529250951</v>
      </c>
      <c r="N166" s="38">
        <f t="shared" si="4"/>
        <v>0.4496866413835276</v>
      </c>
      <c r="O166" s="38">
        <f t="shared" si="5"/>
        <v>5.8698213310856215E-2</v>
      </c>
      <c r="P166" s="26"/>
      <c r="Q166" s="45"/>
      <c r="R166" s="38"/>
      <c r="S166" s="38"/>
      <c r="T166" s="38"/>
      <c r="U166" s="1" t="b">
        <v>0</v>
      </c>
      <c r="V166" s="1" t="b">
        <v>1</v>
      </c>
      <c r="W166" s="31" t="s">
        <v>1885</v>
      </c>
    </row>
    <row r="167" spans="1:23" ht="30">
      <c r="A167" s="7">
        <v>166</v>
      </c>
      <c r="B167" s="7" t="s">
        <v>581</v>
      </c>
      <c r="C167" s="7" t="s">
        <v>44</v>
      </c>
      <c r="D167" s="7" t="s">
        <v>167</v>
      </c>
      <c r="E167" s="11">
        <v>6.5</v>
      </c>
      <c r="F167" s="7" t="s">
        <v>48</v>
      </c>
      <c r="G167" s="7" t="s">
        <v>1742</v>
      </c>
      <c r="H167" s="37">
        <f>IFERROR(VLOOKUP(C167,Fixture_Engine!$D$2:$R$21,13,FALSE),"")</f>
        <v>1.529190937318446</v>
      </c>
      <c r="I167" s="37">
        <f>IFERROR(VLOOKUP(C167,Fixture_Engine!$D$2:$R$21,14,FALSE),"")</f>
        <v>1.0345389928276891</v>
      </c>
      <c r="J167" s="37">
        <f>IFERROR(VLOOKUP(C167,Fixture_Engine!$D$2:$R$21,15,FALSE),"")</f>
        <v>0.35539018058786065</v>
      </c>
      <c r="K167" s="13">
        <v>0.30461525508032317</v>
      </c>
      <c r="L167" s="13">
        <v>3.9258061548584466E-2</v>
      </c>
      <c r="M167" s="13">
        <v>1</v>
      </c>
      <c r="N167" s="38">
        <f t="shared" si="4"/>
        <v>0.46581488743777688</v>
      </c>
      <c r="O167" s="38">
        <f t="shared" si="5"/>
        <v>6.0033071936785122E-2</v>
      </c>
      <c r="P167" s="26"/>
      <c r="Q167" s="45"/>
      <c r="R167" s="38"/>
      <c r="S167" s="38"/>
      <c r="T167" s="38"/>
      <c r="U167" s="1" t="b">
        <v>0</v>
      </c>
      <c r="V167" s="1" t="b">
        <v>1</v>
      </c>
      <c r="W167" s="31" t="s">
        <v>1885</v>
      </c>
    </row>
    <row r="168" spans="1:23" ht="30">
      <c r="A168" s="7">
        <v>167</v>
      </c>
      <c r="B168" s="7" t="s">
        <v>583</v>
      </c>
      <c r="C168" s="7" t="s">
        <v>44</v>
      </c>
      <c r="D168" s="7" t="s">
        <v>167</v>
      </c>
      <c r="E168" s="11">
        <v>5.5</v>
      </c>
      <c r="F168" s="7" t="s">
        <v>48</v>
      </c>
      <c r="G168" s="7" t="s">
        <v>1742</v>
      </c>
      <c r="H168" s="37">
        <f>IFERROR(VLOOKUP(C168,Fixture_Engine!$D$2:$R$21,13,FALSE),"")</f>
        <v>1.529190937318446</v>
      </c>
      <c r="I168" s="37">
        <f>IFERROR(VLOOKUP(C168,Fixture_Engine!$D$2:$R$21,14,FALSE),"")</f>
        <v>1.0345389928276891</v>
      </c>
      <c r="J168" s="37">
        <f>IFERROR(VLOOKUP(C168,Fixture_Engine!$D$2:$R$21,15,FALSE),"")</f>
        <v>0.35539018058786065</v>
      </c>
      <c r="K168" s="13">
        <v>0.2619581184475322</v>
      </c>
      <c r="L168" s="13">
        <v>2.5903803133558403E-2</v>
      </c>
      <c r="M168" s="13">
        <v>0.53021032504780119</v>
      </c>
      <c r="N168" s="38">
        <f t="shared" si="4"/>
        <v>0.40058398068695827</v>
      </c>
      <c r="O168" s="38">
        <f t="shared" si="5"/>
        <v>3.9611860993918675E-2</v>
      </c>
      <c r="P168" s="26"/>
      <c r="Q168" s="45"/>
      <c r="R168" s="38"/>
      <c r="S168" s="38"/>
      <c r="T168" s="38"/>
      <c r="U168" s="1" t="b">
        <v>0</v>
      </c>
      <c r="V168" s="1" t="b">
        <v>1</v>
      </c>
      <c r="W168" s="31" t="s">
        <v>1885</v>
      </c>
    </row>
    <row r="169" spans="1:23" ht="30">
      <c r="A169" s="7">
        <v>168</v>
      </c>
      <c r="B169" s="7" t="s">
        <v>586</v>
      </c>
      <c r="C169" s="7" t="s">
        <v>44</v>
      </c>
      <c r="D169" s="7" t="s">
        <v>167</v>
      </c>
      <c r="E169" s="11">
        <v>5</v>
      </c>
      <c r="F169" s="7" t="s">
        <v>48</v>
      </c>
      <c r="G169" s="7" t="s">
        <v>1742</v>
      </c>
      <c r="H169" s="37">
        <f>IFERROR(VLOOKUP(C169,Fixture_Engine!$D$2:$R$21,13,FALSE),"")</f>
        <v>1.529190937318446</v>
      </c>
      <c r="I169" s="37">
        <f>IFERROR(VLOOKUP(C169,Fixture_Engine!$D$2:$R$21,14,FALSE),"")</f>
        <v>1.0345389928276891</v>
      </c>
      <c r="J169" s="37">
        <f>IFERROR(VLOOKUP(C169,Fixture_Engine!$D$2:$R$21,15,FALSE),"")</f>
        <v>0.35539018058786065</v>
      </c>
      <c r="K169" s="13">
        <v>0.30353166746241245</v>
      </c>
      <c r="L169" s="13">
        <v>4.2467397092868855E-2</v>
      </c>
      <c r="M169" s="13">
        <v>0.81146245059288535</v>
      </c>
      <c r="N169" s="38">
        <f t="shared" si="4"/>
        <v>0.46415787507267736</v>
      </c>
      <c r="O169" s="38">
        <f t="shared" si="5"/>
        <v>6.4940758765918774E-2</v>
      </c>
      <c r="P169" s="26"/>
      <c r="Q169" s="45"/>
      <c r="R169" s="38"/>
      <c r="S169" s="38"/>
      <c r="T169" s="38"/>
      <c r="U169" s="1" t="b">
        <v>0</v>
      </c>
      <c r="V169" s="1" t="b">
        <v>1</v>
      </c>
      <c r="W169" s="31" t="s">
        <v>1885</v>
      </c>
    </row>
    <row r="170" spans="1:23" ht="30">
      <c r="A170" s="7">
        <v>169</v>
      </c>
      <c r="B170" s="7" t="s">
        <v>588</v>
      </c>
      <c r="C170" s="7" t="s">
        <v>44</v>
      </c>
      <c r="D170" s="7" t="s">
        <v>167</v>
      </c>
      <c r="E170" s="11">
        <v>4.5</v>
      </c>
      <c r="F170" s="7" t="s">
        <v>48</v>
      </c>
      <c r="G170" s="7" t="s">
        <v>1742</v>
      </c>
      <c r="H170" s="37">
        <f>IFERROR(VLOOKUP(C170,Fixture_Engine!$D$2:$R$21,13,FALSE),"")</f>
        <v>1.529190937318446</v>
      </c>
      <c r="I170" s="37">
        <f>IFERROR(VLOOKUP(C170,Fixture_Engine!$D$2:$R$21,14,FALSE),"")</f>
        <v>1.0345389928276891</v>
      </c>
      <c r="J170" s="37">
        <f>IFERROR(VLOOKUP(C170,Fixture_Engine!$D$2:$R$21,15,FALSE),"")</f>
        <v>0.35539018058786065</v>
      </c>
      <c r="K170" s="13">
        <v>0.30461525508032317</v>
      </c>
      <c r="L170" s="13">
        <v>3.9258061548584466E-2</v>
      </c>
      <c r="M170" s="13">
        <v>0.99910089910089905</v>
      </c>
      <c r="N170" s="38">
        <f t="shared" si="4"/>
        <v>0.46581488743777688</v>
      </c>
      <c r="O170" s="38">
        <f t="shared" si="5"/>
        <v>6.0033071936785122E-2</v>
      </c>
      <c r="P170" s="26"/>
      <c r="Q170" s="45"/>
      <c r="R170" s="38"/>
      <c r="S170" s="38"/>
      <c r="T170" s="38"/>
      <c r="V170" s="1" t="b">
        <v>1</v>
      </c>
      <c r="W170" s="31" t="s">
        <v>1885</v>
      </c>
    </row>
    <row r="171" spans="1:23" ht="30">
      <c r="A171" s="7">
        <v>170</v>
      </c>
      <c r="B171" s="7" t="s">
        <v>590</v>
      </c>
      <c r="C171" s="7" t="s">
        <v>44</v>
      </c>
      <c r="D171" s="7" t="s">
        <v>167</v>
      </c>
      <c r="E171" s="11">
        <v>5</v>
      </c>
      <c r="F171" s="7" t="s">
        <v>48</v>
      </c>
      <c r="G171" s="7" t="s">
        <v>1742</v>
      </c>
      <c r="H171" s="37">
        <f>IFERROR(VLOOKUP(C171,Fixture_Engine!$D$2:$R$21,13,FALSE),"")</f>
        <v>1.529190937318446</v>
      </c>
      <c r="I171" s="37">
        <f>IFERROR(VLOOKUP(C171,Fixture_Engine!$D$2:$R$21,14,FALSE),"")</f>
        <v>1.0345389928276891</v>
      </c>
      <c r="J171" s="37">
        <f>IFERROR(VLOOKUP(C171,Fixture_Engine!$D$2:$R$21,15,FALSE),"")</f>
        <v>0.35539018058786065</v>
      </c>
      <c r="K171" s="13">
        <v>0.30461525508032317</v>
      </c>
      <c r="L171" s="13">
        <v>3.9258061548584466E-2</v>
      </c>
      <c r="M171" s="13">
        <v>1</v>
      </c>
      <c r="N171" s="38">
        <f t="shared" si="4"/>
        <v>0.46581488743777688</v>
      </c>
      <c r="O171" s="38">
        <f t="shared" si="5"/>
        <v>6.0033071936785122E-2</v>
      </c>
      <c r="P171" s="26"/>
      <c r="Q171" s="45"/>
      <c r="R171" s="38"/>
      <c r="S171" s="38"/>
      <c r="T171" s="38"/>
      <c r="V171" s="1" t="b">
        <v>1</v>
      </c>
      <c r="W171" s="31" t="s">
        <v>1885</v>
      </c>
    </row>
    <row r="172" spans="1:23" ht="30">
      <c r="A172" s="7">
        <v>171</v>
      </c>
      <c r="B172" s="7" t="s">
        <v>605</v>
      </c>
      <c r="C172" s="7" t="s">
        <v>45</v>
      </c>
      <c r="D172" s="7" t="s">
        <v>85</v>
      </c>
      <c r="E172" s="11">
        <v>4</v>
      </c>
      <c r="F172" s="7" t="s">
        <v>39</v>
      </c>
      <c r="G172" s="7" t="s">
        <v>1742</v>
      </c>
      <c r="H172" s="37">
        <f>IFERROR(VLOOKUP(C172,Fixture_Engine!$D$2:$R$21,13,FALSE),"")</f>
        <v>0.52865868671275384</v>
      </c>
      <c r="I172" s="37">
        <f>IFERROR(VLOOKUP(C172,Fixture_Engine!$D$2:$R$21,14,FALSE),"")</f>
        <v>2.6529358272146251</v>
      </c>
      <c r="J172" s="37">
        <f>IFERROR(VLOOKUP(C172,Fixture_Engine!$D$2:$R$21,15,FALSE),"")</f>
        <v>7.0444097482917162E-2</v>
      </c>
      <c r="K172" s="13">
        <v>1.6719534964712218E-4</v>
      </c>
      <c r="L172" s="13">
        <v>1.379361634588758E-3</v>
      </c>
      <c r="M172" s="13">
        <v>1</v>
      </c>
      <c r="N172" s="38">
        <f t="shared" si="4"/>
        <v>8.8389273968927308E-5</v>
      </c>
      <c r="O172" s="38">
        <f t="shared" si="5"/>
        <v>7.2921151024365029E-4</v>
      </c>
      <c r="P172" s="26"/>
      <c r="Q172" s="45"/>
      <c r="R172" s="38"/>
      <c r="S172" s="38"/>
      <c r="T172" s="38"/>
      <c r="V172" s="1" t="b">
        <v>1</v>
      </c>
      <c r="W172" s="31" t="s">
        <v>1885</v>
      </c>
    </row>
    <row r="173" spans="1:23" ht="30">
      <c r="A173" s="7">
        <v>172</v>
      </c>
      <c r="B173" s="7" t="s">
        <v>416</v>
      </c>
      <c r="C173" s="7" t="s">
        <v>45</v>
      </c>
      <c r="D173" s="7" t="s">
        <v>85</v>
      </c>
      <c r="E173" s="11">
        <v>4.5</v>
      </c>
      <c r="F173" s="7" t="s">
        <v>39</v>
      </c>
      <c r="G173" s="7" t="s">
        <v>1742</v>
      </c>
      <c r="H173" s="37">
        <f>IFERROR(VLOOKUP(C173,Fixture_Engine!$D$2:$R$21,13,FALSE),"")</f>
        <v>0.52865868671275384</v>
      </c>
      <c r="I173" s="37">
        <f>IFERROR(VLOOKUP(C173,Fixture_Engine!$D$2:$R$21,14,FALSE),"")</f>
        <v>2.6529358272146251</v>
      </c>
      <c r="J173" s="37">
        <f>IFERROR(VLOOKUP(C173,Fixture_Engine!$D$2:$R$21,15,FALSE),"")</f>
        <v>7.0444097482917162E-2</v>
      </c>
      <c r="K173" s="13">
        <v>1.6719534964712218E-4</v>
      </c>
      <c r="L173" s="13">
        <v>1.379361634588758E-3</v>
      </c>
      <c r="M173" s="13">
        <v>1</v>
      </c>
      <c r="N173" s="38">
        <f t="shared" si="4"/>
        <v>8.8389273968927308E-5</v>
      </c>
      <c r="O173" s="38">
        <f t="shared" si="5"/>
        <v>7.2921151024365029E-4</v>
      </c>
      <c r="P173" s="26"/>
      <c r="Q173" s="45"/>
      <c r="R173" s="38"/>
      <c r="S173" s="38"/>
      <c r="T173" s="38"/>
      <c r="V173" s="1" t="b">
        <v>1</v>
      </c>
      <c r="W173" s="31" t="s">
        <v>1885</v>
      </c>
    </row>
    <row r="174" spans="1:23" ht="30">
      <c r="A174" s="7">
        <v>173</v>
      </c>
      <c r="B174" s="7" t="s">
        <v>610</v>
      </c>
      <c r="C174" s="7" t="s">
        <v>45</v>
      </c>
      <c r="D174" s="7" t="s">
        <v>99</v>
      </c>
      <c r="E174" s="11">
        <v>4</v>
      </c>
      <c r="F174" s="7" t="s">
        <v>39</v>
      </c>
      <c r="G174" s="7" t="s">
        <v>1742</v>
      </c>
      <c r="H174" s="37">
        <f>IFERROR(VLOOKUP(C174,Fixture_Engine!$D$2:$R$21,13,FALSE),"")</f>
        <v>0.52865868671275384</v>
      </c>
      <c r="I174" s="37">
        <f>IFERROR(VLOOKUP(C174,Fixture_Engine!$D$2:$R$21,14,FALSE),"")</f>
        <v>2.6529358272146251</v>
      </c>
      <c r="J174" s="37">
        <f>IFERROR(VLOOKUP(C174,Fixture_Engine!$D$2:$R$21,15,FALSE),"")</f>
        <v>7.0444097482917162E-2</v>
      </c>
      <c r="K174" s="13">
        <v>4.4878345991210322E-2</v>
      </c>
      <c r="L174" s="13">
        <v>4.7757896914821463E-2</v>
      </c>
      <c r="M174" s="13">
        <v>0.40512820512820513</v>
      </c>
      <c r="N174" s="38">
        <f t="shared" si="4"/>
        <v>2.3725327453553831E-2</v>
      </c>
      <c r="O174" s="38">
        <f t="shared" si="5"/>
        <v>2.5247627063152592E-2</v>
      </c>
      <c r="P174" s="26"/>
      <c r="Q174" s="45"/>
      <c r="R174" s="38"/>
      <c r="S174" s="38"/>
      <c r="T174" s="38"/>
      <c r="V174" s="1" t="b">
        <v>0</v>
      </c>
      <c r="W174" s="31" t="s">
        <v>1885</v>
      </c>
    </row>
    <row r="175" spans="1:23" ht="30">
      <c r="A175" s="7">
        <v>174</v>
      </c>
      <c r="B175" s="7" t="s">
        <v>613</v>
      </c>
      <c r="C175" s="7" t="s">
        <v>45</v>
      </c>
      <c r="D175" s="7" t="s">
        <v>99</v>
      </c>
      <c r="E175" s="11">
        <v>4</v>
      </c>
      <c r="F175" s="7" t="s">
        <v>39</v>
      </c>
      <c r="G175" s="7" t="s">
        <v>1742</v>
      </c>
      <c r="H175" s="37">
        <f>IFERROR(VLOOKUP(C175,Fixture_Engine!$D$2:$R$21,13,FALSE),"")</f>
        <v>0.52865868671275384</v>
      </c>
      <c r="I175" s="37">
        <f>IFERROR(VLOOKUP(C175,Fixture_Engine!$D$2:$R$21,14,FALSE),"")</f>
        <v>2.6529358272146251</v>
      </c>
      <c r="J175" s="37">
        <f>IFERROR(VLOOKUP(C175,Fixture_Engine!$D$2:$R$21,15,FALSE),"")</f>
        <v>7.0444097482917162E-2</v>
      </c>
      <c r="K175" s="13">
        <v>5.779846739925263E-2</v>
      </c>
      <c r="L175" s="13">
        <v>4.4719928669777337E-2</v>
      </c>
      <c r="M175" s="13">
        <v>0.3911589008363201</v>
      </c>
      <c r="N175" s="38">
        <f t="shared" si="4"/>
        <v>3.0555661869298811E-2</v>
      </c>
      <c r="O175" s="38">
        <f t="shared" si="5"/>
        <v>2.3641578760452517E-2</v>
      </c>
      <c r="P175" s="26"/>
      <c r="Q175" s="45"/>
      <c r="R175" s="38"/>
      <c r="S175" s="38"/>
      <c r="T175" s="38"/>
      <c r="V175" s="1" t="b">
        <v>0</v>
      </c>
      <c r="W175" s="31" t="s">
        <v>1885</v>
      </c>
    </row>
    <row r="176" spans="1:23" ht="30">
      <c r="A176" s="7">
        <v>175</v>
      </c>
      <c r="B176" s="7" t="s">
        <v>615</v>
      </c>
      <c r="C176" s="7" t="s">
        <v>45</v>
      </c>
      <c r="D176" s="7" t="s">
        <v>99</v>
      </c>
      <c r="E176" s="11">
        <v>4</v>
      </c>
      <c r="F176" s="7" t="s">
        <v>39</v>
      </c>
      <c r="G176" s="7" t="s">
        <v>1742</v>
      </c>
      <c r="H176" s="37">
        <f>IFERROR(VLOOKUP(C176,Fixture_Engine!$D$2:$R$21,13,FALSE),"")</f>
        <v>0.52865868671275384</v>
      </c>
      <c r="I176" s="37">
        <f>IFERROR(VLOOKUP(C176,Fixture_Engine!$D$2:$R$21,14,FALSE),"")</f>
        <v>2.6529358272146251</v>
      </c>
      <c r="J176" s="37">
        <f>IFERROR(VLOOKUP(C176,Fixture_Engine!$D$2:$R$21,15,FALSE),"")</f>
        <v>7.0444097482917162E-2</v>
      </c>
      <c r="K176" s="13">
        <v>2.5587971738053099E-2</v>
      </c>
      <c r="L176" s="13">
        <v>6.0930431051956058E-2</v>
      </c>
      <c r="M176" s="13">
        <v>0.38604651162790693</v>
      </c>
      <c r="N176" s="38">
        <f t="shared" si="4"/>
        <v>1.3527303534682213E-2</v>
      </c>
      <c r="O176" s="38">
        <f t="shared" si="5"/>
        <v>3.2211401660769086E-2</v>
      </c>
      <c r="P176" s="26"/>
      <c r="Q176" s="45"/>
      <c r="R176" s="38"/>
      <c r="S176" s="38"/>
      <c r="T176" s="38"/>
      <c r="V176" s="1" t="b">
        <v>0</v>
      </c>
      <c r="W176" s="31" t="s">
        <v>1885</v>
      </c>
    </row>
    <row r="177" spans="1:23" ht="30">
      <c r="A177" s="7">
        <v>176</v>
      </c>
      <c r="B177" s="7" t="s">
        <v>405</v>
      </c>
      <c r="C177" s="7" t="s">
        <v>45</v>
      </c>
      <c r="D177" s="7" t="s">
        <v>99</v>
      </c>
      <c r="E177" s="11">
        <v>4</v>
      </c>
      <c r="F177" s="7" t="s">
        <v>39</v>
      </c>
      <c r="G177" s="7" t="s">
        <v>1742</v>
      </c>
      <c r="H177" s="37">
        <f>IFERROR(VLOOKUP(C177,Fixture_Engine!$D$2:$R$21,13,FALSE),"")</f>
        <v>0.52865868671275384</v>
      </c>
      <c r="I177" s="37">
        <f>IFERROR(VLOOKUP(C177,Fixture_Engine!$D$2:$R$21,14,FALSE),"")</f>
        <v>2.6529358272146251</v>
      </c>
      <c r="J177" s="37">
        <f>IFERROR(VLOOKUP(C177,Fixture_Engine!$D$2:$R$21,15,FALSE),"")</f>
        <v>7.0444097482917162E-2</v>
      </c>
      <c r="K177" s="13">
        <v>2.3276249447593548E-2</v>
      </c>
      <c r="L177" s="13">
        <v>5.6851055656440996E-2</v>
      </c>
      <c r="M177" s="13">
        <v>0.41621621621621618</v>
      </c>
      <c r="N177" s="38">
        <f t="shared" si="4"/>
        <v>1.2305191464563266E-2</v>
      </c>
      <c r="O177" s="38">
        <f t="shared" si="5"/>
        <v>3.0054804421567775E-2</v>
      </c>
      <c r="P177" s="26"/>
      <c r="Q177" s="45"/>
      <c r="R177" s="38"/>
      <c r="S177" s="38"/>
      <c r="T177" s="38"/>
      <c r="V177" s="1" t="b">
        <v>0</v>
      </c>
      <c r="W177" s="31" t="s">
        <v>1885</v>
      </c>
    </row>
    <row r="178" spans="1:23" ht="30">
      <c r="A178" s="7">
        <v>177</v>
      </c>
      <c r="B178" s="7" t="s">
        <v>619</v>
      </c>
      <c r="C178" s="7" t="s">
        <v>45</v>
      </c>
      <c r="D178" s="7" t="s">
        <v>99</v>
      </c>
      <c r="E178" s="11">
        <v>4</v>
      </c>
      <c r="F178" s="7" t="s">
        <v>39</v>
      </c>
      <c r="G178" s="7" t="s">
        <v>1742</v>
      </c>
      <c r="H178" s="37">
        <f>IFERROR(VLOOKUP(C178,Fixture_Engine!$D$2:$R$21,13,FALSE),"")</f>
        <v>0.52865868671275384</v>
      </c>
      <c r="I178" s="37">
        <f>IFERROR(VLOOKUP(C178,Fixture_Engine!$D$2:$R$21,14,FALSE),"")</f>
        <v>2.6529358272146251</v>
      </c>
      <c r="J178" s="37">
        <f>IFERROR(VLOOKUP(C178,Fixture_Engine!$D$2:$R$21,15,FALSE),"")</f>
        <v>7.0444097482917162E-2</v>
      </c>
      <c r="K178" s="13">
        <v>4.1142361271531161E-2</v>
      </c>
      <c r="L178" s="13">
        <v>4.0513079897554365E-2</v>
      </c>
      <c r="M178" s="13">
        <v>1</v>
      </c>
      <c r="N178" s="38">
        <f t="shared" si="4"/>
        <v>2.1750266678069331E-2</v>
      </c>
      <c r="O178" s="38">
        <f t="shared" si="5"/>
        <v>2.1417591613329959E-2</v>
      </c>
      <c r="P178" s="26"/>
      <c r="Q178" s="45"/>
      <c r="R178" s="38"/>
      <c r="S178" s="38"/>
      <c r="T178" s="38"/>
      <c r="V178" s="1" t="b">
        <v>1</v>
      </c>
      <c r="W178" s="31" t="s">
        <v>1885</v>
      </c>
    </row>
    <row r="179" spans="1:23" ht="30">
      <c r="A179" s="7">
        <v>178</v>
      </c>
      <c r="B179" s="7" t="s">
        <v>621</v>
      </c>
      <c r="C179" s="7" t="s">
        <v>45</v>
      </c>
      <c r="D179" s="7" t="s">
        <v>99</v>
      </c>
      <c r="E179" s="11">
        <v>4</v>
      </c>
      <c r="F179" s="7" t="s">
        <v>39</v>
      </c>
      <c r="G179" s="7" t="s">
        <v>1742</v>
      </c>
      <c r="H179" s="37">
        <f>IFERROR(VLOOKUP(C179,Fixture_Engine!$D$2:$R$21,13,FALSE),"")</f>
        <v>0.52865868671275384</v>
      </c>
      <c r="I179" s="37">
        <f>IFERROR(VLOOKUP(C179,Fixture_Engine!$D$2:$R$21,14,FALSE),"")</f>
        <v>2.6529358272146251</v>
      </c>
      <c r="J179" s="37">
        <f>IFERROR(VLOOKUP(C179,Fixture_Engine!$D$2:$R$21,15,FALSE),"")</f>
        <v>7.0444097482917162E-2</v>
      </c>
      <c r="K179" s="13">
        <v>4.1142361271531161E-2</v>
      </c>
      <c r="L179" s="13">
        <v>4.0513079897554365E-2</v>
      </c>
      <c r="M179" s="13">
        <v>1</v>
      </c>
      <c r="N179" s="38">
        <f t="shared" si="4"/>
        <v>2.1750266678069331E-2</v>
      </c>
      <c r="O179" s="38">
        <f t="shared" si="5"/>
        <v>2.1417591613329959E-2</v>
      </c>
      <c r="P179" s="26"/>
      <c r="Q179" s="45"/>
      <c r="R179" s="38"/>
      <c r="S179" s="38"/>
      <c r="T179" s="38"/>
      <c r="V179" s="1" t="b">
        <v>1</v>
      </c>
      <c r="W179" s="31" t="s">
        <v>1885</v>
      </c>
    </row>
    <row r="180" spans="1:23" ht="30">
      <c r="A180" s="7">
        <v>179</v>
      </c>
      <c r="B180" s="7" t="s">
        <v>624</v>
      </c>
      <c r="C180" s="7" t="s">
        <v>45</v>
      </c>
      <c r="D180" s="7" t="s">
        <v>99</v>
      </c>
      <c r="E180" s="11">
        <v>4</v>
      </c>
      <c r="F180" s="7" t="s">
        <v>39</v>
      </c>
      <c r="G180" s="7" t="s">
        <v>1742</v>
      </c>
      <c r="H180" s="37">
        <f>IFERROR(VLOOKUP(C180,Fixture_Engine!$D$2:$R$21,13,FALSE),"")</f>
        <v>0.52865868671275384</v>
      </c>
      <c r="I180" s="37">
        <f>IFERROR(VLOOKUP(C180,Fixture_Engine!$D$2:$R$21,14,FALSE),"")</f>
        <v>2.6529358272146251</v>
      </c>
      <c r="J180" s="37">
        <f>IFERROR(VLOOKUP(C180,Fixture_Engine!$D$2:$R$21,15,FALSE),"")</f>
        <v>7.0444097482917162E-2</v>
      </c>
      <c r="K180" s="13">
        <v>4.1142361271531161E-2</v>
      </c>
      <c r="L180" s="13">
        <v>4.0513079897554365E-2</v>
      </c>
      <c r="M180" s="13">
        <v>1</v>
      </c>
      <c r="N180" s="38">
        <f t="shared" si="4"/>
        <v>2.1750266678069331E-2</v>
      </c>
      <c r="O180" s="38">
        <f t="shared" si="5"/>
        <v>2.1417591613329959E-2</v>
      </c>
      <c r="P180" s="26"/>
      <c r="Q180" s="45"/>
      <c r="R180" s="38"/>
      <c r="S180" s="38"/>
      <c r="T180" s="38"/>
      <c r="V180" s="1" t="b">
        <v>1</v>
      </c>
      <c r="W180" s="31" t="s">
        <v>1885</v>
      </c>
    </row>
    <row r="181" spans="1:23" ht="30">
      <c r="A181" s="7">
        <v>180</v>
      </c>
      <c r="B181" s="7" t="s">
        <v>627</v>
      </c>
      <c r="C181" s="7" t="s">
        <v>45</v>
      </c>
      <c r="D181" s="7" t="s">
        <v>99</v>
      </c>
      <c r="E181" s="11">
        <v>4</v>
      </c>
      <c r="F181" s="7" t="s">
        <v>39</v>
      </c>
      <c r="G181" s="7" t="s">
        <v>1742</v>
      </c>
      <c r="H181" s="37">
        <f>IFERROR(VLOOKUP(C181,Fixture_Engine!$D$2:$R$21,13,FALSE),"")</f>
        <v>0.52865868671275384</v>
      </c>
      <c r="I181" s="37">
        <f>IFERROR(VLOOKUP(C181,Fixture_Engine!$D$2:$R$21,14,FALSE),"")</f>
        <v>2.6529358272146251</v>
      </c>
      <c r="J181" s="37">
        <f>IFERROR(VLOOKUP(C181,Fixture_Engine!$D$2:$R$21,15,FALSE),"")</f>
        <v>7.0444097482917162E-2</v>
      </c>
      <c r="K181" s="13">
        <v>4.1142361271531161E-2</v>
      </c>
      <c r="L181" s="13">
        <v>4.0513079897554365E-2</v>
      </c>
      <c r="M181" s="13">
        <v>1</v>
      </c>
      <c r="N181" s="38">
        <f t="shared" si="4"/>
        <v>2.1750266678069331E-2</v>
      </c>
      <c r="O181" s="38">
        <f t="shared" si="5"/>
        <v>2.1417591613329959E-2</v>
      </c>
      <c r="P181" s="26"/>
      <c r="Q181" s="45"/>
      <c r="R181" s="38"/>
      <c r="S181" s="38"/>
      <c r="T181" s="38"/>
      <c r="V181" s="1" t="b">
        <v>1</v>
      </c>
      <c r="W181" s="31" t="s">
        <v>1885</v>
      </c>
    </row>
    <row r="182" spans="1:23" ht="30">
      <c r="A182" s="7">
        <v>181</v>
      </c>
      <c r="B182" s="7" t="s">
        <v>629</v>
      </c>
      <c r="C182" s="7" t="s">
        <v>45</v>
      </c>
      <c r="D182" s="7" t="s">
        <v>99</v>
      </c>
      <c r="E182" s="11">
        <v>4</v>
      </c>
      <c r="F182" s="7" t="s">
        <v>39</v>
      </c>
      <c r="G182" s="7" t="s">
        <v>1742</v>
      </c>
      <c r="H182" s="37">
        <f>IFERROR(VLOOKUP(C182,Fixture_Engine!$D$2:$R$21,13,FALSE),"")</f>
        <v>0.52865868671275384</v>
      </c>
      <c r="I182" s="37">
        <f>IFERROR(VLOOKUP(C182,Fixture_Engine!$D$2:$R$21,14,FALSE),"")</f>
        <v>2.6529358272146251</v>
      </c>
      <c r="J182" s="37">
        <f>IFERROR(VLOOKUP(C182,Fixture_Engine!$D$2:$R$21,15,FALSE),"")</f>
        <v>7.0444097482917162E-2</v>
      </c>
      <c r="K182" s="13">
        <v>4.1142361271531161E-2</v>
      </c>
      <c r="L182" s="13">
        <v>4.0513079897554365E-2</v>
      </c>
      <c r="M182" s="13">
        <v>1</v>
      </c>
      <c r="N182" s="38">
        <f t="shared" si="4"/>
        <v>2.1750266678069331E-2</v>
      </c>
      <c r="O182" s="38">
        <f t="shared" si="5"/>
        <v>2.1417591613329959E-2</v>
      </c>
      <c r="P182" s="26"/>
      <c r="Q182" s="45"/>
      <c r="R182" s="38"/>
      <c r="S182" s="38"/>
      <c r="T182" s="38"/>
      <c r="V182" s="1" t="b">
        <v>1</v>
      </c>
      <c r="W182" s="31" t="s">
        <v>1885</v>
      </c>
    </row>
    <row r="183" spans="1:23" ht="30">
      <c r="A183" s="7">
        <v>182</v>
      </c>
      <c r="B183" s="7" t="s">
        <v>631</v>
      </c>
      <c r="C183" s="7" t="s">
        <v>45</v>
      </c>
      <c r="D183" s="7" t="s">
        <v>99</v>
      </c>
      <c r="E183" s="11">
        <v>4</v>
      </c>
      <c r="F183" s="7" t="s">
        <v>39</v>
      </c>
      <c r="G183" s="7" t="s">
        <v>1742</v>
      </c>
      <c r="H183" s="37">
        <f>IFERROR(VLOOKUP(C183,Fixture_Engine!$D$2:$R$21,13,FALSE),"")</f>
        <v>0.52865868671275384</v>
      </c>
      <c r="I183" s="37">
        <f>IFERROR(VLOOKUP(C183,Fixture_Engine!$D$2:$R$21,14,FALSE),"")</f>
        <v>2.6529358272146251</v>
      </c>
      <c r="J183" s="37">
        <f>IFERROR(VLOOKUP(C183,Fixture_Engine!$D$2:$R$21,15,FALSE),"")</f>
        <v>7.0444097482917162E-2</v>
      </c>
      <c r="K183" s="13">
        <v>4.1142361271531161E-2</v>
      </c>
      <c r="L183" s="13">
        <v>4.0513079897554365E-2</v>
      </c>
      <c r="M183" s="13">
        <v>1</v>
      </c>
      <c r="N183" s="38">
        <f t="shared" si="4"/>
        <v>2.1750266678069331E-2</v>
      </c>
      <c r="O183" s="38">
        <f t="shared" si="5"/>
        <v>2.1417591613329959E-2</v>
      </c>
      <c r="P183" s="26"/>
      <c r="Q183" s="45"/>
      <c r="R183" s="38"/>
      <c r="S183" s="38"/>
      <c r="T183" s="38"/>
      <c r="V183" s="1" t="b">
        <v>1</v>
      </c>
      <c r="W183" s="31" t="s">
        <v>1885</v>
      </c>
    </row>
    <row r="184" spans="1:23" ht="30">
      <c r="A184" s="7">
        <v>183</v>
      </c>
      <c r="B184" s="7" t="s">
        <v>634</v>
      </c>
      <c r="C184" s="7" t="s">
        <v>45</v>
      </c>
      <c r="D184" s="7" t="s">
        <v>112</v>
      </c>
      <c r="E184" s="11">
        <v>5</v>
      </c>
      <c r="F184" s="7" t="s">
        <v>39</v>
      </c>
      <c r="G184" s="7" t="s">
        <v>1742</v>
      </c>
      <c r="H184" s="37">
        <f>IFERROR(VLOOKUP(C184,Fixture_Engine!$D$2:$R$21,13,FALSE),"")</f>
        <v>0.52865868671275384</v>
      </c>
      <c r="I184" s="37">
        <f>IFERROR(VLOOKUP(C184,Fixture_Engine!$D$2:$R$21,14,FALSE),"")</f>
        <v>2.6529358272146251</v>
      </c>
      <c r="J184" s="37">
        <f>IFERROR(VLOOKUP(C184,Fixture_Engine!$D$2:$R$21,15,FALSE),"")</f>
        <v>7.0444097482917162E-2</v>
      </c>
      <c r="K184" s="13">
        <v>0.11206258131177728</v>
      </c>
      <c r="L184" s="13">
        <v>9.8429506166896885E-2</v>
      </c>
      <c r="M184" s="13">
        <v>0.45923525599481529</v>
      </c>
      <c r="N184" s="38">
        <f t="shared" si="4"/>
        <v>5.9242857065925365E-2</v>
      </c>
      <c r="O184" s="38">
        <f t="shared" si="5"/>
        <v>5.2035613463976615E-2</v>
      </c>
      <c r="P184" s="26"/>
      <c r="Q184" s="45"/>
      <c r="R184" s="38"/>
      <c r="S184" s="38"/>
      <c r="T184" s="38"/>
      <c r="V184" s="1" t="b">
        <v>0</v>
      </c>
      <c r="W184" s="31" t="s">
        <v>1885</v>
      </c>
    </row>
    <row r="185" spans="1:23" ht="30">
      <c r="A185" s="7">
        <v>184</v>
      </c>
      <c r="B185" s="7" t="s">
        <v>638</v>
      </c>
      <c r="C185" s="7" t="s">
        <v>45</v>
      </c>
      <c r="D185" s="7" t="s">
        <v>112</v>
      </c>
      <c r="E185" s="11">
        <v>5</v>
      </c>
      <c r="F185" s="7" t="s">
        <v>39</v>
      </c>
      <c r="G185" s="7" t="s">
        <v>1742</v>
      </c>
      <c r="H185" s="37">
        <f>IFERROR(VLOOKUP(C185,Fixture_Engine!$D$2:$R$21,13,FALSE),"")</f>
        <v>0.52865868671275384</v>
      </c>
      <c r="I185" s="37">
        <f>IFERROR(VLOOKUP(C185,Fixture_Engine!$D$2:$R$21,14,FALSE),"")</f>
        <v>2.6529358272146251</v>
      </c>
      <c r="J185" s="37">
        <f>IFERROR(VLOOKUP(C185,Fixture_Engine!$D$2:$R$21,15,FALSE),"")</f>
        <v>7.0444097482917162E-2</v>
      </c>
      <c r="K185" s="13">
        <v>5.2697175142998647E-2</v>
      </c>
      <c r="L185" s="13">
        <v>9.9844354990720058E-2</v>
      </c>
      <c r="M185" s="13">
        <v>0.36580310880829003</v>
      </c>
      <c r="N185" s="38">
        <f t="shared" si="4"/>
        <v>2.7858819404569642E-2</v>
      </c>
      <c r="O185" s="38">
        <f t="shared" si="5"/>
        <v>5.2783585585076058E-2</v>
      </c>
      <c r="P185" s="26"/>
      <c r="Q185" s="45"/>
      <c r="R185" s="38"/>
      <c r="S185" s="38"/>
      <c r="T185" s="38"/>
      <c r="V185" s="1" t="b">
        <v>0</v>
      </c>
      <c r="W185" s="31" t="s">
        <v>1885</v>
      </c>
    </row>
    <row r="186" spans="1:23" ht="30">
      <c r="A186" s="7">
        <v>185</v>
      </c>
      <c r="B186" s="7" t="s">
        <v>641</v>
      </c>
      <c r="C186" s="7" t="s">
        <v>45</v>
      </c>
      <c r="D186" s="7" t="s">
        <v>112</v>
      </c>
      <c r="E186" s="11">
        <v>5</v>
      </c>
      <c r="F186" s="7" t="s">
        <v>39</v>
      </c>
      <c r="G186" s="7" t="s">
        <v>1742</v>
      </c>
      <c r="H186" s="37">
        <f>IFERROR(VLOOKUP(C186,Fixture_Engine!$D$2:$R$21,13,FALSE),"")</f>
        <v>0.52865868671275384</v>
      </c>
      <c r="I186" s="37">
        <f>IFERROR(VLOOKUP(C186,Fixture_Engine!$D$2:$R$21,14,FALSE),"")</f>
        <v>2.6529358272146251</v>
      </c>
      <c r="J186" s="37">
        <f>IFERROR(VLOOKUP(C186,Fixture_Engine!$D$2:$R$21,15,FALSE),"")</f>
        <v>7.0444097482917162E-2</v>
      </c>
      <c r="K186" s="13">
        <v>9.1098072046977147E-2</v>
      </c>
      <c r="L186" s="13">
        <v>9.5933319782833246E-2</v>
      </c>
      <c r="M186" s="13">
        <v>0.42346368715083804</v>
      </c>
      <c r="N186" s="38">
        <f t="shared" si="4"/>
        <v>4.8159787130418769E-2</v>
      </c>
      <c r="O186" s="38">
        <f t="shared" si="5"/>
        <v>5.071598284838727E-2</v>
      </c>
      <c r="P186" s="26"/>
      <c r="Q186" s="45"/>
      <c r="R186" s="38"/>
      <c r="S186" s="38"/>
      <c r="T186" s="38"/>
      <c r="U186" s="1" t="b">
        <v>0</v>
      </c>
      <c r="V186" s="1" t="b">
        <v>0</v>
      </c>
      <c r="W186" s="31" t="s">
        <v>1885</v>
      </c>
    </row>
    <row r="187" spans="1:23" ht="30">
      <c r="A187" s="7">
        <v>186</v>
      </c>
      <c r="B187" s="7" t="s">
        <v>644</v>
      </c>
      <c r="C187" s="7" t="s">
        <v>45</v>
      </c>
      <c r="D187" s="7" t="s">
        <v>112</v>
      </c>
      <c r="E187" s="11">
        <v>5.5</v>
      </c>
      <c r="F187" s="7" t="s">
        <v>39</v>
      </c>
      <c r="G187" s="7" t="s">
        <v>1742</v>
      </c>
      <c r="H187" s="37">
        <f>IFERROR(VLOOKUP(C187,Fixture_Engine!$D$2:$R$21,13,FALSE),"")</f>
        <v>0.52865868671275384</v>
      </c>
      <c r="I187" s="37">
        <f>IFERROR(VLOOKUP(C187,Fixture_Engine!$D$2:$R$21,14,FALSE),"")</f>
        <v>2.6529358272146251</v>
      </c>
      <c r="J187" s="37">
        <f>IFERROR(VLOOKUP(C187,Fixture_Engine!$D$2:$R$21,15,FALSE),"")</f>
        <v>7.0444097482917162E-2</v>
      </c>
      <c r="K187" s="13">
        <v>0.13471358101342368</v>
      </c>
      <c r="L187" s="13">
        <v>8.9841641834761121E-2</v>
      </c>
      <c r="M187" s="13">
        <v>0.39950124688279298</v>
      </c>
      <c r="N187" s="38">
        <f t="shared" si="4"/>
        <v>7.1217504820928729E-2</v>
      </c>
      <c r="O187" s="38">
        <f t="shared" si="5"/>
        <v>4.7495564384482422E-2</v>
      </c>
      <c r="P187" s="26"/>
      <c r="Q187" s="45"/>
      <c r="R187" s="38"/>
      <c r="S187" s="38"/>
      <c r="T187" s="38"/>
      <c r="V187" s="1" t="b">
        <v>0</v>
      </c>
      <c r="W187" s="31" t="s">
        <v>1885</v>
      </c>
    </row>
    <row r="188" spans="1:23" ht="30">
      <c r="A188" s="7">
        <v>187</v>
      </c>
      <c r="B188" s="7" t="s">
        <v>647</v>
      </c>
      <c r="C188" s="7" t="s">
        <v>45</v>
      </c>
      <c r="D188" s="7" t="s">
        <v>112</v>
      </c>
      <c r="E188" s="11">
        <v>5</v>
      </c>
      <c r="F188" s="7" t="s">
        <v>39</v>
      </c>
      <c r="G188" s="7" t="s">
        <v>1742</v>
      </c>
      <c r="H188" s="37">
        <f>IFERROR(VLOOKUP(C188,Fixture_Engine!$D$2:$R$21,13,FALSE),"")</f>
        <v>0.52865868671275384</v>
      </c>
      <c r="I188" s="37">
        <f>IFERROR(VLOOKUP(C188,Fixture_Engine!$D$2:$R$21,14,FALSE),"")</f>
        <v>2.6529358272146251</v>
      </c>
      <c r="J188" s="37">
        <f>IFERROR(VLOOKUP(C188,Fixture_Engine!$D$2:$R$21,15,FALSE),"")</f>
        <v>7.0444097482917162E-2</v>
      </c>
      <c r="K188" s="13">
        <v>0.1166103186593675</v>
      </c>
      <c r="L188" s="13">
        <v>7.7275664888037804E-2</v>
      </c>
      <c r="M188" s="13">
        <v>0.52</v>
      </c>
      <c r="N188" s="38">
        <f t="shared" si="4"/>
        <v>6.1647057919616957E-2</v>
      </c>
      <c r="O188" s="38">
        <f t="shared" si="5"/>
        <v>4.085245151456493E-2</v>
      </c>
      <c r="P188" s="26"/>
      <c r="Q188" s="45"/>
      <c r="R188" s="38"/>
      <c r="S188" s="38"/>
      <c r="T188" s="38"/>
      <c r="V188" s="1" t="b">
        <v>0</v>
      </c>
      <c r="W188" s="31" t="s">
        <v>1885</v>
      </c>
    </row>
    <row r="189" spans="1:23" ht="30">
      <c r="A189" s="7">
        <v>188</v>
      </c>
      <c r="B189" s="7" t="s">
        <v>649</v>
      </c>
      <c r="C189" s="7" t="s">
        <v>45</v>
      </c>
      <c r="D189" s="7" t="s">
        <v>112</v>
      </c>
      <c r="E189" s="11">
        <v>5.5</v>
      </c>
      <c r="F189" s="7" t="s">
        <v>39</v>
      </c>
      <c r="G189" s="7" t="s">
        <v>1742</v>
      </c>
      <c r="H189" s="37">
        <f>IFERROR(VLOOKUP(C189,Fixture_Engine!$D$2:$R$21,13,FALSE),"")</f>
        <v>0.52865868671275384</v>
      </c>
      <c r="I189" s="37">
        <f>IFERROR(VLOOKUP(C189,Fixture_Engine!$D$2:$R$21,14,FALSE),"")</f>
        <v>2.6529358272146251</v>
      </c>
      <c r="J189" s="37">
        <f>IFERROR(VLOOKUP(C189,Fixture_Engine!$D$2:$R$21,15,FALSE),"")</f>
        <v>7.0444097482917162E-2</v>
      </c>
      <c r="K189" s="13">
        <v>0.10926910512627187</v>
      </c>
      <c r="L189" s="13">
        <v>9.869958473144208E-2</v>
      </c>
      <c r="M189" s="13">
        <v>0.44140012070006029</v>
      </c>
      <c r="N189" s="38">
        <f t="shared" si="4"/>
        <v>5.7766061614332724E-2</v>
      </c>
      <c r="O189" s="38">
        <f t="shared" si="5"/>
        <v>5.2178392843218339E-2</v>
      </c>
      <c r="P189" s="26"/>
      <c r="Q189" s="45"/>
      <c r="R189" s="38"/>
      <c r="S189" s="38"/>
      <c r="T189" s="38"/>
      <c r="V189" s="1" t="b">
        <v>0</v>
      </c>
      <c r="W189" s="31" t="s">
        <v>1885</v>
      </c>
    </row>
    <row r="190" spans="1:23" ht="30">
      <c r="A190" s="7">
        <v>189</v>
      </c>
      <c r="B190" s="7" t="s">
        <v>652</v>
      </c>
      <c r="C190" s="7" t="s">
        <v>45</v>
      </c>
      <c r="D190" s="7" t="s">
        <v>112</v>
      </c>
      <c r="E190" s="11">
        <v>4.5</v>
      </c>
      <c r="F190" s="7" t="s">
        <v>39</v>
      </c>
      <c r="G190" s="7" t="s">
        <v>1742</v>
      </c>
      <c r="H190" s="37">
        <f>IFERROR(VLOOKUP(C190,Fixture_Engine!$D$2:$R$21,13,FALSE),"")</f>
        <v>0.52865868671275384</v>
      </c>
      <c r="I190" s="37">
        <f>IFERROR(VLOOKUP(C190,Fixture_Engine!$D$2:$R$21,14,FALSE),"")</f>
        <v>2.6529358272146251</v>
      </c>
      <c r="J190" s="37">
        <f>IFERROR(VLOOKUP(C190,Fixture_Engine!$D$2:$R$21,15,FALSE),"")</f>
        <v>7.0444097482917162E-2</v>
      </c>
      <c r="K190" s="13">
        <v>0.10751786102217777</v>
      </c>
      <c r="L190" s="13">
        <v>9.0240671969462088E-2</v>
      </c>
      <c r="M190" s="13">
        <v>1</v>
      </c>
      <c r="N190" s="38">
        <f t="shared" si="4"/>
        <v>5.6840251206148884E-2</v>
      </c>
      <c r="O190" s="38">
        <f t="shared" si="5"/>
        <v>4.7706515131452243E-2</v>
      </c>
      <c r="P190" s="26"/>
      <c r="Q190" s="45"/>
      <c r="R190" s="38"/>
      <c r="S190" s="38"/>
      <c r="T190" s="38"/>
      <c r="V190" s="1" t="b">
        <v>1</v>
      </c>
      <c r="W190" s="31" t="s">
        <v>1885</v>
      </c>
    </row>
    <row r="191" spans="1:23" ht="30">
      <c r="A191" s="7">
        <v>190</v>
      </c>
      <c r="B191" s="7" t="s">
        <v>654</v>
      </c>
      <c r="C191" s="7" t="s">
        <v>45</v>
      </c>
      <c r="D191" s="7" t="s">
        <v>112</v>
      </c>
      <c r="E191" s="11">
        <v>5.5</v>
      </c>
      <c r="F191" s="7" t="s">
        <v>39</v>
      </c>
      <c r="G191" s="7" t="s">
        <v>1742</v>
      </c>
      <c r="H191" s="37">
        <f>IFERROR(VLOOKUP(C191,Fixture_Engine!$D$2:$R$21,13,FALSE),"")</f>
        <v>0.52865868671275384</v>
      </c>
      <c r="I191" s="37">
        <f>IFERROR(VLOOKUP(C191,Fixture_Engine!$D$2:$R$21,14,FALSE),"")</f>
        <v>2.6529358272146251</v>
      </c>
      <c r="J191" s="37">
        <f>IFERROR(VLOOKUP(C191,Fixture_Engine!$D$2:$R$21,15,FALSE),"")</f>
        <v>7.0444097482917162E-2</v>
      </c>
      <c r="K191" s="13">
        <v>0.10686995328058055</v>
      </c>
      <c r="L191" s="13">
        <v>8.3523073426691019E-2</v>
      </c>
      <c r="M191" s="13">
        <v>0.52627268702965924</v>
      </c>
      <c r="N191" s="38">
        <f t="shared" si="4"/>
        <v>5.6497729150365071E-2</v>
      </c>
      <c r="O191" s="38">
        <f t="shared" si="5"/>
        <v>4.415519830796738E-2</v>
      </c>
      <c r="P191" s="26"/>
      <c r="Q191" s="45"/>
      <c r="R191" s="38"/>
      <c r="S191" s="38"/>
      <c r="T191" s="38"/>
      <c r="V191" s="1" t="b">
        <v>1</v>
      </c>
      <c r="W191" s="31" t="s">
        <v>1885</v>
      </c>
    </row>
    <row r="192" spans="1:23" ht="30">
      <c r="A192" s="7">
        <v>191</v>
      </c>
      <c r="B192" s="7" t="s">
        <v>657</v>
      </c>
      <c r="C192" s="7" t="s">
        <v>45</v>
      </c>
      <c r="D192" s="7" t="s">
        <v>112</v>
      </c>
      <c r="E192" s="11">
        <v>4.5</v>
      </c>
      <c r="F192" s="7" t="s">
        <v>39</v>
      </c>
      <c r="G192" s="7" t="s">
        <v>1742</v>
      </c>
      <c r="H192" s="37">
        <f>IFERROR(VLOOKUP(C192,Fixture_Engine!$D$2:$R$21,13,FALSE),"")</f>
        <v>0.52865868671275384</v>
      </c>
      <c r="I192" s="37">
        <f>IFERROR(VLOOKUP(C192,Fixture_Engine!$D$2:$R$21,14,FALSE),"")</f>
        <v>2.6529358272146251</v>
      </c>
      <c r="J192" s="37">
        <f>IFERROR(VLOOKUP(C192,Fixture_Engine!$D$2:$R$21,15,FALSE),"")</f>
        <v>7.0444097482917162E-2</v>
      </c>
      <c r="K192" s="13">
        <v>0.10751786102217777</v>
      </c>
      <c r="L192" s="13">
        <v>9.0240671969462088E-2</v>
      </c>
      <c r="M192" s="13">
        <v>1</v>
      </c>
      <c r="N192" s="38">
        <f t="shared" si="4"/>
        <v>5.6840251206148884E-2</v>
      </c>
      <c r="O192" s="38">
        <f t="shared" si="5"/>
        <v>4.7706515131452243E-2</v>
      </c>
      <c r="P192" s="26"/>
      <c r="Q192" s="45"/>
      <c r="R192" s="38"/>
      <c r="S192" s="38"/>
      <c r="T192" s="38"/>
      <c r="V192" s="1" t="b">
        <v>1</v>
      </c>
      <c r="W192" s="31" t="s">
        <v>1885</v>
      </c>
    </row>
    <row r="193" spans="1:23" ht="30">
      <c r="A193" s="7">
        <v>192</v>
      </c>
      <c r="B193" s="7" t="s">
        <v>659</v>
      </c>
      <c r="C193" s="7" t="s">
        <v>45</v>
      </c>
      <c r="D193" s="7" t="s">
        <v>112</v>
      </c>
      <c r="E193" s="11">
        <v>4.5</v>
      </c>
      <c r="F193" s="7" t="s">
        <v>39</v>
      </c>
      <c r="G193" s="7" t="s">
        <v>1742</v>
      </c>
      <c r="H193" s="37">
        <f>IFERROR(VLOOKUP(C193,Fixture_Engine!$D$2:$R$21,13,FALSE),"")</f>
        <v>0.52865868671275384</v>
      </c>
      <c r="I193" s="37">
        <f>IFERROR(VLOOKUP(C193,Fixture_Engine!$D$2:$R$21,14,FALSE),"")</f>
        <v>2.6529358272146251</v>
      </c>
      <c r="J193" s="37">
        <f>IFERROR(VLOOKUP(C193,Fixture_Engine!$D$2:$R$21,15,FALSE),"")</f>
        <v>7.0444097482917162E-2</v>
      </c>
      <c r="K193" s="13">
        <v>0.10751786102217777</v>
      </c>
      <c r="L193" s="13">
        <v>9.0240671969462088E-2</v>
      </c>
      <c r="M193" s="13">
        <v>1</v>
      </c>
      <c r="N193" s="38">
        <f t="shared" si="4"/>
        <v>5.6840251206148884E-2</v>
      </c>
      <c r="O193" s="38">
        <f t="shared" si="5"/>
        <v>4.7706515131452243E-2</v>
      </c>
      <c r="P193" s="26"/>
      <c r="Q193" s="45"/>
      <c r="R193" s="38"/>
      <c r="S193" s="38"/>
      <c r="T193" s="38"/>
      <c r="V193" s="1" t="b">
        <v>1</v>
      </c>
      <c r="W193" s="31" t="s">
        <v>1885</v>
      </c>
    </row>
    <row r="194" spans="1:23" ht="30">
      <c r="A194" s="7">
        <v>193</v>
      </c>
      <c r="B194" s="7" t="s">
        <v>662</v>
      </c>
      <c r="C194" s="7" t="s">
        <v>45</v>
      </c>
      <c r="D194" s="7" t="s">
        <v>167</v>
      </c>
      <c r="E194" s="11">
        <v>5.5</v>
      </c>
      <c r="F194" s="7" t="s">
        <v>39</v>
      </c>
      <c r="G194" s="7" t="s">
        <v>1742</v>
      </c>
      <c r="H194" s="37">
        <f>IFERROR(VLOOKUP(C194,Fixture_Engine!$D$2:$R$21,13,FALSE),"")</f>
        <v>0.52865868671275384</v>
      </c>
      <c r="I194" s="37">
        <f>IFERROR(VLOOKUP(C194,Fixture_Engine!$D$2:$R$21,14,FALSE),"")</f>
        <v>2.6529358272146251</v>
      </c>
      <c r="J194" s="37">
        <f>IFERROR(VLOOKUP(C194,Fixture_Engine!$D$2:$R$21,15,FALSE),"")</f>
        <v>7.0444097482917162E-2</v>
      </c>
      <c r="K194" s="13">
        <v>0.32340338001662783</v>
      </c>
      <c r="L194" s="13">
        <v>3.1819403768930499E-2</v>
      </c>
      <c r="M194" s="13">
        <v>0.42390148334732713</v>
      </c>
      <c r="N194" s="38">
        <f t="shared" ref="N194:N257" si="6">IF(OR(H194="",K194=""),"",H194*K194)</f>
        <v>0.17097000615805613</v>
      </c>
      <c r="O194" s="38">
        <f t="shared" ref="O194:O257" si="7">IF(OR(H194="",L194=""),"",H194*L194)</f>
        <v>1.6821604208465648E-2</v>
      </c>
      <c r="P194" s="26"/>
      <c r="Q194" s="45"/>
      <c r="R194" s="38"/>
      <c r="S194" s="38"/>
      <c r="T194" s="38"/>
      <c r="U194" s="1" t="b">
        <v>0</v>
      </c>
      <c r="V194" s="1" t="b">
        <v>0</v>
      </c>
      <c r="W194" s="31" t="s">
        <v>1885</v>
      </c>
    </row>
    <row r="195" spans="1:23" ht="30">
      <c r="A195" s="7">
        <v>194</v>
      </c>
      <c r="B195" s="7" t="s">
        <v>664</v>
      </c>
      <c r="C195" s="7" t="s">
        <v>45</v>
      </c>
      <c r="D195" s="7" t="s">
        <v>167</v>
      </c>
      <c r="E195" s="11">
        <v>5</v>
      </c>
      <c r="F195" s="7" t="s">
        <v>39</v>
      </c>
      <c r="G195" s="7" t="s">
        <v>1742</v>
      </c>
      <c r="H195" s="37">
        <f>IFERROR(VLOOKUP(C195,Fixture_Engine!$D$2:$R$21,13,FALSE),"")</f>
        <v>0.52865868671275384</v>
      </c>
      <c r="I195" s="37">
        <f>IFERROR(VLOOKUP(C195,Fixture_Engine!$D$2:$R$21,14,FALSE),"")</f>
        <v>2.6529358272146251</v>
      </c>
      <c r="J195" s="37">
        <f>IFERROR(VLOOKUP(C195,Fixture_Engine!$D$2:$R$21,15,FALSE),"")</f>
        <v>7.0444097482917162E-2</v>
      </c>
      <c r="K195" s="13">
        <v>0.29963283773018012</v>
      </c>
      <c r="L195" s="13">
        <v>4.3521806955228615E-2</v>
      </c>
      <c r="M195" s="13">
        <v>0.47777777777777775</v>
      </c>
      <c r="N195" s="38">
        <f t="shared" si="6"/>
        <v>0.15840350249045271</v>
      </c>
      <c r="O195" s="38">
        <f t="shared" si="7"/>
        <v>2.3008181308317156E-2</v>
      </c>
      <c r="P195" s="26"/>
      <c r="Q195" s="45"/>
      <c r="R195" s="38"/>
      <c r="S195" s="38"/>
      <c r="T195" s="38"/>
      <c r="U195" s="1" t="b">
        <v>0</v>
      </c>
      <c r="V195" s="1" t="b">
        <v>0</v>
      </c>
      <c r="W195" s="31" t="s">
        <v>1885</v>
      </c>
    </row>
    <row r="196" spans="1:23" ht="30">
      <c r="A196" s="7">
        <v>195</v>
      </c>
      <c r="B196" s="7" t="s">
        <v>667</v>
      </c>
      <c r="C196" s="7" t="s">
        <v>45</v>
      </c>
      <c r="D196" s="7" t="s">
        <v>167</v>
      </c>
      <c r="E196" s="11">
        <v>5</v>
      </c>
      <c r="F196" s="7" t="s">
        <v>39</v>
      </c>
      <c r="G196" s="7" t="s">
        <v>1742</v>
      </c>
      <c r="H196" s="37">
        <f>IFERROR(VLOOKUP(C196,Fixture_Engine!$D$2:$R$21,13,FALSE),"")</f>
        <v>0.52865868671275384</v>
      </c>
      <c r="I196" s="37">
        <f>IFERROR(VLOOKUP(C196,Fixture_Engine!$D$2:$R$21,14,FALSE),"")</f>
        <v>2.6529358272146251</v>
      </c>
      <c r="J196" s="37">
        <f>IFERROR(VLOOKUP(C196,Fixture_Engine!$D$2:$R$21,15,FALSE),"")</f>
        <v>7.0444097482917162E-2</v>
      </c>
      <c r="K196" s="13">
        <v>0.32078896994466322</v>
      </c>
      <c r="L196" s="13">
        <v>2.7628181563316864E-2</v>
      </c>
      <c r="M196" s="13">
        <v>0.50406689471683763</v>
      </c>
      <c r="N196" s="38">
        <f t="shared" si="6"/>
        <v>0.16958787556288271</v>
      </c>
      <c r="O196" s="38">
        <f t="shared" si="7"/>
        <v>1.4605878181524612E-2</v>
      </c>
      <c r="P196" s="26"/>
      <c r="Q196" s="45"/>
      <c r="R196" s="38"/>
      <c r="S196" s="38"/>
      <c r="T196" s="38"/>
      <c r="U196" s="1" t="b">
        <v>0</v>
      </c>
      <c r="V196" s="1" t="b">
        <v>0</v>
      </c>
      <c r="W196" s="31" t="s">
        <v>1885</v>
      </c>
    </row>
    <row r="197" spans="1:23" ht="30">
      <c r="A197" s="7">
        <v>196</v>
      </c>
      <c r="B197" s="7" t="s">
        <v>670</v>
      </c>
      <c r="C197" s="7" t="s">
        <v>45</v>
      </c>
      <c r="D197" s="7" t="s">
        <v>167</v>
      </c>
      <c r="E197" s="11">
        <v>5</v>
      </c>
      <c r="F197" s="7" t="s">
        <v>39</v>
      </c>
      <c r="G197" s="7" t="s">
        <v>1742</v>
      </c>
      <c r="H197" s="37">
        <f>IFERROR(VLOOKUP(C197,Fixture_Engine!$D$2:$R$21,13,FALSE),"")</f>
        <v>0.52865868671275384</v>
      </c>
      <c r="I197" s="37">
        <f>IFERROR(VLOOKUP(C197,Fixture_Engine!$D$2:$R$21,14,FALSE),"")</f>
        <v>2.6529358272146251</v>
      </c>
      <c r="J197" s="37">
        <f>IFERROR(VLOOKUP(C197,Fixture_Engine!$D$2:$R$21,15,FALSE),"")</f>
        <v>7.0444097482917162E-2</v>
      </c>
      <c r="K197" s="13">
        <v>0.30461525508032317</v>
      </c>
      <c r="L197" s="13">
        <v>3.9258061548584466E-2</v>
      </c>
      <c r="M197" s="13">
        <v>1</v>
      </c>
      <c r="N197" s="38">
        <f t="shared" si="6"/>
        <v>0.16103750070343417</v>
      </c>
      <c r="O197" s="38">
        <f t="shared" si="7"/>
        <v>2.0754115261163122E-2</v>
      </c>
      <c r="P197" s="26"/>
      <c r="Q197" s="45"/>
      <c r="R197" s="38"/>
      <c r="S197" s="38"/>
      <c r="T197" s="38"/>
      <c r="U197" s="1" t="b">
        <v>0</v>
      </c>
      <c r="V197" s="1" t="b">
        <v>1</v>
      </c>
      <c r="W197" s="31" t="s">
        <v>1885</v>
      </c>
    </row>
    <row r="198" spans="1:23" ht="30">
      <c r="A198" s="7">
        <v>197</v>
      </c>
      <c r="B198" s="7" t="s">
        <v>672</v>
      </c>
      <c r="C198" s="7" t="s">
        <v>45</v>
      </c>
      <c r="D198" s="7" t="s">
        <v>167</v>
      </c>
      <c r="E198" s="11">
        <v>4.5</v>
      </c>
      <c r="F198" s="7" t="s">
        <v>39</v>
      </c>
      <c r="G198" s="7" t="s">
        <v>1742</v>
      </c>
      <c r="H198" s="37">
        <f>IFERROR(VLOOKUP(C198,Fixture_Engine!$D$2:$R$21,13,FALSE),"")</f>
        <v>0.52865868671275384</v>
      </c>
      <c r="I198" s="37">
        <f>IFERROR(VLOOKUP(C198,Fixture_Engine!$D$2:$R$21,14,FALSE),"")</f>
        <v>2.6529358272146251</v>
      </c>
      <c r="J198" s="37">
        <f>IFERROR(VLOOKUP(C198,Fixture_Engine!$D$2:$R$21,15,FALSE),"")</f>
        <v>7.0444097482917162E-2</v>
      </c>
      <c r="K198" s="13">
        <v>0.30461525508032317</v>
      </c>
      <c r="L198" s="13">
        <v>3.9258061548584466E-2</v>
      </c>
      <c r="M198" s="13">
        <v>1</v>
      </c>
      <c r="N198" s="38">
        <f t="shared" si="6"/>
        <v>0.16103750070343417</v>
      </c>
      <c r="O198" s="38">
        <f t="shared" si="7"/>
        <v>2.0754115261163122E-2</v>
      </c>
      <c r="P198" s="26"/>
      <c r="Q198" s="45"/>
      <c r="R198" s="38"/>
      <c r="S198" s="38"/>
      <c r="T198" s="38"/>
      <c r="U198" s="1" t="b">
        <v>0</v>
      </c>
      <c r="V198" s="1" t="b">
        <v>1</v>
      </c>
      <c r="W198" s="31" t="s">
        <v>1885</v>
      </c>
    </row>
    <row r="199" spans="1:23" ht="30">
      <c r="A199" s="7">
        <v>198</v>
      </c>
      <c r="B199" s="7" t="s">
        <v>398</v>
      </c>
      <c r="C199" s="7" t="s">
        <v>46</v>
      </c>
      <c r="D199" s="7" t="s">
        <v>85</v>
      </c>
      <c r="E199" s="11">
        <v>5</v>
      </c>
      <c r="F199" s="7" t="s">
        <v>47</v>
      </c>
      <c r="G199" s="7" t="s">
        <v>1742</v>
      </c>
      <c r="H199" s="37">
        <f>IFERROR(VLOOKUP(C199,Fixture_Engine!$D$2:$R$21,13,FALSE),"")</f>
        <v>1.0054212185228999</v>
      </c>
      <c r="I199" s="37">
        <f>IFERROR(VLOOKUP(C199,Fixture_Engine!$D$2:$R$21,14,FALSE),"")</f>
        <v>1.3042477689012788</v>
      </c>
      <c r="J199" s="37">
        <f>IFERROR(VLOOKUP(C199,Fixture_Engine!$D$2:$R$21,15,FALSE),"")</f>
        <v>0.27137659620053128</v>
      </c>
      <c r="K199" s="13">
        <v>1.6719534964712218E-4</v>
      </c>
      <c r="L199" s="13">
        <v>1.768178945058358E-3</v>
      </c>
      <c r="M199" s="13">
        <v>0.307852193995381</v>
      </c>
      <c r="N199" s="38">
        <f t="shared" si="6"/>
        <v>1.6810175217357189E-4</v>
      </c>
      <c r="O199" s="38">
        <f t="shared" si="7"/>
        <v>1.7777646295071099E-3</v>
      </c>
      <c r="P199" s="26"/>
      <c r="Q199" s="45"/>
      <c r="R199" s="38"/>
      <c r="S199" s="38"/>
      <c r="T199" s="38"/>
      <c r="U199" s="1" t="b">
        <v>0</v>
      </c>
      <c r="V199" s="1" t="b">
        <v>1</v>
      </c>
      <c r="W199" s="31" t="s">
        <v>1885</v>
      </c>
    </row>
    <row r="200" spans="1:23" ht="30">
      <c r="A200" s="7">
        <v>199</v>
      </c>
      <c r="B200" s="7" t="s">
        <v>678</v>
      </c>
      <c r="C200" s="7" t="s">
        <v>46</v>
      </c>
      <c r="D200" s="7" t="s">
        <v>85</v>
      </c>
      <c r="E200" s="11">
        <v>4.5</v>
      </c>
      <c r="F200" s="7" t="s">
        <v>47</v>
      </c>
      <c r="G200" s="7" t="s">
        <v>1742</v>
      </c>
      <c r="H200" s="37">
        <f>IFERROR(VLOOKUP(C200,Fixture_Engine!$D$2:$R$21,13,FALSE),"")</f>
        <v>1.0054212185228999</v>
      </c>
      <c r="I200" s="37">
        <f>IFERROR(VLOOKUP(C200,Fixture_Engine!$D$2:$R$21,14,FALSE),"")</f>
        <v>1.3042477689012788</v>
      </c>
      <c r="J200" s="37">
        <f>IFERROR(VLOOKUP(C200,Fixture_Engine!$D$2:$R$21,15,FALSE),"")</f>
        <v>0.27137659620053128</v>
      </c>
      <c r="K200" s="13">
        <v>1.6719534964712218E-4</v>
      </c>
      <c r="L200" s="13">
        <v>1.379361634588758E-3</v>
      </c>
      <c r="M200" s="13">
        <v>0.92568807339449544</v>
      </c>
      <c r="N200" s="38">
        <f t="shared" si="6"/>
        <v>1.6810175217357189E-4</v>
      </c>
      <c r="O200" s="38">
        <f t="shared" si="7"/>
        <v>1.3868394554319681E-3</v>
      </c>
      <c r="P200" s="26"/>
      <c r="Q200" s="45"/>
      <c r="R200" s="38"/>
      <c r="S200" s="38"/>
      <c r="T200" s="38"/>
      <c r="U200" s="1" t="b">
        <v>0</v>
      </c>
      <c r="V200" s="1" t="b">
        <v>1</v>
      </c>
      <c r="W200" s="31" t="s">
        <v>1885</v>
      </c>
    </row>
    <row r="201" spans="1:23" ht="30">
      <c r="A201" s="7">
        <v>200</v>
      </c>
      <c r="B201" s="7" t="s">
        <v>593</v>
      </c>
      <c r="C201" s="7" t="s">
        <v>44</v>
      </c>
      <c r="D201" s="7" t="s">
        <v>99</v>
      </c>
      <c r="E201" s="11">
        <v>6</v>
      </c>
      <c r="F201" s="7" t="s">
        <v>48</v>
      </c>
      <c r="G201" s="7" t="s">
        <v>1742</v>
      </c>
      <c r="H201" s="37">
        <f>IFERROR(VLOOKUP(C201,Fixture_Engine!$D$2:$R$21,13,FALSE),"")</f>
        <v>1.529190937318446</v>
      </c>
      <c r="I201" s="37">
        <f>IFERROR(VLOOKUP(C201,Fixture_Engine!$D$2:$R$21,14,FALSE),"")</f>
        <v>1.0345389928276891</v>
      </c>
      <c r="J201" s="37">
        <f>IFERROR(VLOOKUP(C201,Fixture_Engine!$D$2:$R$21,15,FALSE),"")</f>
        <v>0.35539018058786065</v>
      </c>
      <c r="K201" s="13">
        <v>4.4334365934037959E-2</v>
      </c>
      <c r="L201" s="13">
        <v>2.6241259447159035E-2</v>
      </c>
      <c r="M201" s="13">
        <v>0.42227050183598525</v>
      </c>
      <c r="N201" s="38">
        <f t="shared" si="6"/>
        <v>6.7795710598090489E-2</v>
      </c>
      <c r="O201" s="38">
        <f t="shared" si="7"/>
        <v>4.0127896130417652E-2</v>
      </c>
      <c r="P201" s="26"/>
      <c r="Q201" s="45"/>
      <c r="R201" s="38"/>
      <c r="S201" s="38"/>
      <c r="T201" s="38"/>
      <c r="V201" s="1" t="b">
        <v>1</v>
      </c>
      <c r="W201" s="31" t="s">
        <v>1885</v>
      </c>
    </row>
    <row r="202" spans="1:23" ht="30">
      <c r="A202" s="7">
        <v>201</v>
      </c>
      <c r="B202" s="7" t="s">
        <v>680</v>
      </c>
      <c r="C202" s="7" t="s">
        <v>46</v>
      </c>
      <c r="D202" s="7" t="s">
        <v>99</v>
      </c>
      <c r="E202" s="11">
        <v>5.5</v>
      </c>
      <c r="F202" s="7" t="s">
        <v>47</v>
      </c>
      <c r="G202" s="7" t="s">
        <v>1742</v>
      </c>
      <c r="H202" s="37">
        <f>IFERROR(VLOOKUP(C202,Fixture_Engine!$D$2:$R$21,13,FALSE),"")</f>
        <v>1.0054212185228999</v>
      </c>
      <c r="I202" s="37">
        <f>IFERROR(VLOOKUP(C202,Fixture_Engine!$D$2:$R$21,14,FALSE),"")</f>
        <v>1.3042477689012788</v>
      </c>
      <c r="J202" s="37">
        <f>IFERROR(VLOOKUP(C202,Fixture_Engine!$D$2:$R$21,15,FALSE),"")</f>
        <v>0.27137659620053128</v>
      </c>
      <c r="K202" s="13">
        <v>5.3114321448574198E-2</v>
      </c>
      <c r="L202" s="13">
        <v>7.6061592632134148E-2</v>
      </c>
      <c r="M202" s="13">
        <v>0.3647058823529411</v>
      </c>
      <c r="N202" s="38">
        <f t="shared" si="6"/>
        <v>5.3402265791842464E-2</v>
      </c>
      <c r="O202" s="38">
        <f t="shared" si="7"/>
        <v>7.6473939146992742E-2</v>
      </c>
      <c r="P202" s="26"/>
      <c r="Q202" s="45"/>
      <c r="R202" s="38"/>
      <c r="S202" s="38"/>
      <c r="T202" s="38"/>
      <c r="U202" s="1" t="b">
        <v>0</v>
      </c>
      <c r="V202" s="1" t="b">
        <v>1</v>
      </c>
      <c r="W202" s="31" t="s">
        <v>1885</v>
      </c>
    </row>
    <row r="203" spans="1:23" ht="30">
      <c r="A203" s="7">
        <v>202</v>
      </c>
      <c r="B203" s="7" t="s">
        <v>683</v>
      </c>
      <c r="C203" s="7" t="s">
        <v>46</v>
      </c>
      <c r="D203" s="7" t="s">
        <v>99</v>
      </c>
      <c r="E203" s="11">
        <v>5</v>
      </c>
      <c r="F203" s="7" t="s">
        <v>47</v>
      </c>
      <c r="G203" s="7" t="s">
        <v>1742</v>
      </c>
      <c r="H203" s="37">
        <f>IFERROR(VLOOKUP(C203,Fixture_Engine!$D$2:$R$21,13,FALSE),"")</f>
        <v>1.0054212185228999</v>
      </c>
      <c r="I203" s="37">
        <f>IFERROR(VLOOKUP(C203,Fixture_Engine!$D$2:$R$21,14,FALSE),"")</f>
        <v>1.3042477689012788</v>
      </c>
      <c r="J203" s="37">
        <f>IFERROR(VLOOKUP(C203,Fixture_Engine!$D$2:$R$21,15,FALSE),"")</f>
        <v>0.27137659620053128</v>
      </c>
      <c r="K203" s="13">
        <v>4.7255070677398169E-2</v>
      </c>
      <c r="L203" s="13">
        <v>3.5153233399246697E-2</v>
      </c>
      <c r="M203" s="13">
        <v>0.33529411764705874</v>
      </c>
      <c r="N203" s="38">
        <f t="shared" si="6"/>
        <v>4.7511250741855422E-2</v>
      </c>
      <c r="O203" s="38">
        <f t="shared" si="7"/>
        <v>3.5343806759290518E-2</v>
      </c>
      <c r="P203" s="26"/>
      <c r="Q203" s="45"/>
      <c r="R203" s="38"/>
      <c r="S203" s="38"/>
      <c r="T203" s="38"/>
      <c r="U203" s="1" t="b">
        <v>0</v>
      </c>
      <c r="V203" s="1" t="b">
        <v>1</v>
      </c>
      <c r="W203" s="31" t="s">
        <v>1885</v>
      </c>
    </row>
    <row r="204" spans="1:23" ht="30">
      <c r="A204" s="7">
        <v>203</v>
      </c>
      <c r="B204" s="7" t="s">
        <v>686</v>
      </c>
      <c r="C204" s="7" t="s">
        <v>46</v>
      </c>
      <c r="D204" s="7" t="s">
        <v>99</v>
      </c>
      <c r="E204" s="11">
        <v>5</v>
      </c>
      <c r="F204" s="7" t="s">
        <v>47</v>
      </c>
      <c r="G204" s="7" t="s">
        <v>1742</v>
      </c>
      <c r="H204" s="37">
        <f>IFERROR(VLOOKUP(C204,Fixture_Engine!$D$2:$R$21,13,FALSE),"")</f>
        <v>1.0054212185228999</v>
      </c>
      <c r="I204" s="37">
        <f>IFERROR(VLOOKUP(C204,Fixture_Engine!$D$2:$R$21,14,FALSE),"")</f>
        <v>1.3042477689012788</v>
      </c>
      <c r="J204" s="37">
        <f>IFERROR(VLOOKUP(C204,Fixture_Engine!$D$2:$R$21,15,FALSE),"")</f>
        <v>0.27137659620053128</v>
      </c>
      <c r="K204" s="13">
        <v>5.3578110040851806E-2</v>
      </c>
      <c r="L204" s="13">
        <v>2.7180586937583216E-2</v>
      </c>
      <c r="M204" s="13">
        <v>0.48610038610038608</v>
      </c>
      <c r="N204" s="38">
        <f t="shared" si="6"/>
        <v>5.3868568683427244E-2</v>
      </c>
      <c r="O204" s="38">
        <f t="shared" si="7"/>
        <v>2.7327938838952532E-2</v>
      </c>
      <c r="P204" s="26"/>
      <c r="Q204" s="45"/>
      <c r="R204" s="38"/>
      <c r="S204" s="38"/>
      <c r="T204" s="38"/>
      <c r="V204" s="1" t="b">
        <v>1</v>
      </c>
      <c r="W204" s="31" t="s">
        <v>1885</v>
      </c>
    </row>
    <row r="205" spans="1:23" ht="30">
      <c r="A205" s="7">
        <v>204</v>
      </c>
      <c r="B205" s="7" t="s">
        <v>688</v>
      </c>
      <c r="C205" s="7" t="s">
        <v>46</v>
      </c>
      <c r="D205" s="7" t="s">
        <v>99</v>
      </c>
      <c r="E205" s="11">
        <v>4.5</v>
      </c>
      <c r="F205" s="7" t="s">
        <v>47</v>
      </c>
      <c r="G205" s="7" t="s">
        <v>1742</v>
      </c>
      <c r="H205" s="37">
        <f>IFERROR(VLOOKUP(C205,Fixture_Engine!$D$2:$R$21,13,FALSE),"")</f>
        <v>1.0054212185228999</v>
      </c>
      <c r="I205" s="37">
        <f>IFERROR(VLOOKUP(C205,Fixture_Engine!$D$2:$R$21,14,FALSE),"")</f>
        <v>1.3042477689012788</v>
      </c>
      <c r="J205" s="37">
        <f>IFERROR(VLOOKUP(C205,Fixture_Engine!$D$2:$R$21,15,FALSE),"")</f>
        <v>0.27137659620053128</v>
      </c>
      <c r="K205" s="13">
        <v>3.259244347867616E-2</v>
      </c>
      <c r="L205" s="13">
        <v>4.4085369755874425E-2</v>
      </c>
      <c r="M205" s="13">
        <v>0.31161533035504341</v>
      </c>
      <c r="N205" s="38">
        <f t="shared" si="6"/>
        <v>3.2769134236969324E-2</v>
      </c>
      <c r="O205" s="38">
        <f t="shared" si="7"/>
        <v>4.4324366178983859E-2</v>
      </c>
      <c r="P205" s="26"/>
      <c r="Q205" s="45"/>
      <c r="R205" s="38"/>
      <c r="S205" s="38"/>
      <c r="T205" s="38"/>
      <c r="U205" s="1" t="b">
        <v>0</v>
      </c>
      <c r="V205" s="1" t="b">
        <v>1</v>
      </c>
      <c r="W205" s="31" t="s">
        <v>1885</v>
      </c>
    </row>
    <row r="206" spans="1:23" ht="30">
      <c r="A206" s="7">
        <v>205</v>
      </c>
      <c r="B206" s="7" t="s">
        <v>691</v>
      </c>
      <c r="C206" s="7" t="s">
        <v>46</v>
      </c>
      <c r="D206" s="7" t="s">
        <v>99</v>
      </c>
      <c r="E206" s="11">
        <v>4.5</v>
      </c>
      <c r="F206" s="7" t="s">
        <v>47</v>
      </c>
      <c r="G206" s="7" t="s">
        <v>1742</v>
      </c>
      <c r="H206" s="37">
        <f>IFERROR(VLOOKUP(C206,Fixture_Engine!$D$2:$R$21,13,FALSE),"")</f>
        <v>1.0054212185228999</v>
      </c>
      <c r="I206" s="37">
        <f>IFERROR(VLOOKUP(C206,Fixture_Engine!$D$2:$R$21,14,FALSE),"")</f>
        <v>1.3042477689012788</v>
      </c>
      <c r="J206" s="37">
        <f>IFERROR(VLOOKUP(C206,Fixture_Engine!$D$2:$R$21,15,FALSE),"")</f>
        <v>0.27137659620053128</v>
      </c>
      <c r="K206" s="13">
        <v>3.9731696602042843E-2</v>
      </c>
      <c r="L206" s="13">
        <v>4.0597107592547997E-2</v>
      </c>
      <c r="M206" s="13">
        <v>0.91892629663330294</v>
      </c>
      <c r="N206" s="38">
        <f t="shared" si="6"/>
        <v>3.9947090811608077E-2</v>
      </c>
      <c r="O206" s="38">
        <f t="shared" si="7"/>
        <v>4.0817193384204878E-2</v>
      </c>
      <c r="P206" s="26"/>
      <c r="Q206" s="45"/>
      <c r="R206" s="38"/>
      <c r="S206" s="38"/>
      <c r="T206" s="38"/>
      <c r="U206" s="1" t="b">
        <v>0</v>
      </c>
      <c r="V206" s="1" t="b">
        <v>1</v>
      </c>
      <c r="W206" s="31" t="s">
        <v>1885</v>
      </c>
    </row>
    <row r="207" spans="1:23" ht="30">
      <c r="A207" s="7">
        <v>206</v>
      </c>
      <c r="B207" s="7" t="s">
        <v>694</v>
      </c>
      <c r="C207" s="7" t="s">
        <v>46</v>
      </c>
      <c r="D207" s="7" t="s">
        <v>99</v>
      </c>
      <c r="E207" s="11">
        <v>4.5</v>
      </c>
      <c r="F207" s="7" t="s">
        <v>47</v>
      </c>
      <c r="G207" s="7" t="s">
        <v>1742</v>
      </c>
      <c r="H207" s="37">
        <f>IFERROR(VLOOKUP(C207,Fixture_Engine!$D$2:$R$21,13,FALSE),"")</f>
        <v>1.0054212185228999</v>
      </c>
      <c r="I207" s="37">
        <f>IFERROR(VLOOKUP(C207,Fixture_Engine!$D$2:$R$21,14,FALSE),"")</f>
        <v>1.3042477689012788</v>
      </c>
      <c r="J207" s="37">
        <f>IFERROR(VLOOKUP(C207,Fixture_Engine!$D$2:$R$21,15,FALSE),"")</f>
        <v>0.27137659620053128</v>
      </c>
      <c r="K207" s="13">
        <v>3.9263076426485813E-2</v>
      </c>
      <c r="L207" s="13">
        <v>3.2010681950889436E-2</v>
      </c>
      <c r="M207" s="13">
        <v>0.6806451612903226</v>
      </c>
      <c r="N207" s="38">
        <f t="shared" si="6"/>
        <v>3.9475930143675113E-2</v>
      </c>
      <c r="O207" s="38">
        <f t="shared" si="7"/>
        <v>3.2184218852812252E-2</v>
      </c>
      <c r="P207" s="26"/>
      <c r="Q207" s="45"/>
      <c r="R207" s="38"/>
      <c r="S207" s="38"/>
      <c r="T207" s="38"/>
      <c r="U207" s="1" t="b">
        <v>0</v>
      </c>
      <c r="V207" s="1" t="b">
        <v>1</v>
      </c>
      <c r="W207" s="31" t="s">
        <v>1885</v>
      </c>
    </row>
    <row r="208" spans="1:23" ht="30">
      <c r="A208" s="7">
        <v>207</v>
      </c>
      <c r="B208" s="7" t="s">
        <v>696</v>
      </c>
      <c r="C208" s="7" t="s">
        <v>46</v>
      </c>
      <c r="D208" s="7" t="s">
        <v>99</v>
      </c>
      <c r="E208" s="11">
        <v>4.5</v>
      </c>
      <c r="F208" s="7" t="s">
        <v>47</v>
      </c>
      <c r="G208" s="7" t="s">
        <v>1742</v>
      </c>
      <c r="H208" s="37">
        <f>IFERROR(VLOOKUP(C208,Fixture_Engine!$D$2:$R$21,13,FALSE),"")</f>
        <v>1.0054212185228999</v>
      </c>
      <c r="I208" s="37">
        <f>IFERROR(VLOOKUP(C208,Fixture_Engine!$D$2:$R$21,14,FALSE),"")</f>
        <v>1.3042477689012788</v>
      </c>
      <c r="J208" s="37">
        <f>IFERROR(VLOOKUP(C208,Fixture_Engine!$D$2:$R$21,15,FALSE),"")</f>
        <v>0.27137659620053128</v>
      </c>
      <c r="K208" s="13">
        <v>4.1142361271531161E-2</v>
      </c>
      <c r="L208" s="13">
        <v>4.0513079897554365E-2</v>
      </c>
      <c r="M208" s="13">
        <v>1</v>
      </c>
      <c r="N208" s="38">
        <f t="shared" si="6"/>
        <v>4.1365403002532226E-2</v>
      </c>
      <c r="O208" s="38">
        <f t="shared" si="7"/>
        <v>4.0732710156714709E-2</v>
      </c>
      <c r="P208" s="26"/>
      <c r="Q208" s="45"/>
      <c r="R208" s="38"/>
      <c r="S208" s="38"/>
      <c r="T208" s="38"/>
      <c r="U208" s="1" t="b">
        <v>0</v>
      </c>
      <c r="V208" s="1" t="b">
        <v>1</v>
      </c>
      <c r="W208" s="31" t="s">
        <v>1885</v>
      </c>
    </row>
    <row r="209" spans="1:23" ht="30">
      <c r="A209" s="7">
        <v>208</v>
      </c>
      <c r="B209" s="7" t="s">
        <v>698</v>
      </c>
      <c r="C209" s="7" t="s">
        <v>46</v>
      </c>
      <c r="D209" s="7" t="s">
        <v>112</v>
      </c>
      <c r="E209" s="11">
        <v>6.5</v>
      </c>
      <c r="F209" s="7" t="s">
        <v>47</v>
      </c>
      <c r="G209" s="7" t="s">
        <v>1742</v>
      </c>
      <c r="H209" s="37">
        <f>IFERROR(VLOOKUP(C209,Fixture_Engine!$D$2:$R$21,13,FALSE),"")</f>
        <v>1.0054212185228999</v>
      </c>
      <c r="I209" s="37">
        <f>IFERROR(VLOOKUP(C209,Fixture_Engine!$D$2:$R$21,14,FALSE),"")</f>
        <v>1.3042477689012788</v>
      </c>
      <c r="J209" s="37">
        <f>IFERROR(VLOOKUP(C209,Fixture_Engine!$D$2:$R$21,15,FALSE),"")</f>
        <v>0.27137659620053128</v>
      </c>
      <c r="K209" s="13">
        <v>0.22342641275960115</v>
      </c>
      <c r="L209" s="13">
        <v>5.4121427537363709E-2</v>
      </c>
      <c r="M209" s="13">
        <v>0.38364323983611726</v>
      </c>
      <c r="N209" s="38">
        <f t="shared" si="6"/>
        <v>0.22463765616695858</v>
      </c>
      <c r="O209" s="38">
        <f t="shared" si="7"/>
        <v>5.4414831622815046E-2</v>
      </c>
      <c r="P209" s="26"/>
      <c r="Q209" s="45"/>
      <c r="R209" s="38"/>
      <c r="S209" s="38"/>
      <c r="T209" s="38"/>
      <c r="U209" s="1" t="b">
        <v>0</v>
      </c>
      <c r="V209" s="1" t="b">
        <v>1</v>
      </c>
      <c r="W209" s="31" t="s">
        <v>1885</v>
      </c>
    </row>
    <row r="210" spans="1:23" ht="30">
      <c r="A210" s="7">
        <v>209</v>
      </c>
      <c r="B210" s="7" t="s">
        <v>700</v>
      </c>
      <c r="C210" s="7" t="s">
        <v>46</v>
      </c>
      <c r="D210" s="7" t="s">
        <v>112</v>
      </c>
      <c r="E210" s="11">
        <v>6</v>
      </c>
      <c r="F210" s="7" t="s">
        <v>47</v>
      </c>
      <c r="G210" s="7" t="s">
        <v>1742</v>
      </c>
      <c r="H210" s="37">
        <f>IFERROR(VLOOKUP(C210,Fixture_Engine!$D$2:$R$21,13,FALSE),"")</f>
        <v>1.0054212185228999</v>
      </c>
      <c r="I210" s="37">
        <f>IFERROR(VLOOKUP(C210,Fixture_Engine!$D$2:$R$21,14,FALSE),"")</f>
        <v>1.3042477689012788</v>
      </c>
      <c r="J210" s="37">
        <f>IFERROR(VLOOKUP(C210,Fixture_Engine!$D$2:$R$21,15,FALSE),"")</f>
        <v>0.27137659620053128</v>
      </c>
      <c r="K210" s="13">
        <v>9.4271431810119488E-2</v>
      </c>
      <c r="L210" s="13">
        <v>6.4558402278674973E-2</v>
      </c>
      <c r="M210" s="13">
        <v>0.43210332103321036</v>
      </c>
      <c r="N210" s="38">
        <f t="shared" si="6"/>
        <v>9.4782497842428801E-2</v>
      </c>
      <c r="O210" s="38">
        <f t="shared" si="7"/>
        <v>6.4908387484916952E-2</v>
      </c>
      <c r="P210" s="26"/>
      <c r="Q210" s="45"/>
      <c r="R210" s="38"/>
      <c r="S210" s="38"/>
      <c r="T210" s="38"/>
      <c r="U210" s="1" t="b">
        <v>0</v>
      </c>
      <c r="V210" s="1" t="b">
        <v>1</v>
      </c>
      <c r="W210" s="31" t="s">
        <v>1885</v>
      </c>
    </row>
    <row r="211" spans="1:23" ht="30">
      <c r="A211" s="7">
        <v>210</v>
      </c>
      <c r="B211" s="7" t="s">
        <v>702</v>
      </c>
      <c r="C211" s="7" t="s">
        <v>46</v>
      </c>
      <c r="D211" s="7" t="s">
        <v>112</v>
      </c>
      <c r="E211" s="11">
        <v>5.5</v>
      </c>
      <c r="F211" s="7" t="s">
        <v>47</v>
      </c>
      <c r="G211" s="7" t="s">
        <v>1742</v>
      </c>
      <c r="H211" s="37">
        <f>IFERROR(VLOOKUP(C211,Fixture_Engine!$D$2:$R$21,13,FALSE),"")</f>
        <v>1.0054212185228999</v>
      </c>
      <c r="I211" s="37">
        <f>IFERROR(VLOOKUP(C211,Fixture_Engine!$D$2:$R$21,14,FALSE),"")</f>
        <v>1.3042477689012788</v>
      </c>
      <c r="J211" s="37">
        <f>IFERROR(VLOOKUP(C211,Fixture_Engine!$D$2:$R$21,15,FALSE),"")</f>
        <v>0.27137659620053128</v>
      </c>
      <c r="K211" s="13">
        <v>6.0626139645556562E-2</v>
      </c>
      <c r="L211" s="13">
        <v>0.14311176183952898</v>
      </c>
      <c r="M211" s="13">
        <v>0.35337837837837838</v>
      </c>
      <c r="N211" s="38">
        <f t="shared" si="6"/>
        <v>6.0954807196774971E-2</v>
      </c>
      <c r="O211" s="38">
        <f t="shared" si="7"/>
        <v>0.14388760197365827</v>
      </c>
      <c r="P211" s="26"/>
      <c r="Q211" s="45"/>
      <c r="R211" s="38"/>
      <c r="S211" s="38"/>
      <c r="T211" s="38"/>
      <c r="U211" s="1" t="b">
        <v>0</v>
      </c>
      <c r="V211" s="1" t="b">
        <v>1</v>
      </c>
      <c r="W211" s="31" t="s">
        <v>1885</v>
      </c>
    </row>
    <row r="212" spans="1:23" ht="30">
      <c r="A212" s="7">
        <v>211</v>
      </c>
      <c r="B212" s="7" t="s">
        <v>705</v>
      </c>
      <c r="C212" s="7" t="s">
        <v>46</v>
      </c>
      <c r="D212" s="7" t="s">
        <v>112</v>
      </c>
      <c r="E212" s="11">
        <v>5.5</v>
      </c>
      <c r="F212" s="7" t="s">
        <v>47</v>
      </c>
      <c r="G212" s="7" t="s">
        <v>1742</v>
      </c>
      <c r="H212" s="37">
        <f>IFERROR(VLOOKUP(C212,Fixture_Engine!$D$2:$R$21,13,FALSE),"")</f>
        <v>1.0054212185228999</v>
      </c>
      <c r="I212" s="37">
        <f>IFERROR(VLOOKUP(C212,Fixture_Engine!$D$2:$R$21,14,FALSE),"")</f>
        <v>1.3042477689012788</v>
      </c>
      <c r="J212" s="37">
        <f>IFERROR(VLOOKUP(C212,Fixture_Engine!$D$2:$R$21,15,FALSE),"")</f>
        <v>0.27137659620053128</v>
      </c>
      <c r="K212" s="13">
        <v>0.1201669987176224</v>
      </c>
      <c r="L212" s="13">
        <v>0.14073603341488999</v>
      </c>
      <c r="M212" s="13">
        <v>0.39277813923227067</v>
      </c>
      <c r="N212" s="38">
        <f t="shared" si="6"/>
        <v>0.12081845027691167</v>
      </c>
      <c r="O212" s="38">
        <f t="shared" si="7"/>
        <v>0.14149899420607825</v>
      </c>
      <c r="P212" s="26"/>
      <c r="Q212" s="45"/>
      <c r="R212" s="38"/>
      <c r="S212" s="38"/>
      <c r="T212" s="38"/>
      <c r="U212" s="1" t="b">
        <v>0</v>
      </c>
      <c r="V212" s="1" t="b">
        <v>1</v>
      </c>
      <c r="W212" s="31" t="s">
        <v>1885</v>
      </c>
    </row>
    <row r="213" spans="1:23" ht="30">
      <c r="A213" s="7">
        <v>212</v>
      </c>
      <c r="B213" s="7" t="s">
        <v>708</v>
      </c>
      <c r="C213" s="7" t="s">
        <v>46</v>
      </c>
      <c r="D213" s="7" t="s">
        <v>112</v>
      </c>
      <c r="E213" s="11">
        <v>4.5</v>
      </c>
      <c r="F213" s="7" t="s">
        <v>47</v>
      </c>
      <c r="G213" s="7" t="s">
        <v>1742</v>
      </c>
      <c r="H213" s="37">
        <f>IFERROR(VLOOKUP(C213,Fixture_Engine!$D$2:$R$21,13,FALSE),"")</f>
        <v>1.0054212185228999</v>
      </c>
      <c r="I213" s="37">
        <f>IFERROR(VLOOKUP(C213,Fixture_Engine!$D$2:$R$21,14,FALSE),"")</f>
        <v>1.3042477689012788</v>
      </c>
      <c r="J213" s="37">
        <f>IFERROR(VLOOKUP(C213,Fixture_Engine!$D$2:$R$21,15,FALSE),"")</f>
        <v>0.27137659620053128</v>
      </c>
      <c r="K213" s="13">
        <v>7.1482332442569407E-2</v>
      </c>
      <c r="L213" s="13">
        <v>8.0827428436210214E-2</v>
      </c>
      <c r="M213" s="13">
        <v>0.45156249999999998</v>
      </c>
      <c r="N213" s="38">
        <f t="shared" si="6"/>
        <v>7.1869853787267152E-2</v>
      </c>
      <c r="O213" s="38">
        <f t="shared" si="7"/>
        <v>8.1265611588406964E-2</v>
      </c>
      <c r="P213" s="26"/>
      <c r="Q213" s="45"/>
      <c r="R213" s="38"/>
      <c r="S213" s="38"/>
      <c r="T213" s="38"/>
      <c r="U213" s="1" t="b">
        <v>0</v>
      </c>
      <c r="V213" s="1" t="b">
        <v>1</v>
      </c>
      <c r="W213" s="31" t="s">
        <v>1885</v>
      </c>
    </row>
    <row r="214" spans="1:23" ht="30">
      <c r="A214" s="7">
        <v>213</v>
      </c>
      <c r="B214" s="7" t="s">
        <v>711</v>
      </c>
      <c r="C214" s="7" t="s">
        <v>46</v>
      </c>
      <c r="D214" s="7" t="s">
        <v>112</v>
      </c>
      <c r="E214" s="11">
        <v>5</v>
      </c>
      <c r="F214" s="7" t="s">
        <v>47</v>
      </c>
      <c r="G214" s="7" t="s">
        <v>1742</v>
      </c>
      <c r="H214" s="37">
        <f>IFERROR(VLOOKUP(C214,Fixture_Engine!$D$2:$R$21,13,FALSE),"")</f>
        <v>1.0054212185228999</v>
      </c>
      <c r="I214" s="37">
        <f>IFERROR(VLOOKUP(C214,Fixture_Engine!$D$2:$R$21,14,FALSE),"")</f>
        <v>1.3042477689012788</v>
      </c>
      <c r="J214" s="37">
        <f>IFERROR(VLOOKUP(C214,Fixture_Engine!$D$2:$R$21,15,FALSE),"")</f>
        <v>0.27137659620053128</v>
      </c>
      <c r="K214" s="13">
        <v>8.2051350806900208E-2</v>
      </c>
      <c r="L214" s="13">
        <v>6.7616561583782903E-2</v>
      </c>
      <c r="M214" s="13">
        <v>0.43063923585598829</v>
      </c>
      <c r="N214" s="38">
        <f t="shared" si="6"/>
        <v>8.249616910972353E-2</v>
      </c>
      <c r="O214" s="38">
        <f t="shared" si="7"/>
        <v>6.7983125739895706E-2</v>
      </c>
      <c r="P214" s="26"/>
      <c r="Q214" s="45"/>
      <c r="R214" s="38"/>
      <c r="S214" s="38"/>
      <c r="T214" s="38"/>
      <c r="U214" s="1" t="b">
        <v>0</v>
      </c>
      <c r="V214" s="1" t="b">
        <v>1</v>
      </c>
      <c r="W214" s="31" t="s">
        <v>1885</v>
      </c>
    </row>
    <row r="215" spans="1:23" ht="30">
      <c r="A215" s="7">
        <v>214</v>
      </c>
      <c r="B215" s="7" t="s">
        <v>713</v>
      </c>
      <c r="C215" s="7" t="s">
        <v>46</v>
      </c>
      <c r="D215" s="7" t="s">
        <v>112</v>
      </c>
      <c r="E215" s="11">
        <v>5</v>
      </c>
      <c r="F215" s="7" t="s">
        <v>47</v>
      </c>
      <c r="G215" s="7" t="s">
        <v>1742</v>
      </c>
      <c r="H215" s="37">
        <f>IFERROR(VLOOKUP(C215,Fixture_Engine!$D$2:$R$21,13,FALSE),"")</f>
        <v>1.0054212185228999</v>
      </c>
      <c r="I215" s="37">
        <f>IFERROR(VLOOKUP(C215,Fixture_Engine!$D$2:$R$21,14,FALSE),"")</f>
        <v>1.3042477689012788</v>
      </c>
      <c r="J215" s="37">
        <f>IFERROR(VLOOKUP(C215,Fixture_Engine!$D$2:$R$21,15,FALSE),"")</f>
        <v>0.27137659620053128</v>
      </c>
      <c r="K215" s="13">
        <v>7.4049507916124871E-2</v>
      </c>
      <c r="L215" s="13">
        <v>9.6146930974836342E-2</v>
      </c>
      <c r="M215" s="13">
        <v>0.41045187995860644</v>
      </c>
      <c r="N215" s="38">
        <f t="shared" si="6"/>
        <v>7.4450946480051391E-2</v>
      </c>
      <c r="O215" s="38">
        <f t="shared" si="7"/>
        <v>9.6668164497957107E-2</v>
      </c>
      <c r="P215" s="26"/>
      <c r="Q215" s="45"/>
      <c r="R215" s="38"/>
      <c r="S215" s="38"/>
      <c r="T215" s="38"/>
      <c r="U215" s="1" t="b">
        <v>0</v>
      </c>
      <c r="V215" s="1" t="b">
        <v>1</v>
      </c>
      <c r="W215" s="31" t="s">
        <v>1885</v>
      </c>
    </row>
    <row r="216" spans="1:23" ht="30">
      <c r="A216" s="7">
        <v>215</v>
      </c>
      <c r="B216" s="7" t="s">
        <v>715</v>
      </c>
      <c r="C216" s="7" t="s">
        <v>46</v>
      </c>
      <c r="D216" s="7" t="s">
        <v>112</v>
      </c>
      <c r="E216" s="11">
        <v>5</v>
      </c>
      <c r="F216" s="7" t="s">
        <v>47</v>
      </c>
      <c r="G216" s="7" t="s">
        <v>1742</v>
      </c>
      <c r="H216" s="37">
        <f>IFERROR(VLOOKUP(C216,Fixture_Engine!$D$2:$R$21,13,FALSE),"")</f>
        <v>1.0054212185228999</v>
      </c>
      <c r="I216" s="37">
        <f>IFERROR(VLOOKUP(C216,Fixture_Engine!$D$2:$R$21,14,FALSE),"")</f>
        <v>1.3042477689012788</v>
      </c>
      <c r="J216" s="37">
        <f>IFERROR(VLOOKUP(C216,Fixture_Engine!$D$2:$R$21,15,FALSE),"")</f>
        <v>0.27137659620053128</v>
      </c>
      <c r="K216" s="13">
        <v>0.13547793624941301</v>
      </c>
      <c r="L216" s="13">
        <v>6.6078620680639313E-2</v>
      </c>
      <c r="M216" s="13">
        <v>0.60420168067226898</v>
      </c>
      <c r="N216" s="38">
        <f t="shared" si="6"/>
        <v>0.13621239174685257</v>
      </c>
      <c r="O216" s="38">
        <f t="shared" si="7"/>
        <v>6.6436847323040865E-2</v>
      </c>
      <c r="P216" s="26"/>
      <c r="Q216" s="45"/>
      <c r="R216" s="38"/>
      <c r="S216" s="38"/>
      <c r="T216" s="38"/>
      <c r="U216" s="1" t="b">
        <v>0</v>
      </c>
      <c r="V216" s="1" t="b">
        <v>1</v>
      </c>
      <c r="W216" s="31" t="s">
        <v>1885</v>
      </c>
    </row>
    <row r="217" spans="1:23" ht="30">
      <c r="A217" s="7">
        <v>216</v>
      </c>
      <c r="B217" s="7" t="s">
        <v>718</v>
      </c>
      <c r="C217" s="7" t="s">
        <v>46</v>
      </c>
      <c r="D217" s="7" t="s">
        <v>112</v>
      </c>
      <c r="E217" s="11">
        <v>5</v>
      </c>
      <c r="F217" s="7" t="s">
        <v>47</v>
      </c>
      <c r="G217" s="7" t="s">
        <v>1742</v>
      </c>
      <c r="H217" s="37">
        <f>IFERROR(VLOOKUP(C217,Fixture_Engine!$D$2:$R$21,13,FALSE),"")</f>
        <v>1.0054212185228999</v>
      </c>
      <c r="I217" s="37">
        <f>IFERROR(VLOOKUP(C217,Fixture_Engine!$D$2:$R$21,14,FALSE),"")</f>
        <v>1.3042477689012788</v>
      </c>
      <c r="J217" s="37">
        <f>IFERROR(VLOOKUP(C217,Fixture_Engine!$D$2:$R$21,15,FALSE),"")</f>
        <v>0.27137659620053128</v>
      </c>
      <c r="K217" s="13">
        <v>0.10751786102217777</v>
      </c>
      <c r="L217" s="13">
        <v>8.9151056321986263E-2</v>
      </c>
      <c r="M217" s="13">
        <v>0.9653846153846154</v>
      </c>
      <c r="N217" s="38">
        <f t="shared" si="6"/>
        <v>0.10810073884189378</v>
      </c>
      <c r="O217" s="38">
        <f t="shared" si="7"/>
        <v>8.9634363679855111E-2</v>
      </c>
      <c r="P217" s="26"/>
      <c r="Q217" s="45"/>
      <c r="R217" s="38"/>
      <c r="S217" s="38"/>
      <c r="T217" s="38"/>
      <c r="U217" s="1" t="b">
        <v>0</v>
      </c>
      <c r="V217" s="1" t="b">
        <v>1</v>
      </c>
      <c r="W217" s="31" t="s">
        <v>1885</v>
      </c>
    </row>
    <row r="218" spans="1:23" ht="30">
      <c r="A218" s="7">
        <v>217</v>
      </c>
      <c r="B218" s="7" t="s">
        <v>721</v>
      </c>
      <c r="C218" s="7" t="s">
        <v>46</v>
      </c>
      <c r="D218" s="7" t="s">
        <v>112</v>
      </c>
      <c r="E218" s="11">
        <v>5</v>
      </c>
      <c r="F218" s="7" t="s">
        <v>47</v>
      </c>
      <c r="G218" s="7" t="s">
        <v>1742</v>
      </c>
      <c r="H218" s="37">
        <f>IFERROR(VLOOKUP(C218,Fixture_Engine!$D$2:$R$21,13,FALSE),"")</f>
        <v>1.0054212185228999</v>
      </c>
      <c r="I218" s="37">
        <f>IFERROR(VLOOKUP(C218,Fixture_Engine!$D$2:$R$21,14,FALSE),"")</f>
        <v>1.3042477689012788</v>
      </c>
      <c r="J218" s="37">
        <f>IFERROR(VLOOKUP(C218,Fixture_Engine!$D$2:$R$21,15,FALSE),"")</f>
        <v>0.27137659620053128</v>
      </c>
      <c r="K218" s="13">
        <v>0.10751786102217777</v>
      </c>
      <c r="L218" s="13">
        <v>9.0240671969462088E-2</v>
      </c>
      <c r="M218" s="13">
        <v>1</v>
      </c>
      <c r="N218" s="38">
        <f t="shared" si="6"/>
        <v>0.10810073884189378</v>
      </c>
      <c r="O218" s="38">
        <f t="shared" si="7"/>
        <v>9.072988637186187E-2</v>
      </c>
      <c r="P218" s="26"/>
      <c r="Q218" s="45"/>
      <c r="R218" s="38"/>
      <c r="S218" s="38"/>
      <c r="T218" s="38"/>
      <c r="U218" s="1" t="b">
        <v>0</v>
      </c>
      <c r="V218" s="1" t="b">
        <v>1</v>
      </c>
      <c r="W218" s="31" t="s">
        <v>1885</v>
      </c>
    </row>
    <row r="219" spans="1:23" ht="30">
      <c r="A219" s="7">
        <v>218</v>
      </c>
      <c r="B219" s="7" t="s">
        <v>723</v>
      </c>
      <c r="C219" s="7" t="s">
        <v>46</v>
      </c>
      <c r="D219" s="7" t="s">
        <v>112</v>
      </c>
      <c r="E219" s="11">
        <v>5</v>
      </c>
      <c r="F219" s="7" t="s">
        <v>47</v>
      </c>
      <c r="G219" s="7" t="s">
        <v>1742</v>
      </c>
      <c r="H219" s="37">
        <f>IFERROR(VLOOKUP(C219,Fixture_Engine!$D$2:$R$21,13,FALSE),"")</f>
        <v>1.0054212185228999</v>
      </c>
      <c r="I219" s="37">
        <f>IFERROR(VLOOKUP(C219,Fixture_Engine!$D$2:$R$21,14,FALSE),"")</f>
        <v>1.3042477689012788</v>
      </c>
      <c r="J219" s="37">
        <f>IFERROR(VLOOKUP(C219,Fixture_Engine!$D$2:$R$21,15,FALSE),"")</f>
        <v>0.27137659620053128</v>
      </c>
      <c r="K219" s="13">
        <v>0.10751786102217777</v>
      </c>
      <c r="L219" s="13">
        <v>9.0240671969462088E-2</v>
      </c>
      <c r="M219" s="13">
        <v>1</v>
      </c>
      <c r="N219" s="38">
        <f t="shared" si="6"/>
        <v>0.10810073884189378</v>
      </c>
      <c r="O219" s="38">
        <f t="shared" si="7"/>
        <v>9.072988637186187E-2</v>
      </c>
      <c r="P219" s="26"/>
      <c r="Q219" s="45"/>
      <c r="R219" s="38"/>
      <c r="S219" s="38"/>
      <c r="T219" s="38"/>
      <c r="U219" s="1" t="b">
        <v>1</v>
      </c>
      <c r="V219" s="1" t="b">
        <v>1</v>
      </c>
      <c r="W219" s="31" t="s">
        <v>1885</v>
      </c>
    </row>
    <row r="220" spans="1:23" ht="30">
      <c r="A220" s="7">
        <v>219</v>
      </c>
      <c r="B220" s="7" t="s">
        <v>726</v>
      </c>
      <c r="C220" s="7" t="s">
        <v>46</v>
      </c>
      <c r="D220" s="7" t="s">
        <v>112</v>
      </c>
      <c r="E220" s="11">
        <v>5</v>
      </c>
      <c r="F220" s="7" t="s">
        <v>47</v>
      </c>
      <c r="G220" s="7" t="s">
        <v>1742</v>
      </c>
      <c r="H220" s="37">
        <f>IFERROR(VLOOKUP(C220,Fixture_Engine!$D$2:$R$21,13,FALSE),"")</f>
        <v>1.0054212185228999</v>
      </c>
      <c r="I220" s="37">
        <f>IFERROR(VLOOKUP(C220,Fixture_Engine!$D$2:$R$21,14,FALSE),"")</f>
        <v>1.3042477689012788</v>
      </c>
      <c r="J220" s="37">
        <f>IFERROR(VLOOKUP(C220,Fixture_Engine!$D$2:$R$21,15,FALSE),"")</f>
        <v>0.27137659620053128</v>
      </c>
      <c r="K220" s="13">
        <v>0.10751786102217777</v>
      </c>
      <c r="L220" s="13">
        <v>9.0240671969462088E-2</v>
      </c>
      <c r="M220" s="13">
        <v>1</v>
      </c>
      <c r="N220" s="38">
        <f t="shared" si="6"/>
        <v>0.10810073884189378</v>
      </c>
      <c r="O220" s="38">
        <f t="shared" si="7"/>
        <v>9.072988637186187E-2</v>
      </c>
      <c r="P220" s="26"/>
      <c r="Q220" s="45"/>
      <c r="R220" s="38"/>
      <c r="S220" s="38"/>
      <c r="T220" s="38"/>
      <c r="U220" s="1" t="b">
        <v>1</v>
      </c>
      <c r="V220" s="1" t="b">
        <v>1</v>
      </c>
      <c r="W220" s="31" t="s">
        <v>1885</v>
      </c>
    </row>
    <row r="221" spans="1:23" ht="30">
      <c r="A221" s="7">
        <v>220</v>
      </c>
      <c r="B221" s="7" t="s">
        <v>729</v>
      </c>
      <c r="C221" s="7" t="s">
        <v>46</v>
      </c>
      <c r="D221" s="7" t="s">
        <v>99</v>
      </c>
      <c r="E221" s="11">
        <v>4.5</v>
      </c>
      <c r="F221" s="7" t="s">
        <v>47</v>
      </c>
      <c r="G221" s="7" t="s">
        <v>1742</v>
      </c>
      <c r="H221" s="37">
        <f>IFERROR(VLOOKUP(C221,Fixture_Engine!$D$2:$R$21,13,FALSE),"")</f>
        <v>1.0054212185228999</v>
      </c>
      <c r="I221" s="37">
        <f>IFERROR(VLOOKUP(C221,Fixture_Engine!$D$2:$R$21,14,FALSE),"")</f>
        <v>1.3042477689012788</v>
      </c>
      <c r="J221" s="37">
        <f>IFERROR(VLOOKUP(C221,Fixture_Engine!$D$2:$R$21,15,FALSE),"")</f>
        <v>0.27137659620053128</v>
      </c>
      <c r="K221" s="13">
        <v>3.9055389432786997E-2</v>
      </c>
      <c r="L221" s="13">
        <v>4.5265645217188483E-2</v>
      </c>
      <c r="M221" s="13">
        <v>0.92568807339449544</v>
      </c>
      <c r="N221" s="38">
        <f t="shared" si="6"/>
        <v>3.9267117233399089E-2</v>
      </c>
      <c r="O221" s="38">
        <f t="shared" si="7"/>
        <v>4.5511040171490921E-2</v>
      </c>
      <c r="P221" s="26"/>
      <c r="Q221" s="45"/>
      <c r="R221" s="38"/>
      <c r="S221" s="38"/>
      <c r="T221" s="38"/>
      <c r="U221" s="1" t="b">
        <v>0</v>
      </c>
      <c r="V221" s="1" t="b">
        <v>1</v>
      </c>
      <c r="W221" s="31" t="s">
        <v>1885</v>
      </c>
    </row>
    <row r="222" spans="1:23" ht="30">
      <c r="A222" s="7">
        <v>221</v>
      </c>
      <c r="B222" s="7" t="s">
        <v>731</v>
      </c>
      <c r="C222" s="7" t="s">
        <v>46</v>
      </c>
      <c r="D222" s="7" t="s">
        <v>112</v>
      </c>
      <c r="E222" s="11">
        <v>4.5</v>
      </c>
      <c r="F222" s="7" t="s">
        <v>47</v>
      </c>
      <c r="G222" s="7" t="s">
        <v>1742</v>
      </c>
      <c r="H222" s="37">
        <f>IFERROR(VLOOKUP(C222,Fixture_Engine!$D$2:$R$21,13,FALSE),"")</f>
        <v>1.0054212185228999</v>
      </c>
      <c r="I222" s="37">
        <f>IFERROR(VLOOKUP(C222,Fixture_Engine!$D$2:$R$21,14,FALSE),"")</f>
        <v>1.3042477689012788</v>
      </c>
      <c r="J222" s="37">
        <f>IFERROR(VLOOKUP(C222,Fixture_Engine!$D$2:$R$21,15,FALSE),"")</f>
        <v>0.27137659620053128</v>
      </c>
      <c r="K222" s="13">
        <v>0.10751786102217777</v>
      </c>
      <c r="L222" s="13">
        <v>9.0240671969462088E-2</v>
      </c>
      <c r="M222" s="13">
        <v>0.99374379344587882</v>
      </c>
      <c r="N222" s="38">
        <f t="shared" si="6"/>
        <v>0.10810073884189378</v>
      </c>
      <c r="O222" s="38">
        <f t="shared" si="7"/>
        <v>9.072988637186187E-2</v>
      </c>
      <c r="P222" s="26"/>
      <c r="Q222" s="45"/>
      <c r="R222" s="38"/>
      <c r="S222" s="38"/>
      <c r="T222" s="38"/>
      <c r="U222" s="1" t="b">
        <v>0</v>
      </c>
      <c r="V222" s="1" t="b">
        <v>1</v>
      </c>
      <c r="W222" s="31" t="s">
        <v>1885</v>
      </c>
    </row>
    <row r="223" spans="1:23" ht="30">
      <c r="A223" s="7">
        <v>222</v>
      </c>
      <c r="B223" s="7" t="s">
        <v>734</v>
      </c>
      <c r="C223" s="7" t="s">
        <v>46</v>
      </c>
      <c r="D223" s="7" t="s">
        <v>167</v>
      </c>
      <c r="E223" s="11">
        <v>6</v>
      </c>
      <c r="F223" s="7" t="s">
        <v>47</v>
      </c>
      <c r="G223" s="7" t="s">
        <v>1742</v>
      </c>
      <c r="H223" s="37">
        <f>IFERROR(VLOOKUP(C223,Fixture_Engine!$D$2:$R$21,13,FALSE),"")</f>
        <v>1.0054212185228999</v>
      </c>
      <c r="I223" s="37">
        <f>IFERROR(VLOOKUP(C223,Fixture_Engine!$D$2:$R$21,14,FALSE),"")</f>
        <v>1.3042477689012788</v>
      </c>
      <c r="J223" s="37">
        <f>IFERROR(VLOOKUP(C223,Fixture_Engine!$D$2:$R$21,15,FALSE),"")</f>
        <v>0.27137659620053128</v>
      </c>
      <c r="K223" s="13">
        <v>0.1984265962879341</v>
      </c>
      <c r="L223" s="13">
        <v>3.2573259982319115E-2</v>
      </c>
      <c r="M223" s="13">
        <v>0.37264465313541351</v>
      </c>
      <c r="N223" s="38">
        <f t="shared" si="6"/>
        <v>0.19950231022716622</v>
      </c>
      <c r="O223" s="38">
        <f t="shared" si="7"/>
        <v>3.2749846742686495E-2</v>
      </c>
      <c r="P223" s="26"/>
      <c r="Q223" s="45"/>
      <c r="R223" s="38"/>
      <c r="S223" s="38"/>
      <c r="T223" s="38"/>
      <c r="U223" s="1" t="b">
        <v>0</v>
      </c>
      <c r="V223" s="1" t="b">
        <v>1</v>
      </c>
      <c r="W223" s="31" t="s">
        <v>1885</v>
      </c>
    </row>
    <row r="224" spans="1:23" ht="30">
      <c r="A224" s="7">
        <v>223</v>
      </c>
      <c r="B224" s="7" t="s">
        <v>737</v>
      </c>
      <c r="C224" s="7" t="s">
        <v>46</v>
      </c>
      <c r="D224" s="7" t="s">
        <v>167</v>
      </c>
      <c r="E224" s="11">
        <v>6.5</v>
      </c>
      <c r="F224" s="7" t="s">
        <v>47</v>
      </c>
      <c r="G224" s="7" t="s">
        <v>1742</v>
      </c>
      <c r="H224" s="37">
        <f>IFERROR(VLOOKUP(C224,Fixture_Engine!$D$2:$R$21,13,FALSE),"")</f>
        <v>1.0054212185228999</v>
      </c>
      <c r="I224" s="37">
        <f>IFERROR(VLOOKUP(C224,Fixture_Engine!$D$2:$R$21,14,FALSE),"")</f>
        <v>1.3042477689012788</v>
      </c>
      <c r="J224" s="37">
        <f>IFERROR(VLOOKUP(C224,Fixture_Engine!$D$2:$R$21,15,FALSE),"")</f>
        <v>0.27137659620053128</v>
      </c>
      <c r="K224" s="13">
        <v>0.35344547312184288</v>
      </c>
      <c r="L224" s="13">
        <v>3.6680499199119053E-2</v>
      </c>
      <c r="M224" s="13">
        <v>0.38037383177570094</v>
      </c>
      <c r="N224" s="38">
        <f t="shared" si="6"/>
        <v>0.35536157826756615</v>
      </c>
      <c r="O224" s="38">
        <f t="shared" si="7"/>
        <v>3.6879352200806535E-2</v>
      </c>
      <c r="P224" s="26"/>
      <c r="Q224" s="45"/>
      <c r="R224" s="38"/>
      <c r="S224" s="38"/>
      <c r="T224" s="38"/>
      <c r="U224" s="1" t="b">
        <v>0</v>
      </c>
      <c r="V224" s="1" t="b">
        <v>1</v>
      </c>
      <c r="W224" s="31" t="s">
        <v>1885</v>
      </c>
    </row>
    <row r="225" spans="1:23" ht="30">
      <c r="A225" s="7">
        <v>224</v>
      </c>
      <c r="B225" s="7" t="s">
        <v>740</v>
      </c>
      <c r="C225" s="7" t="s">
        <v>46</v>
      </c>
      <c r="D225" s="7" t="s">
        <v>167</v>
      </c>
      <c r="E225" s="11">
        <v>5.5</v>
      </c>
      <c r="F225" s="7" t="s">
        <v>47</v>
      </c>
      <c r="G225" s="7" t="s">
        <v>1742</v>
      </c>
      <c r="H225" s="37">
        <f>IFERROR(VLOOKUP(C225,Fixture_Engine!$D$2:$R$21,13,FALSE),"")</f>
        <v>1.0054212185228999</v>
      </c>
      <c r="I225" s="37">
        <f>IFERROR(VLOOKUP(C225,Fixture_Engine!$D$2:$R$21,14,FALSE),"")</f>
        <v>1.3042477689012788</v>
      </c>
      <c r="J225" s="37">
        <f>IFERROR(VLOOKUP(C225,Fixture_Engine!$D$2:$R$21,15,FALSE),"")</f>
        <v>0.27137659620053128</v>
      </c>
      <c r="K225" s="13">
        <v>0.29054851838130413</v>
      </c>
      <c r="L225" s="13">
        <v>4.6118232212335394E-2</v>
      </c>
      <c r="M225" s="13">
        <v>0.73649222065063646</v>
      </c>
      <c r="N225" s="38">
        <f t="shared" si="6"/>
        <v>0.29212364539095398</v>
      </c>
      <c r="O225" s="38">
        <f t="shared" si="7"/>
        <v>4.6368249227048304E-2</v>
      </c>
      <c r="P225" s="26"/>
      <c r="Q225" s="45"/>
      <c r="R225" s="38"/>
      <c r="S225" s="38"/>
      <c r="T225" s="38"/>
      <c r="U225" s="1" t="b">
        <v>0</v>
      </c>
      <c r="V225" s="1" t="b">
        <v>1</v>
      </c>
      <c r="W225" s="31" t="s">
        <v>1885</v>
      </c>
    </row>
    <row r="226" spans="1:23" ht="30">
      <c r="A226" s="7">
        <v>225</v>
      </c>
      <c r="B226" s="7" t="s">
        <v>743</v>
      </c>
      <c r="C226" s="7" t="s">
        <v>46</v>
      </c>
      <c r="D226" s="7" t="s">
        <v>167</v>
      </c>
      <c r="E226" s="11">
        <v>5</v>
      </c>
      <c r="F226" s="7" t="s">
        <v>47</v>
      </c>
      <c r="G226" s="7" t="s">
        <v>1742</v>
      </c>
      <c r="H226" s="37">
        <f>IFERROR(VLOOKUP(C226,Fixture_Engine!$D$2:$R$21,13,FALSE),"")</f>
        <v>1.0054212185228999</v>
      </c>
      <c r="I226" s="37">
        <f>IFERROR(VLOOKUP(C226,Fixture_Engine!$D$2:$R$21,14,FALSE),"")</f>
        <v>1.3042477689012788</v>
      </c>
      <c r="J226" s="37">
        <f>IFERROR(VLOOKUP(C226,Fixture_Engine!$D$2:$R$21,15,FALSE),"")</f>
        <v>0.27137659620053128</v>
      </c>
      <c r="K226" s="13">
        <v>0.28936416792561781</v>
      </c>
      <c r="L226" s="13">
        <v>3.4867239608790686E-2</v>
      </c>
      <c r="M226" s="13">
        <v>0.87653149266609143</v>
      </c>
      <c r="N226" s="38">
        <f t="shared" si="6"/>
        <v>0.2909328743126397</v>
      </c>
      <c r="O226" s="38">
        <f t="shared" si="7"/>
        <v>3.5056262534000251E-2</v>
      </c>
      <c r="P226" s="26"/>
      <c r="Q226" s="45"/>
      <c r="R226" s="38"/>
      <c r="S226" s="38"/>
      <c r="T226" s="38"/>
      <c r="U226" s="1" t="b">
        <v>0</v>
      </c>
      <c r="V226" s="1" t="b">
        <v>1</v>
      </c>
      <c r="W226" s="31" t="s">
        <v>1885</v>
      </c>
    </row>
    <row r="227" spans="1:23" ht="30">
      <c r="A227" s="7">
        <v>226</v>
      </c>
      <c r="B227" s="7" t="s">
        <v>749</v>
      </c>
      <c r="C227" s="7" t="s">
        <v>47</v>
      </c>
      <c r="D227" s="7" t="s">
        <v>85</v>
      </c>
      <c r="E227" s="11">
        <v>5.5</v>
      </c>
      <c r="F227" s="7" t="s">
        <v>46</v>
      </c>
      <c r="G227" s="7" t="s">
        <v>1743</v>
      </c>
      <c r="H227" s="37">
        <f>IFERROR(VLOOKUP(C227,Fixture_Engine!$D$2:$R$21,13,FALSE),"")</f>
        <v>1.3042477689012788</v>
      </c>
      <c r="I227" s="37">
        <f>IFERROR(VLOOKUP(C227,Fixture_Engine!$D$2:$R$21,14,FALSE),"")</f>
        <v>1.0054212185228999</v>
      </c>
      <c r="J227" s="37">
        <f>IFERROR(VLOOKUP(C227,Fixture_Engine!$D$2:$R$21,15,FALSE),"")</f>
        <v>0.36589048249181161</v>
      </c>
      <c r="K227" s="13">
        <v>1.6719534964712218E-4</v>
      </c>
      <c r="L227" s="13">
        <v>3.6258014879576722E-3</v>
      </c>
      <c r="M227" s="13">
        <v>0.22624434389140269</v>
      </c>
      <c r="N227" s="38">
        <f t="shared" si="6"/>
        <v>2.1806416174792833E-4</v>
      </c>
      <c r="O227" s="38">
        <f t="shared" si="7"/>
        <v>4.7289435011477312E-3</v>
      </c>
      <c r="P227" s="26"/>
      <c r="Q227" s="45"/>
      <c r="R227" s="38"/>
      <c r="S227" s="38"/>
      <c r="T227" s="38"/>
      <c r="U227" s="1" t="b">
        <v>0</v>
      </c>
      <c r="V227" s="1" t="b">
        <v>0</v>
      </c>
      <c r="W227" s="31" t="s">
        <v>1885</v>
      </c>
    </row>
    <row r="228" spans="1:23" ht="30">
      <c r="A228" s="7">
        <v>227</v>
      </c>
      <c r="B228" s="7" t="s">
        <v>754</v>
      </c>
      <c r="C228" s="7" t="s">
        <v>47</v>
      </c>
      <c r="D228" s="7" t="s">
        <v>85</v>
      </c>
      <c r="E228" s="11">
        <v>5</v>
      </c>
      <c r="F228" s="7" t="s">
        <v>46</v>
      </c>
      <c r="G228" s="7" t="s">
        <v>1743</v>
      </c>
      <c r="H228" s="37">
        <f>IFERROR(VLOOKUP(C228,Fixture_Engine!$D$2:$R$21,13,FALSE),"")</f>
        <v>1.3042477689012788</v>
      </c>
      <c r="I228" s="37">
        <f>IFERROR(VLOOKUP(C228,Fixture_Engine!$D$2:$R$21,14,FALSE),"")</f>
        <v>1.0054212185228999</v>
      </c>
      <c r="J228" s="37">
        <f>IFERROR(VLOOKUP(C228,Fixture_Engine!$D$2:$R$21,15,FALSE),"")</f>
        <v>0.36589048249181161</v>
      </c>
      <c r="K228" s="13">
        <v>1.6719534964712218E-4</v>
      </c>
      <c r="L228" s="13">
        <v>1.379361634588758E-3</v>
      </c>
      <c r="M228" s="13">
        <v>1</v>
      </c>
      <c r="N228" s="38">
        <f t="shared" si="6"/>
        <v>2.1806416174792833E-4</v>
      </c>
      <c r="O228" s="38">
        <f t="shared" si="7"/>
        <v>1.7990293344204086E-3</v>
      </c>
      <c r="P228" s="26"/>
      <c r="Q228" s="45"/>
      <c r="R228" s="38"/>
      <c r="S228" s="38"/>
      <c r="T228" s="38"/>
      <c r="U228" s="1" t="b">
        <v>0</v>
      </c>
      <c r="V228" s="1" t="b">
        <v>1</v>
      </c>
      <c r="W228" s="31" t="s">
        <v>1885</v>
      </c>
    </row>
    <row r="229" spans="1:23" ht="30">
      <c r="A229" s="7">
        <v>228</v>
      </c>
      <c r="B229" s="7" t="s">
        <v>756</v>
      </c>
      <c r="C229" s="7" t="s">
        <v>47</v>
      </c>
      <c r="D229" s="7" t="s">
        <v>85</v>
      </c>
      <c r="E229" s="11">
        <v>4.5</v>
      </c>
      <c r="F229" s="7" t="s">
        <v>46</v>
      </c>
      <c r="G229" s="7" t="s">
        <v>1743</v>
      </c>
      <c r="H229" s="37">
        <f>IFERROR(VLOOKUP(C229,Fixture_Engine!$D$2:$R$21,13,FALSE),"")</f>
        <v>1.3042477689012788</v>
      </c>
      <c r="I229" s="37">
        <f>IFERROR(VLOOKUP(C229,Fixture_Engine!$D$2:$R$21,14,FALSE),"")</f>
        <v>1.0054212185228999</v>
      </c>
      <c r="J229" s="37">
        <f>IFERROR(VLOOKUP(C229,Fixture_Engine!$D$2:$R$21,15,FALSE),"")</f>
        <v>0.36589048249181161</v>
      </c>
      <c r="K229" s="13">
        <v>1.6719534964712218E-4</v>
      </c>
      <c r="L229" s="13">
        <v>1.379361634588758E-3</v>
      </c>
      <c r="M229" s="13">
        <v>1</v>
      </c>
      <c r="N229" s="38">
        <f t="shared" si="6"/>
        <v>2.1806416174792833E-4</v>
      </c>
      <c r="O229" s="38">
        <f t="shared" si="7"/>
        <v>1.7990293344204086E-3</v>
      </c>
      <c r="P229" s="26"/>
      <c r="Q229" s="45"/>
      <c r="R229" s="38"/>
      <c r="S229" s="38"/>
      <c r="T229" s="38"/>
      <c r="U229" s="1" t="b">
        <v>0</v>
      </c>
      <c r="V229" s="1" t="b">
        <v>1</v>
      </c>
      <c r="W229" s="31" t="s">
        <v>1885</v>
      </c>
    </row>
    <row r="230" spans="1:23" ht="30">
      <c r="A230" s="7">
        <v>229</v>
      </c>
      <c r="B230" s="7" t="s">
        <v>759</v>
      </c>
      <c r="C230" s="7" t="s">
        <v>47</v>
      </c>
      <c r="D230" s="7" t="s">
        <v>99</v>
      </c>
      <c r="E230" s="11">
        <v>6</v>
      </c>
      <c r="F230" s="7" t="s">
        <v>46</v>
      </c>
      <c r="G230" s="7" t="s">
        <v>1743</v>
      </c>
      <c r="H230" s="37">
        <f>IFERROR(VLOOKUP(C230,Fixture_Engine!$D$2:$R$21,13,FALSE),"")</f>
        <v>1.3042477689012788</v>
      </c>
      <c r="I230" s="37">
        <f>IFERROR(VLOOKUP(C230,Fixture_Engine!$D$2:$R$21,14,FALSE),"")</f>
        <v>1.0054212185228999</v>
      </c>
      <c r="J230" s="37">
        <f>IFERROR(VLOOKUP(C230,Fixture_Engine!$D$2:$R$21,15,FALSE),"")</f>
        <v>0.36589048249181161</v>
      </c>
      <c r="K230" s="13">
        <v>5.2291657087796928E-2</v>
      </c>
      <c r="L230" s="13">
        <v>4.4873725124824008E-2</v>
      </c>
      <c r="M230" s="13">
        <v>0.23094688221709003</v>
      </c>
      <c r="N230" s="38">
        <f t="shared" si="6"/>
        <v>6.8201277088909884E-2</v>
      </c>
      <c r="O230" s="38">
        <f t="shared" si="7"/>
        <v>5.852645587634097E-2</v>
      </c>
      <c r="P230" s="26"/>
      <c r="Q230" s="45"/>
      <c r="R230" s="38"/>
      <c r="S230" s="38"/>
      <c r="T230" s="38"/>
      <c r="U230" s="1" t="b">
        <v>0</v>
      </c>
      <c r="V230" s="1" t="b">
        <v>0</v>
      </c>
      <c r="W230" s="31" t="s">
        <v>1885</v>
      </c>
    </row>
    <row r="231" spans="1:23" ht="30">
      <c r="A231" s="7">
        <v>230</v>
      </c>
      <c r="B231" s="7" t="s">
        <v>761</v>
      </c>
      <c r="C231" s="7" t="s">
        <v>47</v>
      </c>
      <c r="D231" s="7" t="s">
        <v>99</v>
      </c>
      <c r="E231" s="11">
        <v>5.5</v>
      </c>
      <c r="F231" s="7" t="s">
        <v>46</v>
      </c>
      <c r="G231" s="7" t="s">
        <v>1743</v>
      </c>
      <c r="H231" s="37">
        <f>IFERROR(VLOOKUP(C231,Fixture_Engine!$D$2:$R$21,13,FALSE),"")</f>
        <v>1.3042477689012788</v>
      </c>
      <c r="I231" s="37">
        <f>IFERROR(VLOOKUP(C231,Fixture_Engine!$D$2:$R$21,14,FALSE),"")</f>
        <v>1.0054212185228999</v>
      </c>
      <c r="J231" s="37">
        <f>IFERROR(VLOOKUP(C231,Fixture_Engine!$D$2:$R$21,15,FALSE),"")</f>
        <v>0.36589048249181161</v>
      </c>
      <c r="K231" s="13">
        <v>3.9357400997165809E-2</v>
      </c>
      <c r="L231" s="13">
        <v>2.894443052190444E-2</v>
      </c>
      <c r="M231" s="13">
        <v>0.59594755661501786</v>
      </c>
      <c r="N231" s="38">
        <f t="shared" si="6"/>
        <v>5.1331802440306475E-2</v>
      </c>
      <c r="O231" s="38">
        <f t="shared" si="7"/>
        <v>3.7750708930311939E-2</v>
      </c>
      <c r="P231" s="26"/>
      <c r="Q231" s="45"/>
      <c r="R231" s="38"/>
      <c r="S231" s="38"/>
      <c r="T231" s="38"/>
      <c r="U231" s="1" t="b">
        <v>0</v>
      </c>
      <c r="V231" s="1" t="b">
        <v>1</v>
      </c>
      <c r="W231" s="31" t="s">
        <v>1885</v>
      </c>
    </row>
    <row r="232" spans="1:23" ht="30">
      <c r="A232" s="7">
        <v>231</v>
      </c>
      <c r="B232" s="7" t="s">
        <v>764</v>
      </c>
      <c r="C232" s="7" t="s">
        <v>47</v>
      </c>
      <c r="D232" s="7" t="s">
        <v>99</v>
      </c>
      <c r="E232" s="11">
        <v>5</v>
      </c>
      <c r="F232" s="7" t="s">
        <v>46</v>
      </c>
      <c r="G232" s="7" t="s">
        <v>1743</v>
      </c>
      <c r="H232" s="37">
        <f>IFERROR(VLOOKUP(C232,Fixture_Engine!$D$2:$R$21,13,FALSE),"")</f>
        <v>1.3042477689012788</v>
      </c>
      <c r="I232" s="37">
        <f>IFERROR(VLOOKUP(C232,Fixture_Engine!$D$2:$R$21,14,FALSE),"")</f>
        <v>1.0054212185228999</v>
      </c>
      <c r="J232" s="37">
        <f>IFERROR(VLOOKUP(C232,Fixture_Engine!$D$2:$R$21,15,FALSE),"")</f>
        <v>0.36589048249181161</v>
      </c>
      <c r="K232" s="13">
        <v>5.8411146072087201E-2</v>
      </c>
      <c r="L232" s="13">
        <v>2.1292488351701656E-2</v>
      </c>
      <c r="M232" s="13">
        <v>0.27870680044593088</v>
      </c>
      <c r="N232" s="38">
        <f t="shared" si="6"/>
        <v>7.6182606943486428E-2</v>
      </c>
      <c r="O232" s="38">
        <f t="shared" si="7"/>
        <v>2.7770680427063352E-2</v>
      </c>
      <c r="P232" s="26"/>
      <c r="Q232" s="45"/>
      <c r="R232" s="38"/>
      <c r="S232" s="38"/>
      <c r="T232" s="38"/>
      <c r="U232" s="1" t="b">
        <v>0</v>
      </c>
      <c r="V232" s="1" t="b">
        <v>0</v>
      </c>
      <c r="W232" s="31" t="s">
        <v>1885</v>
      </c>
    </row>
    <row r="233" spans="1:23" ht="30">
      <c r="A233" s="7">
        <v>232</v>
      </c>
      <c r="B233" s="7" t="s">
        <v>767</v>
      </c>
      <c r="C233" s="7" t="s">
        <v>47</v>
      </c>
      <c r="D233" s="7" t="s">
        <v>99</v>
      </c>
      <c r="E233" s="11">
        <v>5</v>
      </c>
      <c r="F233" s="7" t="s">
        <v>46</v>
      </c>
      <c r="G233" s="7" t="s">
        <v>1743</v>
      </c>
      <c r="H233" s="37">
        <f>IFERROR(VLOOKUP(C233,Fixture_Engine!$D$2:$R$21,13,FALSE),"")</f>
        <v>1.3042477689012788</v>
      </c>
      <c r="I233" s="37">
        <f>IFERROR(VLOOKUP(C233,Fixture_Engine!$D$2:$R$21,14,FALSE),"")</f>
        <v>1.0054212185228999</v>
      </c>
      <c r="J233" s="37">
        <f>IFERROR(VLOOKUP(C233,Fixture_Engine!$D$2:$R$21,15,FALSE),"")</f>
        <v>0.36589048249181161</v>
      </c>
      <c r="K233" s="13">
        <v>3.9689690903052161E-2</v>
      </c>
      <c r="L233" s="13">
        <v>2.7621778681028442E-2</v>
      </c>
      <c r="M233" s="13">
        <v>0.24283632831471591</v>
      </c>
      <c r="N233" s="38">
        <f t="shared" si="6"/>
        <v>5.1765190808687161E-2</v>
      </c>
      <c r="O233" s="38">
        <f t="shared" si="7"/>
        <v>3.6025643217816254E-2</v>
      </c>
      <c r="P233" s="26"/>
      <c r="Q233" s="45"/>
      <c r="R233" s="38"/>
      <c r="S233" s="38"/>
      <c r="T233" s="38"/>
      <c r="U233" s="1" t="b">
        <v>1</v>
      </c>
      <c r="V233" s="1" t="b">
        <v>0</v>
      </c>
      <c r="W233" s="31" t="s">
        <v>1885</v>
      </c>
    </row>
    <row r="234" spans="1:23" ht="30">
      <c r="A234" s="7">
        <v>233</v>
      </c>
      <c r="B234" s="7" t="s">
        <v>769</v>
      </c>
      <c r="C234" s="7" t="s">
        <v>47</v>
      </c>
      <c r="D234" s="7" t="s">
        <v>99</v>
      </c>
      <c r="E234" s="11">
        <v>4.5</v>
      </c>
      <c r="F234" s="7" t="s">
        <v>46</v>
      </c>
      <c r="G234" s="7" t="s">
        <v>1743</v>
      </c>
      <c r="H234" s="37">
        <f>IFERROR(VLOOKUP(C234,Fixture_Engine!$D$2:$R$21,13,FALSE),"")</f>
        <v>1.3042477689012788</v>
      </c>
      <c r="I234" s="37">
        <f>IFERROR(VLOOKUP(C234,Fixture_Engine!$D$2:$R$21,14,FALSE),"")</f>
        <v>1.0054212185228999</v>
      </c>
      <c r="J234" s="37">
        <f>IFERROR(VLOOKUP(C234,Fixture_Engine!$D$2:$R$21,15,FALSE),"")</f>
        <v>0.36589048249181161</v>
      </c>
      <c r="K234" s="13">
        <v>1.5571536900881276E-2</v>
      </c>
      <c r="L234" s="13">
        <v>5.5738129701040529E-2</v>
      </c>
      <c r="M234" s="13">
        <v>0.25258903763576657</v>
      </c>
      <c r="N234" s="38">
        <f t="shared" si="6"/>
        <v>2.0309142261338339E-2</v>
      </c>
      <c r="O234" s="38">
        <f t="shared" si="7"/>
        <v>7.2696331305312209E-2</v>
      </c>
      <c r="P234" s="26"/>
      <c r="Q234" s="45"/>
      <c r="R234" s="38"/>
      <c r="S234" s="38"/>
      <c r="T234" s="38"/>
      <c r="U234" s="1" t="b">
        <v>0</v>
      </c>
      <c r="V234" s="1" t="b">
        <v>0</v>
      </c>
      <c r="W234" s="31" t="s">
        <v>1885</v>
      </c>
    </row>
    <row r="235" spans="1:23" ht="30">
      <c r="A235" s="7">
        <v>234</v>
      </c>
      <c r="B235" s="7" t="s">
        <v>772</v>
      </c>
      <c r="C235" s="7" t="s">
        <v>47</v>
      </c>
      <c r="D235" s="7" t="s">
        <v>99</v>
      </c>
      <c r="E235" s="11">
        <v>4.5</v>
      </c>
      <c r="F235" s="7" t="s">
        <v>46</v>
      </c>
      <c r="G235" s="7" t="s">
        <v>1743</v>
      </c>
      <c r="H235" s="37">
        <f>IFERROR(VLOOKUP(C235,Fixture_Engine!$D$2:$R$21,13,FALSE),"")</f>
        <v>1.3042477689012788</v>
      </c>
      <c r="I235" s="37">
        <f>IFERROR(VLOOKUP(C235,Fixture_Engine!$D$2:$R$21,14,FALSE),"")</f>
        <v>1.0054212185228999</v>
      </c>
      <c r="J235" s="37">
        <f>IFERROR(VLOOKUP(C235,Fixture_Engine!$D$2:$R$21,15,FALSE),"")</f>
        <v>0.36589048249181161</v>
      </c>
      <c r="K235" s="13">
        <v>3.5007563338335039E-2</v>
      </c>
      <c r="L235" s="13">
        <v>3.5090804592884647E-2</v>
      </c>
      <c r="M235" s="13">
        <v>0.80775444264943452</v>
      </c>
      <c r="N235" s="38">
        <f t="shared" si="6"/>
        <v>4.565853637869368E-2</v>
      </c>
      <c r="O235" s="38">
        <f t="shared" si="7"/>
        <v>4.5767103599220552E-2</v>
      </c>
      <c r="P235" s="26"/>
      <c r="Q235" s="45"/>
      <c r="R235" s="38"/>
      <c r="S235" s="38"/>
      <c r="T235" s="38"/>
      <c r="U235" s="1" t="b">
        <v>1</v>
      </c>
      <c r="V235" s="1" t="b">
        <v>1</v>
      </c>
      <c r="W235" s="31" t="s">
        <v>1885</v>
      </c>
    </row>
    <row r="236" spans="1:23" ht="30">
      <c r="A236" s="7">
        <v>235</v>
      </c>
      <c r="B236" s="7" t="s">
        <v>775</v>
      </c>
      <c r="C236" s="7" t="s">
        <v>47</v>
      </c>
      <c r="D236" s="7" t="s">
        <v>99</v>
      </c>
      <c r="E236" s="11">
        <v>4</v>
      </c>
      <c r="F236" s="7" t="s">
        <v>46</v>
      </c>
      <c r="G236" s="7" t="s">
        <v>1743</v>
      </c>
      <c r="H236" s="37">
        <f>IFERROR(VLOOKUP(C236,Fixture_Engine!$D$2:$R$21,13,FALSE),"")</f>
        <v>1.3042477689012788</v>
      </c>
      <c r="I236" s="37">
        <f>IFERROR(VLOOKUP(C236,Fixture_Engine!$D$2:$R$21,14,FALSE),"")</f>
        <v>1.0054212185228999</v>
      </c>
      <c r="J236" s="37">
        <f>IFERROR(VLOOKUP(C236,Fixture_Engine!$D$2:$R$21,15,FALSE),"")</f>
        <v>0.36589048249181161</v>
      </c>
      <c r="K236" s="13">
        <v>4.1142361271531161E-2</v>
      </c>
      <c r="L236" s="13">
        <v>4.0513079897554365E-2</v>
      </c>
      <c r="M236" s="13">
        <v>1</v>
      </c>
      <c r="N236" s="38">
        <f t="shared" si="6"/>
        <v>5.3659832895724895E-2</v>
      </c>
      <c r="O236" s="38">
        <f t="shared" si="7"/>
        <v>5.2839094067704526E-2</v>
      </c>
      <c r="P236" s="26"/>
      <c r="Q236" s="45"/>
      <c r="R236" s="38"/>
      <c r="S236" s="38"/>
      <c r="T236" s="38"/>
      <c r="U236" s="1" t="b">
        <v>0</v>
      </c>
      <c r="V236" s="1" t="b">
        <v>1</v>
      </c>
      <c r="W236" s="31" t="s">
        <v>1885</v>
      </c>
    </row>
    <row r="237" spans="1:23" ht="30">
      <c r="A237" s="7">
        <v>236</v>
      </c>
      <c r="B237" s="7" t="s">
        <v>778</v>
      </c>
      <c r="C237" s="7" t="s">
        <v>47</v>
      </c>
      <c r="D237" s="7" t="s">
        <v>112</v>
      </c>
      <c r="E237" s="11">
        <v>6.5</v>
      </c>
      <c r="F237" s="7" t="s">
        <v>46</v>
      </c>
      <c r="G237" s="7" t="s">
        <v>1743</v>
      </c>
      <c r="H237" s="37">
        <f>IFERROR(VLOOKUP(C237,Fixture_Engine!$D$2:$R$21,13,FALSE),"")</f>
        <v>1.3042477689012788</v>
      </c>
      <c r="I237" s="37">
        <f>IFERROR(VLOOKUP(C237,Fixture_Engine!$D$2:$R$21,14,FALSE),"")</f>
        <v>1.0054212185228999</v>
      </c>
      <c r="J237" s="37">
        <f>IFERROR(VLOOKUP(C237,Fixture_Engine!$D$2:$R$21,15,FALSE),"")</f>
        <v>0.36589048249181161</v>
      </c>
      <c r="K237" s="13">
        <v>0.11741062868963434</v>
      </c>
      <c r="L237" s="13">
        <v>0.1326280113325376</v>
      </c>
      <c r="M237" s="13">
        <v>0.27555800496004412</v>
      </c>
      <c r="N237" s="38">
        <f t="shared" si="6"/>
        <v>0.15313255051375207</v>
      </c>
      <c r="O237" s="38">
        <f t="shared" si="7"/>
        <v>0.17297978787427568</v>
      </c>
      <c r="P237" s="26"/>
      <c r="Q237" s="45"/>
      <c r="R237" s="38"/>
      <c r="S237" s="38"/>
      <c r="T237" s="38"/>
      <c r="U237" s="1" t="b">
        <v>0</v>
      </c>
      <c r="V237" s="1" t="b">
        <v>0</v>
      </c>
      <c r="W237" s="31" t="s">
        <v>1885</v>
      </c>
    </row>
    <row r="238" spans="1:23" ht="30">
      <c r="A238" s="7">
        <v>237</v>
      </c>
      <c r="B238" s="7" t="s">
        <v>781</v>
      </c>
      <c r="C238" s="7" t="s">
        <v>47</v>
      </c>
      <c r="D238" s="7" t="s">
        <v>112</v>
      </c>
      <c r="E238" s="11">
        <v>6</v>
      </c>
      <c r="F238" s="7" t="s">
        <v>46</v>
      </c>
      <c r="G238" s="7" t="s">
        <v>1743</v>
      </c>
      <c r="H238" s="37">
        <f>IFERROR(VLOOKUP(C238,Fixture_Engine!$D$2:$R$21,13,FALSE),"")</f>
        <v>1.3042477689012788</v>
      </c>
      <c r="I238" s="37">
        <f>IFERROR(VLOOKUP(C238,Fixture_Engine!$D$2:$R$21,14,FALSE),"")</f>
        <v>1.0054212185228999</v>
      </c>
      <c r="J238" s="37">
        <f>IFERROR(VLOOKUP(C238,Fixture_Engine!$D$2:$R$21,15,FALSE),"")</f>
        <v>0.36589048249181161</v>
      </c>
      <c r="K238" s="13">
        <v>0.15781989010609054</v>
      </c>
      <c r="L238" s="13">
        <v>0.10928325489146329</v>
      </c>
      <c r="M238" s="13">
        <v>0.26448029621793179</v>
      </c>
      <c r="N238" s="38">
        <f t="shared" si="6"/>
        <v>0.20583623955911359</v>
      </c>
      <c r="O238" s="38">
        <f t="shared" si="7"/>
        <v>0.14253244137046076</v>
      </c>
      <c r="P238" s="26"/>
      <c r="Q238" s="45"/>
      <c r="R238" s="38"/>
      <c r="S238" s="38"/>
      <c r="T238" s="38"/>
      <c r="U238" s="1" t="b">
        <v>0</v>
      </c>
      <c r="V238" s="1" t="b">
        <v>0</v>
      </c>
      <c r="W238" s="31" t="s">
        <v>1885</v>
      </c>
    </row>
    <row r="239" spans="1:23" ht="30">
      <c r="A239" s="7">
        <v>238</v>
      </c>
      <c r="B239" s="7" t="s">
        <v>1168</v>
      </c>
      <c r="C239" s="7" t="s">
        <v>53</v>
      </c>
      <c r="D239" s="7" t="s">
        <v>112</v>
      </c>
      <c r="E239" s="11">
        <v>6.5</v>
      </c>
      <c r="F239" s="7" t="s">
        <v>41</v>
      </c>
      <c r="G239" s="7" t="s">
        <v>1743</v>
      </c>
      <c r="H239" s="37">
        <f>IFERROR(VLOOKUP(C239,Fixture_Engine!$D$2:$R$21,13,FALSE),"")</f>
        <v>2.1387927682342065</v>
      </c>
      <c r="I239" s="37">
        <f>IFERROR(VLOOKUP(C239,Fixture_Engine!$D$2:$R$21,14,FALSE),"")</f>
        <v>0.9191782076853533</v>
      </c>
      <c r="J239" s="37">
        <f>IFERROR(VLOOKUP(C239,Fixture_Engine!$D$2:$R$21,15,FALSE),"")</f>
        <v>0.39884667557503217</v>
      </c>
      <c r="K239" s="13">
        <v>0.10029503788831512</v>
      </c>
      <c r="L239" s="13">
        <v>0.11935406193704431</v>
      </c>
      <c r="M239" s="13">
        <v>0.52620669965740396</v>
      </c>
      <c r="N239" s="38">
        <f t="shared" si="6"/>
        <v>0.21451030172530411</v>
      </c>
      <c r="O239" s="38">
        <f t="shared" si="7"/>
        <v>0.25527360453032794</v>
      </c>
      <c r="P239" s="26"/>
      <c r="Q239" s="45"/>
      <c r="R239" s="38"/>
      <c r="S239" s="38"/>
      <c r="T239" s="38"/>
      <c r="U239" s="1" t="b">
        <v>0</v>
      </c>
      <c r="V239" s="1" t="b">
        <v>1</v>
      </c>
      <c r="W239" s="31" t="s">
        <v>1885</v>
      </c>
    </row>
    <row r="240" spans="1:23" ht="30">
      <c r="A240" s="7">
        <v>239</v>
      </c>
      <c r="B240" s="7" t="s">
        <v>784</v>
      </c>
      <c r="C240" s="7" t="s">
        <v>47</v>
      </c>
      <c r="D240" s="7" t="s">
        <v>112</v>
      </c>
      <c r="E240" s="11">
        <v>6</v>
      </c>
      <c r="F240" s="7" t="s">
        <v>46</v>
      </c>
      <c r="G240" s="7" t="s">
        <v>1743</v>
      </c>
      <c r="H240" s="37">
        <f>IFERROR(VLOOKUP(C240,Fixture_Engine!$D$2:$R$21,13,FALSE),"")</f>
        <v>1.3042477689012788</v>
      </c>
      <c r="I240" s="37">
        <f>IFERROR(VLOOKUP(C240,Fixture_Engine!$D$2:$R$21,14,FALSE),"")</f>
        <v>1.0054212185228999</v>
      </c>
      <c r="J240" s="37">
        <f>IFERROR(VLOOKUP(C240,Fixture_Engine!$D$2:$R$21,15,FALSE),"")</f>
        <v>0.36589048249181161</v>
      </c>
      <c r="K240" s="13">
        <v>5.9213236101316874E-2</v>
      </c>
      <c r="L240" s="13">
        <v>0.12300546410218725</v>
      </c>
      <c r="M240" s="13">
        <v>0.22660321776569226</v>
      </c>
      <c r="N240" s="38">
        <f t="shared" si="6"/>
        <v>7.7228731074567195E-2</v>
      </c>
      <c r="O240" s="38">
        <f t="shared" si="7"/>
        <v>0.16042960211794408</v>
      </c>
      <c r="P240" s="26"/>
      <c r="Q240" s="45"/>
      <c r="R240" s="38"/>
      <c r="S240" s="38"/>
      <c r="T240" s="38"/>
      <c r="U240" s="1" t="b">
        <v>0</v>
      </c>
      <c r="V240" s="1" t="b">
        <v>0</v>
      </c>
      <c r="W240" s="31" t="s">
        <v>1885</v>
      </c>
    </row>
    <row r="241" spans="1:23" ht="30">
      <c r="A241" s="7">
        <v>240</v>
      </c>
      <c r="B241" s="7" t="s">
        <v>788</v>
      </c>
      <c r="C241" s="7" t="s">
        <v>47</v>
      </c>
      <c r="D241" s="7" t="s">
        <v>112</v>
      </c>
      <c r="E241" s="11">
        <v>5</v>
      </c>
      <c r="F241" s="7" t="s">
        <v>46</v>
      </c>
      <c r="G241" s="7" t="s">
        <v>1743</v>
      </c>
      <c r="H241" s="37">
        <f>IFERROR(VLOOKUP(C241,Fixture_Engine!$D$2:$R$21,13,FALSE),"")</f>
        <v>1.3042477689012788</v>
      </c>
      <c r="I241" s="37">
        <f>IFERROR(VLOOKUP(C241,Fixture_Engine!$D$2:$R$21,14,FALSE),"")</f>
        <v>1.0054212185228999</v>
      </c>
      <c r="J241" s="37">
        <f>IFERROR(VLOOKUP(C241,Fixture_Engine!$D$2:$R$21,15,FALSE),"")</f>
        <v>0.36589048249181161</v>
      </c>
      <c r="K241" s="13">
        <v>5.9371780204309638E-2</v>
      </c>
      <c r="L241" s="13">
        <v>5.7422845908040303E-2</v>
      </c>
      <c r="M241" s="13">
        <v>0.40371417036737989</v>
      </c>
      <c r="N241" s="38">
        <f t="shared" si="6"/>
        <v>7.7435511867167961E-2</v>
      </c>
      <c r="O241" s="38">
        <f t="shared" si="7"/>
        <v>7.4893618659523487E-2</v>
      </c>
      <c r="P241" s="26"/>
      <c r="Q241" s="45"/>
      <c r="R241" s="38"/>
      <c r="S241" s="38"/>
      <c r="T241" s="38"/>
      <c r="U241" s="1" t="b">
        <v>0</v>
      </c>
      <c r="V241" s="1" t="b">
        <v>0</v>
      </c>
      <c r="W241" s="31" t="s">
        <v>1885</v>
      </c>
    </row>
    <row r="242" spans="1:23" ht="30">
      <c r="A242" s="7">
        <v>241</v>
      </c>
      <c r="B242" s="7" t="s">
        <v>791</v>
      </c>
      <c r="C242" s="7" t="s">
        <v>47</v>
      </c>
      <c r="D242" s="7" t="s">
        <v>112</v>
      </c>
      <c r="E242" s="11">
        <v>5.5</v>
      </c>
      <c r="F242" s="7" t="s">
        <v>46</v>
      </c>
      <c r="G242" s="7" t="s">
        <v>1743</v>
      </c>
      <c r="H242" s="37">
        <f>IFERROR(VLOOKUP(C242,Fixture_Engine!$D$2:$R$21,13,FALSE),"")</f>
        <v>1.3042477689012788</v>
      </c>
      <c r="I242" s="37">
        <f>IFERROR(VLOOKUP(C242,Fixture_Engine!$D$2:$R$21,14,FALSE),"")</f>
        <v>1.0054212185228999</v>
      </c>
      <c r="J242" s="37">
        <f>IFERROR(VLOOKUP(C242,Fixture_Engine!$D$2:$R$21,15,FALSE),"")</f>
        <v>0.36589048249181161</v>
      </c>
      <c r="K242" s="13">
        <v>9.6181224190716896E-2</v>
      </c>
      <c r="L242" s="13">
        <v>0.10648610595433632</v>
      </c>
      <c r="M242" s="13">
        <v>0.46274872744099949</v>
      </c>
      <c r="N242" s="38">
        <f t="shared" si="6"/>
        <v>0.12544414706093621</v>
      </c>
      <c r="O242" s="38">
        <f t="shared" si="7"/>
        <v>0.13888426610992832</v>
      </c>
      <c r="P242" s="26"/>
      <c r="Q242" s="45"/>
      <c r="R242" s="38"/>
      <c r="S242" s="38"/>
      <c r="T242" s="38"/>
      <c r="U242" s="1" t="b">
        <v>0</v>
      </c>
      <c r="V242" s="1" t="b">
        <v>0</v>
      </c>
      <c r="W242" s="31" t="s">
        <v>1885</v>
      </c>
    </row>
    <row r="243" spans="1:23" ht="30">
      <c r="A243" s="7">
        <v>242</v>
      </c>
      <c r="B243" s="7" t="s">
        <v>794</v>
      </c>
      <c r="C243" s="7" t="s">
        <v>47</v>
      </c>
      <c r="D243" s="7" t="s">
        <v>112</v>
      </c>
      <c r="E243" s="11">
        <v>5.5</v>
      </c>
      <c r="F243" s="7" t="s">
        <v>46</v>
      </c>
      <c r="G243" s="7" t="s">
        <v>1743</v>
      </c>
      <c r="H243" s="37">
        <f>IFERROR(VLOOKUP(C243,Fixture_Engine!$D$2:$R$21,13,FALSE),"")</f>
        <v>1.3042477689012788</v>
      </c>
      <c r="I243" s="37">
        <f>IFERROR(VLOOKUP(C243,Fixture_Engine!$D$2:$R$21,14,FALSE),"")</f>
        <v>1.0054212185228999</v>
      </c>
      <c r="J243" s="37">
        <f>IFERROR(VLOOKUP(C243,Fixture_Engine!$D$2:$R$21,15,FALSE),"")</f>
        <v>0.36589048249181161</v>
      </c>
      <c r="K243" s="13">
        <v>0.11427626945756258</v>
      </c>
      <c r="L243" s="13">
        <v>0.13130157185452093</v>
      </c>
      <c r="M243" s="13">
        <v>0.74019245003700962</v>
      </c>
      <c r="N243" s="38">
        <f t="shared" si="6"/>
        <v>0.14904456947838735</v>
      </c>
      <c r="O243" s="38">
        <f t="shared" si="7"/>
        <v>0.17124978214448988</v>
      </c>
      <c r="P243" s="26"/>
      <c r="Q243" s="45"/>
      <c r="R243" s="38"/>
      <c r="S243" s="38"/>
      <c r="T243" s="38"/>
      <c r="U243" s="1" t="b">
        <v>0</v>
      </c>
      <c r="V243" s="1" t="b">
        <v>1</v>
      </c>
      <c r="W243" s="31" t="s">
        <v>1885</v>
      </c>
    </row>
    <row r="244" spans="1:23" ht="30">
      <c r="A244" s="7">
        <v>243</v>
      </c>
      <c r="B244" s="7" t="s">
        <v>797</v>
      </c>
      <c r="C244" s="7" t="s">
        <v>47</v>
      </c>
      <c r="D244" s="7" t="s">
        <v>112</v>
      </c>
      <c r="E244" s="11">
        <v>5</v>
      </c>
      <c r="F244" s="7" t="s">
        <v>46</v>
      </c>
      <c r="G244" s="7" t="s">
        <v>1743</v>
      </c>
      <c r="H244" s="37">
        <f>IFERROR(VLOOKUP(C244,Fixture_Engine!$D$2:$R$21,13,FALSE),"")</f>
        <v>1.3042477689012788</v>
      </c>
      <c r="I244" s="37">
        <f>IFERROR(VLOOKUP(C244,Fixture_Engine!$D$2:$R$21,14,FALSE),"")</f>
        <v>1.0054212185228999</v>
      </c>
      <c r="J244" s="37">
        <f>IFERROR(VLOOKUP(C244,Fixture_Engine!$D$2:$R$21,15,FALSE),"")</f>
        <v>0.36589048249181161</v>
      </c>
      <c r="K244" s="13">
        <v>0.11506905570813285</v>
      </c>
      <c r="L244" s="13">
        <v>7.7300006261679155E-2</v>
      </c>
      <c r="M244" s="13">
        <v>0.59559261465157831</v>
      </c>
      <c r="N244" s="38">
        <f t="shared" si="6"/>
        <v>0.15007855917690924</v>
      </c>
      <c r="O244" s="38">
        <f t="shared" si="7"/>
        <v>0.10081836070284991</v>
      </c>
      <c r="P244" s="26"/>
      <c r="Q244" s="45"/>
      <c r="R244" s="38"/>
      <c r="S244" s="38"/>
      <c r="T244" s="38"/>
      <c r="V244" s="1" t="b">
        <v>1</v>
      </c>
      <c r="W244" s="31" t="s">
        <v>1885</v>
      </c>
    </row>
    <row r="245" spans="1:23" ht="30">
      <c r="A245" s="7">
        <v>244</v>
      </c>
      <c r="B245" s="7" t="s">
        <v>799</v>
      </c>
      <c r="C245" s="7" t="s">
        <v>47</v>
      </c>
      <c r="D245" s="7" t="s">
        <v>112</v>
      </c>
      <c r="E245" s="11">
        <v>5</v>
      </c>
      <c r="F245" s="7" t="s">
        <v>46</v>
      </c>
      <c r="G245" s="7" t="s">
        <v>1743</v>
      </c>
      <c r="H245" s="37">
        <f>IFERROR(VLOOKUP(C245,Fixture_Engine!$D$2:$R$21,13,FALSE),"")</f>
        <v>1.3042477689012788</v>
      </c>
      <c r="I245" s="37">
        <f>IFERROR(VLOOKUP(C245,Fixture_Engine!$D$2:$R$21,14,FALSE),"")</f>
        <v>1.0054212185228999</v>
      </c>
      <c r="J245" s="37">
        <f>IFERROR(VLOOKUP(C245,Fixture_Engine!$D$2:$R$21,15,FALSE),"")</f>
        <v>0.36589048249181161</v>
      </c>
      <c r="K245" s="13">
        <v>0.10851197555367793</v>
      </c>
      <c r="L245" s="13">
        <v>6.9784790686262893E-2</v>
      </c>
      <c r="M245" s="13">
        <v>0.65616797900262469</v>
      </c>
      <c r="N245" s="38">
        <f t="shared" si="6"/>
        <v>0.14152650201495456</v>
      </c>
      <c r="O245" s="38">
        <f t="shared" si="7"/>
        <v>9.1016657555801114E-2</v>
      </c>
      <c r="P245" s="26"/>
      <c r="Q245" s="45"/>
      <c r="R245" s="38"/>
      <c r="S245" s="38"/>
      <c r="T245" s="38"/>
      <c r="U245" s="1" t="b">
        <v>0</v>
      </c>
      <c r="V245" s="1" t="b">
        <v>1</v>
      </c>
      <c r="W245" s="31" t="s">
        <v>1885</v>
      </c>
    </row>
    <row r="246" spans="1:23" ht="30">
      <c r="A246" s="7">
        <v>245</v>
      </c>
      <c r="B246" s="7" t="s">
        <v>802</v>
      </c>
      <c r="C246" s="7" t="s">
        <v>47</v>
      </c>
      <c r="D246" s="7" t="s">
        <v>112</v>
      </c>
      <c r="E246" s="11">
        <v>5.5</v>
      </c>
      <c r="F246" s="7" t="s">
        <v>46</v>
      </c>
      <c r="G246" s="7" t="s">
        <v>1743</v>
      </c>
      <c r="H246" s="37">
        <f>IFERROR(VLOOKUP(C246,Fixture_Engine!$D$2:$R$21,13,FALSE),"")</f>
        <v>1.3042477689012788</v>
      </c>
      <c r="I246" s="37">
        <f>IFERROR(VLOOKUP(C246,Fixture_Engine!$D$2:$R$21,14,FALSE),"")</f>
        <v>1.0054212185228999</v>
      </c>
      <c r="J246" s="37">
        <f>IFERROR(VLOOKUP(C246,Fixture_Engine!$D$2:$R$21,15,FALSE),"")</f>
        <v>0.36589048249181161</v>
      </c>
      <c r="K246" s="13">
        <v>9.0559334295301649E-2</v>
      </c>
      <c r="L246" s="13">
        <v>7.4494698761297995E-2</v>
      </c>
      <c r="M246" s="13">
        <v>0.7412898443291327</v>
      </c>
      <c r="N246" s="38">
        <f t="shared" si="6"/>
        <v>0.11811180970783224</v>
      </c>
      <c r="O246" s="38">
        <f t="shared" si="7"/>
        <v>9.7159544654395774E-2</v>
      </c>
      <c r="P246" s="26"/>
      <c r="Q246" s="45"/>
      <c r="R246" s="38"/>
      <c r="S246" s="38"/>
      <c r="T246" s="38"/>
      <c r="U246" s="1" t="b">
        <v>0</v>
      </c>
      <c r="V246" s="1" t="b">
        <v>1</v>
      </c>
      <c r="W246" s="31" t="s">
        <v>1885</v>
      </c>
    </row>
    <row r="247" spans="1:23" ht="30">
      <c r="A247" s="7">
        <v>246</v>
      </c>
      <c r="B247" s="7" t="s">
        <v>805</v>
      </c>
      <c r="C247" s="7" t="s">
        <v>47</v>
      </c>
      <c r="D247" s="7" t="s">
        <v>112</v>
      </c>
      <c r="E247" s="11">
        <v>5</v>
      </c>
      <c r="F247" s="7" t="s">
        <v>46</v>
      </c>
      <c r="G247" s="7" t="s">
        <v>1743</v>
      </c>
      <c r="H247" s="37">
        <f>IFERROR(VLOOKUP(C247,Fixture_Engine!$D$2:$R$21,13,FALSE),"")</f>
        <v>1.3042477689012788</v>
      </c>
      <c r="I247" s="37">
        <f>IFERROR(VLOOKUP(C247,Fixture_Engine!$D$2:$R$21,14,FALSE),"")</f>
        <v>1.0054212185228999</v>
      </c>
      <c r="J247" s="37">
        <f>IFERROR(VLOOKUP(C247,Fixture_Engine!$D$2:$R$21,15,FALSE),"")</f>
        <v>0.36589048249181161</v>
      </c>
      <c r="K247" s="13">
        <v>9.3483129658802788E-2</v>
      </c>
      <c r="L247" s="13">
        <v>6.9177530518378716E-2</v>
      </c>
      <c r="M247" s="13">
        <v>0.59701492537313428</v>
      </c>
      <c r="N247" s="38">
        <f t="shared" si="6"/>
        <v>0.12192516328740251</v>
      </c>
      <c r="O247" s="38">
        <f t="shared" si="7"/>
        <v>9.0224639836695569E-2</v>
      </c>
      <c r="P247" s="26"/>
      <c r="Q247" s="45"/>
      <c r="R247" s="38"/>
      <c r="S247" s="38"/>
      <c r="T247" s="38"/>
      <c r="U247" s="1" t="b">
        <v>0</v>
      </c>
      <c r="V247" s="1" t="b">
        <v>1</v>
      </c>
      <c r="W247" s="31" t="s">
        <v>1885</v>
      </c>
    </row>
    <row r="248" spans="1:23" ht="30">
      <c r="A248" s="7">
        <v>247</v>
      </c>
      <c r="B248" s="7" t="s">
        <v>807</v>
      </c>
      <c r="C248" s="7" t="s">
        <v>47</v>
      </c>
      <c r="D248" s="7" t="s">
        <v>112</v>
      </c>
      <c r="E248" s="11">
        <v>5.5</v>
      </c>
      <c r="F248" s="7" t="s">
        <v>46</v>
      </c>
      <c r="G248" s="7" t="s">
        <v>1743</v>
      </c>
      <c r="H248" s="37">
        <f>IFERROR(VLOOKUP(C248,Fixture_Engine!$D$2:$R$21,13,FALSE),"")</f>
        <v>1.3042477689012788</v>
      </c>
      <c r="I248" s="37">
        <f>IFERROR(VLOOKUP(C248,Fixture_Engine!$D$2:$R$21,14,FALSE),"")</f>
        <v>1.0054212185228999</v>
      </c>
      <c r="J248" s="37">
        <f>IFERROR(VLOOKUP(C248,Fixture_Engine!$D$2:$R$21,15,FALSE),"")</f>
        <v>0.36589048249181161</v>
      </c>
      <c r="K248" s="13">
        <v>0.10751786102217777</v>
      </c>
      <c r="L248" s="13">
        <v>9.0240671969462088E-2</v>
      </c>
      <c r="M248" s="13">
        <v>1</v>
      </c>
      <c r="N248" s="38">
        <f t="shared" si="6"/>
        <v>0.14022993035521311</v>
      </c>
      <c r="O248" s="38">
        <f t="shared" si="7"/>
        <v>0.1176961950803231</v>
      </c>
      <c r="P248" s="26"/>
      <c r="Q248" s="45"/>
      <c r="R248" s="38"/>
      <c r="S248" s="38"/>
      <c r="T248" s="38"/>
      <c r="U248" s="1" t="b">
        <v>0</v>
      </c>
      <c r="V248" s="1" t="b">
        <v>1</v>
      </c>
      <c r="W248" s="31" t="s">
        <v>1885</v>
      </c>
    </row>
    <row r="249" spans="1:23" ht="30">
      <c r="A249" s="7">
        <v>248</v>
      </c>
      <c r="B249" s="7" t="s">
        <v>809</v>
      </c>
      <c r="C249" s="7" t="s">
        <v>47</v>
      </c>
      <c r="D249" s="7" t="s">
        <v>167</v>
      </c>
      <c r="E249" s="11">
        <v>5.5</v>
      </c>
      <c r="F249" s="7" t="s">
        <v>46</v>
      </c>
      <c r="G249" s="7" t="s">
        <v>1743</v>
      </c>
      <c r="H249" s="37">
        <f>IFERROR(VLOOKUP(C249,Fixture_Engine!$D$2:$R$21,13,FALSE),"")</f>
        <v>1.3042477689012788</v>
      </c>
      <c r="I249" s="37">
        <f>IFERROR(VLOOKUP(C249,Fixture_Engine!$D$2:$R$21,14,FALSE),"")</f>
        <v>1.0054212185228999</v>
      </c>
      <c r="J249" s="37">
        <f>IFERROR(VLOOKUP(C249,Fixture_Engine!$D$2:$R$21,15,FALSE),"")</f>
        <v>0.36589048249181161</v>
      </c>
      <c r="K249" s="13">
        <v>0.37490888161799996</v>
      </c>
      <c r="L249" s="13">
        <v>2.1992059832260383E-2</v>
      </c>
      <c r="M249" s="13">
        <v>0.39200313602508818</v>
      </c>
      <c r="N249" s="38">
        <f t="shared" si="6"/>
        <v>0.48897407239155011</v>
      </c>
      <c r="O249" s="38">
        <f t="shared" si="7"/>
        <v>2.8683094969769035E-2</v>
      </c>
      <c r="P249" s="26"/>
      <c r="Q249" s="45"/>
      <c r="R249" s="38"/>
      <c r="S249" s="38"/>
      <c r="T249" s="38"/>
      <c r="U249" s="1" t="b">
        <v>0</v>
      </c>
      <c r="V249" s="1" t="b">
        <v>0</v>
      </c>
      <c r="W249" s="31" t="s">
        <v>1885</v>
      </c>
    </row>
    <row r="250" spans="1:23" ht="30">
      <c r="A250" s="7">
        <v>249</v>
      </c>
      <c r="B250" s="7" t="s">
        <v>811</v>
      </c>
      <c r="C250" s="7" t="s">
        <v>47</v>
      </c>
      <c r="D250" s="7" t="s">
        <v>167</v>
      </c>
      <c r="E250" s="11">
        <v>5.5</v>
      </c>
      <c r="F250" s="7" t="s">
        <v>46</v>
      </c>
      <c r="G250" s="7" t="s">
        <v>1743</v>
      </c>
      <c r="H250" s="37">
        <f>IFERROR(VLOOKUP(C250,Fixture_Engine!$D$2:$R$21,13,FALSE),"")</f>
        <v>1.3042477689012788</v>
      </c>
      <c r="I250" s="37">
        <f>IFERROR(VLOOKUP(C250,Fixture_Engine!$D$2:$R$21,14,FALSE),"")</f>
        <v>1.0054212185228999</v>
      </c>
      <c r="J250" s="37">
        <f>IFERROR(VLOOKUP(C250,Fixture_Engine!$D$2:$R$21,15,FALSE),"")</f>
        <v>0.36589048249181161</v>
      </c>
      <c r="K250" s="13">
        <v>0.31157079764270035</v>
      </c>
      <c r="L250" s="13">
        <v>2.4665548523598896E-2</v>
      </c>
      <c r="M250" s="13">
        <v>0.34506556245686681</v>
      </c>
      <c r="N250" s="38">
        <f t="shared" si="6"/>
        <v>0.40636551768028373</v>
      </c>
      <c r="O250" s="38">
        <f t="shared" si="7"/>
        <v>3.2169986630630094E-2</v>
      </c>
      <c r="P250" s="26"/>
      <c r="Q250" s="45"/>
      <c r="R250" s="38"/>
      <c r="S250" s="38"/>
      <c r="T250" s="38"/>
      <c r="U250" s="1" t="b">
        <v>0</v>
      </c>
      <c r="V250" s="1" t="b">
        <v>0</v>
      </c>
      <c r="W250" s="31" t="s">
        <v>1885</v>
      </c>
    </row>
    <row r="251" spans="1:23" ht="30">
      <c r="A251" s="7">
        <v>250</v>
      </c>
      <c r="B251" s="7" t="s">
        <v>814</v>
      </c>
      <c r="C251" s="7" t="s">
        <v>48</v>
      </c>
      <c r="D251" s="7" t="s">
        <v>85</v>
      </c>
      <c r="E251" s="11">
        <v>4.5</v>
      </c>
      <c r="F251" s="7" t="s">
        <v>44</v>
      </c>
      <c r="G251" s="7" t="s">
        <v>1743</v>
      </c>
      <c r="H251" s="37">
        <f>IFERROR(VLOOKUP(C251,Fixture_Engine!$D$2:$R$21,13,FALSE),"")</f>
        <v>1.0345389928276891</v>
      </c>
      <c r="I251" s="37">
        <f>IFERROR(VLOOKUP(C251,Fixture_Engine!$D$2:$R$21,14,FALSE),"")</f>
        <v>1.529190937318446</v>
      </c>
      <c r="J251" s="37">
        <f>IFERROR(VLOOKUP(C251,Fixture_Engine!$D$2:$R$21,15,FALSE),"")</f>
        <v>0.21671092913299536</v>
      </c>
      <c r="K251" s="13">
        <v>1.6719534964712218E-4</v>
      </c>
      <c r="L251" s="13">
        <v>7.0656202263900307E-4</v>
      </c>
      <c r="M251" s="13">
        <v>0.30361990950226236</v>
      </c>
      <c r="N251" s="38">
        <f t="shared" si="6"/>
        <v>1.7297010862940711E-4</v>
      </c>
      <c r="O251" s="38">
        <f t="shared" si="7"/>
        <v>7.3096596327124909E-4</v>
      </c>
      <c r="P251" s="26"/>
      <c r="Q251" s="45"/>
      <c r="R251" s="38"/>
      <c r="S251" s="38"/>
      <c r="T251" s="38"/>
      <c r="U251" s="1" t="b">
        <v>0</v>
      </c>
      <c r="V251" s="1" t="b">
        <v>1</v>
      </c>
      <c r="W251" s="31" t="s">
        <v>1885</v>
      </c>
    </row>
    <row r="252" spans="1:23" ht="30">
      <c r="A252" s="7">
        <v>251</v>
      </c>
      <c r="B252" s="7" t="s">
        <v>818</v>
      </c>
      <c r="C252" s="7" t="s">
        <v>48</v>
      </c>
      <c r="D252" s="7" t="s">
        <v>85</v>
      </c>
      <c r="E252" s="11">
        <v>4</v>
      </c>
      <c r="F252" s="7" t="s">
        <v>44</v>
      </c>
      <c r="G252" s="7" t="s">
        <v>1743</v>
      </c>
      <c r="H252" s="37">
        <f>IFERROR(VLOOKUP(C252,Fixture_Engine!$D$2:$R$21,13,FALSE),"")</f>
        <v>1.0345389928276891</v>
      </c>
      <c r="I252" s="37">
        <f>IFERROR(VLOOKUP(C252,Fixture_Engine!$D$2:$R$21,14,FALSE),"")</f>
        <v>1.529190937318446</v>
      </c>
      <c r="J252" s="37">
        <f>IFERROR(VLOOKUP(C252,Fixture_Engine!$D$2:$R$21,15,FALSE),"")</f>
        <v>0.21671092913299536</v>
      </c>
      <c r="K252" s="13">
        <v>1.6719534964712218E-4</v>
      </c>
      <c r="L252" s="13">
        <v>1.379361634588758E-3</v>
      </c>
      <c r="M252" s="13">
        <v>1</v>
      </c>
      <c r="N252" s="38">
        <f t="shared" si="6"/>
        <v>1.7297010862940711E-4</v>
      </c>
      <c r="O252" s="38">
        <f t="shared" si="7"/>
        <v>1.4270033961926087E-3</v>
      </c>
      <c r="P252" s="26"/>
      <c r="Q252" s="45"/>
      <c r="R252" s="38"/>
      <c r="S252" s="38"/>
      <c r="T252" s="38"/>
      <c r="U252" s="1" t="b">
        <v>0</v>
      </c>
      <c r="V252" s="1" t="b">
        <v>1</v>
      </c>
      <c r="W252" s="31" t="s">
        <v>1885</v>
      </c>
    </row>
    <row r="253" spans="1:23" ht="30">
      <c r="A253" s="7">
        <v>252</v>
      </c>
      <c r="B253" s="7" t="s">
        <v>820</v>
      </c>
      <c r="C253" s="7" t="s">
        <v>48</v>
      </c>
      <c r="D253" s="7" t="s">
        <v>85</v>
      </c>
      <c r="E253" s="11">
        <v>4</v>
      </c>
      <c r="F253" s="7" t="s">
        <v>44</v>
      </c>
      <c r="G253" s="7" t="s">
        <v>1743</v>
      </c>
      <c r="H253" s="37">
        <f>IFERROR(VLOOKUP(C253,Fixture_Engine!$D$2:$R$21,13,FALSE),"")</f>
        <v>1.0345389928276891</v>
      </c>
      <c r="I253" s="37">
        <f>IFERROR(VLOOKUP(C253,Fixture_Engine!$D$2:$R$21,14,FALSE),"")</f>
        <v>1.529190937318446</v>
      </c>
      <c r="J253" s="37">
        <f>IFERROR(VLOOKUP(C253,Fixture_Engine!$D$2:$R$21,15,FALSE),"")</f>
        <v>0.21671092913299536</v>
      </c>
      <c r="K253" s="13">
        <v>1.6719534964712218E-4</v>
      </c>
      <c r="L253" s="13">
        <v>1.379361634588758E-3</v>
      </c>
      <c r="M253" s="13">
        <v>1</v>
      </c>
      <c r="N253" s="38">
        <f t="shared" si="6"/>
        <v>1.7297010862940711E-4</v>
      </c>
      <c r="O253" s="38">
        <f t="shared" si="7"/>
        <v>1.4270033961926087E-3</v>
      </c>
      <c r="P253" s="26"/>
      <c r="Q253" s="45"/>
      <c r="R253" s="38"/>
      <c r="S253" s="38"/>
      <c r="T253" s="38"/>
      <c r="U253" s="1" t="b">
        <v>0</v>
      </c>
      <c r="V253" s="1" t="b">
        <v>1</v>
      </c>
      <c r="W253" s="31" t="s">
        <v>1885</v>
      </c>
    </row>
    <row r="254" spans="1:23" ht="30">
      <c r="A254" s="7">
        <v>253</v>
      </c>
      <c r="B254" s="7" t="s">
        <v>822</v>
      </c>
      <c r="C254" s="7" t="s">
        <v>48</v>
      </c>
      <c r="D254" s="7" t="s">
        <v>99</v>
      </c>
      <c r="E254" s="11">
        <v>5</v>
      </c>
      <c r="F254" s="7" t="s">
        <v>44</v>
      </c>
      <c r="G254" s="7" t="s">
        <v>1743</v>
      </c>
      <c r="H254" s="37">
        <f>IFERROR(VLOOKUP(C254,Fixture_Engine!$D$2:$R$21,13,FALSE),"")</f>
        <v>1.0345389928276891</v>
      </c>
      <c r="I254" s="37">
        <f>IFERROR(VLOOKUP(C254,Fixture_Engine!$D$2:$R$21,14,FALSE),"")</f>
        <v>1.529190937318446</v>
      </c>
      <c r="J254" s="37">
        <f>IFERROR(VLOOKUP(C254,Fixture_Engine!$D$2:$R$21,15,FALSE),"")</f>
        <v>0.21671092913299536</v>
      </c>
      <c r="K254" s="13">
        <v>3.7078953859066337E-2</v>
      </c>
      <c r="L254" s="13">
        <v>4.3422945683633245E-2</v>
      </c>
      <c r="M254" s="13">
        <v>0.33183925811437398</v>
      </c>
      <c r="N254" s="38">
        <f t="shared" si="6"/>
        <v>3.8359623580462847E-2</v>
      </c>
      <c r="O254" s="38">
        <f t="shared" si="7"/>
        <v>4.4922730493157391E-2</v>
      </c>
      <c r="P254" s="26"/>
      <c r="Q254" s="45"/>
      <c r="R254" s="38"/>
      <c r="S254" s="38"/>
      <c r="T254" s="38"/>
      <c r="U254" s="1" t="b">
        <v>0</v>
      </c>
      <c r="V254" s="1" t="b">
        <v>1</v>
      </c>
      <c r="W254" s="31" t="s">
        <v>1885</v>
      </c>
    </row>
    <row r="255" spans="1:23" ht="30">
      <c r="A255" s="7">
        <v>254</v>
      </c>
      <c r="B255" s="7" t="s">
        <v>825</v>
      </c>
      <c r="C255" s="7" t="s">
        <v>48</v>
      </c>
      <c r="D255" s="7" t="s">
        <v>99</v>
      </c>
      <c r="E255" s="11">
        <v>4.5</v>
      </c>
      <c r="F255" s="7" t="s">
        <v>44</v>
      </c>
      <c r="G255" s="7" t="s">
        <v>1743</v>
      </c>
      <c r="H255" s="37">
        <f>IFERROR(VLOOKUP(C255,Fixture_Engine!$D$2:$R$21,13,FALSE),"")</f>
        <v>1.0345389928276891</v>
      </c>
      <c r="I255" s="37">
        <f>IFERROR(VLOOKUP(C255,Fixture_Engine!$D$2:$R$21,14,FALSE),"")</f>
        <v>1.529190937318446</v>
      </c>
      <c r="J255" s="37">
        <f>IFERROR(VLOOKUP(C255,Fixture_Engine!$D$2:$R$21,15,FALSE),"")</f>
        <v>0.21671092913299536</v>
      </c>
      <c r="K255" s="13">
        <v>4.636386192500358E-2</v>
      </c>
      <c r="L255" s="13">
        <v>5.9114411004252874E-2</v>
      </c>
      <c r="M255" s="13">
        <v>0.46188178528347412</v>
      </c>
      <c r="N255" s="38">
        <f t="shared" si="6"/>
        <v>4.7965223019495247E-2</v>
      </c>
      <c r="O255" s="38">
        <f t="shared" si="7"/>
        <v>6.1156163221941832E-2</v>
      </c>
      <c r="P255" s="26"/>
      <c r="Q255" s="45"/>
      <c r="R255" s="38"/>
      <c r="S255" s="38"/>
      <c r="T255" s="38"/>
      <c r="U255" s="1" t="b">
        <v>0</v>
      </c>
      <c r="V255" s="1" t="b">
        <v>1</v>
      </c>
      <c r="W255" s="31" t="s">
        <v>1885</v>
      </c>
    </row>
    <row r="256" spans="1:23" ht="30">
      <c r="A256" s="7">
        <v>255</v>
      </c>
      <c r="B256" s="7" t="s">
        <v>828</v>
      </c>
      <c r="C256" s="7" t="s">
        <v>48</v>
      </c>
      <c r="D256" s="7" t="s">
        <v>99</v>
      </c>
      <c r="E256" s="11">
        <v>4.5</v>
      </c>
      <c r="F256" s="7" t="s">
        <v>44</v>
      </c>
      <c r="G256" s="7" t="s">
        <v>1743</v>
      </c>
      <c r="H256" s="37">
        <f>IFERROR(VLOOKUP(C256,Fixture_Engine!$D$2:$R$21,13,FALSE),"")</f>
        <v>1.0345389928276891</v>
      </c>
      <c r="I256" s="37">
        <f>IFERROR(VLOOKUP(C256,Fixture_Engine!$D$2:$R$21,14,FALSE),"")</f>
        <v>1.529190937318446</v>
      </c>
      <c r="J256" s="37">
        <f>IFERROR(VLOOKUP(C256,Fixture_Engine!$D$2:$R$21,15,FALSE),"")</f>
        <v>0.21671092913299536</v>
      </c>
      <c r="K256" s="13">
        <v>2.4893500835418619E-2</v>
      </c>
      <c r="L256" s="13">
        <v>4.0313397813334442E-2</v>
      </c>
      <c r="M256" s="13">
        <v>0.56511627906976747</v>
      </c>
      <c r="N256" s="38">
        <f t="shared" si="6"/>
        <v>2.5753297282229217E-2</v>
      </c>
      <c r="O256" s="38">
        <f t="shared" si="7"/>
        <v>4.1705781971268979E-2</v>
      </c>
      <c r="P256" s="26"/>
      <c r="Q256" s="45"/>
      <c r="R256" s="38"/>
      <c r="S256" s="38"/>
      <c r="T256" s="38"/>
      <c r="U256" s="1" t="b">
        <v>0</v>
      </c>
      <c r="V256" s="1" t="b">
        <v>1</v>
      </c>
      <c r="W256" s="31" t="s">
        <v>1885</v>
      </c>
    </row>
    <row r="257" spans="1:23" ht="30">
      <c r="A257" s="7">
        <v>256</v>
      </c>
      <c r="B257" s="7" t="s">
        <v>831</v>
      </c>
      <c r="C257" s="7" t="s">
        <v>48</v>
      </c>
      <c r="D257" s="7" t="s">
        <v>99</v>
      </c>
      <c r="E257" s="11">
        <v>4.5</v>
      </c>
      <c r="F257" s="7" t="s">
        <v>44</v>
      </c>
      <c r="G257" s="7" t="s">
        <v>1743</v>
      </c>
      <c r="H257" s="37">
        <f>IFERROR(VLOOKUP(C257,Fixture_Engine!$D$2:$R$21,13,FALSE),"")</f>
        <v>1.0345389928276891</v>
      </c>
      <c r="I257" s="37">
        <f>IFERROR(VLOOKUP(C257,Fixture_Engine!$D$2:$R$21,14,FALSE),"")</f>
        <v>1.529190937318446</v>
      </c>
      <c r="J257" s="37">
        <f>IFERROR(VLOOKUP(C257,Fixture_Engine!$D$2:$R$21,15,FALSE),"")</f>
        <v>0.21671092913299536</v>
      </c>
      <c r="K257" s="13">
        <v>3.8344104690717057E-2</v>
      </c>
      <c r="L257" s="13">
        <v>5.0382562822567145E-2</v>
      </c>
      <c r="M257" s="13">
        <v>0.42246506628448577</v>
      </c>
      <c r="N257" s="38">
        <f t="shared" si="6"/>
        <v>3.9668471447613894E-2</v>
      </c>
      <c r="O257" s="38">
        <f t="shared" si="7"/>
        <v>5.2122725798536391E-2</v>
      </c>
      <c r="P257" s="26"/>
      <c r="Q257" s="45"/>
      <c r="R257" s="38"/>
      <c r="S257" s="38"/>
      <c r="T257" s="38"/>
      <c r="U257" s="1" t="b">
        <v>0</v>
      </c>
      <c r="V257" s="1" t="b">
        <v>1</v>
      </c>
      <c r="W257" s="31" t="s">
        <v>1885</v>
      </c>
    </row>
    <row r="258" spans="1:23" ht="30">
      <c r="A258" s="7">
        <v>257</v>
      </c>
      <c r="B258" s="7" t="s">
        <v>834</v>
      </c>
      <c r="C258" s="7" t="s">
        <v>48</v>
      </c>
      <c r="D258" s="7" t="s">
        <v>99</v>
      </c>
      <c r="E258" s="11">
        <v>4.5</v>
      </c>
      <c r="F258" s="7" t="s">
        <v>44</v>
      </c>
      <c r="G258" s="7" t="s">
        <v>1743</v>
      </c>
      <c r="H258" s="37">
        <f>IFERROR(VLOOKUP(C258,Fixture_Engine!$D$2:$R$21,13,FALSE),"")</f>
        <v>1.0345389928276891</v>
      </c>
      <c r="I258" s="37">
        <f>IFERROR(VLOOKUP(C258,Fixture_Engine!$D$2:$R$21,14,FALSE),"")</f>
        <v>1.529190937318446</v>
      </c>
      <c r="J258" s="37">
        <f>IFERROR(VLOOKUP(C258,Fixture_Engine!$D$2:$R$21,15,FALSE),"")</f>
        <v>0.21671092913299536</v>
      </c>
      <c r="K258" s="13">
        <v>4.5387069027927489E-2</v>
      </c>
      <c r="L258" s="13">
        <v>2.0676459850063715E-2</v>
      </c>
      <c r="M258" s="13">
        <v>0.35481313703284256</v>
      </c>
      <c r="N258" s="38">
        <f t="shared" ref="N258:N321" si="8">IF(OR(H258="",K258=""),"",H258*K258)</f>
        <v>4.6954692679552906E-2</v>
      </c>
      <c r="O258" s="38">
        <f t="shared" ref="O258:O321" si="9">IF(OR(H258="",L258=""),"",H258*L258)</f>
        <v>2.1390603948527067E-2</v>
      </c>
      <c r="P258" s="26"/>
      <c r="Q258" s="45"/>
      <c r="R258" s="38"/>
      <c r="S258" s="38"/>
      <c r="T258" s="38"/>
      <c r="U258" s="1" t="b">
        <v>0</v>
      </c>
      <c r="V258" s="1" t="b">
        <v>1</v>
      </c>
      <c r="W258" s="31" t="s">
        <v>1885</v>
      </c>
    </row>
    <row r="259" spans="1:23" ht="30">
      <c r="A259" s="7">
        <v>258</v>
      </c>
      <c r="B259" s="7" t="s">
        <v>837</v>
      </c>
      <c r="C259" s="7" t="s">
        <v>48</v>
      </c>
      <c r="D259" s="7" t="s">
        <v>99</v>
      </c>
      <c r="E259" s="11">
        <v>4.5</v>
      </c>
      <c r="F259" s="7" t="s">
        <v>44</v>
      </c>
      <c r="G259" s="7" t="s">
        <v>1743</v>
      </c>
      <c r="H259" s="37">
        <f>IFERROR(VLOOKUP(C259,Fixture_Engine!$D$2:$R$21,13,FALSE),"")</f>
        <v>1.0345389928276891</v>
      </c>
      <c r="I259" s="37">
        <f>IFERROR(VLOOKUP(C259,Fixture_Engine!$D$2:$R$21,14,FALSE),"")</f>
        <v>1.529190937318446</v>
      </c>
      <c r="J259" s="37">
        <f>IFERROR(VLOOKUP(C259,Fixture_Engine!$D$2:$R$21,15,FALSE),"")</f>
        <v>0.21671092913299536</v>
      </c>
      <c r="K259" s="13">
        <v>5.0774097694400874E-2</v>
      </c>
      <c r="L259" s="13">
        <v>4.9839356845146766E-2</v>
      </c>
      <c r="M259" s="13">
        <v>0.41712473572938691</v>
      </c>
      <c r="N259" s="38">
        <f t="shared" si="8"/>
        <v>5.2527783890500175E-2</v>
      </c>
      <c r="O259" s="38">
        <f t="shared" si="9"/>
        <v>5.1560758033757932E-2</v>
      </c>
      <c r="P259" s="26"/>
      <c r="Q259" s="45"/>
      <c r="R259" s="38"/>
      <c r="S259" s="38"/>
      <c r="T259" s="38"/>
      <c r="U259" s="1" t="b">
        <v>0</v>
      </c>
      <c r="V259" s="1" t="b">
        <v>1</v>
      </c>
      <c r="W259" s="31" t="s">
        <v>1885</v>
      </c>
    </row>
    <row r="260" spans="1:23" ht="30">
      <c r="A260" s="7">
        <v>259</v>
      </c>
      <c r="B260" s="7" t="s">
        <v>942</v>
      </c>
      <c r="C260" s="7" t="s">
        <v>50</v>
      </c>
      <c r="D260" s="7" t="s">
        <v>99</v>
      </c>
      <c r="E260" s="11">
        <v>4</v>
      </c>
      <c r="F260" s="7" t="s">
        <v>58</v>
      </c>
      <c r="G260" s="7" t="s">
        <v>1743</v>
      </c>
      <c r="H260" s="37">
        <f>IFERROR(VLOOKUP(C260,Fixture_Engine!$D$2:$R$21,13,FALSE),"")</f>
        <v>1.1088256638526099</v>
      </c>
      <c r="I260" s="37">
        <f>IFERROR(VLOOKUP(C260,Fixture_Engine!$D$2:$R$21,14,FALSE),"")</f>
        <v>1.1347601803060365</v>
      </c>
      <c r="J260" s="37">
        <f>IFERROR(VLOOKUP(C260,Fixture_Engine!$D$2:$R$21,15,FALSE),"")</f>
        <v>0.32149921393295505</v>
      </c>
      <c r="K260" s="13">
        <v>5.0903849198972576E-2</v>
      </c>
      <c r="L260" s="13">
        <v>2.8116211401657855E-2</v>
      </c>
      <c r="M260" s="13">
        <v>0.65718543046357614</v>
      </c>
      <c r="N260" s="38">
        <f t="shared" si="8"/>
        <v>5.644349438070391E-2</v>
      </c>
      <c r="O260" s="38">
        <f t="shared" si="9"/>
        <v>3.1175976772463591E-2</v>
      </c>
      <c r="P260" s="26"/>
      <c r="Q260" s="45"/>
      <c r="R260" s="38"/>
      <c r="S260" s="38"/>
      <c r="T260" s="38"/>
      <c r="V260" s="1" t="b">
        <v>1</v>
      </c>
      <c r="W260" s="31" t="s">
        <v>1885</v>
      </c>
    </row>
    <row r="261" spans="1:23" ht="30">
      <c r="A261" s="7">
        <v>260</v>
      </c>
      <c r="B261" s="7" t="s">
        <v>416</v>
      </c>
      <c r="C261" s="7" t="s">
        <v>51</v>
      </c>
      <c r="D261" s="7" t="s">
        <v>112</v>
      </c>
      <c r="E261" s="11">
        <v>6.5</v>
      </c>
      <c r="F261" s="7" t="s">
        <v>56</v>
      </c>
      <c r="G261" s="7" t="s">
        <v>1742</v>
      </c>
      <c r="H261" s="37">
        <f>IFERROR(VLOOKUP(C261,Fixture_Engine!$D$2:$R$21,13,FALSE),"")</f>
        <v>1.0502506804949732</v>
      </c>
      <c r="I261" s="37">
        <f>IFERROR(VLOOKUP(C261,Fixture_Engine!$D$2:$R$21,14,FALSE),"")</f>
        <v>1.2669809751991843</v>
      </c>
      <c r="J261" s="37">
        <f>IFERROR(VLOOKUP(C261,Fixture_Engine!$D$2:$R$21,15,FALSE),"")</f>
        <v>0.2816807405197097</v>
      </c>
      <c r="K261" s="13">
        <v>0.1371278546238679</v>
      </c>
      <c r="L261" s="13">
        <v>0.11239299582292818</v>
      </c>
      <c r="M261" s="13">
        <v>0.38135547087642896</v>
      </c>
      <c r="N261" s="38">
        <f t="shared" si="8"/>
        <v>0.14401862263353302</v>
      </c>
      <c r="O261" s="38">
        <f t="shared" si="9"/>
        <v>0.11804082034589899</v>
      </c>
      <c r="P261" s="26"/>
      <c r="Q261" s="45"/>
      <c r="R261" s="38"/>
      <c r="S261" s="38"/>
      <c r="T261" s="38"/>
      <c r="U261" s="1" t="b">
        <v>0</v>
      </c>
      <c r="V261" s="1" t="b">
        <v>1</v>
      </c>
      <c r="W261" s="31" t="s">
        <v>1885</v>
      </c>
    </row>
    <row r="262" spans="1:23" ht="30">
      <c r="A262" s="7">
        <v>261</v>
      </c>
      <c r="B262" s="7" t="s">
        <v>839</v>
      </c>
      <c r="C262" s="7" t="s">
        <v>48</v>
      </c>
      <c r="D262" s="7" t="s">
        <v>112</v>
      </c>
      <c r="E262" s="11">
        <v>5.5</v>
      </c>
      <c r="F262" s="7" t="s">
        <v>44</v>
      </c>
      <c r="G262" s="7" t="s">
        <v>1743</v>
      </c>
      <c r="H262" s="37">
        <f>IFERROR(VLOOKUP(C262,Fixture_Engine!$D$2:$R$21,13,FALSE),"")</f>
        <v>1.0345389928276891</v>
      </c>
      <c r="I262" s="37">
        <f>IFERROR(VLOOKUP(C262,Fixture_Engine!$D$2:$R$21,14,FALSE),"")</f>
        <v>1.529190937318446</v>
      </c>
      <c r="J262" s="37">
        <f>IFERROR(VLOOKUP(C262,Fixture_Engine!$D$2:$R$21,15,FALSE),"")</f>
        <v>0.21671092913299536</v>
      </c>
      <c r="K262" s="13">
        <v>7.4562488981042285E-2</v>
      </c>
      <c r="L262" s="13">
        <v>0.12016830666694384</v>
      </c>
      <c r="M262" s="13">
        <v>0.36315789473684212</v>
      </c>
      <c r="N262" s="38">
        <f t="shared" si="8"/>
        <v>7.7137802253173154E-2</v>
      </c>
      <c r="O262" s="38">
        <f t="shared" si="9"/>
        <v>0.12431879894902896</v>
      </c>
      <c r="P262" s="26"/>
      <c r="Q262" s="45"/>
      <c r="R262" s="38"/>
      <c r="S262" s="38"/>
      <c r="T262" s="38"/>
      <c r="U262" s="1" t="b">
        <v>0</v>
      </c>
      <c r="V262" s="1" t="b">
        <v>1</v>
      </c>
      <c r="W262" s="31" t="s">
        <v>1885</v>
      </c>
    </row>
    <row r="263" spans="1:23" ht="30">
      <c r="A263" s="7">
        <v>262</v>
      </c>
      <c r="B263" s="7" t="s">
        <v>841</v>
      </c>
      <c r="C263" s="7" t="s">
        <v>48</v>
      </c>
      <c r="D263" s="7" t="s">
        <v>112</v>
      </c>
      <c r="E263" s="11">
        <v>5.5</v>
      </c>
      <c r="F263" s="7" t="s">
        <v>44</v>
      </c>
      <c r="G263" s="7" t="s">
        <v>1743</v>
      </c>
      <c r="H263" s="37">
        <f>IFERROR(VLOOKUP(C263,Fixture_Engine!$D$2:$R$21,13,FALSE),"")</f>
        <v>1.0345389928276891</v>
      </c>
      <c r="I263" s="37">
        <f>IFERROR(VLOOKUP(C263,Fixture_Engine!$D$2:$R$21,14,FALSE),"")</f>
        <v>1.529190937318446</v>
      </c>
      <c r="J263" s="37">
        <f>IFERROR(VLOOKUP(C263,Fixture_Engine!$D$2:$R$21,15,FALSE),"")</f>
        <v>0.21671092913299536</v>
      </c>
      <c r="K263" s="13">
        <v>0.14698372819505354</v>
      </c>
      <c r="L263" s="13">
        <v>6.142800361960267E-2</v>
      </c>
      <c r="M263" s="13">
        <v>0.40938466827088349</v>
      </c>
      <c r="N263" s="38">
        <f t="shared" si="8"/>
        <v>0.15206039812896949</v>
      </c>
      <c r="O263" s="38">
        <f t="shared" si="9"/>
        <v>6.3549664996039382E-2</v>
      </c>
      <c r="P263" s="26"/>
      <c r="Q263" s="45"/>
      <c r="R263" s="38"/>
      <c r="S263" s="38"/>
      <c r="T263" s="38"/>
      <c r="U263" s="1" t="b">
        <v>0</v>
      </c>
      <c r="V263" s="1" t="b">
        <v>1</v>
      </c>
      <c r="W263" s="31" t="s">
        <v>1885</v>
      </c>
    </row>
    <row r="264" spans="1:23" ht="30">
      <c r="A264" s="7">
        <v>263</v>
      </c>
      <c r="B264" s="7" t="s">
        <v>844</v>
      </c>
      <c r="C264" s="7" t="s">
        <v>48</v>
      </c>
      <c r="D264" s="7" t="s">
        <v>112</v>
      </c>
      <c r="E264" s="11">
        <v>5.5</v>
      </c>
      <c r="F264" s="7" t="s">
        <v>44</v>
      </c>
      <c r="G264" s="7" t="s">
        <v>1743</v>
      </c>
      <c r="H264" s="37">
        <f>IFERROR(VLOOKUP(C264,Fixture_Engine!$D$2:$R$21,13,FALSE),"")</f>
        <v>1.0345389928276891</v>
      </c>
      <c r="I264" s="37">
        <f>IFERROR(VLOOKUP(C264,Fixture_Engine!$D$2:$R$21,14,FALSE),"")</f>
        <v>1.529190937318446</v>
      </c>
      <c r="J264" s="37">
        <f>IFERROR(VLOOKUP(C264,Fixture_Engine!$D$2:$R$21,15,FALSE),"")</f>
        <v>0.21671092913299536</v>
      </c>
      <c r="K264" s="13">
        <v>9.6326207245055223E-2</v>
      </c>
      <c r="L264" s="13">
        <v>9.5083828535033679E-2</v>
      </c>
      <c r="M264" s="13">
        <v>0.54334975369458127</v>
      </c>
      <c r="N264" s="38">
        <f t="shared" si="8"/>
        <v>9.965321742621068E-2</v>
      </c>
      <c r="O264" s="38">
        <f t="shared" si="9"/>
        <v>9.8367928206834432E-2</v>
      </c>
      <c r="P264" s="26"/>
      <c r="Q264" s="45"/>
      <c r="R264" s="38"/>
      <c r="S264" s="38"/>
      <c r="T264" s="38"/>
      <c r="U264" s="1" t="b">
        <v>0</v>
      </c>
      <c r="V264" s="1" t="b">
        <v>1</v>
      </c>
      <c r="W264" s="31" t="s">
        <v>1885</v>
      </c>
    </row>
    <row r="265" spans="1:23" ht="30">
      <c r="A265" s="7">
        <v>264</v>
      </c>
      <c r="B265" s="7" t="s">
        <v>846</v>
      </c>
      <c r="C265" s="7" t="s">
        <v>48</v>
      </c>
      <c r="D265" s="7" t="s">
        <v>112</v>
      </c>
      <c r="E265" s="11">
        <v>5.5</v>
      </c>
      <c r="F265" s="7" t="s">
        <v>44</v>
      </c>
      <c r="G265" s="7" t="s">
        <v>1743</v>
      </c>
      <c r="H265" s="37">
        <f>IFERROR(VLOOKUP(C265,Fixture_Engine!$D$2:$R$21,13,FALSE),"")</f>
        <v>1.0345389928276891</v>
      </c>
      <c r="I265" s="37">
        <f>IFERROR(VLOOKUP(C265,Fixture_Engine!$D$2:$R$21,14,FALSE),"")</f>
        <v>1.529190937318446</v>
      </c>
      <c r="J265" s="37">
        <f>IFERROR(VLOOKUP(C265,Fixture_Engine!$D$2:$R$21,15,FALSE),"")</f>
        <v>0.21671092913299536</v>
      </c>
      <c r="K265" s="13">
        <v>0.10447138495136146</v>
      </c>
      <c r="L265" s="13">
        <v>0.11482022066954493</v>
      </c>
      <c r="M265" s="13">
        <v>0.54334975369458127</v>
      </c>
      <c r="N265" s="38">
        <f t="shared" si="8"/>
        <v>0.10807972136689528</v>
      </c>
      <c r="O265" s="38">
        <f t="shared" si="9"/>
        <v>0.11878599544772403</v>
      </c>
      <c r="P265" s="26"/>
      <c r="Q265" s="45"/>
      <c r="R265" s="38"/>
      <c r="S265" s="38"/>
      <c r="T265" s="38"/>
      <c r="U265" s="1" t="b">
        <v>0</v>
      </c>
      <c r="V265" s="1" t="b">
        <v>1</v>
      </c>
      <c r="W265" s="31" t="s">
        <v>1885</v>
      </c>
    </row>
    <row r="266" spans="1:23" ht="30">
      <c r="A266" s="7">
        <v>265</v>
      </c>
      <c r="B266" s="7" t="s">
        <v>849</v>
      </c>
      <c r="C266" s="7" t="s">
        <v>48</v>
      </c>
      <c r="D266" s="7" t="s">
        <v>112</v>
      </c>
      <c r="E266" s="11">
        <v>5</v>
      </c>
      <c r="F266" s="7" t="s">
        <v>44</v>
      </c>
      <c r="G266" s="7" t="s">
        <v>1743</v>
      </c>
      <c r="H266" s="37">
        <f>IFERROR(VLOOKUP(C266,Fixture_Engine!$D$2:$R$21,13,FALSE),"")</f>
        <v>1.0345389928276891</v>
      </c>
      <c r="I266" s="37">
        <f>IFERROR(VLOOKUP(C266,Fixture_Engine!$D$2:$R$21,14,FALSE),"")</f>
        <v>1.529190937318446</v>
      </c>
      <c r="J266" s="37">
        <f>IFERROR(VLOOKUP(C266,Fixture_Engine!$D$2:$R$21,15,FALSE),"")</f>
        <v>0.21671092913299536</v>
      </c>
      <c r="K266" s="13">
        <v>6.0624336961931813E-2</v>
      </c>
      <c r="L266" s="13">
        <v>5.4262070976655981E-2</v>
      </c>
      <c r="M266" s="13">
        <v>0.3305327868852459</v>
      </c>
      <c r="N266" s="38">
        <f t="shared" si="8"/>
        <v>6.2718240501443381E-2</v>
      </c>
      <c r="O266" s="38">
        <f t="shared" si="9"/>
        <v>5.6136228256934262E-2</v>
      </c>
      <c r="P266" s="26"/>
      <c r="Q266" s="45"/>
      <c r="R266" s="38"/>
      <c r="S266" s="38"/>
      <c r="T266" s="38"/>
      <c r="U266" s="1" t="b">
        <v>0</v>
      </c>
      <c r="V266" s="1" t="b">
        <v>1</v>
      </c>
      <c r="W266" s="31" t="s">
        <v>1885</v>
      </c>
    </row>
    <row r="267" spans="1:23" ht="30">
      <c r="A267" s="7">
        <v>266</v>
      </c>
      <c r="B267" s="7" t="s">
        <v>851</v>
      </c>
      <c r="C267" s="7" t="s">
        <v>48</v>
      </c>
      <c r="D267" s="7" t="s">
        <v>112</v>
      </c>
      <c r="E267" s="11">
        <v>5</v>
      </c>
      <c r="F267" s="7" t="s">
        <v>44</v>
      </c>
      <c r="G267" s="7" t="s">
        <v>1743</v>
      </c>
      <c r="H267" s="37">
        <f>IFERROR(VLOOKUP(C267,Fixture_Engine!$D$2:$R$21,13,FALSE),"")</f>
        <v>1.0345389928276891</v>
      </c>
      <c r="I267" s="37">
        <f>IFERROR(VLOOKUP(C267,Fixture_Engine!$D$2:$R$21,14,FALSE),"")</f>
        <v>1.529190937318446</v>
      </c>
      <c r="J267" s="37">
        <f>IFERROR(VLOOKUP(C267,Fixture_Engine!$D$2:$R$21,15,FALSE),"")</f>
        <v>0.21671092913299536</v>
      </c>
      <c r="K267" s="13">
        <v>0.10967893582884647</v>
      </c>
      <c r="L267" s="13">
        <v>8.4609823599901934E-2</v>
      </c>
      <c r="M267" s="13">
        <v>0.61252847380410014</v>
      </c>
      <c r="N267" s="38">
        <f t="shared" si="8"/>
        <v>0.11346713580678758</v>
      </c>
      <c r="O267" s="38">
        <f t="shared" si="9"/>
        <v>8.7532161690370994E-2</v>
      </c>
      <c r="P267" s="26"/>
      <c r="Q267" s="45"/>
      <c r="R267" s="38"/>
      <c r="S267" s="38"/>
      <c r="T267" s="38"/>
      <c r="U267" s="1" t="b">
        <v>0</v>
      </c>
      <c r="V267" s="1" t="b">
        <v>1</v>
      </c>
      <c r="W267" s="31" t="s">
        <v>1885</v>
      </c>
    </row>
    <row r="268" spans="1:23" ht="30">
      <c r="A268" s="7">
        <v>267</v>
      </c>
      <c r="B268" s="7" t="s">
        <v>854</v>
      </c>
      <c r="C268" s="7" t="s">
        <v>48</v>
      </c>
      <c r="D268" s="7" t="s">
        <v>112</v>
      </c>
      <c r="E268" s="11">
        <v>5</v>
      </c>
      <c r="F268" s="7" t="s">
        <v>44</v>
      </c>
      <c r="G268" s="7" t="s">
        <v>1743</v>
      </c>
      <c r="H268" s="37">
        <f>IFERROR(VLOOKUP(C268,Fixture_Engine!$D$2:$R$21,13,FALSE),"")</f>
        <v>1.0345389928276891</v>
      </c>
      <c r="I268" s="37">
        <f>IFERROR(VLOOKUP(C268,Fixture_Engine!$D$2:$R$21,14,FALSE),"")</f>
        <v>1.529190937318446</v>
      </c>
      <c r="J268" s="37">
        <f>IFERROR(VLOOKUP(C268,Fixture_Engine!$D$2:$R$21,15,FALSE),"")</f>
        <v>0.21671092913299536</v>
      </c>
      <c r="K268" s="13">
        <v>9.8144832647536581E-2</v>
      </c>
      <c r="L268" s="13">
        <v>8.3266973313479445E-2</v>
      </c>
      <c r="M268" s="13">
        <v>0.4296703296703297</v>
      </c>
      <c r="N268" s="38">
        <f t="shared" si="8"/>
        <v>0.10153465631842459</v>
      </c>
      <c r="O268" s="38">
        <f t="shared" si="9"/>
        <v>8.6142930707537091E-2</v>
      </c>
      <c r="P268" s="26"/>
      <c r="Q268" s="45"/>
      <c r="R268" s="38"/>
      <c r="S268" s="38"/>
      <c r="T268" s="38"/>
      <c r="U268" s="1" t="b">
        <v>0</v>
      </c>
      <c r="V268" s="1" t="b">
        <v>1</v>
      </c>
      <c r="W268" s="31" t="s">
        <v>1885</v>
      </c>
    </row>
    <row r="269" spans="1:23" ht="30">
      <c r="A269" s="7">
        <v>268</v>
      </c>
      <c r="B269" s="7" t="s">
        <v>756</v>
      </c>
      <c r="C269" s="7" t="s">
        <v>48</v>
      </c>
      <c r="D269" s="7" t="s">
        <v>112</v>
      </c>
      <c r="E269" s="11">
        <v>5.5</v>
      </c>
      <c r="F269" s="7" t="s">
        <v>44</v>
      </c>
      <c r="G269" s="7" t="s">
        <v>1743</v>
      </c>
      <c r="H269" s="37">
        <f>IFERROR(VLOOKUP(C269,Fixture_Engine!$D$2:$R$21,13,FALSE),"")</f>
        <v>1.0345389928276891</v>
      </c>
      <c r="I269" s="37">
        <f>IFERROR(VLOOKUP(C269,Fixture_Engine!$D$2:$R$21,14,FALSE),"")</f>
        <v>1.529190937318446</v>
      </c>
      <c r="J269" s="37">
        <f>IFERROR(VLOOKUP(C269,Fixture_Engine!$D$2:$R$21,15,FALSE),"")</f>
        <v>0.21671092913299536</v>
      </c>
      <c r="K269" s="13">
        <v>0.12160149220967439</v>
      </c>
      <c r="L269" s="13">
        <v>6.2818535338973788E-2</v>
      </c>
      <c r="M269" s="13">
        <v>0.49301310043668123</v>
      </c>
      <c r="N269" s="38">
        <f t="shared" si="8"/>
        <v>0.12580148527694063</v>
      </c>
      <c r="O269" s="38">
        <f t="shared" si="9"/>
        <v>6.4988224280492543E-2</v>
      </c>
      <c r="P269" s="26"/>
      <c r="Q269" s="45"/>
      <c r="R269" s="38"/>
      <c r="S269" s="38"/>
      <c r="T269" s="38"/>
      <c r="U269" s="1" t="b">
        <v>0</v>
      </c>
      <c r="V269" s="1" t="b">
        <v>1</v>
      </c>
      <c r="W269" s="31" t="s">
        <v>1885</v>
      </c>
    </row>
    <row r="270" spans="1:23" ht="30">
      <c r="A270" s="7">
        <v>269</v>
      </c>
      <c r="B270" s="7" t="s">
        <v>858</v>
      </c>
      <c r="C270" s="7" t="s">
        <v>48</v>
      </c>
      <c r="D270" s="7" t="s">
        <v>99</v>
      </c>
      <c r="E270" s="11">
        <v>4.5</v>
      </c>
      <c r="F270" s="7" t="s">
        <v>44</v>
      </c>
      <c r="G270" s="7" t="s">
        <v>1743</v>
      </c>
      <c r="H270" s="37">
        <f>IFERROR(VLOOKUP(C270,Fixture_Engine!$D$2:$R$21,13,FALSE),"")</f>
        <v>1.0345389928276891</v>
      </c>
      <c r="I270" s="37">
        <f>IFERROR(VLOOKUP(C270,Fixture_Engine!$D$2:$R$21,14,FALSE),"")</f>
        <v>1.529190937318446</v>
      </c>
      <c r="J270" s="37">
        <f>IFERROR(VLOOKUP(C270,Fixture_Engine!$D$2:$R$21,15,FALSE),"")</f>
        <v>0.21671092913299536</v>
      </c>
      <c r="K270" s="13">
        <v>5.3396974500761266E-2</v>
      </c>
      <c r="L270" s="13">
        <v>5.7649619881788183E-2</v>
      </c>
      <c r="M270" s="13">
        <v>0.41960227272727268</v>
      </c>
      <c r="N270" s="38">
        <f t="shared" si="8"/>
        <v>5.5241252220063361E-2</v>
      </c>
      <c r="O270" s="38">
        <f t="shared" si="9"/>
        <v>5.9640779689404268E-2</v>
      </c>
      <c r="P270" s="26"/>
      <c r="Q270" s="45"/>
      <c r="R270" s="38"/>
      <c r="S270" s="38"/>
      <c r="T270" s="38"/>
      <c r="U270" s="1" t="b">
        <v>0</v>
      </c>
      <c r="V270" s="1" t="b">
        <v>1</v>
      </c>
      <c r="W270" s="31" t="s">
        <v>1885</v>
      </c>
    </row>
    <row r="271" spans="1:23" ht="30">
      <c r="A271" s="7">
        <v>270</v>
      </c>
      <c r="B271" s="7" t="s">
        <v>861</v>
      </c>
      <c r="C271" s="7" t="s">
        <v>48</v>
      </c>
      <c r="D271" s="7" t="s">
        <v>112</v>
      </c>
      <c r="E271" s="11">
        <v>4.5</v>
      </c>
      <c r="F271" s="7" t="s">
        <v>44</v>
      </c>
      <c r="G271" s="7" t="s">
        <v>1743</v>
      </c>
      <c r="H271" s="37">
        <f>IFERROR(VLOOKUP(C271,Fixture_Engine!$D$2:$R$21,13,FALSE),"")</f>
        <v>1.0345389928276891</v>
      </c>
      <c r="I271" s="37">
        <f>IFERROR(VLOOKUP(C271,Fixture_Engine!$D$2:$R$21,14,FALSE),"")</f>
        <v>1.529190937318446</v>
      </c>
      <c r="J271" s="37">
        <f>IFERROR(VLOOKUP(C271,Fixture_Engine!$D$2:$R$21,15,FALSE),"")</f>
        <v>0.21671092913299536</v>
      </c>
      <c r="K271" s="13">
        <v>0.10720121704056562</v>
      </c>
      <c r="L271" s="13">
        <v>0.1098820776354744</v>
      </c>
      <c r="M271" s="13">
        <v>0.92644628099173554</v>
      </c>
      <c r="N271" s="38">
        <f t="shared" si="8"/>
        <v>0.11090383910704926</v>
      </c>
      <c r="O271" s="38">
        <f t="shared" si="9"/>
        <v>0.11367729392681764</v>
      </c>
      <c r="P271" s="26"/>
      <c r="Q271" s="45"/>
      <c r="R271" s="38"/>
      <c r="S271" s="38"/>
      <c r="T271" s="38"/>
      <c r="U271" s="1" t="b">
        <v>0</v>
      </c>
      <c r="V271" s="1" t="b">
        <v>1</v>
      </c>
      <c r="W271" s="31" t="s">
        <v>1885</v>
      </c>
    </row>
    <row r="272" spans="1:23" ht="30">
      <c r="A272" s="7">
        <v>271</v>
      </c>
      <c r="B272" s="7" t="s">
        <v>864</v>
      </c>
      <c r="C272" s="7" t="s">
        <v>48</v>
      </c>
      <c r="D272" s="7" t="s">
        <v>167</v>
      </c>
      <c r="E272" s="11">
        <v>5.5</v>
      </c>
      <c r="F272" s="7" t="s">
        <v>44</v>
      </c>
      <c r="G272" s="7" t="s">
        <v>1743</v>
      </c>
      <c r="H272" s="37">
        <f>IFERROR(VLOOKUP(C272,Fixture_Engine!$D$2:$R$21,13,FALSE),"")</f>
        <v>1.0345389928276891</v>
      </c>
      <c r="I272" s="37">
        <f>IFERROR(VLOOKUP(C272,Fixture_Engine!$D$2:$R$21,14,FALSE),"")</f>
        <v>1.529190937318446</v>
      </c>
      <c r="J272" s="37">
        <f>IFERROR(VLOOKUP(C272,Fixture_Engine!$D$2:$R$21,15,FALSE),"")</f>
        <v>0.21671092913299536</v>
      </c>
      <c r="K272" s="13">
        <v>0.27405355667860465</v>
      </c>
      <c r="L272" s="13">
        <v>2.6508348475982317E-2</v>
      </c>
      <c r="M272" s="13">
        <v>0.55294413688978361</v>
      </c>
      <c r="N272" s="38">
        <f t="shared" si="8"/>
        <v>0.28351909050712965</v>
      </c>
      <c r="O272" s="38">
        <f t="shared" si="9"/>
        <v>2.7423920133868154E-2</v>
      </c>
      <c r="P272" s="26"/>
      <c r="Q272" s="45"/>
      <c r="R272" s="38"/>
      <c r="S272" s="38"/>
      <c r="T272" s="38"/>
      <c r="V272" s="1" t="b">
        <v>1</v>
      </c>
      <c r="W272" s="31" t="s">
        <v>1885</v>
      </c>
    </row>
    <row r="273" spans="1:23" ht="30">
      <c r="A273" s="7">
        <v>272</v>
      </c>
      <c r="B273" s="7" t="s">
        <v>866</v>
      </c>
      <c r="C273" s="7" t="s">
        <v>48</v>
      </c>
      <c r="D273" s="7" t="s">
        <v>167</v>
      </c>
      <c r="E273" s="11">
        <v>4.5</v>
      </c>
      <c r="F273" s="7" t="s">
        <v>44</v>
      </c>
      <c r="G273" s="7" t="s">
        <v>1743</v>
      </c>
      <c r="H273" s="37">
        <f>IFERROR(VLOOKUP(C273,Fixture_Engine!$D$2:$R$21,13,FALSE),"")</f>
        <v>1.0345389928276891</v>
      </c>
      <c r="I273" s="37">
        <f>IFERROR(VLOOKUP(C273,Fixture_Engine!$D$2:$R$21,14,FALSE),"")</f>
        <v>1.529190937318446</v>
      </c>
      <c r="J273" s="37">
        <f>IFERROR(VLOOKUP(C273,Fixture_Engine!$D$2:$R$21,15,FALSE),"")</f>
        <v>0.21671092913299536</v>
      </c>
      <c r="K273" s="13">
        <v>0.30461525508032317</v>
      </c>
      <c r="L273" s="13">
        <v>4.1851362195171125E-2</v>
      </c>
      <c r="M273" s="13">
        <v>0.95795996186844612</v>
      </c>
      <c r="N273" s="38">
        <f t="shared" si="8"/>
        <v>0.31513635919074712</v>
      </c>
      <c r="O273" s="38">
        <f t="shared" si="9"/>
        <v>4.329686609385916E-2</v>
      </c>
      <c r="P273" s="26"/>
      <c r="Q273" s="45"/>
      <c r="R273" s="38"/>
      <c r="S273" s="38"/>
      <c r="T273" s="38"/>
      <c r="V273" s="1" t="b">
        <v>1</v>
      </c>
      <c r="W273" s="31" t="s">
        <v>1885</v>
      </c>
    </row>
    <row r="274" spans="1:23" ht="30">
      <c r="A274" s="7">
        <v>273</v>
      </c>
      <c r="B274" s="7" t="s">
        <v>869</v>
      </c>
      <c r="C274" s="7" t="s">
        <v>49</v>
      </c>
      <c r="D274" s="7" t="s">
        <v>85</v>
      </c>
      <c r="E274" s="11">
        <v>4</v>
      </c>
      <c r="F274" s="7" t="s">
        <v>54</v>
      </c>
      <c r="G274" s="7" t="s">
        <v>1743</v>
      </c>
      <c r="H274" s="37">
        <f>IFERROR(VLOOKUP(C274,Fixture_Engine!$D$2:$R$21,13,FALSE),"")</f>
        <v>0.60545882999044243</v>
      </c>
      <c r="I274" s="37">
        <f>IFERROR(VLOOKUP(C274,Fixture_Engine!$D$2:$R$21,14,FALSE),"")</f>
        <v>1.9843123696263989</v>
      </c>
      <c r="J274" s="37">
        <f>IFERROR(VLOOKUP(C274,Fixture_Engine!$D$2:$R$21,15,FALSE),"")</f>
        <v>0.13747511368662868</v>
      </c>
      <c r="K274" s="13">
        <v>1.6719534964712218E-4</v>
      </c>
      <c r="L274" s="13">
        <v>1.379361634588758E-3</v>
      </c>
      <c r="M274" s="13">
        <v>1</v>
      </c>
      <c r="N274" s="38">
        <f t="shared" si="8"/>
        <v>1.0122990077718952E-4</v>
      </c>
      <c r="O274" s="38">
        <f t="shared" si="9"/>
        <v>8.3514668141181363E-4</v>
      </c>
      <c r="P274" s="26"/>
      <c r="Q274" s="45"/>
      <c r="R274" s="38"/>
      <c r="S274" s="38"/>
      <c r="T274" s="38"/>
      <c r="V274" s="1" t="b">
        <v>1</v>
      </c>
      <c r="W274" s="31" t="s">
        <v>1885</v>
      </c>
    </row>
    <row r="275" spans="1:23" ht="30">
      <c r="A275" s="7">
        <v>274</v>
      </c>
      <c r="B275" s="7" t="s">
        <v>873</v>
      </c>
      <c r="C275" s="7" t="s">
        <v>49</v>
      </c>
      <c r="D275" s="7" t="s">
        <v>85</v>
      </c>
      <c r="E275" s="11">
        <v>4.5</v>
      </c>
      <c r="F275" s="7" t="s">
        <v>54</v>
      </c>
      <c r="G275" s="7" t="s">
        <v>1743</v>
      </c>
      <c r="H275" s="37">
        <f>IFERROR(VLOOKUP(C275,Fixture_Engine!$D$2:$R$21,13,FALSE),"")</f>
        <v>0.60545882999044243</v>
      </c>
      <c r="I275" s="37">
        <f>IFERROR(VLOOKUP(C275,Fixture_Engine!$D$2:$R$21,14,FALSE),"")</f>
        <v>1.9843123696263989</v>
      </c>
      <c r="J275" s="37">
        <f>IFERROR(VLOOKUP(C275,Fixture_Engine!$D$2:$R$21,15,FALSE),"")</f>
        <v>0.13747511368662868</v>
      </c>
      <c r="K275" s="13">
        <v>1.6719534964712218E-4</v>
      </c>
      <c r="L275" s="13">
        <v>1.379361634588758E-3</v>
      </c>
      <c r="M275" s="13">
        <v>1</v>
      </c>
      <c r="N275" s="38">
        <f t="shared" si="8"/>
        <v>1.0122990077718952E-4</v>
      </c>
      <c r="O275" s="38">
        <f t="shared" si="9"/>
        <v>8.3514668141181363E-4</v>
      </c>
      <c r="P275" s="26"/>
      <c r="Q275" s="45"/>
      <c r="R275" s="38"/>
      <c r="S275" s="38"/>
      <c r="T275" s="38"/>
      <c r="V275" s="1" t="b">
        <v>1</v>
      </c>
      <c r="W275" s="31" t="s">
        <v>1885</v>
      </c>
    </row>
    <row r="276" spans="1:23" ht="30">
      <c r="A276" s="7">
        <v>275</v>
      </c>
      <c r="B276" s="7" t="s">
        <v>875</v>
      </c>
      <c r="C276" s="7" t="s">
        <v>49</v>
      </c>
      <c r="D276" s="7" t="s">
        <v>85</v>
      </c>
      <c r="E276" s="11">
        <v>4</v>
      </c>
      <c r="F276" s="7" t="s">
        <v>54</v>
      </c>
      <c r="G276" s="7" t="s">
        <v>1743</v>
      </c>
      <c r="H276" s="37">
        <f>IFERROR(VLOOKUP(C276,Fixture_Engine!$D$2:$R$21,13,FALSE),"")</f>
        <v>0.60545882999044243</v>
      </c>
      <c r="I276" s="37">
        <f>IFERROR(VLOOKUP(C276,Fixture_Engine!$D$2:$R$21,14,FALSE),"")</f>
        <v>1.9843123696263989</v>
      </c>
      <c r="J276" s="37">
        <f>IFERROR(VLOOKUP(C276,Fixture_Engine!$D$2:$R$21,15,FALSE),"")</f>
        <v>0.13747511368662868</v>
      </c>
      <c r="K276" s="13">
        <v>1.6719534964712218E-4</v>
      </c>
      <c r="L276" s="13">
        <v>1.379361634588758E-3</v>
      </c>
      <c r="M276" s="13">
        <v>1</v>
      </c>
      <c r="N276" s="38">
        <f t="shared" si="8"/>
        <v>1.0122990077718952E-4</v>
      </c>
      <c r="O276" s="38">
        <f t="shared" si="9"/>
        <v>8.3514668141181363E-4</v>
      </c>
      <c r="P276" s="26"/>
      <c r="Q276" s="45"/>
      <c r="R276" s="38"/>
      <c r="S276" s="38"/>
      <c r="T276" s="38"/>
      <c r="V276" s="1" t="b">
        <v>1</v>
      </c>
      <c r="W276" s="31" t="s">
        <v>1885</v>
      </c>
    </row>
    <row r="277" spans="1:23" ht="30">
      <c r="A277" s="7">
        <v>276</v>
      </c>
      <c r="B277" s="7" t="s">
        <v>879</v>
      </c>
      <c r="C277" s="7" t="s">
        <v>49</v>
      </c>
      <c r="D277" s="7" t="s">
        <v>85</v>
      </c>
      <c r="E277" s="11">
        <v>4</v>
      </c>
      <c r="F277" s="7" t="s">
        <v>54</v>
      </c>
      <c r="G277" s="7" t="s">
        <v>1743</v>
      </c>
      <c r="H277" s="37">
        <f>IFERROR(VLOOKUP(C277,Fixture_Engine!$D$2:$R$21,13,FALSE),"")</f>
        <v>0.60545882999044243</v>
      </c>
      <c r="I277" s="37">
        <f>IFERROR(VLOOKUP(C277,Fixture_Engine!$D$2:$R$21,14,FALSE),"")</f>
        <v>1.9843123696263989</v>
      </c>
      <c r="J277" s="37">
        <f>IFERROR(VLOOKUP(C277,Fixture_Engine!$D$2:$R$21,15,FALSE),"")</f>
        <v>0.13747511368662868</v>
      </c>
      <c r="K277" s="13">
        <v>1.6719534964712218E-4</v>
      </c>
      <c r="L277" s="13">
        <v>1.379361634588758E-3</v>
      </c>
      <c r="M277" s="13">
        <v>1</v>
      </c>
      <c r="N277" s="38">
        <f t="shared" si="8"/>
        <v>1.0122990077718952E-4</v>
      </c>
      <c r="O277" s="38">
        <f t="shared" si="9"/>
        <v>8.3514668141181363E-4</v>
      </c>
      <c r="P277" s="26"/>
      <c r="Q277" s="45"/>
      <c r="R277" s="38"/>
      <c r="S277" s="38"/>
      <c r="T277" s="38"/>
      <c r="V277" s="1" t="b">
        <v>1</v>
      </c>
      <c r="W277" s="31" t="s">
        <v>1885</v>
      </c>
    </row>
    <row r="278" spans="1:23" ht="30">
      <c r="A278" s="7">
        <v>277</v>
      </c>
      <c r="B278" s="7" t="s">
        <v>881</v>
      </c>
      <c r="C278" s="7" t="s">
        <v>49</v>
      </c>
      <c r="D278" s="7" t="s">
        <v>99</v>
      </c>
      <c r="E278" s="11">
        <v>4</v>
      </c>
      <c r="F278" s="7" t="s">
        <v>54</v>
      </c>
      <c r="G278" s="7" t="s">
        <v>1743</v>
      </c>
      <c r="H278" s="37">
        <f>IFERROR(VLOOKUP(C278,Fixture_Engine!$D$2:$R$21,13,FALSE),"")</f>
        <v>0.60545882999044243</v>
      </c>
      <c r="I278" s="37">
        <f>IFERROR(VLOOKUP(C278,Fixture_Engine!$D$2:$R$21,14,FALSE),"")</f>
        <v>1.9843123696263989</v>
      </c>
      <c r="J278" s="37">
        <f>IFERROR(VLOOKUP(C278,Fixture_Engine!$D$2:$R$21,15,FALSE),"")</f>
        <v>0.13747511368662868</v>
      </c>
      <c r="K278" s="13">
        <v>3.954290279667344E-2</v>
      </c>
      <c r="L278" s="13">
        <v>3.45879700134668E-2</v>
      </c>
      <c r="M278" s="13">
        <v>0.38867924528301878</v>
      </c>
      <c r="N278" s="38">
        <f t="shared" si="8"/>
        <v>2.3941599661699696E-2</v>
      </c>
      <c r="O278" s="38">
        <f t="shared" si="9"/>
        <v>2.0941591856098115E-2</v>
      </c>
      <c r="P278" s="26"/>
      <c r="Q278" s="45"/>
      <c r="R278" s="38"/>
      <c r="S278" s="38"/>
      <c r="T278" s="38"/>
      <c r="V278" s="1" t="b">
        <v>0</v>
      </c>
      <c r="W278" s="31" t="s">
        <v>1885</v>
      </c>
    </row>
    <row r="279" spans="1:23" ht="30">
      <c r="A279" s="7">
        <v>278</v>
      </c>
      <c r="B279" s="7" t="s">
        <v>708</v>
      </c>
      <c r="C279" s="7" t="s">
        <v>49</v>
      </c>
      <c r="D279" s="7" t="s">
        <v>99</v>
      </c>
      <c r="E279" s="11">
        <v>4</v>
      </c>
      <c r="F279" s="7" t="s">
        <v>54</v>
      </c>
      <c r="G279" s="7" t="s">
        <v>1743</v>
      </c>
      <c r="H279" s="37">
        <f>IFERROR(VLOOKUP(C279,Fixture_Engine!$D$2:$R$21,13,FALSE),"")</f>
        <v>0.60545882999044243</v>
      </c>
      <c r="I279" s="37">
        <f>IFERROR(VLOOKUP(C279,Fixture_Engine!$D$2:$R$21,14,FALSE),"")</f>
        <v>1.9843123696263989</v>
      </c>
      <c r="J279" s="37">
        <f>IFERROR(VLOOKUP(C279,Fixture_Engine!$D$2:$R$21,15,FALSE),"")</f>
        <v>0.13747511368662868</v>
      </c>
      <c r="K279" s="13">
        <v>3.0074754729972654E-2</v>
      </c>
      <c r="L279" s="13">
        <v>4.0513079897554365E-2</v>
      </c>
      <c r="M279" s="13">
        <v>0.38604651162790693</v>
      </c>
      <c r="N279" s="38">
        <f t="shared" si="8"/>
        <v>1.8209025811058769E-2</v>
      </c>
      <c r="O279" s="38">
        <f t="shared" si="9"/>
        <v>2.4529001954082578E-2</v>
      </c>
      <c r="P279" s="26"/>
      <c r="Q279" s="45"/>
      <c r="R279" s="38"/>
      <c r="S279" s="38"/>
      <c r="T279" s="38"/>
      <c r="V279" s="1" t="b">
        <v>0</v>
      </c>
      <c r="W279" s="31" t="s">
        <v>1885</v>
      </c>
    </row>
    <row r="280" spans="1:23" ht="30">
      <c r="A280" s="7">
        <v>279</v>
      </c>
      <c r="B280" s="7" t="s">
        <v>885</v>
      </c>
      <c r="C280" s="7" t="s">
        <v>49</v>
      </c>
      <c r="D280" s="7" t="s">
        <v>99</v>
      </c>
      <c r="E280" s="11">
        <v>4</v>
      </c>
      <c r="F280" s="7" t="s">
        <v>54</v>
      </c>
      <c r="G280" s="7" t="s">
        <v>1743</v>
      </c>
      <c r="H280" s="37">
        <f>IFERROR(VLOOKUP(C280,Fixture_Engine!$D$2:$R$21,13,FALSE),"")</f>
        <v>0.60545882999044243</v>
      </c>
      <c r="I280" s="37">
        <f>IFERROR(VLOOKUP(C280,Fixture_Engine!$D$2:$R$21,14,FALSE),"")</f>
        <v>1.9843123696263989</v>
      </c>
      <c r="J280" s="37">
        <f>IFERROR(VLOOKUP(C280,Fixture_Engine!$D$2:$R$21,15,FALSE),"")</f>
        <v>0.13747511368662868</v>
      </c>
      <c r="K280" s="13">
        <v>4.1142361271531161E-2</v>
      </c>
      <c r="L280" s="13">
        <v>4.0513079897554365E-2</v>
      </c>
      <c r="M280" s="13">
        <v>1</v>
      </c>
      <c r="N280" s="38">
        <f t="shared" si="8"/>
        <v>2.4910005918505347E-2</v>
      </c>
      <c r="O280" s="38">
        <f t="shared" si="9"/>
        <v>2.4529001954082578E-2</v>
      </c>
      <c r="P280" s="26"/>
      <c r="Q280" s="45"/>
      <c r="R280" s="38"/>
      <c r="S280" s="38"/>
      <c r="T280" s="38"/>
      <c r="V280" s="1" t="b">
        <v>1</v>
      </c>
      <c r="W280" s="31" t="s">
        <v>1885</v>
      </c>
    </row>
    <row r="281" spans="1:23" ht="30">
      <c r="A281" s="7">
        <v>280</v>
      </c>
      <c r="B281" s="7" t="s">
        <v>887</v>
      </c>
      <c r="C281" s="7" t="s">
        <v>49</v>
      </c>
      <c r="D281" s="7" t="s">
        <v>99</v>
      </c>
      <c r="E281" s="11">
        <v>4</v>
      </c>
      <c r="F281" s="7" t="s">
        <v>54</v>
      </c>
      <c r="G281" s="7" t="s">
        <v>1743</v>
      </c>
      <c r="H281" s="37">
        <f>IFERROR(VLOOKUP(C281,Fixture_Engine!$D$2:$R$21,13,FALSE),"")</f>
        <v>0.60545882999044243</v>
      </c>
      <c r="I281" s="37">
        <f>IFERROR(VLOOKUP(C281,Fixture_Engine!$D$2:$R$21,14,FALSE),"")</f>
        <v>1.9843123696263989</v>
      </c>
      <c r="J281" s="37">
        <f>IFERROR(VLOOKUP(C281,Fixture_Engine!$D$2:$R$21,15,FALSE),"")</f>
        <v>0.13747511368662868</v>
      </c>
      <c r="K281" s="13">
        <v>2.0207786121935419E-2</v>
      </c>
      <c r="L281" s="13">
        <v>5.8565454432308178E-2</v>
      </c>
      <c r="M281" s="13">
        <v>0.37391304347826082</v>
      </c>
      <c r="N281" s="38">
        <f t="shared" si="8"/>
        <v>1.2234982542084119E-2</v>
      </c>
      <c r="O281" s="38">
        <f t="shared" si="9"/>
        <v>3.5458971518443877E-2</v>
      </c>
      <c r="P281" s="26"/>
      <c r="Q281" s="45"/>
      <c r="R281" s="38"/>
      <c r="S281" s="38"/>
      <c r="T281" s="38"/>
      <c r="V281" s="1" t="b">
        <v>0</v>
      </c>
      <c r="W281" s="31" t="s">
        <v>1885</v>
      </c>
    </row>
    <row r="282" spans="1:23" ht="30">
      <c r="A282" s="7">
        <v>281</v>
      </c>
      <c r="B282" s="7" t="s">
        <v>890</v>
      </c>
      <c r="C282" s="7" t="s">
        <v>49</v>
      </c>
      <c r="D282" s="7" t="s">
        <v>99</v>
      </c>
      <c r="E282" s="11">
        <v>4</v>
      </c>
      <c r="F282" s="7" t="s">
        <v>54</v>
      </c>
      <c r="G282" s="7" t="s">
        <v>1743</v>
      </c>
      <c r="H282" s="37">
        <f>IFERROR(VLOOKUP(C282,Fixture_Engine!$D$2:$R$21,13,FALSE),"")</f>
        <v>0.60545882999044243</v>
      </c>
      <c r="I282" s="37">
        <f>IFERROR(VLOOKUP(C282,Fixture_Engine!$D$2:$R$21,14,FALSE),"")</f>
        <v>1.9843123696263989</v>
      </c>
      <c r="J282" s="37">
        <f>IFERROR(VLOOKUP(C282,Fixture_Engine!$D$2:$R$21,15,FALSE),"")</f>
        <v>0.13747511368662868</v>
      </c>
      <c r="K282" s="13">
        <v>4.1142361271531161E-2</v>
      </c>
      <c r="L282" s="13">
        <v>4.0513079897554365E-2</v>
      </c>
      <c r="M282" s="13">
        <v>1</v>
      </c>
      <c r="N282" s="38">
        <f t="shared" si="8"/>
        <v>2.4910005918505347E-2</v>
      </c>
      <c r="O282" s="38">
        <f t="shared" si="9"/>
        <v>2.4529001954082578E-2</v>
      </c>
      <c r="P282" s="26"/>
      <c r="Q282" s="45"/>
      <c r="R282" s="38"/>
      <c r="S282" s="38"/>
      <c r="T282" s="38"/>
      <c r="V282" s="1" t="b">
        <v>1</v>
      </c>
      <c r="W282" s="31" t="s">
        <v>1885</v>
      </c>
    </row>
    <row r="283" spans="1:23" ht="30">
      <c r="A283" s="7">
        <v>282</v>
      </c>
      <c r="B283" s="7" t="s">
        <v>893</v>
      </c>
      <c r="C283" s="7" t="s">
        <v>49</v>
      </c>
      <c r="D283" s="7" t="s">
        <v>99</v>
      </c>
      <c r="E283" s="11">
        <v>4</v>
      </c>
      <c r="F283" s="7" t="s">
        <v>54</v>
      </c>
      <c r="G283" s="7" t="s">
        <v>1743</v>
      </c>
      <c r="H283" s="37">
        <f>IFERROR(VLOOKUP(C283,Fixture_Engine!$D$2:$R$21,13,FALSE),"")</f>
        <v>0.60545882999044243</v>
      </c>
      <c r="I283" s="37">
        <f>IFERROR(VLOOKUP(C283,Fixture_Engine!$D$2:$R$21,14,FALSE),"")</f>
        <v>1.9843123696263989</v>
      </c>
      <c r="J283" s="37">
        <f>IFERROR(VLOOKUP(C283,Fixture_Engine!$D$2:$R$21,15,FALSE),"")</f>
        <v>0.13747511368662868</v>
      </c>
      <c r="K283" s="13">
        <v>2.3946103112934658E-2</v>
      </c>
      <c r="L283" s="13">
        <v>0.10685653256187028</v>
      </c>
      <c r="M283" s="13">
        <v>0.48571428571428565</v>
      </c>
      <c r="N283" s="38">
        <f t="shared" si="8"/>
        <v>1.4498379573587909E-2</v>
      </c>
      <c r="O283" s="38">
        <f t="shared" si="9"/>
        <v>6.4697231181745585E-2</v>
      </c>
      <c r="P283" s="26"/>
      <c r="Q283" s="45"/>
      <c r="R283" s="38"/>
      <c r="S283" s="38"/>
      <c r="T283" s="38"/>
      <c r="V283" s="1" t="b">
        <v>0</v>
      </c>
      <c r="W283" s="31" t="s">
        <v>1885</v>
      </c>
    </row>
    <row r="284" spans="1:23" ht="30">
      <c r="A284" s="7">
        <v>283</v>
      </c>
      <c r="B284" s="7" t="s">
        <v>896</v>
      </c>
      <c r="C284" s="7" t="s">
        <v>49</v>
      </c>
      <c r="D284" s="7" t="s">
        <v>99</v>
      </c>
      <c r="E284" s="11">
        <v>4</v>
      </c>
      <c r="F284" s="7" t="s">
        <v>54</v>
      </c>
      <c r="G284" s="7" t="s">
        <v>1743</v>
      </c>
      <c r="H284" s="37">
        <f>IFERROR(VLOOKUP(C284,Fixture_Engine!$D$2:$R$21,13,FALSE),"")</f>
        <v>0.60545882999044243</v>
      </c>
      <c r="I284" s="37">
        <f>IFERROR(VLOOKUP(C284,Fixture_Engine!$D$2:$R$21,14,FALSE),"")</f>
        <v>1.9843123696263989</v>
      </c>
      <c r="J284" s="37">
        <f>IFERROR(VLOOKUP(C284,Fixture_Engine!$D$2:$R$21,15,FALSE),"")</f>
        <v>0.13747511368662868</v>
      </c>
      <c r="K284" s="13">
        <v>4.1142361271531161E-2</v>
      </c>
      <c r="L284" s="13">
        <v>4.0513079897554365E-2</v>
      </c>
      <c r="M284" s="13">
        <v>1</v>
      </c>
      <c r="N284" s="38">
        <f t="shared" si="8"/>
        <v>2.4910005918505347E-2</v>
      </c>
      <c r="O284" s="38">
        <f t="shared" si="9"/>
        <v>2.4529001954082578E-2</v>
      </c>
      <c r="P284" s="26"/>
      <c r="Q284" s="45"/>
      <c r="R284" s="38"/>
      <c r="S284" s="38"/>
      <c r="T284" s="38"/>
      <c r="V284" s="1" t="b">
        <v>1</v>
      </c>
      <c r="W284" s="31" t="s">
        <v>1885</v>
      </c>
    </row>
    <row r="285" spans="1:23" ht="30">
      <c r="A285" s="7">
        <v>284</v>
      </c>
      <c r="B285" s="7" t="s">
        <v>899</v>
      </c>
      <c r="C285" s="7" t="s">
        <v>49</v>
      </c>
      <c r="D285" s="7" t="s">
        <v>99</v>
      </c>
      <c r="E285" s="11">
        <v>4</v>
      </c>
      <c r="F285" s="7" t="s">
        <v>54</v>
      </c>
      <c r="G285" s="7" t="s">
        <v>1743</v>
      </c>
      <c r="H285" s="37">
        <f>IFERROR(VLOOKUP(C285,Fixture_Engine!$D$2:$R$21,13,FALSE),"")</f>
        <v>0.60545882999044243</v>
      </c>
      <c r="I285" s="37">
        <f>IFERROR(VLOOKUP(C285,Fixture_Engine!$D$2:$R$21,14,FALSE),"")</f>
        <v>1.9843123696263989</v>
      </c>
      <c r="J285" s="37">
        <f>IFERROR(VLOOKUP(C285,Fixture_Engine!$D$2:$R$21,15,FALSE),"")</f>
        <v>0.13747511368662868</v>
      </c>
      <c r="K285" s="13">
        <v>4.1142361271531161E-2</v>
      </c>
      <c r="L285" s="13">
        <v>4.0513079897554365E-2</v>
      </c>
      <c r="M285" s="13">
        <v>1</v>
      </c>
      <c r="N285" s="38">
        <f t="shared" si="8"/>
        <v>2.4910005918505347E-2</v>
      </c>
      <c r="O285" s="38">
        <f t="shared" si="9"/>
        <v>2.4529001954082578E-2</v>
      </c>
      <c r="P285" s="26"/>
      <c r="Q285" s="45"/>
      <c r="R285" s="38"/>
      <c r="S285" s="38"/>
      <c r="T285" s="38"/>
      <c r="V285" s="1" t="b">
        <v>1</v>
      </c>
      <c r="W285" s="31" t="s">
        <v>1885</v>
      </c>
    </row>
    <row r="286" spans="1:23" ht="30">
      <c r="A286" s="7">
        <v>285</v>
      </c>
      <c r="B286" s="7" t="s">
        <v>901</v>
      </c>
      <c r="C286" s="7" t="s">
        <v>49</v>
      </c>
      <c r="D286" s="7" t="s">
        <v>99</v>
      </c>
      <c r="E286" s="11">
        <v>4</v>
      </c>
      <c r="F286" s="7" t="s">
        <v>54</v>
      </c>
      <c r="G286" s="7" t="s">
        <v>1743</v>
      </c>
      <c r="H286" s="37">
        <f>IFERROR(VLOOKUP(C286,Fixture_Engine!$D$2:$R$21,13,FALSE),"")</f>
        <v>0.60545882999044243</v>
      </c>
      <c r="I286" s="37">
        <f>IFERROR(VLOOKUP(C286,Fixture_Engine!$D$2:$R$21,14,FALSE),"")</f>
        <v>1.9843123696263989</v>
      </c>
      <c r="J286" s="37">
        <f>IFERROR(VLOOKUP(C286,Fixture_Engine!$D$2:$R$21,15,FALSE),"")</f>
        <v>0.13747511368662868</v>
      </c>
      <c r="K286" s="13">
        <v>4.1142361271531161E-2</v>
      </c>
      <c r="L286" s="13">
        <v>4.0513079897554365E-2</v>
      </c>
      <c r="M286" s="13">
        <v>1</v>
      </c>
      <c r="N286" s="38">
        <f t="shared" si="8"/>
        <v>2.4910005918505347E-2</v>
      </c>
      <c r="O286" s="38">
        <f t="shared" si="9"/>
        <v>2.4529001954082578E-2</v>
      </c>
      <c r="P286" s="26"/>
      <c r="Q286" s="45"/>
      <c r="R286" s="38"/>
      <c r="S286" s="38"/>
      <c r="T286" s="38"/>
      <c r="V286" s="1" t="b">
        <v>1</v>
      </c>
      <c r="W286" s="31" t="s">
        <v>1885</v>
      </c>
    </row>
    <row r="287" spans="1:23" ht="30">
      <c r="A287" s="7">
        <v>286</v>
      </c>
      <c r="B287" s="7" t="s">
        <v>904</v>
      </c>
      <c r="C287" s="7" t="s">
        <v>49</v>
      </c>
      <c r="D287" s="7" t="s">
        <v>112</v>
      </c>
      <c r="E287" s="11">
        <v>5</v>
      </c>
      <c r="F287" s="7" t="s">
        <v>54</v>
      </c>
      <c r="G287" s="7" t="s">
        <v>1743</v>
      </c>
      <c r="H287" s="37">
        <f>IFERROR(VLOOKUP(C287,Fixture_Engine!$D$2:$R$21,13,FALSE),"")</f>
        <v>0.60545882999044243</v>
      </c>
      <c r="I287" s="37">
        <f>IFERROR(VLOOKUP(C287,Fixture_Engine!$D$2:$R$21,14,FALSE),"")</f>
        <v>1.9843123696263989</v>
      </c>
      <c r="J287" s="37">
        <f>IFERROR(VLOOKUP(C287,Fixture_Engine!$D$2:$R$21,15,FALSE),"")</f>
        <v>0.13747511368662868</v>
      </c>
      <c r="K287" s="13">
        <v>0.10751786102217777</v>
      </c>
      <c r="L287" s="13">
        <v>9.0240671969462088E-2</v>
      </c>
      <c r="M287" s="13">
        <v>1</v>
      </c>
      <c r="N287" s="38">
        <f t="shared" si="8"/>
        <v>6.5097638337562741E-2</v>
      </c>
      <c r="O287" s="38">
        <f t="shared" si="9"/>
        <v>5.4637011668181829E-2</v>
      </c>
      <c r="P287" s="26"/>
      <c r="Q287" s="45"/>
      <c r="R287" s="38"/>
      <c r="S287" s="38"/>
      <c r="T287" s="38"/>
      <c r="V287" s="1" t="b">
        <v>1</v>
      </c>
      <c r="W287" s="31" t="s">
        <v>1885</v>
      </c>
    </row>
    <row r="288" spans="1:23" ht="30">
      <c r="A288" s="7">
        <v>287</v>
      </c>
      <c r="B288" s="7" t="s">
        <v>906</v>
      </c>
      <c r="C288" s="7" t="s">
        <v>49</v>
      </c>
      <c r="D288" s="7" t="s">
        <v>112</v>
      </c>
      <c r="E288" s="11">
        <v>5</v>
      </c>
      <c r="F288" s="7" t="s">
        <v>54</v>
      </c>
      <c r="G288" s="7" t="s">
        <v>1743</v>
      </c>
      <c r="H288" s="37">
        <f>IFERROR(VLOOKUP(C288,Fixture_Engine!$D$2:$R$21,13,FALSE),"")</f>
        <v>0.60545882999044243</v>
      </c>
      <c r="I288" s="37">
        <f>IFERROR(VLOOKUP(C288,Fixture_Engine!$D$2:$R$21,14,FALSE),"")</f>
        <v>1.9843123696263989</v>
      </c>
      <c r="J288" s="37">
        <f>IFERROR(VLOOKUP(C288,Fixture_Engine!$D$2:$R$21,15,FALSE),"")</f>
        <v>0.13747511368662868</v>
      </c>
      <c r="K288" s="13">
        <v>0.11958835948858972</v>
      </c>
      <c r="L288" s="13">
        <v>0.10723391145336543</v>
      </c>
      <c r="M288" s="13">
        <v>0.48571428571428565</v>
      </c>
      <c r="N288" s="38">
        <f t="shared" si="8"/>
        <v>7.2405828216437956E-2</v>
      </c>
      <c r="O288" s="38">
        <f t="shared" si="9"/>
        <v>6.4925718563853332E-2</v>
      </c>
      <c r="P288" s="26"/>
      <c r="Q288" s="45"/>
      <c r="R288" s="38"/>
      <c r="S288" s="38"/>
      <c r="T288" s="38"/>
      <c r="V288" s="1" t="b">
        <v>0</v>
      </c>
      <c r="W288" s="31" t="s">
        <v>1885</v>
      </c>
    </row>
    <row r="289" spans="1:23" ht="30">
      <c r="A289" s="7">
        <v>288</v>
      </c>
      <c r="B289" s="7" t="s">
        <v>908</v>
      </c>
      <c r="C289" s="7" t="s">
        <v>49</v>
      </c>
      <c r="D289" s="7" t="s">
        <v>112</v>
      </c>
      <c r="E289" s="11">
        <v>4.5</v>
      </c>
      <c r="F289" s="7" t="s">
        <v>54</v>
      </c>
      <c r="G289" s="7" t="s">
        <v>1743</v>
      </c>
      <c r="H289" s="37">
        <f>IFERROR(VLOOKUP(C289,Fixture_Engine!$D$2:$R$21,13,FALSE),"")</f>
        <v>0.60545882999044243</v>
      </c>
      <c r="I289" s="37">
        <f>IFERROR(VLOOKUP(C289,Fixture_Engine!$D$2:$R$21,14,FALSE),"")</f>
        <v>1.9843123696263989</v>
      </c>
      <c r="J289" s="37">
        <f>IFERROR(VLOOKUP(C289,Fixture_Engine!$D$2:$R$21,15,FALSE),"")</f>
        <v>0.13747511368662868</v>
      </c>
      <c r="K289" s="13">
        <v>0.10751786102217777</v>
      </c>
      <c r="L289" s="13">
        <v>9.0240671969462088E-2</v>
      </c>
      <c r="M289" s="13">
        <v>1</v>
      </c>
      <c r="N289" s="38">
        <f t="shared" si="8"/>
        <v>6.5097638337562741E-2</v>
      </c>
      <c r="O289" s="38">
        <f t="shared" si="9"/>
        <v>5.4637011668181829E-2</v>
      </c>
      <c r="P289" s="26"/>
      <c r="Q289" s="45"/>
      <c r="R289" s="38"/>
      <c r="S289" s="38"/>
      <c r="T289" s="38"/>
      <c r="V289" s="1" t="b">
        <v>1</v>
      </c>
      <c r="W289" s="31" t="s">
        <v>1885</v>
      </c>
    </row>
    <row r="290" spans="1:23" ht="30">
      <c r="A290" s="7">
        <v>289</v>
      </c>
      <c r="B290" s="7" t="s">
        <v>911</v>
      </c>
      <c r="C290" s="7" t="s">
        <v>49</v>
      </c>
      <c r="D290" s="7" t="s">
        <v>112</v>
      </c>
      <c r="E290" s="11">
        <v>4.5</v>
      </c>
      <c r="F290" s="7" t="s">
        <v>54</v>
      </c>
      <c r="G290" s="7" t="s">
        <v>1743</v>
      </c>
      <c r="H290" s="37">
        <f>IFERROR(VLOOKUP(C290,Fixture_Engine!$D$2:$R$21,13,FALSE),"")</f>
        <v>0.60545882999044243</v>
      </c>
      <c r="I290" s="37">
        <f>IFERROR(VLOOKUP(C290,Fixture_Engine!$D$2:$R$21,14,FALSE),"")</f>
        <v>1.9843123696263989</v>
      </c>
      <c r="J290" s="37">
        <f>IFERROR(VLOOKUP(C290,Fixture_Engine!$D$2:$R$21,15,FALSE),"")</f>
        <v>0.13747511368662868</v>
      </c>
      <c r="K290" s="13">
        <v>0.10335545036248263</v>
      </c>
      <c r="L290" s="13">
        <v>6.9682009746218895E-2</v>
      </c>
      <c r="M290" s="13">
        <v>0.43371311714869998</v>
      </c>
      <c r="N290" s="38">
        <f t="shared" si="8"/>
        <v>6.2577470049603984E-2</v>
      </c>
      <c r="O290" s="38">
        <f t="shared" si="9"/>
        <v>4.2189588092328298E-2</v>
      </c>
      <c r="P290" s="26"/>
      <c r="Q290" s="45"/>
      <c r="R290" s="38"/>
      <c r="S290" s="38"/>
      <c r="T290" s="38"/>
      <c r="V290" s="1" t="b">
        <v>0</v>
      </c>
      <c r="W290" s="31" t="s">
        <v>1885</v>
      </c>
    </row>
    <row r="291" spans="1:23" ht="30">
      <c r="A291" s="7">
        <v>290</v>
      </c>
      <c r="B291" s="7" t="s">
        <v>914</v>
      </c>
      <c r="C291" s="7" t="s">
        <v>49</v>
      </c>
      <c r="D291" s="7" t="s">
        <v>112</v>
      </c>
      <c r="E291" s="11">
        <v>4.5</v>
      </c>
      <c r="F291" s="7" t="s">
        <v>54</v>
      </c>
      <c r="G291" s="7" t="s">
        <v>1743</v>
      </c>
      <c r="H291" s="37">
        <f>IFERROR(VLOOKUP(C291,Fixture_Engine!$D$2:$R$21,13,FALSE),"")</f>
        <v>0.60545882999044243</v>
      </c>
      <c r="I291" s="37">
        <f>IFERROR(VLOOKUP(C291,Fixture_Engine!$D$2:$R$21,14,FALSE),"")</f>
        <v>1.9843123696263989</v>
      </c>
      <c r="J291" s="37">
        <f>IFERROR(VLOOKUP(C291,Fixture_Engine!$D$2:$R$21,15,FALSE),"")</f>
        <v>0.13747511368662868</v>
      </c>
      <c r="K291" s="13">
        <v>7.0745837876207779E-2</v>
      </c>
      <c r="L291" s="13">
        <v>5.9211846677232061E-2</v>
      </c>
      <c r="M291" s="13">
        <v>0.39999999999999991</v>
      </c>
      <c r="N291" s="38">
        <f t="shared" si="8"/>
        <v>4.2833692227222289E-2</v>
      </c>
      <c r="O291" s="38">
        <f t="shared" si="9"/>
        <v>3.5850335410770387E-2</v>
      </c>
      <c r="P291" s="26"/>
      <c r="Q291" s="45"/>
      <c r="R291" s="38"/>
      <c r="S291" s="38"/>
      <c r="T291" s="38"/>
      <c r="V291" s="1" t="b">
        <v>0</v>
      </c>
      <c r="W291" s="31" t="s">
        <v>1885</v>
      </c>
    </row>
    <row r="292" spans="1:23" ht="30">
      <c r="A292" s="7">
        <v>291</v>
      </c>
      <c r="B292" s="7" t="s">
        <v>917</v>
      </c>
      <c r="C292" s="7" t="s">
        <v>49</v>
      </c>
      <c r="D292" s="7" t="s">
        <v>112</v>
      </c>
      <c r="E292" s="11">
        <v>4.5</v>
      </c>
      <c r="F292" s="7" t="s">
        <v>54</v>
      </c>
      <c r="G292" s="7" t="s">
        <v>1743</v>
      </c>
      <c r="H292" s="37">
        <f>IFERROR(VLOOKUP(C292,Fixture_Engine!$D$2:$R$21,13,FALSE),"")</f>
        <v>0.60545882999044243</v>
      </c>
      <c r="I292" s="37">
        <f>IFERROR(VLOOKUP(C292,Fixture_Engine!$D$2:$R$21,14,FALSE),"")</f>
        <v>1.9843123696263989</v>
      </c>
      <c r="J292" s="37">
        <f>IFERROR(VLOOKUP(C292,Fixture_Engine!$D$2:$R$21,15,FALSE),"")</f>
        <v>0.13747511368662868</v>
      </c>
      <c r="K292" s="13">
        <v>0.10751786102217777</v>
      </c>
      <c r="L292" s="13">
        <v>9.0240671969462088E-2</v>
      </c>
      <c r="M292" s="13">
        <v>1</v>
      </c>
      <c r="N292" s="38">
        <f t="shared" si="8"/>
        <v>6.5097638337562741E-2</v>
      </c>
      <c r="O292" s="38">
        <f t="shared" si="9"/>
        <v>5.4637011668181829E-2</v>
      </c>
      <c r="P292" s="26"/>
      <c r="Q292" s="45"/>
      <c r="R292" s="38"/>
      <c r="S292" s="38"/>
      <c r="T292" s="38"/>
      <c r="V292" s="1" t="b">
        <v>1</v>
      </c>
      <c r="W292" s="31" t="s">
        <v>1885</v>
      </c>
    </row>
    <row r="293" spans="1:23" ht="30">
      <c r="A293" s="7">
        <v>292</v>
      </c>
      <c r="B293" s="7" t="s">
        <v>920</v>
      </c>
      <c r="C293" s="7" t="s">
        <v>49</v>
      </c>
      <c r="D293" s="7" t="s">
        <v>112</v>
      </c>
      <c r="E293" s="11">
        <v>5</v>
      </c>
      <c r="F293" s="7" t="s">
        <v>54</v>
      </c>
      <c r="G293" s="7" t="s">
        <v>1743</v>
      </c>
      <c r="H293" s="37">
        <f>IFERROR(VLOOKUP(C293,Fixture_Engine!$D$2:$R$21,13,FALSE),"")</f>
        <v>0.60545882999044243</v>
      </c>
      <c r="I293" s="37">
        <f>IFERROR(VLOOKUP(C293,Fixture_Engine!$D$2:$R$21,14,FALSE),"")</f>
        <v>1.9843123696263989</v>
      </c>
      <c r="J293" s="37">
        <f>IFERROR(VLOOKUP(C293,Fixture_Engine!$D$2:$R$21,15,FALSE),"")</f>
        <v>0.13747511368662868</v>
      </c>
      <c r="K293" s="13">
        <v>0.10751786102217777</v>
      </c>
      <c r="L293" s="13">
        <v>9.0240671969462088E-2</v>
      </c>
      <c r="M293" s="13">
        <v>1</v>
      </c>
      <c r="N293" s="38">
        <f t="shared" si="8"/>
        <v>6.5097638337562741E-2</v>
      </c>
      <c r="O293" s="38">
        <f t="shared" si="9"/>
        <v>5.4637011668181829E-2</v>
      </c>
      <c r="P293" s="26"/>
      <c r="Q293" s="45"/>
      <c r="R293" s="38"/>
      <c r="S293" s="38"/>
      <c r="T293" s="38"/>
      <c r="V293" s="1" t="b">
        <v>1</v>
      </c>
      <c r="W293" s="31" t="s">
        <v>1885</v>
      </c>
    </row>
    <row r="294" spans="1:23" ht="30">
      <c r="A294" s="7">
        <v>293</v>
      </c>
      <c r="B294" s="7" t="s">
        <v>230</v>
      </c>
      <c r="C294" s="7" t="s">
        <v>49</v>
      </c>
      <c r="D294" s="7" t="s">
        <v>112</v>
      </c>
      <c r="E294" s="11">
        <v>5</v>
      </c>
      <c r="F294" s="7" t="s">
        <v>54</v>
      </c>
      <c r="G294" s="7" t="s">
        <v>1743</v>
      </c>
      <c r="H294" s="37">
        <f>IFERROR(VLOOKUP(C294,Fixture_Engine!$D$2:$R$21,13,FALSE),"")</f>
        <v>0.60545882999044243</v>
      </c>
      <c r="I294" s="37">
        <f>IFERROR(VLOOKUP(C294,Fixture_Engine!$D$2:$R$21,14,FALSE),"")</f>
        <v>1.9843123696263989</v>
      </c>
      <c r="J294" s="37">
        <f>IFERROR(VLOOKUP(C294,Fixture_Engine!$D$2:$R$21,15,FALSE),"")</f>
        <v>0.13747511368662868</v>
      </c>
      <c r="K294" s="13">
        <v>0.10751786102217777</v>
      </c>
      <c r="L294" s="13">
        <v>9.0240671969462088E-2</v>
      </c>
      <c r="M294" s="13">
        <v>1</v>
      </c>
      <c r="N294" s="38">
        <f t="shared" si="8"/>
        <v>6.5097638337562741E-2</v>
      </c>
      <c r="O294" s="38">
        <f t="shared" si="9"/>
        <v>5.4637011668181829E-2</v>
      </c>
      <c r="P294" s="26"/>
      <c r="Q294" s="45"/>
      <c r="R294" s="38"/>
      <c r="S294" s="38"/>
      <c r="T294" s="38"/>
      <c r="V294" s="1" t="b">
        <v>1</v>
      </c>
      <c r="W294" s="31" t="s">
        <v>1885</v>
      </c>
    </row>
    <row r="295" spans="1:23" ht="30">
      <c r="A295" s="7">
        <v>294</v>
      </c>
      <c r="B295" s="7" t="s">
        <v>923</v>
      </c>
      <c r="C295" s="7" t="s">
        <v>49</v>
      </c>
      <c r="D295" s="7" t="s">
        <v>112</v>
      </c>
      <c r="E295" s="11">
        <v>4.5</v>
      </c>
      <c r="F295" s="7" t="s">
        <v>54</v>
      </c>
      <c r="G295" s="7" t="s">
        <v>1743</v>
      </c>
      <c r="H295" s="37">
        <f>IFERROR(VLOOKUP(C295,Fixture_Engine!$D$2:$R$21,13,FALSE),"")</f>
        <v>0.60545882999044243</v>
      </c>
      <c r="I295" s="37">
        <f>IFERROR(VLOOKUP(C295,Fixture_Engine!$D$2:$R$21,14,FALSE),"")</f>
        <v>1.9843123696263989</v>
      </c>
      <c r="J295" s="37">
        <f>IFERROR(VLOOKUP(C295,Fixture_Engine!$D$2:$R$21,15,FALSE),"")</f>
        <v>0.13747511368662868</v>
      </c>
      <c r="K295" s="13">
        <v>0.10751786102217777</v>
      </c>
      <c r="L295" s="13">
        <v>9.0240671969462088E-2</v>
      </c>
      <c r="M295" s="13">
        <v>1</v>
      </c>
      <c r="N295" s="38">
        <f t="shared" si="8"/>
        <v>6.5097638337562741E-2</v>
      </c>
      <c r="O295" s="38">
        <f t="shared" si="9"/>
        <v>5.4637011668181829E-2</v>
      </c>
      <c r="P295" s="26"/>
      <c r="Q295" s="45"/>
      <c r="R295" s="38"/>
      <c r="S295" s="38"/>
      <c r="T295" s="38"/>
      <c r="V295" s="1" t="b">
        <v>1</v>
      </c>
      <c r="W295" s="31" t="s">
        <v>1885</v>
      </c>
    </row>
    <row r="296" spans="1:23" ht="30">
      <c r="A296" s="7">
        <v>295</v>
      </c>
      <c r="B296" s="7" t="s">
        <v>925</v>
      </c>
      <c r="C296" s="7" t="s">
        <v>49</v>
      </c>
      <c r="D296" s="7" t="s">
        <v>167</v>
      </c>
      <c r="E296" s="11">
        <v>5.5</v>
      </c>
      <c r="F296" s="7" t="s">
        <v>54</v>
      </c>
      <c r="G296" s="7" t="s">
        <v>1743</v>
      </c>
      <c r="H296" s="37">
        <f>IFERROR(VLOOKUP(C296,Fixture_Engine!$D$2:$R$21,13,FALSE),"")</f>
        <v>0.60545882999044243</v>
      </c>
      <c r="I296" s="37">
        <f>IFERROR(VLOOKUP(C296,Fixture_Engine!$D$2:$R$21,14,FALSE),"")</f>
        <v>1.9843123696263989</v>
      </c>
      <c r="J296" s="37">
        <f>IFERROR(VLOOKUP(C296,Fixture_Engine!$D$2:$R$21,15,FALSE),"")</f>
        <v>0.13747511368662868</v>
      </c>
      <c r="K296" s="13">
        <v>0.29757704499411669</v>
      </c>
      <c r="L296" s="13">
        <v>4.7999763490531061E-2</v>
      </c>
      <c r="M296" s="13">
        <v>0.40444671607462301</v>
      </c>
      <c r="N296" s="38">
        <f t="shared" si="8"/>
        <v>0.18017064949415112</v>
      </c>
      <c r="O296" s="38">
        <f t="shared" si="9"/>
        <v>2.9061880642794892E-2</v>
      </c>
      <c r="P296" s="26"/>
      <c r="Q296" s="45"/>
      <c r="R296" s="38"/>
      <c r="S296" s="38"/>
      <c r="T296" s="38"/>
      <c r="U296" s="1" t="b">
        <v>0</v>
      </c>
      <c r="V296" s="1" t="b">
        <v>0</v>
      </c>
      <c r="W296" s="31" t="s">
        <v>1885</v>
      </c>
    </row>
    <row r="297" spans="1:23" ht="30">
      <c r="A297" s="7">
        <v>296</v>
      </c>
      <c r="B297" s="7" t="s">
        <v>927</v>
      </c>
      <c r="C297" s="7" t="s">
        <v>49</v>
      </c>
      <c r="D297" s="7" t="s">
        <v>112</v>
      </c>
      <c r="E297" s="11">
        <v>5</v>
      </c>
      <c r="F297" s="7" t="s">
        <v>54</v>
      </c>
      <c r="G297" s="7" t="s">
        <v>1743</v>
      </c>
      <c r="H297" s="37">
        <f>IFERROR(VLOOKUP(C297,Fixture_Engine!$D$2:$R$21,13,FALSE),"")</f>
        <v>0.60545882999044243</v>
      </c>
      <c r="I297" s="37">
        <f>IFERROR(VLOOKUP(C297,Fixture_Engine!$D$2:$R$21,14,FALSE),"")</f>
        <v>1.9843123696263989</v>
      </c>
      <c r="J297" s="37">
        <f>IFERROR(VLOOKUP(C297,Fixture_Engine!$D$2:$R$21,15,FALSE),"")</f>
        <v>0.13747511368662868</v>
      </c>
      <c r="K297" s="13">
        <v>0.10751786102217777</v>
      </c>
      <c r="L297" s="13">
        <v>9.0240671969462088E-2</v>
      </c>
      <c r="M297" s="13">
        <v>1</v>
      </c>
      <c r="N297" s="38">
        <f t="shared" si="8"/>
        <v>6.5097638337562741E-2</v>
      </c>
      <c r="O297" s="38">
        <f t="shared" si="9"/>
        <v>5.4637011668181829E-2</v>
      </c>
      <c r="P297" s="26"/>
      <c r="Q297" s="45"/>
      <c r="R297" s="38"/>
      <c r="S297" s="38"/>
      <c r="T297" s="38"/>
      <c r="V297" s="1" t="b">
        <v>1</v>
      </c>
      <c r="W297" s="31" t="s">
        <v>1885</v>
      </c>
    </row>
    <row r="298" spans="1:23" ht="30">
      <c r="A298" s="7">
        <v>297</v>
      </c>
      <c r="B298" s="7" t="s">
        <v>929</v>
      </c>
      <c r="C298" s="7" t="s">
        <v>49</v>
      </c>
      <c r="D298" s="7" t="s">
        <v>112</v>
      </c>
      <c r="E298" s="11">
        <v>4.5</v>
      </c>
      <c r="F298" s="7" t="s">
        <v>54</v>
      </c>
      <c r="G298" s="7" t="s">
        <v>1743</v>
      </c>
      <c r="H298" s="37">
        <f>IFERROR(VLOOKUP(C298,Fixture_Engine!$D$2:$R$21,13,FALSE),"")</f>
        <v>0.60545882999044243</v>
      </c>
      <c r="I298" s="37">
        <f>IFERROR(VLOOKUP(C298,Fixture_Engine!$D$2:$R$21,14,FALSE),"")</f>
        <v>1.9843123696263989</v>
      </c>
      <c r="J298" s="37">
        <f>IFERROR(VLOOKUP(C298,Fixture_Engine!$D$2:$R$21,15,FALSE),"")</f>
        <v>0.13747511368662868</v>
      </c>
      <c r="K298" s="13">
        <v>0.10751786102217777</v>
      </c>
      <c r="L298" s="13">
        <v>9.0240671969462088E-2</v>
      </c>
      <c r="M298" s="13">
        <v>1</v>
      </c>
      <c r="N298" s="38">
        <f t="shared" si="8"/>
        <v>6.5097638337562741E-2</v>
      </c>
      <c r="O298" s="38">
        <f t="shared" si="9"/>
        <v>5.4637011668181829E-2</v>
      </c>
      <c r="P298" s="26"/>
      <c r="Q298" s="45"/>
      <c r="R298" s="38"/>
      <c r="S298" s="38"/>
      <c r="T298" s="38"/>
      <c r="V298" s="1" t="b">
        <v>1</v>
      </c>
      <c r="W298" s="31" t="s">
        <v>1885</v>
      </c>
    </row>
    <row r="299" spans="1:23" ht="30">
      <c r="A299" s="7">
        <v>298</v>
      </c>
      <c r="B299" s="7" t="s">
        <v>931</v>
      </c>
      <c r="C299" s="7" t="s">
        <v>49</v>
      </c>
      <c r="D299" s="7" t="s">
        <v>167</v>
      </c>
      <c r="E299" s="11">
        <v>4.5</v>
      </c>
      <c r="F299" s="7" t="s">
        <v>54</v>
      </c>
      <c r="G299" s="7" t="s">
        <v>1743</v>
      </c>
      <c r="H299" s="37">
        <f>IFERROR(VLOOKUP(C299,Fixture_Engine!$D$2:$R$21,13,FALSE),"")</f>
        <v>0.60545882999044243</v>
      </c>
      <c r="I299" s="37">
        <f>IFERROR(VLOOKUP(C299,Fixture_Engine!$D$2:$R$21,14,FALSE),"")</f>
        <v>1.9843123696263989</v>
      </c>
      <c r="J299" s="37">
        <f>IFERROR(VLOOKUP(C299,Fixture_Engine!$D$2:$R$21,15,FALSE),"")</f>
        <v>0.13747511368662868</v>
      </c>
      <c r="K299" s="13">
        <v>0.30461525508032317</v>
      </c>
      <c r="L299" s="13">
        <v>3.9258061548584466E-2</v>
      </c>
      <c r="M299" s="13">
        <v>1</v>
      </c>
      <c r="N299" s="38">
        <f t="shared" si="8"/>
        <v>0.18443199593817264</v>
      </c>
      <c r="O299" s="38">
        <f t="shared" si="9"/>
        <v>2.3769140012898728E-2</v>
      </c>
      <c r="P299" s="26"/>
      <c r="Q299" s="45"/>
      <c r="R299" s="38"/>
      <c r="S299" s="38"/>
      <c r="T299" s="38"/>
      <c r="V299" s="1" t="b">
        <v>1</v>
      </c>
      <c r="W299" s="31" t="s">
        <v>1885</v>
      </c>
    </row>
    <row r="300" spans="1:23" ht="30">
      <c r="A300" s="7">
        <v>299</v>
      </c>
      <c r="B300" s="7" t="s">
        <v>934</v>
      </c>
      <c r="C300" s="7" t="s">
        <v>49</v>
      </c>
      <c r="D300" s="7" t="s">
        <v>167</v>
      </c>
      <c r="E300" s="11">
        <v>4.5</v>
      </c>
      <c r="F300" s="7" t="s">
        <v>54</v>
      </c>
      <c r="G300" s="7" t="s">
        <v>1743</v>
      </c>
      <c r="H300" s="37">
        <f>IFERROR(VLOOKUP(C300,Fixture_Engine!$D$2:$R$21,13,FALSE),"")</f>
        <v>0.60545882999044243</v>
      </c>
      <c r="I300" s="37">
        <f>IFERROR(VLOOKUP(C300,Fixture_Engine!$D$2:$R$21,14,FALSE),"")</f>
        <v>1.9843123696263989</v>
      </c>
      <c r="J300" s="37">
        <f>IFERROR(VLOOKUP(C300,Fixture_Engine!$D$2:$R$21,15,FALSE),"")</f>
        <v>0.13747511368662868</v>
      </c>
      <c r="K300" s="13">
        <v>0.30461525508032317</v>
      </c>
      <c r="L300" s="13">
        <v>3.9258061548584466E-2</v>
      </c>
      <c r="M300" s="13">
        <v>1</v>
      </c>
      <c r="N300" s="38">
        <f t="shared" si="8"/>
        <v>0.18443199593817264</v>
      </c>
      <c r="O300" s="38">
        <f t="shared" si="9"/>
        <v>2.3769140012898728E-2</v>
      </c>
      <c r="P300" s="26"/>
      <c r="Q300" s="45"/>
      <c r="R300" s="38"/>
      <c r="S300" s="38"/>
      <c r="T300" s="38"/>
      <c r="V300" s="1" t="b">
        <v>1</v>
      </c>
      <c r="W300" s="31" t="s">
        <v>1885</v>
      </c>
    </row>
    <row r="301" spans="1:23" ht="30">
      <c r="A301" s="7">
        <v>300</v>
      </c>
      <c r="B301" s="7" t="s">
        <v>947</v>
      </c>
      <c r="C301" s="7" t="s">
        <v>50</v>
      </c>
      <c r="D301" s="7" t="s">
        <v>85</v>
      </c>
      <c r="E301" s="11">
        <v>4.5</v>
      </c>
      <c r="F301" s="7" t="s">
        <v>58</v>
      </c>
      <c r="G301" s="7" t="s">
        <v>1743</v>
      </c>
      <c r="H301" s="37">
        <f>IFERROR(VLOOKUP(C301,Fixture_Engine!$D$2:$R$21,13,FALSE),"")</f>
        <v>1.1088256638526099</v>
      </c>
      <c r="I301" s="37">
        <f>IFERROR(VLOOKUP(C301,Fixture_Engine!$D$2:$R$21,14,FALSE),"")</f>
        <v>1.1347601803060365</v>
      </c>
      <c r="J301" s="37">
        <f>IFERROR(VLOOKUP(C301,Fixture_Engine!$D$2:$R$21,15,FALSE),"")</f>
        <v>0.32149921393295505</v>
      </c>
      <c r="K301" s="13">
        <v>1.6719534964712218E-4</v>
      </c>
      <c r="L301" s="13">
        <v>1.379361634588758E-3</v>
      </c>
      <c r="M301" s="13">
        <v>1</v>
      </c>
      <c r="N301" s="38">
        <f t="shared" si="8"/>
        <v>1.8539049456553949E-4</v>
      </c>
      <c r="O301" s="38">
        <f t="shared" si="9"/>
        <v>1.5294715801657008E-3</v>
      </c>
      <c r="P301" s="26"/>
      <c r="Q301" s="45"/>
      <c r="R301" s="38"/>
      <c r="S301" s="38"/>
      <c r="T301" s="38"/>
      <c r="V301" s="1" t="b">
        <v>1</v>
      </c>
      <c r="W301" s="31" t="s">
        <v>1885</v>
      </c>
    </row>
    <row r="302" spans="1:23" ht="30">
      <c r="A302" s="7">
        <v>301</v>
      </c>
      <c r="B302" s="7" t="s">
        <v>553</v>
      </c>
      <c r="C302" s="7" t="s">
        <v>50</v>
      </c>
      <c r="D302" s="7" t="s">
        <v>85</v>
      </c>
      <c r="E302" s="11">
        <v>4</v>
      </c>
      <c r="F302" s="7" t="s">
        <v>58</v>
      </c>
      <c r="G302" s="7" t="s">
        <v>1743</v>
      </c>
      <c r="H302" s="37">
        <f>IFERROR(VLOOKUP(C302,Fixture_Engine!$D$2:$R$21,13,FALSE),"")</f>
        <v>1.1088256638526099</v>
      </c>
      <c r="I302" s="37">
        <f>IFERROR(VLOOKUP(C302,Fixture_Engine!$D$2:$R$21,14,FALSE),"")</f>
        <v>1.1347601803060365</v>
      </c>
      <c r="J302" s="37">
        <f>IFERROR(VLOOKUP(C302,Fixture_Engine!$D$2:$R$21,15,FALSE),"")</f>
        <v>0.32149921393295505</v>
      </c>
      <c r="K302" s="13">
        <v>1.6719534964712218E-4</v>
      </c>
      <c r="L302" s="13">
        <v>1.379361634588758E-3</v>
      </c>
      <c r="M302" s="13">
        <v>1</v>
      </c>
      <c r="N302" s="38">
        <f t="shared" si="8"/>
        <v>1.8539049456553949E-4</v>
      </c>
      <c r="O302" s="38">
        <f t="shared" si="9"/>
        <v>1.5294715801657008E-3</v>
      </c>
      <c r="P302" s="26"/>
      <c r="Q302" s="45"/>
      <c r="R302" s="38"/>
      <c r="S302" s="38"/>
      <c r="T302" s="38"/>
      <c r="V302" s="1" t="b">
        <v>1</v>
      </c>
      <c r="W302" s="31" t="s">
        <v>1885</v>
      </c>
    </row>
    <row r="303" spans="1:23" ht="30">
      <c r="A303" s="7">
        <v>302</v>
      </c>
      <c r="B303" s="7" t="s">
        <v>951</v>
      </c>
      <c r="C303" s="7" t="s">
        <v>50</v>
      </c>
      <c r="D303" s="7" t="s">
        <v>85</v>
      </c>
      <c r="E303" s="11">
        <v>4</v>
      </c>
      <c r="F303" s="7" t="s">
        <v>58</v>
      </c>
      <c r="G303" s="7" t="s">
        <v>1743</v>
      </c>
      <c r="H303" s="37">
        <f>IFERROR(VLOOKUP(C303,Fixture_Engine!$D$2:$R$21,13,FALSE),"")</f>
        <v>1.1088256638526099</v>
      </c>
      <c r="I303" s="37">
        <f>IFERROR(VLOOKUP(C303,Fixture_Engine!$D$2:$R$21,14,FALSE),"")</f>
        <v>1.1347601803060365</v>
      </c>
      <c r="J303" s="37">
        <f>IFERROR(VLOOKUP(C303,Fixture_Engine!$D$2:$R$21,15,FALSE),"")</f>
        <v>0.32149921393295505</v>
      </c>
      <c r="K303" s="13">
        <v>1.6719534964712218E-4</v>
      </c>
      <c r="L303" s="13">
        <v>1.379361634588758E-3</v>
      </c>
      <c r="M303" s="13">
        <v>1</v>
      </c>
      <c r="N303" s="38">
        <f t="shared" si="8"/>
        <v>1.8539049456553949E-4</v>
      </c>
      <c r="O303" s="38">
        <f t="shared" si="9"/>
        <v>1.5294715801657008E-3</v>
      </c>
      <c r="P303" s="26"/>
      <c r="Q303" s="45"/>
      <c r="R303" s="38"/>
      <c r="S303" s="38"/>
      <c r="T303" s="38"/>
      <c r="V303" s="1" t="b">
        <v>1</v>
      </c>
      <c r="W303" s="31" t="s">
        <v>1885</v>
      </c>
    </row>
    <row r="304" spans="1:23" ht="30">
      <c r="A304" s="7">
        <v>303</v>
      </c>
      <c r="B304" s="7" t="s">
        <v>954</v>
      </c>
      <c r="C304" s="7" t="s">
        <v>50</v>
      </c>
      <c r="D304" s="7" t="s">
        <v>99</v>
      </c>
      <c r="E304" s="11">
        <v>4</v>
      </c>
      <c r="F304" s="7" t="s">
        <v>58</v>
      </c>
      <c r="G304" s="7" t="s">
        <v>1743</v>
      </c>
      <c r="H304" s="37">
        <f>IFERROR(VLOOKUP(C304,Fixture_Engine!$D$2:$R$21,13,FALSE),"")</f>
        <v>1.1088256638526099</v>
      </c>
      <c r="I304" s="37">
        <f>IFERROR(VLOOKUP(C304,Fixture_Engine!$D$2:$R$21,14,FALSE),"")</f>
        <v>1.1347601803060365</v>
      </c>
      <c r="J304" s="37">
        <f>IFERROR(VLOOKUP(C304,Fixture_Engine!$D$2:$R$21,15,FALSE),"")</f>
        <v>0.32149921393295505</v>
      </c>
      <c r="K304" s="13">
        <v>3.1732330474714888E-2</v>
      </c>
      <c r="L304" s="13">
        <v>3.7536871039340544E-2</v>
      </c>
      <c r="M304" s="13">
        <v>0.47459459459459452</v>
      </c>
      <c r="N304" s="38">
        <f t="shared" si="8"/>
        <v>3.5185622404216139E-2</v>
      </c>
      <c r="O304" s="38">
        <f t="shared" si="9"/>
        <v>4.1621845949146585E-2</v>
      </c>
      <c r="P304" s="26"/>
      <c r="Q304" s="45"/>
      <c r="R304" s="38"/>
      <c r="S304" s="38"/>
      <c r="T304" s="38"/>
      <c r="V304" s="1" t="b">
        <v>1</v>
      </c>
      <c r="W304" s="31" t="s">
        <v>1885</v>
      </c>
    </row>
    <row r="305" spans="1:23" ht="30">
      <c r="A305" s="7">
        <v>304</v>
      </c>
      <c r="B305" s="7" t="s">
        <v>956</v>
      </c>
      <c r="C305" s="7" t="s">
        <v>50</v>
      </c>
      <c r="D305" s="7" t="s">
        <v>99</v>
      </c>
      <c r="E305" s="11">
        <v>4</v>
      </c>
      <c r="F305" s="7" t="s">
        <v>58</v>
      </c>
      <c r="G305" s="7" t="s">
        <v>1743</v>
      </c>
      <c r="H305" s="37">
        <f>IFERROR(VLOOKUP(C305,Fixture_Engine!$D$2:$R$21,13,FALSE),"")</f>
        <v>1.1088256638526099</v>
      </c>
      <c r="I305" s="37">
        <f>IFERROR(VLOOKUP(C305,Fixture_Engine!$D$2:$R$21,14,FALSE),"")</f>
        <v>1.1347601803060365</v>
      </c>
      <c r="J305" s="37">
        <f>IFERROR(VLOOKUP(C305,Fixture_Engine!$D$2:$R$21,15,FALSE),"")</f>
        <v>0.32149921393295505</v>
      </c>
      <c r="K305" s="13">
        <v>4.085930077717774E-2</v>
      </c>
      <c r="L305" s="13">
        <v>3.0444031569876601E-2</v>
      </c>
      <c r="M305" s="13">
        <v>0.41732595842075138</v>
      </c>
      <c r="N305" s="38">
        <f t="shared" si="8"/>
        <v>4.5305841308807569E-2</v>
      </c>
      <c r="O305" s="38">
        <f t="shared" si="9"/>
        <v>3.3757123515818235E-2</v>
      </c>
      <c r="P305" s="26"/>
      <c r="Q305" s="45"/>
      <c r="R305" s="38"/>
      <c r="S305" s="38"/>
      <c r="T305" s="38"/>
      <c r="V305" s="1" t="b">
        <v>1</v>
      </c>
      <c r="W305" s="31" t="s">
        <v>1885</v>
      </c>
    </row>
    <row r="306" spans="1:23" ht="30">
      <c r="A306" s="7">
        <v>305</v>
      </c>
      <c r="B306" s="7" t="s">
        <v>959</v>
      </c>
      <c r="C306" s="7" t="s">
        <v>50</v>
      </c>
      <c r="D306" s="7" t="s">
        <v>99</v>
      </c>
      <c r="E306" s="11">
        <v>4</v>
      </c>
      <c r="F306" s="7" t="s">
        <v>58</v>
      </c>
      <c r="G306" s="7" t="s">
        <v>1743</v>
      </c>
      <c r="H306" s="37">
        <f>IFERROR(VLOOKUP(C306,Fixture_Engine!$D$2:$R$21,13,FALSE),"")</f>
        <v>1.1088256638526099</v>
      </c>
      <c r="I306" s="37">
        <f>IFERROR(VLOOKUP(C306,Fixture_Engine!$D$2:$R$21,14,FALSE),"")</f>
        <v>1.1347601803060365</v>
      </c>
      <c r="J306" s="37">
        <f>IFERROR(VLOOKUP(C306,Fixture_Engine!$D$2:$R$21,15,FALSE),"")</f>
        <v>0.32149921393295505</v>
      </c>
      <c r="K306" s="13">
        <v>2.8036721648006031E-2</v>
      </c>
      <c r="L306" s="13">
        <v>9.8359805982068504E-2</v>
      </c>
      <c r="M306" s="13">
        <v>0.44744186046511625</v>
      </c>
      <c r="N306" s="38">
        <f t="shared" si="8"/>
        <v>3.1087836493601129E-2</v>
      </c>
      <c r="O306" s="38">
        <f t="shared" si="9"/>
        <v>0.10906387716448103</v>
      </c>
      <c r="P306" s="26"/>
      <c r="Q306" s="45"/>
      <c r="R306" s="38"/>
      <c r="S306" s="38"/>
      <c r="T306" s="38"/>
      <c r="V306" s="1" t="b">
        <v>1</v>
      </c>
      <c r="W306" s="31" t="s">
        <v>1885</v>
      </c>
    </row>
    <row r="307" spans="1:23" ht="30">
      <c r="A307" s="7">
        <v>306</v>
      </c>
      <c r="B307" s="7" t="s">
        <v>962</v>
      </c>
      <c r="C307" s="7" t="s">
        <v>50</v>
      </c>
      <c r="D307" s="7" t="s">
        <v>99</v>
      </c>
      <c r="E307" s="11">
        <v>4</v>
      </c>
      <c r="F307" s="7" t="s">
        <v>58</v>
      </c>
      <c r="G307" s="7" t="s">
        <v>1743</v>
      </c>
      <c r="H307" s="37">
        <f>IFERROR(VLOOKUP(C307,Fixture_Engine!$D$2:$R$21,13,FALSE),"")</f>
        <v>1.1088256638526099</v>
      </c>
      <c r="I307" s="37">
        <f>IFERROR(VLOOKUP(C307,Fixture_Engine!$D$2:$R$21,14,FALSE),"")</f>
        <v>1.1347601803060365</v>
      </c>
      <c r="J307" s="37">
        <f>IFERROR(VLOOKUP(C307,Fixture_Engine!$D$2:$R$21,15,FALSE),"")</f>
        <v>0.32149921393295505</v>
      </c>
      <c r="K307" s="13">
        <v>4.0902372748522223E-2</v>
      </c>
      <c r="L307" s="13">
        <v>4.6322478578261259E-2</v>
      </c>
      <c r="M307" s="13">
        <v>0.50598870056497169</v>
      </c>
      <c r="N307" s="38">
        <f t="shared" si="8"/>
        <v>4.5353600616027057E-2</v>
      </c>
      <c r="O307" s="38">
        <f t="shared" si="9"/>
        <v>5.136355306083884E-2</v>
      </c>
      <c r="P307" s="26"/>
      <c r="Q307" s="45"/>
      <c r="R307" s="38"/>
      <c r="S307" s="38"/>
      <c r="T307" s="38"/>
      <c r="V307" s="1" t="b">
        <v>1</v>
      </c>
      <c r="W307" s="31" t="s">
        <v>1885</v>
      </c>
    </row>
    <row r="308" spans="1:23" ht="30">
      <c r="A308" s="7">
        <v>307</v>
      </c>
      <c r="B308" s="7" t="s">
        <v>700</v>
      </c>
      <c r="C308" s="7" t="s">
        <v>50</v>
      </c>
      <c r="D308" s="7" t="s">
        <v>99</v>
      </c>
      <c r="E308" s="11">
        <v>4</v>
      </c>
      <c r="F308" s="7" t="s">
        <v>58</v>
      </c>
      <c r="G308" s="7" t="s">
        <v>1743</v>
      </c>
      <c r="H308" s="37">
        <f>IFERROR(VLOOKUP(C308,Fixture_Engine!$D$2:$R$21,13,FALSE),"")</f>
        <v>1.1088256638526099</v>
      </c>
      <c r="I308" s="37">
        <f>IFERROR(VLOOKUP(C308,Fixture_Engine!$D$2:$R$21,14,FALSE),"")</f>
        <v>1.1347601803060365</v>
      </c>
      <c r="J308" s="37">
        <f>IFERROR(VLOOKUP(C308,Fixture_Engine!$D$2:$R$21,15,FALSE),"")</f>
        <v>0.32149921393295505</v>
      </c>
      <c r="K308" s="13">
        <v>4.1142361271531161E-2</v>
      </c>
      <c r="L308" s="13">
        <v>4.0513079897554365E-2</v>
      </c>
      <c r="M308" s="13">
        <v>1</v>
      </c>
      <c r="N308" s="38">
        <f t="shared" si="8"/>
        <v>4.5619706049369449E-2</v>
      </c>
      <c r="O308" s="38">
        <f t="shared" si="9"/>
        <v>4.4921942712119543E-2</v>
      </c>
      <c r="P308" s="26"/>
      <c r="Q308" s="45"/>
      <c r="R308" s="38"/>
      <c r="S308" s="38"/>
      <c r="T308" s="38"/>
      <c r="V308" s="1" t="b">
        <v>1</v>
      </c>
      <c r="W308" s="31" t="s">
        <v>1885</v>
      </c>
    </row>
    <row r="309" spans="1:23" ht="30">
      <c r="A309" s="7">
        <v>308</v>
      </c>
      <c r="B309" s="7" t="s">
        <v>966</v>
      </c>
      <c r="C309" s="7" t="s">
        <v>50</v>
      </c>
      <c r="D309" s="7" t="s">
        <v>99</v>
      </c>
      <c r="E309" s="11">
        <v>4</v>
      </c>
      <c r="F309" s="7" t="s">
        <v>58</v>
      </c>
      <c r="G309" s="7" t="s">
        <v>1743</v>
      </c>
      <c r="H309" s="37">
        <f>IFERROR(VLOOKUP(C309,Fixture_Engine!$D$2:$R$21,13,FALSE),"")</f>
        <v>1.1088256638526099</v>
      </c>
      <c r="I309" s="37">
        <f>IFERROR(VLOOKUP(C309,Fixture_Engine!$D$2:$R$21,14,FALSE),"")</f>
        <v>1.1347601803060365</v>
      </c>
      <c r="J309" s="37">
        <f>IFERROR(VLOOKUP(C309,Fixture_Engine!$D$2:$R$21,15,FALSE),"")</f>
        <v>0.32149921393295505</v>
      </c>
      <c r="K309" s="13">
        <v>3.4185687792218727E-2</v>
      </c>
      <c r="L309" s="13">
        <v>4.3934270743540858E-2</v>
      </c>
      <c r="M309" s="13">
        <v>0.42516129032258065</v>
      </c>
      <c r="N309" s="38">
        <f t="shared" si="8"/>
        <v>3.7905967960464991E-2</v>
      </c>
      <c r="O309" s="38">
        <f t="shared" si="9"/>
        <v>4.8715446923086991E-2</v>
      </c>
      <c r="P309" s="26"/>
      <c r="Q309" s="45"/>
      <c r="R309" s="38"/>
      <c r="S309" s="38"/>
      <c r="T309" s="38"/>
      <c r="V309" s="1" t="b">
        <v>1</v>
      </c>
      <c r="W309" s="31" t="s">
        <v>1885</v>
      </c>
    </row>
    <row r="310" spans="1:23" ht="30">
      <c r="A310" s="7">
        <v>309</v>
      </c>
      <c r="B310" s="7" t="s">
        <v>969</v>
      </c>
      <c r="C310" s="7" t="s">
        <v>50</v>
      </c>
      <c r="D310" s="7" t="s">
        <v>112</v>
      </c>
      <c r="E310" s="11">
        <v>5</v>
      </c>
      <c r="F310" s="7" t="s">
        <v>58</v>
      </c>
      <c r="G310" s="7" t="s">
        <v>1743</v>
      </c>
      <c r="H310" s="37">
        <f>IFERROR(VLOOKUP(C310,Fixture_Engine!$D$2:$R$21,13,FALSE),"")</f>
        <v>1.1088256638526099</v>
      </c>
      <c r="I310" s="37">
        <f>IFERROR(VLOOKUP(C310,Fixture_Engine!$D$2:$R$21,14,FALSE),"")</f>
        <v>1.1347601803060365</v>
      </c>
      <c r="J310" s="37">
        <f>IFERROR(VLOOKUP(C310,Fixture_Engine!$D$2:$R$21,15,FALSE),"")</f>
        <v>0.32149921393295505</v>
      </c>
      <c r="K310" s="13">
        <v>0.11750047455084614</v>
      </c>
      <c r="L310" s="13">
        <v>0.10587442792412327</v>
      </c>
      <c r="M310" s="13">
        <v>0.50727272727272721</v>
      </c>
      <c r="N310" s="38">
        <f t="shared" si="8"/>
        <v>0.13028754169683868</v>
      </c>
      <c r="O310" s="38">
        <f t="shared" si="9"/>
        <v>0.11739628282798129</v>
      </c>
      <c r="P310" s="26"/>
      <c r="Q310" s="45"/>
      <c r="R310" s="38"/>
      <c r="S310" s="38"/>
      <c r="T310" s="38"/>
      <c r="V310" s="1" t="b">
        <v>1</v>
      </c>
      <c r="W310" s="31" t="s">
        <v>1885</v>
      </c>
    </row>
    <row r="311" spans="1:23" ht="30">
      <c r="A311" s="7">
        <v>310</v>
      </c>
      <c r="B311" s="7" t="s">
        <v>971</v>
      </c>
      <c r="C311" s="7" t="s">
        <v>50</v>
      </c>
      <c r="D311" s="7" t="s">
        <v>112</v>
      </c>
      <c r="E311" s="11">
        <v>5</v>
      </c>
      <c r="F311" s="7" t="s">
        <v>58</v>
      </c>
      <c r="G311" s="7" t="s">
        <v>1743</v>
      </c>
      <c r="H311" s="37">
        <f>IFERROR(VLOOKUP(C311,Fixture_Engine!$D$2:$R$21,13,FALSE),"")</f>
        <v>1.1088256638526099</v>
      </c>
      <c r="I311" s="37">
        <f>IFERROR(VLOOKUP(C311,Fixture_Engine!$D$2:$R$21,14,FALSE),"")</f>
        <v>1.1347601803060365</v>
      </c>
      <c r="J311" s="37">
        <f>IFERROR(VLOOKUP(C311,Fixture_Engine!$D$2:$R$21,15,FALSE),"")</f>
        <v>0.32149921393295505</v>
      </c>
      <c r="K311" s="13">
        <v>5.4078992715095461E-2</v>
      </c>
      <c r="L311" s="13">
        <v>6.1137317438872955E-2</v>
      </c>
      <c r="M311" s="13">
        <v>0.47459459459459452</v>
      </c>
      <c r="N311" s="38">
        <f t="shared" si="8"/>
        <v>5.9964174997796181E-2</v>
      </c>
      <c r="O311" s="38">
        <f t="shared" si="9"/>
        <v>6.7790626595326045E-2</v>
      </c>
      <c r="P311" s="26"/>
      <c r="Q311" s="45"/>
      <c r="R311" s="38"/>
      <c r="S311" s="38"/>
      <c r="T311" s="38"/>
      <c r="V311" s="1" t="b">
        <v>1</v>
      </c>
      <c r="W311" s="31" t="s">
        <v>1885</v>
      </c>
    </row>
    <row r="312" spans="1:23" ht="30">
      <c r="A312" s="7">
        <v>311</v>
      </c>
      <c r="B312" s="7" t="s">
        <v>975</v>
      </c>
      <c r="C312" s="7" t="s">
        <v>50</v>
      </c>
      <c r="D312" s="7" t="s">
        <v>112</v>
      </c>
      <c r="E312" s="11">
        <v>5</v>
      </c>
      <c r="F312" s="7" t="s">
        <v>58</v>
      </c>
      <c r="G312" s="7" t="s">
        <v>1743</v>
      </c>
      <c r="H312" s="37">
        <f>IFERROR(VLOOKUP(C312,Fixture_Engine!$D$2:$R$21,13,FALSE),"")</f>
        <v>1.1088256638526099</v>
      </c>
      <c r="I312" s="37">
        <f>IFERROR(VLOOKUP(C312,Fixture_Engine!$D$2:$R$21,14,FALSE),"")</f>
        <v>1.1347601803060365</v>
      </c>
      <c r="J312" s="37">
        <f>IFERROR(VLOOKUP(C312,Fixture_Engine!$D$2:$R$21,15,FALSE),"")</f>
        <v>0.32149921393295505</v>
      </c>
      <c r="K312" s="13">
        <v>0.10751786102217777</v>
      </c>
      <c r="L312" s="13">
        <v>9.0240671969462088E-2</v>
      </c>
      <c r="M312" s="13">
        <v>1</v>
      </c>
      <c r="N312" s="38">
        <f t="shared" si="8"/>
        <v>0.11921856362392892</v>
      </c>
      <c r="O312" s="38">
        <f t="shared" si="9"/>
        <v>0.10006117300304442</v>
      </c>
      <c r="P312" s="26"/>
      <c r="Q312" s="45"/>
      <c r="R312" s="38"/>
      <c r="S312" s="38"/>
      <c r="T312" s="38"/>
      <c r="V312" s="1" t="b">
        <v>1</v>
      </c>
      <c r="W312" s="31" t="s">
        <v>1885</v>
      </c>
    </row>
    <row r="313" spans="1:23" ht="30">
      <c r="A313" s="7">
        <v>312</v>
      </c>
      <c r="B313" s="7" t="s">
        <v>978</v>
      </c>
      <c r="C313" s="7" t="s">
        <v>50</v>
      </c>
      <c r="D313" s="7" t="s">
        <v>112</v>
      </c>
      <c r="E313" s="11">
        <v>4.5</v>
      </c>
      <c r="F313" s="7" t="s">
        <v>58</v>
      </c>
      <c r="G313" s="7" t="s">
        <v>1743</v>
      </c>
      <c r="H313" s="37">
        <f>IFERROR(VLOOKUP(C313,Fixture_Engine!$D$2:$R$21,13,FALSE),"")</f>
        <v>1.1088256638526099</v>
      </c>
      <c r="I313" s="37">
        <f>IFERROR(VLOOKUP(C313,Fixture_Engine!$D$2:$R$21,14,FALSE),"")</f>
        <v>1.1347601803060365</v>
      </c>
      <c r="J313" s="37">
        <f>IFERROR(VLOOKUP(C313,Fixture_Engine!$D$2:$R$21,15,FALSE),"")</f>
        <v>0.32149921393295505</v>
      </c>
      <c r="K313" s="13">
        <v>7.8091220749489959E-2</v>
      </c>
      <c r="L313" s="13">
        <v>7.7539548091288296E-2</v>
      </c>
      <c r="M313" s="13">
        <v>0.51801652892561978</v>
      </c>
      <c r="N313" s="38">
        <f t="shared" si="8"/>
        <v>8.6589549688613918E-2</v>
      </c>
      <c r="O313" s="38">
        <f t="shared" si="9"/>
        <v>8.5977840887154114E-2</v>
      </c>
      <c r="P313" s="26"/>
      <c r="Q313" s="45"/>
      <c r="R313" s="38"/>
      <c r="S313" s="38"/>
      <c r="T313" s="38"/>
      <c r="V313" s="1" t="b">
        <v>1</v>
      </c>
      <c r="W313" s="31" t="s">
        <v>1885</v>
      </c>
    </row>
    <row r="314" spans="1:23" ht="30">
      <c r="A314" s="7">
        <v>313</v>
      </c>
      <c r="B314" s="7" t="s">
        <v>981</v>
      </c>
      <c r="C314" s="7" t="s">
        <v>50</v>
      </c>
      <c r="D314" s="7" t="s">
        <v>112</v>
      </c>
      <c r="E314" s="11">
        <v>5.5</v>
      </c>
      <c r="F314" s="7" t="s">
        <v>58</v>
      </c>
      <c r="G314" s="7" t="s">
        <v>1743</v>
      </c>
      <c r="H314" s="37">
        <f>IFERROR(VLOOKUP(C314,Fixture_Engine!$D$2:$R$21,13,FALSE),"")</f>
        <v>1.1088256638526099</v>
      </c>
      <c r="I314" s="37">
        <f>IFERROR(VLOOKUP(C314,Fixture_Engine!$D$2:$R$21,14,FALSE),"")</f>
        <v>1.1347601803060365</v>
      </c>
      <c r="J314" s="37">
        <f>IFERROR(VLOOKUP(C314,Fixture_Engine!$D$2:$R$21,15,FALSE),"")</f>
        <v>0.32149921393295505</v>
      </c>
      <c r="K314" s="13">
        <v>0.16799648395507738</v>
      </c>
      <c r="L314" s="13">
        <v>0.11522209729578467</v>
      </c>
      <c r="M314" s="13">
        <v>0.49176470588235288</v>
      </c>
      <c r="N314" s="38">
        <f t="shared" si="8"/>
        <v>0.186278812846393</v>
      </c>
      <c r="O314" s="38">
        <f t="shared" si="9"/>
        <v>0.12776121852448846</v>
      </c>
      <c r="P314" s="26"/>
      <c r="Q314" s="45"/>
      <c r="R314" s="38"/>
      <c r="S314" s="38"/>
      <c r="T314" s="38"/>
      <c r="V314" s="1" t="b">
        <v>1</v>
      </c>
      <c r="W314" s="31" t="s">
        <v>1885</v>
      </c>
    </row>
    <row r="315" spans="1:23" ht="30">
      <c r="A315" s="7">
        <v>314</v>
      </c>
      <c r="B315" s="7" t="s">
        <v>984</v>
      </c>
      <c r="C315" s="7" t="s">
        <v>50</v>
      </c>
      <c r="D315" s="7" t="s">
        <v>112</v>
      </c>
      <c r="E315" s="11">
        <v>5</v>
      </c>
      <c r="F315" s="7" t="s">
        <v>58</v>
      </c>
      <c r="G315" s="7" t="s">
        <v>1743</v>
      </c>
      <c r="H315" s="37">
        <f>IFERROR(VLOOKUP(C315,Fixture_Engine!$D$2:$R$21,13,FALSE),"")</f>
        <v>1.1088256638526099</v>
      </c>
      <c r="I315" s="37">
        <f>IFERROR(VLOOKUP(C315,Fixture_Engine!$D$2:$R$21,14,FALSE),"")</f>
        <v>1.1347601803060365</v>
      </c>
      <c r="J315" s="37">
        <f>IFERROR(VLOOKUP(C315,Fixture_Engine!$D$2:$R$21,15,FALSE),"")</f>
        <v>0.32149921393295505</v>
      </c>
      <c r="K315" s="13">
        <v>0.10751786102217777</v>
      </c>
      <c r="L315" s="13">
        <v>9.0240671969462088E-2</v>
      </c>
      <c r="M315" s="13">
        <v>1</v>
      </c>
      <c r="N315" s="38">
        <f t="shared" si="8"/>
        <v>0.11921856362392892</v>
      </c>
      <c r="O315" s="38">
        <f t="shared" si="9"/>
        <v>0.10006117300304442</v>
      </c>
      <c r="P315" s="26"/>
      <c r="Q315" s="45"/>
      <c r="R315" s="38"/>
      <c r="S315" s="38"/>
      <c r="T315" s="38"/>
      <c r="V315" s="1" t="b">
        <v>1</v>
      </c>
      <c r="W315" s="31" t="s">
        <v>1885</v>
      </c>
    </row>
    <row r="316" spans="1:23" ht="30">
      <c r="A316" s="7">
        <v>315</v>
      </c>
      <c r="B316" s="7" t="s">
        <v>987</v>
      </c>
      <c r="C316" s="7" t="s">
        <v>50</v>
      </c>
      <c r="D316" s="7" t="s">
        <v>112</v>
      </c>
      <c r="E316" s="11">
        <v>5.5</v>
      </c>
      <c r="F316" s="7" t="s">
        <v>58</v>
      </c>
      <c r="G316" s="7" t="s">
        <v>1743</v>
      </c>
      <c r="H316" s="37">
        <f>IFERROR(VLOOKUP(C316,Fixture_Engine!$D$2:$R$21,13,FALSE),"")</f>
        <v>1.1088256638526099</v>
      </c>
      <c r="I316" s="37">
        <f>IFERROR(VLOOKUP(C316,Fixture_Engine!$D$2:$R$21,14,FALSE),"")</f>
        <v>1.1347601803060365</v>
      </c>
      <c r="J316" s="37">
        <f>IFERROR(VLOOKUP(C316,Fixture_Engine!$D$2:$R$21,15,FALSE),"")</f>
        <v>0.32149921393295505</v>
      </c>
      <c r="K316" s="13">
        <v>0.10751786102217777</v>
      </c>
      <c r="L316" s="13">
        <v>9.0240671969462088E-2</v>
      </c>
      <c r="M316" s="13">
        <v>1</v>
      </c>
      <c r="N316" s="38">
        <f t="shared" si="8"/>
        <v>0.11921856362392892</v>
      </c>
      <c r="O316" s="38">
        <f t="shared" si="9"/>
        <v>0.10006117300304442</v>
      </c>
      <c r="P316" s="26"/>
      <c r="Q316" s="45"/>
      <c r="R316" s="38"/>
      <c r="S316" s="38"/>
      <c r="T316" s="38"/>
      <c r="V316" s="1" t="b">
        <v>1</v>
      </c>
      <c r="W316" s="31" t="s">
        <v>1885</v>
      </c>
    </row>
    <row r="317" spans="1:23" ht="30">
      <c r="A317" s="7">
        <v>316</v>
      </c>
      <c r="B317" s="7" t="s">
        <v>989</v>
      </c>
      <c r="C317" s="7" t="s">
        <v>50</v>
      </c>
      <c r="D317" s="7" t="s">
        <v>167</v>
      </c>
      <c r="E317" s="11">
        <v>5.5</v>
      </c>
      <c r="F317" s="7" t="s">
        <v>58</v>
      </c>
      <c r="G317" s="7" t="s">
        <v>1743</v>
      </c>
      <c r="H317" s="37">
        <f>IFERROR(VLOOKUP(C317,Fixture_Engine!$D$2:$R$21,13,FALSE),"")</f>
        <v>1.1088256638526099</v>
      </c>
      <c r="I317" s="37">
        <f>IFERROR(VLOOKUP(C317,Fixture_Engine!$D$2:$R$21,14,FALSE),"")</f>
        <v>1.1347601803060365</v>
      </c>
      <c r="J317" s="37">
        <f>IFERROR(VLOOKUP(C317,Fixture_Engine!$D$2:$R$21,15,FALSE),"")</f>
        <v>0.32149921393295505</v>
      </c>
      <c r="K317" s="13">
        <v>0.30461525508032317</v>
      </c>
      <c r="L317" s="13">
        <v>3.9258061548584466E-2</v>
      </c>
      <c r="M317" s="13">
        <v>1</v>
      </c>
      <c r="N317" s="38">
        <f t="shared" si="8"/>
        <v>0.33776521243407143</v>
      </c>
      <c r="O317" s="38">
        <f t="shared" si="9"/>
        <v>4.3530346158175789E-2</v>
      </c>
      <c r="P317" s="26"/>
      <c r="Q317" s="45"/>
      <c r="R317" s="38"/>
      <c r="S317" s="38"/>
      <c r="T317" s="38"/>
      <c r="V317" s="1" t="b">
        <v>1</v>
      </c>
      <c r="W317" s="31" t="s">
        <v>1885</v>
      </c>
    </row>
    <row r="318" spans="1:23" ht="30">
      <c r="A318" s="7">
        <v>317</v>
      </c>
      <c r="B318" s="7" t="s">
        <v>992</v>
      </c>
      <c r="C318" s="7" t="s">
        <v>50</v>
      </c>
      <c r="D318" s="7" t="s">
        <v>167</v>
      </c>
      <c r="E318" s="11">
        <v>5</v>
      </c>
      <c r="F318" s="7" t="s">
        <v>58</v>
      </c>
      <c r="G318" s="7" t="s">
        <v>1743</v>
      </c>
      <c r="H318" s="37">
        <f>IFERROR(VLOOKUP(C318,Fixture_Engine!$D$2:$R$21,13,FALSE),"")</f>
        <v>1.1088256638526099</v>
      </c>
      <c r="I318" s="37">
        <f>IFERROR(VLOOKUP(C318,Fixture_Engine!$D$2:$R$21,14,FALSE),"")</f>
        <v>1.1347601803060365</v>
      </c>
      <c r="J318" s="37">
        <f>IFERROR(VLOOKUP(C318,Fixture_Engine!$D$2:$R$21,15,FALSE),"")</f>
        <v>0.32149921393295505</v>
      </c>
      <c r="K318" s="13">
        <v>0.32319368615638477</v>
      </c>
      <c r="L318" s="13">
        <v>4.277571053369994E-2</v>
      </c>
      <c r="M318" s="13">
        <v>0.51188405797101444</v>
      </c>
      <c r="N318" s="38">
        <f t="shared" si="8"/>
        <v>0.3583654536053254</v>
      </c>
      <c r="O318" s="38">
        <f t="shared" si="9"/>
        <v>4.7430805629296913E-2</v>
      </c>
      <c r="P318" s="26"/>
      <c r="Q318" s="45"/>
      <c r="R318" s="38"/>
      <c r="S318" s="38"/>
      <c r="T318" s="38"/>
      <c r="V318" s="1" t="b">
        <v>1</v>
      </c>
      <c r="W318" s="31" t="s">
        <v>1885</v>
      </c>
    </row>
    <row r="319" spans="1:23" ht="30">
      <c r="A319" s="7">
        <v>318</v>
      </c>
      <c r="B319" s="7" t="s">
        <v>995</v>
      </c>
      <c r="C319" s="7" t="s">
        <v>50</v>
      </c>
      <c r="D319" s="7" t="s">
        <v>112</v>
      </c>
      <c r="E319" s="11">
        <v>5.5</v>
      </c>
      <c r="F319" s="7" t="s">
        <v>58</v>
      </c>
      <c r="G319" s="7" t="s">
        <v>1743</v>
      </c>
      <c r="H319" s="37">
        <f>IFERROR(VLOOKUP(C319,Fixture_Engine!$D$2:$R$21,13,FALSE),"")</f>
        <v>1.1088256638526099</v>
      </c>
      <c r="I319" s="37">
        <f>IFERROR(VLOOKUP(C319,Fixture_Engine!$D$2:$R$21,14,FALSE),"")</f>
        <v>1.1347601803060365</v>
      </c>
      <c r="J319" s="37">
        <f>IFERROR(VLOOKUP(C319,Fixture_Engine!$D$2:$R$21,15,FALSE),"")</f>
        <v>0.32149921393295505</v>
      </c>
      <c r="K319" s="13">
        <v>0.13653513365952613</v>
      </c>
      <c r="L319" s="13">
        <v>8.045477846057536E-2</v>
      </c>
      <c r="M319" s="13">
        <v>0.52365482233502547</v>
      </c>
      <c r="N319" s="38">
        <f t="shared" si="8"/>
        <v>0.1513936602192289</v>
      </c>
      <c r="O319" s="38">
        <f t="shared" si="9"/>
        <v>8.9210323136662134E-2</v>
      </c>
      <c r="P319" s="26"/>
      <c r="Q319" s="45"/>
      <c r="R319" s="38"/>
      <c r="S319" s="38"/>
      <c r="T319" s="38"/>
      <c r="V319" s="1" t="b">
        <v>1</v>
      </c>
      <c r="W319" s="31" t="s">
        <v>1885</v>
      </c>
    </row>
    <row r="320" spans="1:23" ht="30">
      <c r="A320" s="7">
        <v>319</v>
      </c>
      <c r="B320" s="7" t="s">
        <v>998</v>
      </c>
      <c r="C320" s="7" t="s">
        <v>50</v>
      </c>
      <c r="D320" s="7" t="s">
        <v>112</v>
      </c>
      <c r="E320" s="11">
        <v>5</v>
      </c>
      <c r="F320" s="7" t="s">
        <v>58</v>
      </c>
      <c r="G320" s="7" t="s">
        <v>1743</v>
      </c>
      <c r="H320" s="37">
        <f>IFERROR(VLOOKUP(C320,Fixture_Engine!$D$2:$R$21,13,FALSE),"")</f>
        <v>1.1088256638526099</v>
      </c>
      <c r="I320" s="37">
        <f>IFERROR(VLOOKUP(C320,Fixture_Engine!$D$2:$R$21,14,FALSE),"")</f>
        <v>1.1347601803060365</v>
      </c>
      <c r="J320" s="37">
        <f>IFERROR(VLOOKUP(C320,Fixture_Engine!$D$2:$R$21,15,FALSE),"")</f>
        <v>0.32149921393295505</v>
      </c>
      <c r="K320" s="13">
        <v>0.10751786102217777</v>
      </c>
      <c r="L320" s="13">
        <v>9.0240671969462088E-2</v>
      </c>
      <c r="M320" s="13">
        <v>1</v>
      </c>
      <c r="N320" s="38">
        <f t="shared" si="8"/>
        <v>0.11921856362392892</v>
      </c>
      <c r="O320" s="38">
        <f t="shared" si="9"/>
        <v>0.10006117300304442</v>
      </c>
      <c r="P320" s="26"/>
      <c r="Q320" s="45"/>
      <c r="R320" s="38"/>
      <c r="S320" s="38"/>
      <c r="T320" s="38"/>
      <c r="V320" s="1" t="b">
        <v>1</v>
      </c>
      <c r="W320" s="31" t="s">
        <v>1885</v>
      </c>
    </row>
    <row r="321" spans="1:23" ht="30">
      <c r="A321" s="7">
        <v>320</v>
      </c>
      <c r="B321" s="7" t="s">
        <v>1000</v>
      </c>
      <c r="C321" s="7" t="s">
        <v>50</v>
      </c>
      <c r="D321" s="7" t="s">
        <v>167</v>
      </c>
      <c r="E321" s="11">
        <v>5</v>
      </c>
      <c r="F321" s="7" t="s">
        <v>58</v>
      </c>
      <c r="G321" s="7" t="s">
        <v>1743</v>
      </c>
      <c r="H321" s="37">
        <f>IFERROR(VLOOKUP(C321,Fixture_Engine!$D$2:$R$21,13,FALSE),"")</f>
        <v>1.1088256638526099</v>
      </c>
      <c r="I321" s="37">
        <f>IFERROR(VLOOKUP(C321,Fixture_Engine!$D$2:$R$21,14,FALSE),"")</f>
        <v>1.1347601803060365</v>
      </c>
      <c r="J321" s="37">
        <f>IFERROR(VLOOKUP(C321,Fixture_Engine!$D$2:$R$21,15,FALSE),"")</f>
        <v>0.32149921393295505</v>
      </c>
      <c r="K321" s="13">
        <v>0.29394699184374418</v>
      </c>
      <c r="L321" s="13">
        <v>3.7771042573354702E-2</v>
      </c>
      <c r="M321" s="13">
        <v>0.66277511961722491</v>
      </c>
      <c r="N321" s="38">
        <f t="shared" si="8"/>
        <v>0.32593596836861738</v>
      </c>
      <c r="O321" s="38">
        <f t="shared" si="9"/>
        <v>4.188150135580522E-2</v>
      </c>
      <c r="P321" s="26"/>
      <c r="Q321" s="45"/>
      <c r="R321" s="38"/>
      <c r="S321" s="38"/>
      <c r="T321" s="38"/>
      <c r="U321" s="1" t="b">
        <v>0</v>
      </c>
      <c r="V321" s="1" t="b">
        <v>1</v>
      </c>
      <c r="W321" s="31" t="s">
        <v>1885</v>
      </c>
    </row>
    <row r="322" spans="1:23" ht="30">
      <c r="A322" s="7">
        <v>321</v>
      </c>
      <c r="B322" s="7" t="s">
        <v>1002</v>
      </c>
      <c r="C322" s="7" t="s">
        <v>50</v>
      </c>
      <c r="D322" s="7" t="s">
        <v>167</v>
      </c>
      <c r="E322" s="11">
        <v>4.5</v>
      </c>
      <c r="F322" s="7" t="s">
        <v>58</v>
      </c>
      <c r="G322" s="7" t="s">
        <v>1743</v>
      </c>
      <c r="H322" s="37">
        <f>IFERROR(VLOOKUP(C322,Fixture_Engine!$D$2:$R$21,13,FALSE),"")</f>
        <v>1.1088256638526099</v>
      </c>
      <c r="I322" s="37">
        <f>IFERROR(VLOOKUP(C322,Fixture_Engine!$D$2:$R$21,14,FALSE),"")</f>
        <v>1.1347601803060365</v>
      </c>
      <c r="J322" s="37">
        <f>IFERROR(VLOOKUP(C322,Fixture_Engine!$D$2:$R$21,15,FALSE),"")</f>
        <v>0.32149921393295505</v>
      </c>
      <c r="K322" s="13">
        <v>0.22033840598804039</v>
      </c>
      <c r="L322" s="13">
        <v>5.4983146360095519E-2</v>
      </c>
      <c r="M322" s="13">
        <v>0.56616852146263907</v>
      </c>
      <c r="N322" s="38">
        <f t="shared" ref="N322:N385" si="10">IF(OR(H322="",K322=""),"",H322*K322)</f>
        <v>0.24431687929191476</v>
      </c>
      <c r="O322" s="38">
        <f t="shared" ref="O322:O385" si="11">IF(OR(H322="",L322=""),"",H322*L322)</f>
        <v>6.0966723763438126E-2</v>
      </c>
      <c r="P322" s="26"/>
      <c r="Q322" s="45"/>
      <c r="R322" s="38"/>
      <c r="S322" s="38"/>
      <c r="T322" s="38"/>
      <c r="U322" s="1" t="b">
        <v>0</v>
      </c>
      <c r="V322" s="1" t="b">
        <v>1</v>
      </c>
      <c r="W322" s="31" t="s">
        <v>1885</v>
      </c>
    </row>
    <row r="323" spans="1:23" ht="30">
      <c r="A323" s="7">
        <v>322</v>
      </c>
      <c r="B323" s="7" t="s">
        <v>1004</v>
      </c>
      <c r="C323" s="7" t="s">
        <v>50</v>
      </c>
      <c r="D323" s="7" t="s">
        <v>167</v>
      </c>
      <c r="E323" s="11">
        <v>5</v>
      </c>
      <c r="F323" s="7" t="s">
        <v>58</v>
      </c>
      <c r="G323" s="7" t="s">
        <v>1743</v>
      </c>
      <c r="H323" s="37">
        <f>IFERROR(VLOOKUP(C323,Fixture_Engine!$D$2:$R$21,13,FALSE),"")</f>
        <v>1.1088256638526099</v>
      </c>
      <c r="I323" s="37">
        <f>IFERROR(VLOOKUP(C323,Fixture_Engine!$D$2:$R$21,14,FALSE),"")</f>
        <v>1.1347601803060365</v>
      </c>
      <c r="J323" s="37">
        <f>IFERROR(VLOOKUP(C323,Fixture_Engine!$D$2:$R$21,15,FALSE),"")</f>
        <v>0.32149921393295505</v>
      </c>
      <c r="K323" s="13">
        <v>0.30461525508032317</v>
      </c>
      <c r="L323" s="13">
        <v>3.9258061548584466E-2</v>
      </c>
      <c r="M323" s="13">
        <v>1</v>
      </c>
      <c r="N323" s="38">
        <f t="shared" si="10"/>
        <v>0.33776521243407143</v>
      </c>
      <c r="O323" s="38">
        <f t="shared" si="11"/>
        <v>4.3530346158175789E-2</v>
      </c>
      <c r="P323" s="26"/>
      <c r="Q323" s="45"/>
      <c r="R323" s="38"/>
      <c r="S323" s="38"/>
      <c r="T323" s="38"/>
      <c r="U323" s="1" t="b">
        <v>0</v>
      </c>
      <c r="V323" s="1" t="b">
        <v>1</v>
      </c>
      <c r="W323" s="31" t="s">
        <v>1885</v>
      </c>
    </row>
    <row r="324" spans="1:23" ht="30">
      <c r="A324" s="7">
        <v>323</v>
      </c>
      <c r="B324" s="7" t="s">
        <v>1007</v>
      </c>
      <c r="C324" s="7" t="s">
        <v>50</v>
      </c>
      <c r="D324" s="7" t="s">
        <v>112</v>
      </c>
      <c r="E324" s="11">
        <v>4.5</v>
      </c>
      <c r="F324" s="7" t="s">
        <v>58</v>
      </c>
      <c r="G324" s="7" t="s">
        <v>1743</v>
      </c>
      <c r="H324" s="37">
        <f>IFERROR(VLOOKUP(C324,Fixture_Engine!$D$2:$R$21,13,FALSE),"")</f>
        <v>1.1088256638526099</v>
      </c>
      <c r="I324" s="37">
        <f>IFERROR(VLOOKUP(C324,Fixture_Engine!$D$2:$R$21,14,FALSE),"")</f>
        <v>1.1347601803060365</v>
      </c>
      <c r="J324" s="37">
        <f>IFERROR(VLOOKUP(C324,Fixture_Engine!$D$2:$R$21,15,FALSE),"")</f>
        <v>0.32149921393295505</v>
      </c>
      <c r="K324" s="13">
        <v>0.12959251658575194</v>
      </c>
      <c r="L324" s="13">
        <v>0.1029503002268765</v>
      </c>
      <c r="M324" s="13">
        <v>0.59943212067435669</v>
      </c>
      <c r="N324" s="38">
        <f t="shared" si="10"/>
        <v>0.14369550823352675</v>
      </c>
      <c r="O324" s="38">
        <f t="shared" si="11"/>
        <v>0.11415393499289184</v>
      </c>
      <c r="P324" s="26"/>
      <c r="Q324" s="45"/>
      <c r="R324" s="38"/>
      <c r="S324" s="38"/>
      <c r="T324" s="38"/>
      <c r="U324" s="1" t="b">
        <v>0</v>
      </c>
      <c r="V324" s="1" t="b">
        <v>1</v>
      </c>
      <c r="W324" s="31" t="s">
        <v>1885</v>
      </c>
    </row>
    <row r="325" spans="1:23" ht="30">
      <c r="A325" s="7">
        <v>324</v>
      </c>
      <c r="B325" s="7" t="s">
        <v>1010</v>
      </c>
      <c r="C325" s="7" t="s">
        <v>50</v>
      </c>
      <c r="D325" s="7" t="s">
        <v>112</v>
      </c>
      <c r="E325" s="11">
        <v>5</v>
      </c>
      <c r="F325" s="7" t="s">
        <v>58</v>
      </c>
      <c r="G325" s="7" t="s">
        <v>1743</v>
      </c>
      <c r="H325" s="37">
        <f>IFERROR(VLOOKUP(C325,Fixture_Engine!$D$2:$R$21,13,FALSE),"")</f>
        <v>1.1088256638526099</v>
      </c>
      <c r="I325" s="37">
        <f>IFERROR(VLOOKUP(C325,Fixture_Engine!$D$2:$R$21,14,FALSE),"")</f>
        <v>1.1347601803060365</v>
      </c>
      <c r="J325" s="37">
        <f>IFERROR(VLOOKUP(C325,Fixture_Engine!$D$2:$R$21,15,FALSE),"")</f>
        <v>0.32149921393295505</v>
      </c>
      <c r="K325" s="13">
        <v>0.13805981780895377</v>
      </c>
      <c r="L325" s="13">
        <v>0.10460647345063803</v>
      </c>
      <c r="M325" s="13">
        <v>0.44578402026249131</v>
      </c>
      <c r="N325" s="38">
        <f t="shared" si="10"/>
        <v>0.15308426913338355</v>
      </c>
      <c r="O325" s="38">
        <f t="shared" si="11"/>
        <v>0.11599034236718413</v>
      </c>
      <c r="P325" s="26"/>
      <c r="Q325" s="45"/>
      <c r="R325" s="38"/>
      <c r="S325" s="38"/>
      <c r="T325" s="38"/>
      <c r="U325" s="1" t="b">
        <v>0</v>
      </c>
      <c r="V325" s="1" t="b">
        <v>1</v>
      </c>
      <c r="W325" s="31" t="s">
        <v>1885</v>
      </c>
    </row>
    <row r="326" spans="1:23" ht="30">
      <c r="A326" s="7">
        <v>325</v>
      </c>
      <c r="B326" s="7" t="s">
        <v>1251</v>
      </c>
      <c r="C326" s="7" t="s">
        <v>54</v>
      </c>
      <c r="D326" s="7" t="s">
        <v>85</v>
      </c>
      <c r="E326" s="11">
        <v>4.5</v>
      </c>
      <c r="F326" s="7" t="s">
        <v>49</v>
      </c>
      <c r="G326" s="7" t="s">
        <v>1742</v>
      </c>
      <c r="H326" s="37">
        <f>IFERROR(VLOOKUP(C326,Fixture_Engine!$D$2:$R$21,13,FALSE),"")</f>
        <v>1.9843123696263989</v>
      </c>
      <c r="I326" s="37">
        <f>IFERROR(VLOOKUP(C326,Fixture_Engine!$D$2:$R$21,14,FALSE),"")</f>
        <v>0.60545882999044243</v>
      </c>
      <c r="J326" s="37">
        <f>IFERROR(VLOOKUP(C326,Fixture_Engine!$D$2:$R$21,15,FALSE),"")</f>
        <v>0.54582392878811159</v>
      </c>
      <c r="K326" s="13">
        <v>1.6719534964712218E-4</v>
      </c>
      <c r="L326" s="13">
        <v>1.5002571669143598E-3</v>
      </c>
      <c r="M326" s="13">
        <v>0.43523489932885906</v>
      </c>
      <c r="N326" s="38">
        <f t="shared" si="10"/>
        <v>3.3176780044879531E-4</v>
      </c>
      <c r="O326" s="38">
        <f t="shared" si="11"/>
        <v>2.9769788539288212E-3</v>
      </c>
      <c r="P326" s="26"/>
      <c r="Q326" s="45"/>
      <c r="R326" s="38"/>
      <c r="S326" s="38"/>
      <c r="T326" s="38"/>
      <c r="U326" s="1" t="b">
        <v>0</v>
      </c>
      <c r="V326" s="1" t="b">
        <v>1</v>
      </c>
      <c r="W326" s="31" t="s">
        <v>1885</v>
      </c>
    </row>
    <row r="327" spans="1:23" ht="30">
      <c r="A327" s="7">
        <v>326</v>
      </c>
      <c r="B327" s="7" t="s">
        <v>1022</v>
      </c>
      <c r="C327" s="7" t="s">
        <v>51</v>
      </c>
      <c r="D327" s="7" t="s">
        <v>85</v>
      </c>
      <c r="E327" s="11">
        <v>4.5</v>
      </c>
      <c r="F327" s="7" t="s">
        <v>56</v>
      </c>
      <c r="G327" s="7" t="s">
        <v>1742</v>
      </c>
      <c r="H327" s="37">
        <f>IFERROR(VLOOKUP(C327,Fixture_Engine!$D$2:$R$21,13,FALSE),"")</f>
        <v>1.0502506804949732</v>
      </c>
      <c r="I327" s="37">
        <f>IFERROR(VLOOKUP(C327,Fixture_Engine!$D$2:$R$21,14,FALSE),"")</f>
        <v>1.2669809751991843</v>
      </c>
      <c r="J327" s="37">
        <f>IFERROR(VLOOKUP(C327,Fixture_Engine!$D$2:$R$21,15,FALSE),"")</f>
        <v>0.2816807405197097</v>
      </c>
      <c r="K327" s="13">
        <v>1.6719534964712218E-4</v>
      </c>
      <c r="L327" s="13">
        <v>1.379361634588758E-3</v>
      </c>
      <c r="M327" s="13">
        <v>0.4098360655737705</v>
      </c>
      <c r="N327" s="38">
        <f t="shared" si="10"/>
        <v>1.7559702974248505E-4</v>
      </c>
      <c r="O327" s="38">
        <f t="shared" si="11"/>
        <v>1.4486754953755016E-3</v>
      </c>
      <c r="P327" s="26"/>
      <c r="Q327" s="45"/>
      <c r="R327" s="38"/>
      <c r="S327" s="38"/>
      <c r="T327" s="38"/>
      <c r="V327" s="1" t="b">
        <v>0</v>
      </c>
      <c r="W327" s="31" t="s">
        <v>1885</v>
      </c>
    </row>
    <row r="328" spans="1:23" ht="30">
      <c r="A328" s="7">
        <v>327</v>
      </c>
      <c r="B328" s="7" t="s">
        <v>1024</v>
      </c>
      <c r="C328" s="7" t="s">
        <v>51</v>
      </c>
      <c r="D328" s="7" t="s">
        <v>99</v>
      </c>
      <c r="E328" s="11">
        <v>5</v>
      </c>
      <c r="F328" s="7" t="s">
        <v>56</v>
      </c>
      <c r="G328" s="7" t="s">
        <v>1742</v>
      </c>
      <c r="H328" s="37">
        <f>IFERROR(VLOOKUP(C328,Fixture_Engine!$D$2:$R$21,13,FALSE),"")</f>
        <v>1.0502506804949732</v>
      </c>
      <c r="I328" s="37">
        <f>IFERROR(VLOOKUP(C328,Fixture_Engine!$D$2:$R$21,14,FALSE),"")</f>
        <v>1.2669809751991843</v>
      </c>
      <c r="J328" s="37">
        <f>IFERROR(VLOOKUP(C328,Fixture_Engine!$D$2:$R$21,15,FALSE),"")</f>
        <v>0.2816807405197097</v>
      </c>
      <c r="K328" s="13">
        <v>3.3909982398964728E-2</v>
      </c>
      <c r="L328" s="13">
        <v>3.0414751781435885E-2</v>
      </c>
      <c r="M328" s="13">
        <v>0.34626038781163437</v>
      </c>
      <c r="N328" s="38">
        <f t="shared" si="10"/>
        <v>3.5613982090085268E-2</v>
      </c>
      <c r="O328" s="38">
        <f t="shared" si="11"/>
        <v>3.1943113755538738E-2</v>
      </c>
      <c r="P328" s="26"/>
      <c r="Q328" s="45"/>
      <c r="R328" s="38"/>
      <c r="S328" s="38"/>
      <c r="T328" s="38"/>
      <c r="U328" s="1" t="b">
        <v>0</v>
      </c>
      <c r="V328" s="1" t="b">
        <v>0</v>
      </c>
      <c r="W328" s="31" t="s">
        <v>1885</v>
      </c>
    </row>
    <row r="329" spans="1:23" ht="30">
      <c r="A329" s="7">
        <v>328</v>
      </c>
      <c r="B329" s="7" t="s">
        <v>501</v>
      </c>
      <c r="C329" s="7" t="s">
        <v>43</v>
      </c>
      <c r="D329" s="7" t="s">
        <v>99</v>
      </c>
      <c r="E329" s="11">
        <v>5</v>
      </c>
      <c r="F329" s="7" t="s">
        <v>40</v>
      </c>
      <c r="G329" s="7" t="s">
        <v>1743</v>
      </c>
      <c r="H329" s="37">
        <f>IFERROR(VLOOKUP(C329,Fixture_Engine!$D$2:$R$21,13,FALSE),"")</f>
        <v>1.452548189055803</v>
      </c>
      <c r="I329" s="37">
        <f>IFERROR(VLOOKUP(C329,Fixture_Engine!$D$2:$R$21,14,FALSE),"")</f>
        <v>1.2147039153583923</v>
      </c>
      <c r="J329" s="37">
        <f>IFERROR(VLOOKUP(C329,Fixture_Engine!$D$2:$R$21,15,FALSE),"")</f>
        <v>0.29679787857927975</v>
      </c>
      <c r="K329" s="13">
        <v>5.6766817291670886E-2</v>
      </c>
      <c r="L329" s="13">
        <v>2.5187121968505442E-2</v>
      </c>
      <c r="M329" s="13">
        <v>0.3660101651842439</v>
      </c>
      <c r="N329" s="38">
        <f t="shared" si="10"/>
        <v>8.2456537655478182E-2</v>
      </c>
      <c r="O329" s="38">
        <f t="shared" si="11"/>
        <v>3.6585508402880211E-2</v>
      </c>
      <c r="P329" s="26"/>
      <c r="Q329" s="45"/>
      <c r="R329" s="38"/>
      <c r="S329" s="38"/>
      <c r="T329" s="38"/>
      <c r="U329" s="1" t="b">
        <v>0</v>
      </c>
      <c r="V329" s="1" t="b">
        <v>1</v>
      </c>
      <c r="W329" s="31" t="s">
        <v>1885</v>
      </c>
    </row>
    <row r="330" spans="1:23" ht="30">
      <c r="A330" s="7">
        <v>329</v>
      </c>
      <c r="B330" s="7" t="s">
        <v>1027</v>
      </c>
      <c r="C330" s="7" t="s">
        <v>51</v>
      </c>
      <c r="D330" s="7" t="s">
        <v>99</v>
      </c>
      <c r="E330" s="11">
        <v>4.5</v>
      </c>
      <c r="F330" s="7" t="s">
        <v>56</v>
      </c>
      <c r="G330" s="7" t="s">
        <v>1742</v>
      </c>
      <c r="H330" s="37">
        <f>IFERROR(VLOOKUP(C330,Fixture_Engine!$D$2:$R$21,13,FALSE),"")</f>
        <v>1.0502506804949732</v>
      </c>
      <c r="I330" s="37">
        <f>IFERROR(VLOOKUP(C330,Fixture_Engine!$D$2:$R$21,14,FALSE),"")</f>
        <v>1.2669809751991843</v>
      </c>
      <c r="J330" s="37">
        <f>IFERROR(VLOOKUP(C330,Fixture_Engine!$D$2:$R$21,15,FALSE),"")</f>
        <v>0.2816807405197097</v>
      </c>
      <c r="K330" s="13">
        <v>3.2763624662541777E-2</v>
      </c>
      <c r="L330" s="13">
        <v>1.9192528657765169E-2</v>
      </c>
      <c r="M330" s="13">
        <v>0.25303643724696356</v>
      </c>
      <c r="N330" s="38">
        <f t="shared" si="10"/>
        <v>3.4410019097316384E-2</v>
      </c>
      <c r="O330" s="38">
        <f t="shared" si="11"/>
        <v>2.0156966283237144E-2</v>
      </c>
      <c r="P330" s="26"/>
      <c r="Q330" s="45"/>
      <c r="R330" s="38"/>
      <c r="S330" s="38"/>
      <c r="T330" s="38"/>
      <c r="U330" s="1" t="b">
        <v>0</v>
      </c>
      <c r="V330" s="1" t="b">
        <v>0</v>
      </c>
      <c r="W330" s="31" t="s">
        <v>1885</v>
      </c>
    </row>
    <row r="331" spans="1:23" ht="30">
      <c r="A331" s="7">
        <v>330</v>
      </c>
      <c r="B331" s="7" t="s">
        <v>1030</v>
      </c>
      <c r="C331" s="7" t="s">
        <v>51</v>
      </c>
      <c r="D331" s="7" t="s">
        <v>99</v>
      </c>
      <c r="E331" s="11">
        <v>4.5</v>
      </c>
      <c r="F331" s="7" t="s">
        <v>56</v>
      </c>
      <c r="G331" s="7" t="s">
        <v>1742</v>
      </c>
      <c r="H331" s="37">
        <f>IFERROR(VLOOKUP(C331,Fixture_Engine!$D$2:$R$21,13,FALSE),"")</f>
        <v>1.0502506804949732</v>
      </c>
      <c r="I331" s="37">
        <f>IFERROR(VLOOKUP(C331,Fixture_Engine!$D$2:$R$21,14,FALSE),"")</f>
        <v>1.2669809751991843</v>
      </c>
      <c r="J331" s="37">
        <f>IFERROR(VLOOKUP(C331,Fixture_Engine!$D$2:$R$21,15,FALSE),"")</f>
        <v>0.2816807405197097</v>
      </c>
      <c r="K331" s="13">
        <v>4.5425452896931721E-2</v>
      </c>
      <c r="L331" s="13">
        <v>6.2385489406081247E-2</v>
      </c>
      <c r="M331" s="13">
        <v>0.26350461133069825</v>
      </c>
      <c r="N331" s="38">
        <f t="shared" si="10"/>
        <v>4.7708112816794893E-2</v>
      </c>
      <c r="O331" s="38">
        <f t="shared" si="11"/>
        <v>6.5520402701748776E-2</v>
      </c>
      <c r="P331" s="26"/>
      <c r="Q331" s="45"/>
      <c r="R331" s="38"/>
      <c r="S331" s="38"/>
      <c r="T331" s="38"/>
      <c r="U331" s="1" t="b">
        <v>0</v>
      </c>
      <c r="V331" s="1" t="b">
        <v>0</v>
      </c>
      <c r="W331" s="31" t="s">
        <v>1885</v>
      </c>
    </row>
    <row r="332" spans="1:23" ht="30">
      <c r="A332" s="7">
        <v>331</v>
      </c>
      <c r="B332" s="7" t="s">
        <v>1033</v>
      </c>
      <c r="C332" s="7" t="s">
        <v>51</v>
      </c>
      <c r="D332" s="7" t="s">
        <v>99</v>
      </c>
      <c r="E332" s="11">
        <v>4.5</v>
      </c>
      <c r="F332" s="7" t="s">
        <v>56</v>
      </c>
      <c r="G332" s="7" t="s">
        <v>1742</v>
      </c>
      <c r="H332" s="37">
        <f>IFERROR(VLOOKUP(C332,Fixture_Engine!$D$2:$R$21,13,FALSE),"")</f>
        <v>1.0502506804949732</v>
      </c>
      <c r="I332" s="37">
        <f>IFERROR(VLOOKUP(C332,Fixture_Engine!$D$2:$R$21,14,FALSE),"")</f>
        <v>1.2669809751991843</v>
      </c>
      <c r="J332" s="37">
        <f>IFERROR(VLOOKUP(C332,Fixture_Engine!$D$2:$R$21,15,FALSE),"")</f>
        <v>0.2816807405197097</v>
      </c>
      <c r="K332" s="13">
        <v>3.0396468344094617E-2</v>
      </c>
      <c r="L332" s="13">
        <v>6.1278804915284625E-2</v>
      </c>
      <c r="M332" s="13">
        <v>0.27495188342040144</v>
      </c>
      <c r="N332" s="38">
        <f t="shared" si="10"/>
        <v>3.1923911563029282E-2</v>
      </c>
      <c r="O332" s="38">
        <f t="shared" si="11"/>
        <v>6.4358106562196385E-2</v>
      </c>
      <c r="P332" s="26"/>
      <c r="Q332" s="45"/>
      <c r="R332" s="38"/>
      <c r="S332" s="38"/>
      <c r="T332" s="38"/>
      <c r="U332" s="1" t="b">
        <v>0</v>
      </c>
      <c r="V332" s="1" t="b">
        <v>0</v>
      </c>
      <c r="W332" s="31" t="s">
        <v>1885</v>
      </c>
    </row>
    <row r="333" spans="1:23" ht="30">
      <c r="A333" s="7">
        <v>332</v>
      </c>
      <c r="B333" s="7" t="s">
        <v>1036</v>
      </c>
      <c r="C333" s="7" t="s">
        <v>51</v>
      </c>
      <c r="D333" s="7" t="s">
        <v>99</v>
      </c>
      <c r="E333" s="11">
        <v>4.5</v>
      </c>
      <c r="F333" s="7" t="s">
        <v>56</v>
      </c>
      <c r="G333" s="7" t="s">
        <v>1742</v>
      </c>
      <c r="H333" s="37">
        <f>IFERROR(VLOOKUP(C333,Fixture_Engine!$D$2:$R$21,13,FALSE),"")</f>
        <v>1.0502506804949732</v>
      </c>
      <c r="I333" s="37">
        <f>IFERROR(VLOOKUP(C333,Fixture_Engine!$D$2:$R$21,14,FALSE),"")</f>
        <v>1.2669809751991843</v>
      </c>
      <c r="J333" s="37">
        <f>IFERROR(VLOOKUP(C333,Fixture_Engine!$D$2:$R$21,15,FALSE),"")</f>
        <v>0.2816807405197097</v>
      </c>
      <c r="K333" s="13">
        <v>5.4135736603794817E-2</v>
      </c>
      <c r="L333" s="13">
        <v>3.9304753492317289E-2</v>
      </c>
      <c r="M333" s="13">
        <v>0.34566194262011751</v>
      </c>
      <c r="N333" s="38">
        <f t="shared" si="10"/>
        <v>5.685609420723213E-2</v>
      </c>
      <c r="O333" s="38">
        <f t="shared" si="11"/>
        <v>4.1279844101993403E-2</v>
      </c>
      <c r="P333" s="26"/>
      <c r="Q333" s="45"/>
      <c r="R333" s="38"/>
      <c r="S333" s="38"/>
      <c r="T333" s="38"/>
      <c r="U333" s="1" t="b">
        <v>0</v>
      </c>
      <c r="V333" s="1" t="b">
        <v>0</v>
      </c>
      <c r="W333" s="31" t="s">
        <v>1885</v>
      </c>
    </row>
    <row r="334" spans="1:23" ht="30">
      <c r="A334" s="7">
        <v>333</v>
      </c>
      <c r="B334" s="7" t="s">
        <v>1038</v>
      </c>
      <c r="C334" s="7" t="s">
        <v>51</v>
      </c>
      <c r="D334" s="7" t="s">
        <v>99</v>
      </c>
      <c r="E334" s="11">
        <v>4.5</v>
      </c>
      <c r="F334" s="7" t="s">
        <v>56</v>
      </c>
      <c r="G334" s="7" t="s">
        <v>1742</v>
      </c>
      <c r="H334" s="37">
        <f>IFERROR(VLOOKUP(C334,Fixture_Engine!$D$2:$R$21,13,FALSE),"")</f>
        <v>1.0502506804949732</v>
      </c>
      <c r="I334" s="37">
        <f>IFERROR(VLOOKUP(C334,Fixture_Engine!$D$2:$R$21,14,FALSE),"")</f>
        <v>1.2669809751991843</v>
      </c>
      <c r="J334" s="37">
        <f>IFERROR(VLOOKUP(C334,Fixture_Engine!$D$2:$R$21,15,FALSE),"")</f>
        <v>0.2816807405197097</v>
      </c>
      <c r="K334" s="13">
        <v>3.7622314535194649E-2</v>
      </c>
      <c r="L334" s="13">
        <v>2.8792215680558057E-2</v>
      </c>
      <c r="M334" s="13">
        <v>0.69979006298110569</v>
      </c>
      <c r="N334" s="38">
        <f t="shared" si="10"/>
        <v>3.9512861442384098E-2</v>
      </c>
      <c r="O334" s="38">
        <f t="shared" si="11"/>
        <v>3.0239044111464136E-2</v>
      </c>
      <c r="P334" s="26"/>
      <c r="Q334" s="45"/>
      <c r="R334" s="38"/>
      <c r="S334" s="38"/>
      <c r="T334" s="38"/>
      <c r="U334" s="1" t="b">
        <v>0</v>
      </c>
      <c r="V334" s="1" t="b">
        <v>1</v>
      </c>
      <c r="W334" s="31" t="s">
        <v>1885</v>
      </c>
    </row>
    <row r="335" spans="1:23" ht="30">
      <c r="A335" s="7">
        <v>334</v>
      </c>
      <c r="B335" s="7" t="s">
        <v>1040</v>
      </c>
      <c r="C335" s="7" t="s">
        <v>51</v>
      </c>
      <c r="D335" s="7" t="s">
        <v>99</v>
      </c>
      <c r="E335" s="11">
        <v>5</v>
      </c>
      <c r="F335" s="7" t="s">
        <v>56</v>
      </c>
      <c r="G335" s="7" t="s">
        <v>1742</v>
      </c>
      <c r="H335" s="37">
        <f>IFERROR(VLOOKUP(C335,Fixture_Engine!$D$2:$R$21,13,FALSE),"")</f>
        <v>1.0502506804949732</v>
      </c>
      <c r="I335" s="37">
        <f>IFERROR(VLOOKUP(C335,Fixture_Engine!$D$2:$R$21,14,FALSE),"")</f>
        <v>1.2669809751991843</v>
      </c>
      <c r="J335" s="37">
        <f>IFERROR(VLOOKUP(C335,Fixture_Engine!$D$2:$R$21,15,FALSE),"")</f>
        <v>0.2816807405197097</v>
      </c>
      <c r="K335" s="13">
        <v>4.1142361271531161E-2</v>
      </c>
      <c r="L335" s="13">
        <v>4.0513079897554365E-2</v>
      </c>
      <c r="M335" s="13">
        <v>1</v>
      </c>
      <c r="N335" s="38">
        <f t="shared" si="10"/>
        <v>4.3209792922595629E-2</v>
      </c>
      <c r="O335" s="38">
        <f t="shared" si="11"/>
        <v>4.2548889731353692E-2</v>
      </c>
      <c r="P335" s="26"/>
      <c r="Q335" s="45"/>
      <c r="R335" s="38"/>
      <c r="S335" s="38"/>
      <c r="T335" s="38"/>
      <c r="U335" s="1" t="b">
        <v>0</v>
      </c>
      <c r="V335" s="1" t="b">
        <v>1</v>
      </c>
      <c r="W335" s="31" t="s">
        <v>1885</v>
      </c>
    </row>
    <row r="336" spans="1:23" ht="30">
      <c r="A336" s="7">
        <v>335</v>
      </c>
      <c r="B336" s="7" t="s">
        <v>1042</v>
      </c>
      <c r="C336" s="7" t="s">
        <v>51</v>
      </c>
      <c r="D336" s="7" t="s">
        <v>112</v>
      </c>
      <c r="E336" s="11">
        <v>6</v>
      </c>
      <c r="F336" s="7" t="s">
        <v>56</v>
      </c>
      <c r="G336" s="7" t="s">
        <v>1742</v>
      </c>
      <c r="H336" s="37">
        <f>IFERROR(VLOOKUP(C336,Fixture_Engine!$D$2:$R$21,13,FALSE),"")</f>
        <v>1.0502506804949732</v>
      </c>
      <c r="I336" s="37">
        <f>IFERROR(VLOOKUP(C336,Fixture_Engine!$D$2:$R$21,14,FALSE),"")</f>
        <v>1.2669809751991843</v>
      </c>
      <c r="J336" s="37">
        <f>IFERROR(VLOOKUP(C336,Fixture_Engine!$D$2:$R$21,15,FALSE),"")</f>
        <v>0.2816807405197097</v>
      </c>
      <c r="K336" s="13">
        <v>8.5854793200222754E-2</v>
      </c>
      <c r="L336" s="13">
        <v>0.11050638840099958</v>
      </c>
      <c r="M336" s="13">
        <v>0.29682398337785698</v>
      </c>
      <c r="N336" s="38">
        <f t="shared" si="10"/>
        <v>9.0169054982289137E-2</v>
      </c>
      <c r="O336" s="38">
        <f t="shared" si="11"/>
        <v>0.11605940961719162</v>
      </c>
      <c r="P336" s="26"/>
      <c r="Q336" s="45"/>
      <c r="R336" s="38"/>
      <c r="S336" s="38"/>
      <c r="T336" s="38"/>
      <c r="U336" s="1" t="b">
        <v>0</v>
      </c>
      <c r="V336" s="1" t="b">
        <v>0</v>
      </c>
      <c r="W336" s="31" t="s">
        <v>1885</v>
      </c>
    </row>
    <row r="337" spans="1:23" ht="30">
      <c r="A337" s="7">
        <v>336</v>
      </c>
      <c r="B337" s="7" t="s">
        <v>1045</v>
      </c>
      <c r="C337" s="7" t="s">
        <v>51</v>
      </c>
      <c r="D337" s="7" t="s">
        <v>112</v>
      </c>
      <c r="E337" s="11">
        <v>6</v>
      </c>
      <c r="F337" s="7" t="s">
        <v>56</v>
      </c>
      <c r="G337" s="7" t="s">
        <v>1742</v>
      </c>
      <c r="H337" s="37">
        <f>IFERROR(VLOOKUP(C337,Fixture_Engine!$D$2:$R$21,13,FALSE),"")</f>
        <v>1.0502506804949732</v>
      </c>
      <c r="I337" s="37">
        <f>IFERROR(VLOOKUP(C337,Fixture_Engine!$D$2:$R$21,14,FALSE),"")</f>
        <v>1.2669809751991843</v>
      </c>
      <c r="J337" s="37">
        <f>IFERROR(VLOOKUP(C337,Fixture_Engine!$D$2:$R$21,15,FALSE),"")</f>
        <v>0.2816807405197097</v>
      </c>
      <c r="K337" s="13">
        <v>0.17187266892001765</v>
      </c>
      <c r="L337" s="13">
        <v>6.7971870303404319E-2</v>
      </c>
      <c r="M337" s="13">
        <v>0.39169604386995693</v>
      </c>
      <c r="N337" s="38">
        <f t="shared" si="10"/>
        <v>0.18050938749173576</v>
      </c>
      <c r="O337" s="38">
        <f t="shared" si="11"/>
        <v>7.1387503040666447E-2</v>
      </c>
      <c r="P337" s="26"/>
      <c r="Q337" s="45"/>
      <c r="R337" s="38"/>
      <c r="S337" s="38"/>
      <c r="T337" s="38"/>
      <c r="U337" s="1" t="b">
        <v>0</v>
      </c>
      <c r="V337" s="1" t="b">
        <v>0</v>
      </c>
      <c r="W337" s="31" t="s">
        <v>1885</v>
      </c>
    </row>
    <row r="338" spans="1:23" ht="30">
      <c r="A338" s="7">
        <v>337</v>
      </c>
      <c r="B338" s="7" t="s">
        <v>1047</v>
      </c>
      <c r="C338" s="7" t="s">
        <v>51</v>
      </c>
      <c r="D338" s="7" t="s">
        <v>112</v>
      </c>
      <c r="E338" s="11">
        <v>5.5</v>
      </c>
      <c r="F338" s="7" t="s">
        <v>56</v>
      </c>
      <c r="G338" s="7" t="s">
        <v>1742</v>
      </c>
      <c r="H338" s="37">
        <f>IFERROR(VLOOKUP(C338,Fixture_Engine!$D$2:$R$21,13,FALSE),"")</f>
        <v>1.0502506804949732</v>
      </c>
      <c r="I338" s="37">
        <f>IFERROR(VLOOKUP(C338,Fixture_Engine!$D$2:$R$21,14,FALSE),"")</f>
        <v>1.2669809751991843</v>
      </c>
      <c r="J338" s="37">
        <f>IFERROR(VLOOKUP(C338,Fixture_Engine!$D$2:$R$21,15,FALSE),"")</f>
        <v>0.2816807405197097</v>
      </c>
      <c r="K338" s="13">
        <v>0.11405021439126178</v>
      </c>
      <c r="L338" s="13">
        <v>9.2026484069636982E-2</v>
      </c>
      <c r="M338" s="13">
        <v>0.2899391127863149</v>
      </c>
      <c r="N338" s="38">
        <f t="shared" si="10"/>
        <v>0.11978131527502027</v>
      </c>
      <c r="O338" s="38">
        <f t="shared" si="11"/>
        <v>9.6650877517696049E-2</v>
      </c>
      <c r="P338" s="26"/>
      <c r="Q338" s="45"/>
      <c r="R338" s="38"/>
      <c r="S338" s="38"/>
      <c r="T338" s="38"/>
      <c r="U338" s="1" t="b">
        <v>0</v>
      </c>
      <c r="V338" s="1" t="b">
        <v>0</v>
      </c>
      <c r="W338" s="31" t="s">
        <v>1885</v>
      </c>
    </row>
    <row r="339" spans="1:23" ht="30">
      <c r="A339" s="7">
        <v>338</v>
      </c>
      <c r="B339" s="7" t="s">
        <v>1049</v>
      </c>
      <c r="C339" s="7" t="s">
        <v>51</v>
      </c>
      <c r="D339" s="7" t="s">
        <v>112</v>
      </c>
      <c r="E339" s="11">
        <v>5.5</v>
      </c>
      <c r="F339" s="7" t="s">
        <v>56</v>
      </c>
      <c r="G339" s="7" t="s">
        <v>1742</v>
      </c>
      <c r="H339" s="37">
        <f>IFERROR(VLOOKUP(C339,Fixture_Engine!$D$2:$R$21,13,FALSE),"")</f>
        <v>1.0502506804949732</v>
      </c>
      <c r="I339" s="37">
        <f>IFERROR(VLOOKUP(C339,Fixture_Engine!$D$2:$R$21,14,FALSE),"")</f>
        <v>1.2669809751991843</v>
      </c>
      <c r="J339" s="37">
        <f>IFERROR(VLOOKUP(C339,Fixture_Engine!$D$2:$R$21,15,FALSE),"")</f>
        <v>0.2816807405197097</v>
      </c>
      <c r="K339" s="13">
        <v>6.3941235635606553E-2</v>
      </c>
      <c r="L339" s="13">
        <v>5.5610551143807724E-2</v>
      </c>
      <c r="M339" s="13">
        <v>0.24277737314882253</v>
      </c>
      <c r="N339" s="38">
        <f t="shared" si="10"/>
        <v>6.7154326237985215E-2</v>
      </c>
      <c r="O339" s="38">
        <f t="shared" si="11"/>
        <v>5.8405019181484573E-2</v>
      </c>
      <c r="P339" s="26"/>
      <c r="Q339" s="45"/>
      <c r="R339" s="38"/>
      <c r="S339" s="38"/>
      <c r="T339" s="38"/>
      <c r="U339" s="1" t="b">
        <v>0</v>
      </c>
      <c r="V339" s="1" t="b">
        <v>0</v>
      </c>
      <c r="W339" s="31" t="s">
        <v>1885</v>
      </c>
    </row>
    <row r="340" spans="1:23" ht="30">
      <c r="A340" s="7">
        <v>339</v>
      </c>
      <c r="B340" s="7" t="s">
        <v>1052</v>
      </c>
      <c r="C340" s="7" t="s">
        <v>51</v>
      </c>
      <c r="D340" s="7" t="s">
        <v>112</v>
      </c>
      <c r="E340" s="11">
        <v>5</v>
      </c>
      <c r="F340" s="7" t="s">
        <v>56</v>
      </c>
      <c r="G340" s="7" t="s">
        <v>1742</v>
      </c>
      <c r="H340" s="37">
        <f>IFERROR(VLOOKUP(C340,Fixture_Engine!$D$2:$R$21,13,FALSE),"")</f>
        <v>1.0502506804949732</v>
      </c>
      <c r="I340" s="37">
        <f>IFERROR(VLOOKUP(C340,Fixture_Engine!$D$2:$R$21,14,FALSE),"")</f>
        <v>1.2669809751991843</v>
      </c>
      <c r="J340" s="37">
        <f>IFERROR(VLOOKUP(C340,Fixture_Engine!$D$2:$R$21,15,FALSE),"")</f>
        <v>0.2816807405197097</v>
      </c>
      <c r="K340" s="13">
        <v>9.2426563728227162E-2</v>
      </c>
      <c r="L340" s="13">
        <v>0.10396254714556252</v>
      </c>
      <c r="M340" s="13">
        <v>0.49925112331502741</v>
      </c>
      <c r="N340" s="38">
        <f t="shared" si="10"/>
        <v>9.7071061451382584E-2</v>
      </c>
      <c r="O340" s="38">
        <f t="shared" si="11"/>
        <v>0.10918673588561777</v>
      </c>
      <c r="P340" s="26"/>
      <c r="Q340" s="45"/>
      <c r="R340" s="38"/>
      <c r="S340" s="38"/>
      <c r="T340" s="38"/>
      <c r="U340" s="1" t="b">
        <v>1</v>
      </c>
      <c r="V340" s="1" t="b">
        <v>0</v>
      </c>
      <c r="W340" s="31" t="s">
        <v>1885</v>
      </c>
    </row>
    <row r="341" spans="1:23" ht="30">
      <c r="A341" s="7">
        <v>340</v>
      </c>
      <c r="B341" s="7" t="s">
        <v>1054</v>
      </c>
      <c r="C341" s="7" t="s">
        <v>51</v>
      </c>
      <c r="D341" s="7" t="s">
        <v>112</v>
      </c>
      <c r="E341" s="11">
        <v>5</v>
      </c>
      <c r="F341" s="7" t="s">
        <v>56</v>
      </c>
      <c r="G341" s="7" t="s">
        <v>1742</v>
      </c>
      <c r="H341" s="37">
        <f>IFERROR(VLOOKUP(C341,Fixture_Engine!$D$2:$R$21,13,FALSE),"")</f>
        <v>1.0502506804949732</v>
      </c>
      <c r="I341" s="37">
        <f>IFERROR(VLOOKUP(C341,Fixture_Engine!$D$2:$R$21,14,FALSE),"")</f>
        <v>1.2669809751991843</v>
      </c>
      <c r="J341" s="37">
        <f>IFERROR(VLOOKUP(C341,Fixture_Engine!$D$2:$R$21,15,FALSE),"")</f>
        <v>0.2816807405197097</v>
      </c>
      <c r="K341" s="13">
        <v>0.10751786102217777</v>
      </c>
      <c r="L341" s="13">
        <v>9.0240671969462088E-2</v>
      </c>
      <c r="M341" s="13">
        <v>1</v>
      </c>
      <c r="N341" s="38">
        <f t="shared" si="10"/>
        <v>0.11292070670390615</v>
      </c>
      <c r="O341" s="38">
        <f t="shared" si="11"/>
        <v>9.4775327144251215E-2</v>
      </c>
      <c r="P341" s="26"/>
      <c r="Q341" s="45"/>
      <c r="R341" s="38"/>
      <c r="S341" s="38"/>
      <c r="T341" s="38"/>
      <c r="U341" s="1" t="b">
        <v>1</v>
      </c>
      <c r="V341" s="1" t="b">
        <v>1</v>
      </c>
      <c r="W341" s="31" t="s">
        <v>1885</v>
      </c>
    </row>
    <row r="342" spans="1:23" ht="30">
      <c r="A342" s="7">
        <v>341</v>
      </c>
      <c r="B342" s="7" t="s">
        <v>1057</v>
      </c>
      <c r="C342" s="7" t="s">
        <v>51</v>
      </c>
      <c r="D342" s="7" t="s">
        <v>112</v>
      </c>
      <c r="E342" s="11">
        <v>5</v>
      </c>
      <c r="F342" s="7" t="s">
        <v>56</v>
      </c>
      <c r="G342" s="7" t="s">
        <v>1742</v>
      </c>
      <c r="H342" s="37">
        <f>IFERROR(VLOOKUP(C342,Fixture_Engine!$D$2:$R$21,13,FALSE),"")</f>
        <v>1.0502506804949732</v>
      </c>
      <c r="I342" s="37">
        <f>IFERROR(VLOOKUP(C342,Fixture_Engine!$D$2:$R$21,14,FALSE),"")</f>
        <v>1.2669809751991843</v>
      </c>
      <c r="J342" s="37">
        <f>IFERROR(VLOOKUP(C342,Fixture_Engine!$D$2:$R$21,15,FALSE),"")</f>
        <v>0.2816807405197097</v>
      </c>
      <c r="K342" s="13">
        <v>8.7283177791388389E-2</v>
      </c>
      <c r="L342" s="13">
        <v>9.1273759261420617E-2</v>
      </c>
      <c r="M342" s="13">
        <v>0.65746219592373434</v>
      </c>
      <c r="N342" s="38">
        <f t="shared" si="10"/>
        <v>9.1669216871169384E-2</v>
      </c>
      <c r="O342" s="38">
        <f t="shared" si="11"/>
        <v>9.5860327775641366E-2</v>
      </c>
      <c r="P342" s="26"/>
      <c r="Q342" s="45"/>
      <c r="R342" s="38"/>
      <c r="S342" s="38"/>
      <c r="T342" s="38"/>
      <c r="U342" s="1" t="b">
        <v>0</v>
      </c>
      <c r="V342" s="1" t="b">
        <v>1</v>
      </c>
      <c r="W342" s="31" t="s">
        <v>1885</v>
      </c>
    </row>
    <row r="343" spans="1:23" ht="30">
      <c r="A343" s="7">
        <v>342</v>
      </c>
      <c r="B343" s="7" t="s">
        <v>1059</v>
      </c>
      <c r="C343" s="7" t="s">
        <v>51</v>
      </c>
      <c r="D343" s="7" t="s">
        <v>112</v>
      </c>
      <c r="E343" s="11">
        <v>5</v>
      </c>
      <c r="F343" s="7" t="s">
        <v>56</v>
      </c>
      <c r="G343" s="7" t="s">
        <v>1742</v>
      </c>
      <c r="H343" s="37">
        <f>IFERROR(VLOOKUP(C343,Fixture_Engine!$D$2:$R$21,13,FALSE),"")</f>
        <v>1.0502506804949732</v>
      </c>
      <c r="I343" s="37">
        <f>IFERROR(VLOOKUP(C343,Fixture_Engine!$D$2:$R$21,14,FALSE),"")</f>
        <v>1.2669809751991843</v>
      </c>
      <c r="J343" s="37">
        <f>IFERROR(VLOOKUP(C343,Fixture_Engine!$D$2:$R$21,15,FALSE),"")</f>
        <v>0.2816807405197097</v>
      </c>
      <c r="K343" s="13">
        <v>9.9196321474757973E-2</v>
      </c>
      <c r="L343" s="13">
        <v>8.3006011964035967E-2</v>
      </c>
      <c r="M343" s="13">
        <v>0.79239302694136293</v>
      </c>
      <c r="N343" s="38">
        <f t="shared" si="10"/>
        <v>0.10418100413146268</v>
      </c>
      <c r="O343" s="38">
        <f t="shared" si="11"/>
        <v>8.7177120550402665E-2</v>
      </c>
      <c r="P343" s="26"/>
      <c r="Q343" s="45"/>
      <c r="R343" s="38"/>
      <c r="S343" s="38"/>
      <c r="T343" s="38"/>
      <c r="U343" s="1" t="b">
        <v>0</v>
      </c>
      <c r="V343" s="1" t="b">
        <v>1</v>
      </c>
      <c r="W343" s="31" t="s">
        <v>1885</v>
      </c>
    </row>
    <row r="344" spans="1:23" ht="30">
      <c r="A344" s="7">
        <v>343</v>
      </c>
      <c r="B344" s="7" t="s">
        <v>518</v>
      </c>
      <c r="C344" s="7" t="s">
        <v>51</v>
      </c>
      <c r="D344" s="7" t="s">
        <v>112</v>
      </c>
      <c r="E344" s="11">
        <v>5</v>
      </c>
      <c r="F344" s="7" t="s">
        <v>56</v>
      </c>
      <c r="G344" s="7" t="s">
        <v>1742</v>
      </c>
      <c r="H344" s="37">
        <f>IFERROR(VLOOKUP(C344,Fixture_Engine!$D$2:$R$21,13,FALSE),"")</f>
        <v>1.0502506804949732</v>
      </c>
      <c r="I344" s="37">
        <f>IFERROR(VLOOKUP(C344,Fixture_Engine!$D$2:$R$21,14,FALSE),"")</f>
        <v>1.2669809751991843</v>
      </c>
      <c r="J344" s="37">
        <f>IFERROR(VLOOKUP(C344,Fixture_Engine!$D$2:$R$21,15,FALSE),"")</f>
        <v>0.2816807405197097</v>
      </c>
      <c r="K344" s="13">
        <v>0.1066183097794569</v>
      </c>
      <c r="L344" s="13">
        <v>8.7292443423944502E-2</v>
      </c>
      <c r="M344" s="13">
        <v>0.6464124111182934</v>
      </c>
      <c r="N344" s="38">
        <f t="shared" si="10"/>
        <v>0.11197595239909845</v>
      </c>
      <c r="O344" s="38">
        <f t="shared" si="11"/>
        <v>9.1678948108066663E-2</v>
      </c>
      <c r="P344" s="26"/>
      <c r="Q344" s="45"/>
      <c r="R344" s="38"/>
      <c r="S344" s="38"/>
      <c r="T344" s="38"/>
      <c r="U344" s="1" t="b">
        <v>0</v>
      </c>
      <c r="V344" s="1" t="b">
        <v>1</v>
      </c>
      <c r="W344" s="31" t="s">
        <v>1885</v>
      </c>
    </row>
    <row r="345" spans="1:23" ht="30">
      <c r="A345" s="7">
        <v>344</v>
      </c>
      <c r="B345" s="7" t="s">
        <v>1064</v>
      </c>
      <c r="C345" s="7" t="s">
        <v>51</v>
      </c>
      <c r="D345" s="7" t="s">
        <v>112</v>
      </c>
      <c r="E345" s="11">
        <v>5</v>
      </c>
      <c r="F345" s="7" t="s">
        <v>56</v>
      </c>
      <c r="G345" s="7" t="s">
        <v>1742</v>
      </c>
      <c r="H345" s="37">
        <f>IFERROR(VLOOKUP(C345,Fixture_Engine!$D$2:$R$21,13,FALSE),"")</f>
        <v>1.0502506804949732</v>
      </c>
      <c r="I345" s="37">
        <f>IFERROR(VLOOKUP(C345,Fixture_Engine!$D$2:$R$21,14,FALSE),"")</f>
        <v>1.2669809751991843</v>
      </c>
      <c r="J345" s="37">
        <f>IFERROR(VLOOKUP(C345,Fixture_Engine!$D$2:$R$21,15,FALSE),"")</f>
        <v>0.2816807405197097</v>
      </c>
      <c r="K345" s="13">
        <v>5.9722467735275953E-2</v>
      </c>
      <c r="L345" s="13">
        <v>6.2340964032048606E-2</v>
      </c>
      <c r="M345" s="13">
        <v>0.43140638481449523</v>
      </c>
      <c r="N345" s="38">
        <f t="shared" si="10"/>
        <v>6.272356237981265E-2</v>
      </c>
      <c r="O345" s="38">
        <f t="shared" si="11"/>
        <v>6.5473639897371691E-2</v>
      </c>
      <c r="P345" s="26"/>
      <c r="Q345" s="45"/>
      <c r="R345" s="38"/>
      <c r="S345" s="38"/>
      <c r="T345" s="38"/>
      <c r="U345" s="1" t="b">
        <v>0</v>
      </c>
      <c r="V345" s="1" t="b">
        <v>0</v>
      </c>
      <c r="W345" s="31" t="s">
        <v>1885</v>
      </c>
    </row>
    <row r="346" spans="1:23" ht="30">
      <c r="A346" s="7">
        <v>345</v>
      </c>
      <c r="B346" s="7" t="s">
        <v>1066</v>
      </c>
      <c r="C346" s="7" t="s">
        <v>51</v>
      </c>
      <c r="D346" s="7" t="s">
        <v>112</v>
      </c>
      <c r="E346" s="11">
        <v>5</v>
      </c>
      <c r="F346" s="7" t="s">
        <v>56</v>
      </c>
      <c r="G346" s="7" t="s">
        <v>1742</v>
      </c>
      <c r="H346" s="37">
        <f>IFERROR(VLOOKUP(C346,Fixture_Engine!$D$2:$R$21,13,FALSE),"")</f>
        <v>1.0502506804949732</v>
      </c>
      <c r="I346" s="37">
        <f>IFERROR(VLOOKUP(C346,Fixture_Engine!$D$2:$R$21,14,FALSE),"")</f>
        <v>1.2669809751991843</v>
      </c>
      <c r="J346" s="37">
        <f>IFERROR(VLOOKUP(C346,Fixture_Engine!$D$2:$R$21,15,FALSE),"")</f>
        <v>0.2816807405197097</v>
      </c>
      <c r="K346" s="13">
        <v>8.5991040163356791E-2</v>
      </c>
      <c r="L346" s="13">
        <v>7.7134442589654503E-2</v>
      </c>
      <c r="M346" s="13">
        <v>0.43346337234503685</v>
      </c>
      <c r="N346" s="38">
        <f t="shared" si="10"/>
        <v>9.0312148448036034E-2</v>
      </c>
      <c r="O346" s="38">
        <f t="shared" si="11"/>
        <v>8.1010500819385087E-2</v>
      </c>
      <c r="P346" s="26"/>
      <c r="Q346" s="45"/>
      <c r="R346" s="38"/>
      <c r="S346" s="38"/>
      <c r="T346" s="38"/>
      <c r="U346" s="1" t="b">
        <v>0</v>
      </c>
      <c r="V346" s="1" t="b">
        <v>0</v>
      </c>
      <c r="W346" s="31" t="s">
        <v>1885</v>
      </c>
    </row>
    <row r="347" spans="1:23" ht="30">
      <c r="A347" s="7">
        <v>346</v>
      </c>
      <c r="B347" s="7" t="s">
        <v>1068</v>
      </c>
      <c r="C347" s="7" t="s">
        <v>51</v>
      </c>
      <c r="D347" s="7" t="s">
        <v>167</v>
      </c>
      <c r="E347" s="11">
        <v>6</v>
      </c>
      <c r="F347" s="7" t="s">
        <v>56</v>
      </c>
      <c r="G347" s="7" t="s">
        <v>1742</v>
      </c>
      <c r="H347" s="37">
        <f>IFERROR(VLOOKUP(C347,Fixture_Engine!$D$2:$R$21,13,FALSE),"")</f>
        <v>1.0502506804949732</v>
      </c>
      <c r="I347" s="37">
        <f>IFERROR(VLOOKUP(C347,Fixture_Engine!$D$2:$R$21,14,FALSE),"")</f>
        <v>1.2669809751991843</v>
      </c>
      <c r="J347" s="37">
        <f>IFERROR(VLOOKUP(C347,Fixture_Engine!$D$2:$R$21,15,FALSE),"")</f>
        <v>0.2816807405197097</v>
      </c>
      <c r="K347" s="13">
        <v>0.34589532644258775</v>
      </c>
      <c r="L347" s="13">
        <v>2.852557656669525E-2</v>
      </c>
      <c r="M347" s="13">
        <v>0.26874496103198064</v>
      </c>
      <c r="N347" s="38">
        <f t="shared" si="10"/>
        <v>0.36327680197635864</v>
      </c>
      <c r="O347" s="38">
        <f t="shared" si="11"/>
        <v>2.9959006200683147E-2</v>
      </c>
      <c r="P347" s="26"/>
      <c r="Q347" s="45"/>
      <c r="R347" s="38"/>
      <c r="S347" s="38"/>
      <c r="T347" s="38"/>
      <c r="U347" s="1" t="b">
        <v>0</v>
      </c>
      <c r="V347" s="1" t="b">
        <v>0</v>
      </c>
      <c r="W347" s="31" t="s">
        <v>1885</v>
      </c>
    </row>
    <row r="348" spans="1:23" ht="30">
      <c r="A348" s="7">
        <v>347</v>
      </c>
      <c r="B348" s="7" t="s">
        <v>1070</v>
      </c>
      <c r="C348" s="7" t="s">
        <v>51</v>
      </c>
      <c r="D348" s="7" t="s">
        <v>167</v>
      </c>
      <c r="E348" s="11">
        <v>5.5</v>
      </c>
      <c r="F348" s="7" t="s">
        <v>56</v>
      </c>
      <c r="G348" s="7" t="s">
        <v>1742</v>
      </c>
      <c r="H348" s="37">
        <f>IFERROR(VLOOKUP(C348,Fixture_Engine!$D$2:$R$21,13,FALSE),"")</f>
        <v>1.0502506804949732</v>
      </c>
      <c r="I348" s="37">
        <f>IFERROR(VLOOKUP(C348,Fixture_Engine!$D$2:$R$21,14,FALSE),"")</f>
        <v>1.2669809751991843</v>
      </c>
      <c r="J348" s="37">
        <f>IFERROR(VLOOKUP(C348,Fixture_Engine!$D$2:$R$21,15,FALSE),"")</f>
        <v>0.2816807405197097</v>
      </c>
      <c r="K348" s="13">
        <v>0.36904967544967093</v>
      </c>
      <c r="L348" s="13">
        <v>6.7290788630873719E-2</v>
      </c>
      <c r="M348" s="13">
        <v>0.4842615012106537</v>
      </c>
      <c r="N348" s="38">
        <f t="shared" si="10"/>
        <v>0.3875946727774659</v>
      </c>
      <c r="O348" s="38">
        <f t="shared" si="11"/>
        <v>7.067219655061853E-2</v>
      </c>
      <c r="P348" s="26"/>
      <c r="Q348" s="45"/>
      <c r="R348" s="38"/>
      <c r="S348" s="38"/>
      <c r="T348" s="38"/>
      <c r="V348" s="1" t="b">
        <v>0</v>
      </c>
      <c r="W348" s="31" t="s">
        <v>1885</v>
      </c>
    </row>
    <row r="349" spans="1:23" ht="30">
      <c r="A349" s="7">
        <v>348</v>
      </c>
      <c r="B349" s="7" t="s">
        <v>1072</v>
      </c>
      <c r="C349" s="7" t="s">
        <v>51</v>
      </c>
      <c r="D349" s="7" t="s">
        <v>167</v>
      </c>
      <c r="E349" s="11">
        <v>5</v>
      </c>
      <c r="F349" s="7" t="s">
        <v>56</v>
      </c>
      <c r="G349" s="7" t="s">
        <v>1742</v>
      </c>
      <c r="H349" s="37">
        <f>IFERROR(VLOOKUP(C349,Fixture_Engine!$D$2:$R$21,13,FALSE),"")</f>
        <v>1.0502506804949732</v>
      </c>
      <c r="I349" s="37">
        <f>IFERROR(VLOOKUP(C349,Fixture_Engine!$D$2:$R$21,14,FALSE),"")</f>
        <v>1.2669809751991843</v>
      </c>
      <c r="J349" s="37">
        <f>IFERROR(VLOOKUP(C349,Fixture_Engine!$D$2:$R$21,15,FALSE),"")</f>
        <v>0.2816807405197097</v>
      </c>
      <c r="K349" s="13">
        <v>0.29051842683038753</v>
      </c>
      <c r="L349" s="13">
        <v>3.8151940175325368E-2</v>
      </c>
      <c r="M349" s="13">
        <v>0.8038585209003215</v>
      </c>
      <c r="N349" s="38">
        <f t="shared" si="10"/>
        <v>0.3051171754749436</v>
      </c>
      <c r="O349" s="38">
        <f t="shared" si="11"/>
        <v>4.006910113133897E-2</v>
      </c>
      <c r="P349" s="26"/>
      <c r="Q349" s="45"/>
      <c r="R349" s="38"/>
      <c r="S349" s="38"/>
      <c r="T349" s="38"/>
      <c r="V349" s="1" t="b">
        <v>1</v>
      </c>
      <c r="W349" s="31" t="s">
        <v>1885</v>
      </c>
    </row>
    <row r="350" spans="1:23" ht="30">
      <c r="A350" s="7">
        <v>349</v>
      </c>
      <c r="B350" s="7" t="s">
        <v>1075</v>
      </c>
      <c r="C350" s="7" t="s">
        <v>51</v>
      </c>
      <c r="D350" s="7" t="s">
        <v>167</v>
      </c>
      <c r="E350" s="11">
        <v>4.5</v>
      </c>
      <c r="F350" s="7" t="s">
        <v>56</v>
      </c>
      <c r="G350" s="7" t="s">
        <v>1742</v>
      </c>
      <c r="H350" s="37">
        <f>IFERROR(VLOOKUP(C350,Fixture_Engine!$D$2:$R$21,13,FALSE),"")</f>
        <v>1.0502506804949732</v>
      </c>
      <c r="I350" s="37">
        <f>IFERROR(VLOOKUP(C350,Fixture_Engine!$D$2:$R$21,14,FALSE),"")</f>
        <v>1.2669809751991843</v>
      </c>
      <c r="J350" s="37">
        <f>IFERROR(VLOOKUP(C350,Fixture_Engine!$D$2:$R$21,15,FALSE),"")</f>
        <v>0.2816807405197097</v>
      </c>
      <c r="K350" s="13">
        <v>0.30461525508032317</v>
      </c>
      <c r="L350" s="13">
        <v>3.9258061548584466E-2</v>
      </c>
      <c r="M350" s="13">
        <v>1</v>
      </c>
      <c r="N350" s="38">
        <f t="shared" si="10"/>
        <v>0.31992237893725922</v>
      </c>
      <c r="O350" s="38">
        <f t="shared" si="11"/>
        <v>4.1230805856314376E-2</v>
      </c>
      <c r="P350" s="26"/>
      <c r="Q350" s="45"/>
      <c r="R350" s="38"/>
      <c r="S350" s="38"/>
      <c r="T350" s="38"/>
      <c r="U350" s="1" t="b">
        <v>0</v>
      </c>
      <c r="V350" s="1" t="b">
        <v>1</v>
      </c>
      <c r="W350" s="31" t="s">
        <v>1885</v>
      </c>
    </row>
    <row r="351" spans="1:23" ht="30">
      <c r="A351" s="7">
        <v>350</v>
      </c>
      <c r="B351" s="7" t="s">
        <v>1078</v>
      </c>
      <c r="C351" s="7" t="s">
        <v>52</v>
      </c>
      <c r="D351" s="7" t="s">
        <v>85</v>
      </c>
      <c r="E351" s="11">
        <v>5.5</v>
      </c>
      <c r="F351" s="7" t="s">
        <v>55</v>
      </c>
      <c r="G351" s="7" t="s">
        <v>1742</v>
      </c>
      <c r="H351" s="37">
        <f>IFERROR(VLOOKUP(C351,Fixture_Engine!$D$2:$R$21,13,FALSE),"")</f>
        <v>1.5903534900875227</v>
      </c>
      <c r="I351" s="37">
        <f>IFERROR(VLOOKUP(C351,Fixture_Engine!$D$2:$R$21,14,FALSE),"")</f>
        <v>1.1006915106715305</v>
      </c>
      <c r="J351" s="37">
        <f>IFERROR(VLOOKUP(C351,Fixture_Engine!$D$2:$R$21,15,FALSE),"")</f>
        <v>0.33264097936043036</v>
      </c>
      <c r="K351" s="13">
        <v>1.6719534964712218E-4</v>
      </c>
      <c r="L351" s="13">
        <v>9.6062706899004082E-4</v>
      </c>
      <c r="M351" s="13">
        <v>0.36946107784431137</v>
      </c>
      <c r="N351" s="38">
        <f t="shared" si="10"/>
        <v>2.6589970783770441E-4</v>
      </c>
      <c r="O351" s="38">
        <f t="shared" si="11"/>
        <v>1.5277366118408588E-3</v>
      </c>
      <c r="P351" s="26"/>
      <c r="Q351" s="45"/>
      <c r="R351" s="38"/>
      <c r="S351" s="38"/>
      <c r="T351" s="38"/>
      <c r="U351" s="1" t="b">
        <v>0</v>
      </c>
      <c r="V351" s="1" t="b">
        <v>1</v>
      </c>
      <c r="W351" s="31" t="s">
        <v>1885</v>
      </c>
    </row>
    <row r="352" spans="1:23" ht="30">
      <c r="A352" s="7">
        <v>351</v>
      </c>
      <c r="B352" s="7" t="s">
        <v>1083</v>
      </c>
      <c r="C352" s="7" t="s">
        <v>52</v>
      </c>
      <c r="D352" s="7" t="s">
        <v>85</v>
      </c>
      <c r="E352" s="11">
        <v>5</v>
      </c>
      <c r="F352" s="7" t="s">
        <v>55</v>
      </c>
      <c r="G352" s="7" t="s">
        <v>1742</v>
      </c>
      <c r="H352" s="37">
        <f>IFERROR(VLOOKUP(C352,Fixture_Engine!$D$2:$R$21,13,FALSE),"")</f>
        <v>1.5903534900875227</v>
      </c>
      <c r="I352" s="37">
        <f>IFERROR(VLOOKUP(C352,Fixture_Engine!$D$2:$R$21,14,FALSE),"")</f>
        <v>1.1006915106715305</v>
      </c>
      <c r="J352" s="37">
        <f>IFERROR(VLOOKUP(C352,Fixture_Engine!$D$2:$R$21,15,FALSE),"")</f>
        <v>0.33264097936043036</v>
      </c>
      <c r="K352" s="13">
        <v>1.6719534964712218E-4</v>
      </c>
      <c r="L352" s="13">
        <v>1.379361634588758E-3</v>
      </c>
      <c r="M352" s="13">
        <v>0.58205677557578994</v>
      </c>
      <c r="N352" s="38">
        <f t="shared" si="10"/>
        <v>2.6589970783770441E-4</v>
      </c>
      <c r="O352" s="38">
        <f t="shared" si="11"/>
        <v>2.1936725896610615E-3</v>
      </c>
      <c r="P352" s="26"/>
      <c r="Q352" s="45"/>
      <c r="R352" s="38"/>
      <c r="S352" s="38"/>
      <c r="T352" s="38"/>
      <c r="U352" s="1" t="b">
        <v>0</v>
      </c>
      <c r="V352" s="1" t="b">
        <v>1</v>
      </c>
      <c r="W352" s="31" t="s">
        <v>1885</v>
      </c>
    </row>
    <row r="353" spans="1:23" ht="30">
      <c r="A353" s="7">
        <v>352</v>
      </c>
      <c r="B353" s="7" t="s">
        <v>1085</v>
      </c>
      <c r="C353" s="7" t="s">
        <v>52</v>
      </c>
      <c r="D353" s="7" t="s">
        <v>85</v>
      </c>
      <c r="E353" s="11">
        <v>4</v>
      </c>
      <c r="F353" s="7" t="s">
        <v>55</v>
      </c>
      <c r="G353" s="7" t="s">
        <v>1742</v>
      </c>
      <c r="H353" s="37">
        <f>IFERROR(VLOOKUP(C353,Fixture_Engine!$D$2:$R$21,13,FALSE),"")</f>
        <v>1.5903534900875227</v>
      </c>
      <c r="I353" s="37">
        <f>IFERROR(VLOOKUP(C353,Fixture_Engine!$D$2:$R$21,14,FALSE),"")</f>
        <v>1.1006915106715305</v>
      </c>
      <c r="J353" s="37">
        <f>IFERROR(VLOOKUP(C353,Fixture_Engine!$D$2:$R$21,15,FALSE),"")</f>
        <v>0.33264097936043036</v>
      </c>
      <c r="K353" s="13">
        <v>1.6719534964712218E-4</v>
      </c>
      <c r="L353" s="13">
        <v>1.379361634588758E-3</v>
      </c>
      <c r="M353" s="13">
        <v>0.84257425742574255</v>
      </c>
      <c r="N353" s="38">
        <f t="shared" si="10"/>
        <v>2.6589970783770441E-4</v>
      </c>
      <c r="O353" s="38">
        <f t="shared" si="11"/>
        <v>2.1936725896610615E-3</v>
      </c>
      <c r="P353" s="26"/>
      <c r="Q353" s="45"/>
      <c r="R353" s="38"/>
      <c r="S353" s="38"/>
      <c r="T353" s="38"/>
      <c r="U353" s="1" t="b">
        <v>0</v>
      </c>
      <c r="V353" s="1" t="b">
        <v>1</v>
      </c>
      <c r="W353" s="31" t="s">
        <v>1885</v>
      </c>
    </row>
    <row r="354" spans="1:23" ht="30">
      <c r="A354" s="7">
        <v>353</v>
      </c>
      <c r="B354" s="7" t="s">
        <v>1087</v>
      </c>
      <c r="C354" s="7" t="s">
        <v>52</v>
      </c>
      <c r="D354" s="7" t="s">
        <v>85</v>
      </c>
      <c r="E354" s="11">
        <v>4</v>
      </c>
      <c r="F354" s="7" t="s">
        <v>55</v>
      </c>
      <c r="G354" s="7" t="s">
        <v>1742</v>
      </c>
      <c r="H354" s="37">
        <f>IFERROR(VLOOKUP(C354,Fixture_Engine!$D$2:$R$21,13,FALSE),"")</f>
        <v>1.5903534900875227</v>
      </c>
      <c r="I354" s="37">
        <f>IFERROR(VLOOKUP(C354,Fixture_Engine!$D$2:$R$21,14,FALSE),"")</f>
        <v>1.1006915106715305</v>
      </c>
      <c r="J354" s="37">
        <f>IFERROR(VLOOKUP(C354,Fixture_Engine!$D$2:$R$21,15,FALSE),"")</f>
        <v>0.33264097936043036</v>
      </c>
      <c r="K354" s="13">
        <v>1.6719534964712218E-4</v>
      </c>
      <c r="L354" s="13">
        <v>1.379361634588758E-3</v>
      </c>
      <c r="M354" s="13">
        <v>1</v>
      </c>
      <c r="N354" s="38">
        <f t="shared" si="10"/>
        <v>2.6589970783770441E-4</v>
      </c>
      <c r="O354" s="38">
        <f t="shared" si="11"/>
        <v>2.1936725896610615E-3</v>
      </c>
      <c r="P354" s="26"/>
      <c r="Q354" s="45"/>
      <c r="R354" s="38"/>
      <c r="S354" s="38"/>
      <c r="T354" s="38"/>
      <c r="U354" s="1" t="b">
        <v>0</v>
      </c>
      <c r="V354" s="1" t="b">
        <v>1</v>
      </c>
      <c r="W354" s="31" t="s">
        <v>1885</v>
      </c>
    </row>
    <row r="355" spans="1:23" ht="30">
      <c r="A355" s="7">
        <v>354</v>
      </c>
      <c r="B355" s="7" t="s">
        <v>1089</v>
      </c>
      <c r="C355" s="7" t="s">
        <v>52</v>
      </c>
      <c r="D355" s="7" t="s">
        <v>85</v>
      </c>
      <c r="E355" s="11">
        <v>4</v>
      </c>
      <c r="F355" s="7" t="s">
        <v>55</v>
      </c>
      <c r="G355" s="7" t="s">
        <v>1742</v>
      </c>
      <c r="H355" s="37">
        <f>IFERROR(VLOOKUP(C355,Fixture_Engine!$D$2:$R$21,13,FALSE),"")</f>
        <v>1.5903534900875227</v>
      </c>
      <c r="I355" s="37">
        <f>IFERROR(VLOOKUP(C355,Fixture_Engine!$D$2:$R$21,14,FALSE),"")</f>
        <v>1.1006915106715305</v>
      </c>
      <c r="J355" s="37">
        <f>IFERROR(VLOOKUP(C355,Fixture_Engine!$D$2:$R$21,15,FALSE),"")</f>
        <v>0.33264097936043036</v>
      </c>
      <c r="K355" s="13">
        <v>1.6719534964712218E-4</v>
      </c>
      <c r="L355" s="13">
        <v>1.379361634588758E-3</v>
      </c>
      <c r="M355" s="13">
        <v>1</v>
      </c>
      <c r="N355" s="38">
        <f t="shared" si="10"/>
        <v>2.6589970783770441E-4</v>
      </c>
      <c r="O355" s="38">
        <f t="shared" si="11"/>
        <v>2.1936725896610615E-3</v>
      </c>
      <c r="P355" s="26"/>
      <c r="Q355" s="45"/>
      <c r="R355" s="38"/>
      <c r="S355" s="38"/>
      <c r="T355" s="38"/>
      <c r="U355" s="1" t="b">
        <v>0</v>
      </c>
      <c r="V355" s="1" t="b">
        <v>1</v>
      </c>
      <c r="W355" s="31" t="s">
        <v>1885</v>
      </c>
    </row>
    <row r="356" spans="1:23" ht="30">
      <c r="A356" s="7">
        <v>355</v>
      </c>
      <c r="B356" s="7" t="s">
        <v>1091</v>
      </c>
      <c r="C356" s="7" t="s">
        <v>52</v>
      </c>
      <c r="D356" s="7" t="s">
        <v>85</v>
      </c>
      <c r="E356" s="11">
        <v>4</v>
      </c>
      <c r="F356" s="7" t="s">
        <v>55</v>
      </c>
      <c r="G356" s="7" t="s">
        <v>1742</v>
      </c>
      <c r="H356" s="37">
        <f>IFERROR(VLOOKUP(C356,Fixture_Engine!$D$2:$R$21,13,FALSE),"")</f>
        <v>1.5903534900875227</v>
      </c>
      <c r="I356" s="37">
        <f>IFERROR(VLOOKUP(C356,Fixture_Engine!$D$2:$R$21,14,FALSE),"")</f>
        <v>1.1006915106715305</v>
      </c>
      <c r="J356" s="37">
        <f>IFERROR(VLOOKUP(C356,Fixture_Engine!$D$2:$R$21,15,FALSE),"")</f>
        <v>0.33264097936043036</v>
      </c>
      <c r="K356" s="13">
        <v>1.6719534964712218E-4</v>
      </c>
      <c r="L356" s="13">
        <v>1.379361634588758E-3</v>
      </c>
      <c r="M356" s="13">
        <v>1</v>
      </c>
      <c r="N356" s="38">
        <f t="shared" si="10"/>
        <v>2.6589970783770441E-4</v>
      </c>
      <c r="O356" s="38">
        <f t="shared" si="11"/>
        <v>2.1936725896610615E-3</v>
      </c>
      <c r="P356" s="26"/>
      <c r="Q356" s="45"/>
      <c r="R356" s="38"/>
      <c r="S356" s="38"/>
      <c r="T356" s="38"/>
      <c r="V356" s="1" t="b">
        <v>1</v>
      </c>
      <c r="W356" s="31" t="s">
        <v>1885</v>
      </c>
    </row>
    <row r="357" spans="1:23" ht="30">
      <c r="A357" s="7">
        <v>356</v>
      </c>
      <c r="B357" s="7" t="s">
        <v>1094</v>
      </c>
      <c r="C357" s="7" t="s">
        <v>52</v>
      </c>
      <c r="D357" s="7" t="s">
        <v>99</v>
      </c>
      <c r="E357" s="11">
        <v>6.5</v>
      </c>
      <c r="F357" s="7" t="s">
        <v>55</v>
      </c>
      <c r="G357" s="7" t="s">
        <v>1742</v>
      </c>
      <c r="H357" s="37">
        <f>IFERROR(VLOOKUP(C357,Fixture_Engine!$D$2:$R$21,13,FALSE),"")</f>
        <v>1.5903534900875227</v>
      </c>
      <c r="I357" s="37">
        <f>IFERROR(VLOOKUP(C357,Fixture_Engine!$D$2:$R$21,14,FALSE),"")</f>
        <v>1.1006915106715305</v>
      </c>
      <c r="J357" s="37">
        <f>IFERROR(VLOOKUP(C357,Fixture_Engine!$D$2:$R$21,15,FALSE),"")</f>
        <v>0.33264097936043036</v>
      </c>
      <c r="K357" s="13">
        <v>5.531958358144428E-2</v>
      </c>
      <c r="L357" s="13">
        <v>2.8659261670371031E-2</v>
      </c>
      <c r="M357" s="13">
        <v>0.30361990950226236</v>
      </c>
      <c r="N357" s="38">
        <f t="shared" si="10"/>
        <v>8.797769281893833E-2</v>
      </c>
      <c r="O357" s="38">
        <f t="shared" si="11"/>
        <v>4.5578356820806132E-2</v>
      </c>
      <c r="P357" s="26"/>
      <c r="Q357" s="45"/>
      <c r="R357" s="38"/>
      <c r="S357" s="38"/>
      <c r="T357" s="38"/>
      <c r="U357" s="1" t="b">
        <v>0</v>
      </c>
      <c r="V357" s="1" t="b">
        <v>1</v>
      </c>
      <c r="W357" s="31" t="s">
        <v>1885</v>
      </c>
    </row>
    <row r="358" spans="1:23" ht="30">
      <c r="A358" s="7">
        <v>357</v>
      </c>
      <c r="B358" s="7" t="s">
        <v>1097</v>
      </c>
      <c r="C358" s="7" t="s">
        <v>52</v>
      </c>
      <c r="D358" s="7" t="s">
        <v>99</v>
      </c>
      <c r="E358" s="11">
        <v>5.5</v>
      </c>
      <c r="F358" s="7" t="s">
        <v>55</v>
      </c>
      <c r="G358" s="7" t="s">
        <v>1742</v>
      </c>
      <c r="H358" s="37">
        <f>IFERROR(VLOOKUP(C358,Fixture_Engine!$D$2:$R$21,13,FALSE),"")</f>
        <v>1.5903534900875227</v>
      </c>
      <c r="I358" s="37">
        <f>IFERROR(VLOOKUP(C358,Fixture_Engine!$D$2:$R$21,14,FALSE),"")</f>
        <v>1.1006915106715305</v>
      </c>
      <c r="J358" s="37">
        <f>IFERROR(VLOOKUP(C358,Fixture_Engine!$D$2:$R$21,15,FALSE),"")</f>
        <v>0.33264097936043036</v>
      </c>
      <c r="K358" s="13">
        <v>3.4692071281409116E-2</v>
      </c>
      <c r="L358" s="13">
        <v>6.029662450743082E-2</v>
      </c>
      <c r="M358" s="13">
        <v>0.54291338582677162</v>
      </c>
      <c r="N358" s="38">
        <f t="shared" si="10"/>
        <v>5.5172656640754103E-2</v>
      </c>
      <c r="O358" s="38">
        <f t="shared" si="11"/>
        <v>9.5892947225889452E-2</v>
      </c>
      <c r="P358" s="26"/>
      <c r="Q358" s="45"/>
      <c r="R358" s="38"/>
      <c r="S358" s="38"/>
      <c r="T358" s="38"/>
      <c r="U358" s="1" t="b">
        <v>0</v>
      </c>
      <c r="V358" s="1" t="b">
        <v>1</v>
      </c>
      <c r="W358" s="31" t="s">
        <v>1885</v>
      </c>
    </row>
    <row r="359" spans="1:23" ht="30">
      <c r="A359" s="7">
        <v>358</v>
      </c>
      <c r="B359" s="7" t="s">
        <v>1099</v>
      </c>
      <c r="C359" s="7" t="s">
        <v>52</v>
      </c>
      <c r="D359" s="7" t="s">
        <v>99</v>
      </c>
      <c r="E359" s="11">
        <v>5.5</v>
      </c>
      <c r="F359" s="7" t="s">
        <v>55</v>
      </c>
      <c r="G359" s="7" t="s">
        <v>1742</v>
      </c>
      <c r="H359" s="37">
        <f>IFERROR(VLOOKUP(C359,Fixture_Engine!$D$2:$R$21,13,FALSE),"")</f>
        <v>1.5903534900875227</v>
      </c>
      <c r="I359" s="37">
        <f>IFERROR(VLOOKUP(C359,Fixture_Engine!$D$2:$R$21,14,FALSE),"")</f>
        <v>1.1006915106715305</v>
      </c>
      <c r="J359" s="37">
        <f>IFERROR(VLOOKUP(C359,Fixture_Engine!$D$2:$R$21,15,FALSE),"")</f>
        <v>0.33264097936043036</v>
      </c>
      <c r="K359" s="13">
        <v>3.8671674703464554E-2</v>
      </c>
      <c r="L359" s="13">
        <v>2.5923993758662146E-2</v>
      </c>
      <c r="M359" s="13">
        <v>0.37683789603199014</v>
      </c>
      <c r="N359" s="38">
        <f t="shared" si="10"/>
        <v>6.1501632832184218E-2</v>
      </c>
      <c r="O359" s="38">
        <f t="shared" si="11"/>
        <v>4.1228313951095497E-2</v>
      </c>
      <c r="P359" s="26"/>
      <c r="Q359" s="45"/>
      <c r="R359" s="38"/>
      <c r="S359" s="38"/>
      <c r="T359" s="38"/>
      <c r="U359" s="1" t="b">
        <v>0</v>
      </c>
      <c r="V359" s="1" t="b">
        <v>1</v>
      </c>
      <c r="W359" s="31" t="s">
        <v>1885</v>
      </c>
    </row>
    <row r="360" spans="1:23" ht="30">
      <c r="A360" s="7">
        <v>359</v>
      </c>
      <c r="B360" s="7" t="s">
        <v>467</v>
      </c>
      <c r="C360" s="7" t="s">
        <v>52</v>
      </c>
      <c r="D360" s="7" t="s">
        <v>99</v>
      </c>
      <c r="E360" s="11">
        <v>5</v>
      </c>
      <c r="F360" s="7" t="s">
        <v>55</v>
      </c>
      <c r="G360" s="7" t="s">
        <v>1742</v>
      </c>
      <c r="H360" s="37">
        <f>IFERROR(VLOOKUP(C360,Fixture_Engine!$D$2:$R$21,13,FALSE),"")</f>
        <v>1.5903534900875227</v>
      </c>
      <c r="I360" s="37">
        <f>IFERROR(VLOOKUP(C360,Fixture_Engine!$D$2:$R$21,14,FALSE),"")</f>
        <v>1.1006915106715305</v>
      </c>
      <c r="J360" s="37">
        <f>IFERROR(VLOOKUP(C360,Fixture_Engine!$D$2:$R$21,15,FALSE),"")</f>
        <v>0.33264097936043036</v>
      </c>
      <c r="K360" s="13">
        <v>3.6164113945382305E-2</v>
      </c>
      <c r="L360" s="13">
        <v>4.7086124706072069E-2</v>
      </c>
      <c r="M360" s="13">
        <v>0.66461731493099119</v>
      </c>
      <c r="N360" s="38">
        <f t="shared" si="10"/>
        <v>5.7513724828961596E-2</v>
      </c>
      <c r="O360" s="38">
        <f t="shared" si="11"/>
        <v>7.4883582760998046E-2</v>
      </c>
      <c r="P360" s="26"/>
      <c r="Q360" s="45"/>
      <c r="R360" s="38"/>
      <c r="S360" s="38"/>
      <c r="T360" s="38"/>
      <c r="U360" s="1" t="b">
        <v>0</v>
      </c>
      <c r="V360" s="1" t="b">
        <v>1</v>
      </c>
      <c r="W360" s="31" t="s">
        <v>1885</v>
      </c>
    </row>
    <row r="361" spans="1:23" ht="30">
      <c r="A361" s="7">
        <v>360</v>
      </c>
      <c r="B361" s="7" t="s">
        <v>1104</v>
      </c>
      <c r="C361" s="7" t="s">
        <v>52</v>
      </c>
      <c r="D361" s="7" t="s">
        <v>99</v>
      </c>
      <c r="E361" s="11">
        <v>5</v>
      </c>
      <c r="F361" s="7" t="s">
        <v>55</v>
      </c>
      <c r="G361" s="7" t="s">
        <v>1742</v>
      </c>
      <c r="H361" s="37">
        <f>IFERROR(VLOOKUP(C361,Fixture_Engine!$D$2:$R$21,13,FALSE),"")</f>
        <v>1.5903534900875227</v>
      </c>
      <c r="I361" s="37">
        <f>IFERROR(VLOOKUP(C361,Fixture_Engine!$D$2:$R$21,14,FALSE),"")</f>
        <v>1.1006915106715305</v>
      </c>
      <c r="J361" s="37">
        <f>IFERROR(VLOOKUP(C361,Fixture_Engine!$D$2:$R$21,15,FALSE),"")</f>
        <v>0.33264097936043036</v>
      </c>
      <c r="K361" s="13">
        <v>2.8007544251864368E-2</v>
      </c>
      <c r="L361" s="13">
        <v>4.4839644193820152E-2</v>
      </c>
      <c r="M361" s="13">
        <v>0.56680497925311202</v>
      </c>
      <c r="N361" s="38">
        <f t="shared" si="10"/>
        <v>4.4541895749733232E-2</v>
      </c>
      <c r="O361" s="38">
        <f t="shared" si="11"/>
        <v>7.1310884637924607E-2</v>
      </c>
      <c r="P361" s="26"/>
      <c r="Q361" s="45"/>
      <c r="R361" s="38"/>
      <c r="S361" s="38"/>
      <c r="T361" s="38"/>
      <c r="U361" s="1" t="b">
        <v>0</v>
      </c>
      <c r="V361" s="1" t="b">
        <v>1</v>
      </c>
      <c r="W361" s="31" t="s">
        <v>1885</v>
      </c>
    </row>
    <row r="362" spans="1:23" ht="30">
      <c r="A362" s="7">
        <v>361</v>
      </c>
      <c r="B362" s="7" t="s">
        <v>1107</v>
      </c>
      <c r="C362" s="7" t="s">
        <v>52</v>
      </c>
      <c r="D362" s="7" t="s">
        <v>99</v>
      </c>
      <c r="E362" s="11">
        <v>4</v>
      </c>
      <c r="F362" s="7" t="s">
        <v>55</v>
      </c>
      <c r="G362" s="7" t="s">
        <v>1742</v>
      </c>
      <c r="H362" s="37">
        <f>IFERROR(VLOOKUP(C362,Fixture_Engine!$D$2:$R$21,13,FALSE),"")</f>
        <v>1.5903534900875227</v>
      </c>
      <c r="I362" s="37">
        <f>IFERROR(VLOOKUP(C362,Fixture_Engine!$D$2:$R$21,14,FALSE),"")</f>
        <v>1.1006915106715305</v>
      </c>
      <c r="J362" s="37">
        <f>IFERROR(VLOOKUP(C362,Fixture_Engine!$D$2:$R$21,15,FALSE),"")</f>
        <v>0.33264097936043036</v>
      </c>
      <c r="K362" s="13">
        <v>4.1142361271531161E-2</v>
      </c>
      <c r="L362" s="13">
        <v>4.0513079897554365E-2</v>
      </c>
      <c r="M362" s="13">
        <v>1</v>
      </c>
      <c r="N362" s="38">
        <f t="shared" si="10"/>
        <v>6.5430897838621313E-2</v>
      </c>
      <c r="O362" s="38">
        <f t="shared" si="11"/>
        <v>6.4430118009270246E-2</v>
      </c>
      <c r="P362" s="26"/>
      <c r="Q362" s="45"/>
      <c r="R362" s="38"/>
      <c r="S362" s="38"/>
      <c r="T362" s="38"/>
      <c r="U362" s="1" t="b">
        <v>1</v>
      </c>
      <c r="V362" s="1" t="b">
        <v>1</v>
      </c>
      <c r="W362" s="31" t="s">
        <v>1885</v>
      </c>
    </row>
    <row r="363" spans="1:23" ht="30">
      <c r="A363" s="7">
        <v>362</v>
      </c>
      <c r="B363" s="7" t="s">
        <v>1109</v>
      </c>
      <c r="C363" s="7" t="s">
        <v>52</v>
      </c>
      <c r="D363" s="7" t="s">
        <v>99</v>
      </c>
      <c r="E363" s="11">
        <v>5</v>
      </c>
      <c r="F363" s="7" t="s">
        <v>55</v>
      </c>
      <c r="G363" s="7" t="s">
        <v>1742</v>
      </c>
      <c r="H363" s="37">
        <f>IFERROR(VLOOKUP(C363,Fixture_Engine!$D$2:$R$21,13,FALSE),"")</f>
        <v>1.5903534900875227</v>
      </c>
      <c r="I363" s="37">
        <f>IFERROR(VLOOKUP(C363,Fixture_Engine!$D$2:$R$21,14,FALSE),"")</f>
        <v>1.1006915106715305</v>
      </c>
      <c r="J363" s="37">
        <f>IFERROR(VLOOKUP(C363,Fixture_Engine!$D$2:$R$21,15,FALSE),"")</f>
        <v>0.33264097936043036</v>
      </c>
      <c r="K363" s="13">
        <v>4.1142361271531161E-2</v>
      </c>
      <c r="L363" s="13">
        <v>4.0513079897554365E-2</v>
      </c>
      <c r="M363" s="13">
        <v>1</v>
      </c>
      <c r="N363" s="38">
        <f t="shared" si="10"/>
        <v>6.5430897838621313E-2</v>
      </c>
      <c r="O363" s="38">
        <f t="shared" si="11"/>
        <v>6.4430118009270246E-2</v>
      </c>
      <c r="P363" s="26"/>
      <c r="Q363" s="45"/>
      <c r="R363" s="38"/>
      <c r="S363" s="38"/>
      <c r="T363" s="38"/>
      <c r="U363" s="1" t="b">
        <v>0</v>
      </c>
      <c r="V363" s="1" t="b">
        <v>1</v>
      </c>
      <c r="W363" s="31" t="s">
        <v>1885</v>
      </c>
    </row>
    <row r="364" spans="1:23" ht="30">
      <c r="A364" s="7">
        <v>363</v>
      </c>
      <c r="B364" s="7" t="s">
        <v>1111</v>
      </c>
      <c r="C364" s="7" t="s">
        <v>52</v>
      </c>
      <c r="D364" s="7" t="s">
        <v>99</v>
      </c>
      <c r="E364" s="11">
        <v>4</v>
      </c>
      <c r="F364" s="7" t="s">
        <v>55</v>
      </c>
      <c r="G364" s="7" t="s">
        <v>1742</v>
      </c>
      <c r="H364" s="37">
        <f>IFERROR(VLOOKUP(C364,Fixture_Engine!$D$2:$R$21,13,FALSE),"")</f>
        <v>1.5903534900875227</v>
      </c>
      <c r="I364" s="37">
        <f>IFERROR(VLOOKUP(C364,Fixture_Engine!$D$2:$R$21,14,FALSE),"")</f>
        <v>1.1006915106715305</v>
      </c>
      <c r="J364" s="37">
        <f>IFERROR(VLOOKUP(C364,Fixture_Engine!$D$2:$R$21,15,FALSE),"")</f>
        <v>0.33264097936043036</v>
      </c>
      <c r="K364" s="13">
        <v>4.1142361271531161E-2</v>
      </c>
      <c r="L364" s="13">
        <v>4.0513079897554365E-2</v>
      </c>
      <c r="M364" s="13">
        <v>1</v>
      </c>
      <c r="N364" s="38">
        <f t="shared" si="10"/>
        <v>6.5430897838621313E-2</v>
      </c>
      <c r="O364" s="38">
        <f t="shared" si="11"/>
        <v>6.4430118009270246E-2</v>
      </c>
      <c r="P364" s="26"/>
      <c r="Q364" s="45"/>
      <c r="R364" s="38"/>
      <c r="S364" s="38"/>
      <c r="T364" s="38"/>
      <c r="U364" s="1" t="b">
        <v>0</v>
      </c>
      <c r="V364" s="1" t="b">
        <v>1</v>
      </c>
      <c r="W364" s="31" t="s">
        <v>1885</v>
      </c>
    </row>
    <row r="365" spans="1:23" ht="30">
      <c r="A365" s="7">
        <v>364</v>
      </c>
      <c r="B365" s="7" t="s">
        <v>1113</v>
      </c>
      <c r="C365" s="7" t="s">
        <v>52</v>
      </c>
      <c r="D365" s="7" t="s">
        <v>99</v>
      </c>
      <c r="E365" s="11">
        <v>5</v>
      </c>
      <c r="F365" s="7" t="s">
        <v>55</v>
      </c>
      <c r="G365" s="7" t="s">
        <v>1742</v>
      </c>
      <c r="H365" s="37">
        <f>IFERROR(VLOOKUP(C365,Fixture_Engine!$D$2:$R$21,13,FALSE),"")</f>
        <v>1.5903534900875227</v>
      </c>
      <c r="I365" s="37">
        <f>IFERROR(VLOOKUP(C365,Fixture_Engine!$D$2:$R$21,14,FALSE),"")</f>
        <v>1.1006915106715305</v>
      </c>
      <c r="J365" s="37">
        <f>IFERROR(VLOOKUP(C365,Fixture_Engine!$D$2:$R$21,15,FALSE),"")</f>
        <v>0.33264097936043036</v>
      </c>
      <c r="K365" s="13">
        <v>4.1142361271531161E-2</v>
      </c>
      <c r="L365" s="13">
        <v>4.0513079897554365E-2</v>
      </c>
      <c r="M365" s="13">
        <v>1</v>
      </c>
      <c r="N365" s="38">
        <f t="shared" si="10"/>
        <v>6.5430897838621313E-2</v>
      </c>
      <c r="O365" s="38">
        <f t="shared" si="11"/>
        <v>6.4430118009270246E-2</v>
      </c>
      <c r="P365" s="26"/>
      <c r="Q365" s="45"/>
      <c r="R365" s="38"/>
      <c r="S365" s="38"/>
      <c r="T365" s="38"/>
      <c r="U365" s="1" t="b">
        <v>0</v>
      </c>
      <c r="V365" s="1" t="b">
        <v>1</v>
      </c>
      <c r="W365" s="31" t="s">
        <v>1885</v>
      </c>
    </row>
    <row r="366" spans="1:23" ht="30">
      <c r="A366" s="7">
        <v>365</v>
      </c>
      <c r="B366" s="7" t="s">
        <v>1116</v>
      </c>
      <c r="C366" s="7" t="s">
        <v>52</v>
      </c>
      <c r="D366" s="7" t="s">
        <v>99</v>
      </c>
      <c r="E366" s="11">
        <v>4</v>
      </c>
      <c r="F366" s="7" t="s">
        <v>55</v>
      </c>
      <c r="G366" s="7" t="s">
        <v>1742</v>
      </c>
      <c r="H366" s="37">
        <f>IFERROR(VLOOKUP(C366,Fixture_Engine!$D$2:$R$21,13,FALSE),"")</f>
        <v>1.5903534900875227</v>
      </c>
      <c r="I366" s="37">
        <f>IFERROR(VLOOKUP(C366,Fixture_Engine!$D$2:$R$21,14,FALSE),"")</f>
        <v>1.1006915106715305</v>
      </c>
      <c r="J366" s="37">
        <f>IFERROR(VLOOKUP(C366,Fixture_Engine!$D$2:$R$21,15,FALSE),"")</f>
        <v>0.33264097936043036</v>
      </c>
      <c r="K366" s="13">
        <v>4.1142361271531161E-2</v>
      </c>
      <c r="L366" s="13">
        <v>4.0513079897554365E-2</v>
      </c>
      <c r="M366" s="13">
        <v>1</v>
      </c>
      <c r="N366" s="38">
        <f t="shared" si="10"/>
        <v>6.5430897838621313E-2</v>
      </c>
      <c r="O366" s="38">
        <f t="shared" si="11"/>
        <v>6.4430118009270246E-2</v>
      </c>
      <c r="P366" s="26"/>
      <c r="Q366" s="45"/>
      <c r="R366" s="38"/>
      <c r="S366" s="38"/>
      <c r="T366" s="38"/>
      <c r="U366" s="1" t="b">
        <v>0</v>
      </c>
      <c r="V366" s="1" t="b">
        <v>1</v>
      </c>
      <c r="W366" s="31" t="s">
        <v>1885</v>
      </c>
    </row>
    <row r="367" spans="1:23" ht="30">
      <c r="A367" s="7">
        <v>366</v>
      </c>
      <c r="B367" s="7" t="s">
        <v>1119</v>
      </c>
      <c r="C367" s="7" t="s">
        <v>52</v>
      </c>
      <c r="D367" s="7" t="s">
        <v>112</v>
      </c>
      <c r="E367" s="11">
        <v>7.5</v>
      </c>
      <c r="F367" s="7" t="s">
        <v>55</v>
      </c>
      <c r="G367" s="7" t="s">
        <v>1742</v>
      </c>
      <c r="H367" s="37">
        <f>IFERROR(VLOOKUP(C367,Fixture_Engine!$D$2:$R$21,13,FALSE),"")</f>
        <v>1.5903534900875227</v>
      </c>
      <c r="I367" s="37">
        <f>IFERROR(VLOOKUP(C367,Fixture_Engine!$D$2:$R$21,14,FALSE),"")</f>
        <v>1.1006915106715305</v>
      </c>
      <c r="J367" s="37">
        <f>IFERROR(VLOOKUP(C367,Fixture_Engine!$D$2:$R$21,15,FALSE),"")</f>
        <v>0.33264097936043036</v>
      </c>
      <c r="K367" s="13">
        <v>0.14107618597318938</v>
      </c>
      <c r="L367" s="13">
        <v>0.10958916906776925</v>
      </c>
      <c r="M367" s="13">
        <v>0.36674570243034965</v>
      </c>
      <c r="N367" s="38">
        <f t="shared" si="10"/>
        <v>0.22436100473069814</v>
      </c>
      <c r="O367" s="38">
        <f t="shared" si="11"/>
        <v>0.17428551750271842</v>
      </c>
      <c r="P367" s="26"/>
      <c r="Q367" s="45"/>
      <c r="R367" s="38"/>
      <c r="S367" s="38"/>
      <c r="T367" s="38"/>
      <c r="U367" s="1" t="b">
        <v>0</v>
      </c>
      <c r="V367" s="1" t="b">
        <v>1</v>
      </c>
      <c r="W367" s="31" t="s">
        <v>1885</v>
      </c>
    </row>
    <row r="368" spans="1:23" ht="30">
      <c r="A368" s="7">
        <v>367</v>
      </c>
      <c r="B368" s="7" t="s">
        <v>1122</v>
      </c>
      <c r="C368" s="7" t="s">
        <v>52</v>
      </c>
      <c r="D368" s="7" t="s">
        <v>112</v>
      </c>
      <c r="E368" s="11">
        <v>7</v>
      </c>
      <c r="F368" s="7" t="s">
        <v>55</v>
      </c>
      <c r="G368" s="7" t="s">
        <v>1742</v>
      </c>
      <c r="H368" s="37">
        <f>IFERROR(VLOOKUP(C368,Fixture_Engine!$D$2:$R$21,13,FALSE),"")</f>
        <v>1.5903534900875227</v>
      </c>
      <c r="I368" s="37">
        <f>IFERROR(VLOOKUP(C368,Fixture_Engine!$D$2:$R$21,14,FALSE),"")</f>
        <v>1.1006915106715305</v>
      </c>
      <c r="J368" s="37">
        <f>IFERROR(VLOOKUP(C368,Fixture_Engine!$D$2:$R$21,15,FALSE),"")</f>
        <v>0.33264097936043036</v>
      </c>
      <c r="K368" s="13">
        <v>0.14887728777979575</v>
      </c>
      <c r="L368" s="13">
        <v>9.3528076826611906E-2</v>
      </c>
      <c r="M368" s="13">
        <v>0.34089935760171308</v>
      </c>
      <c r="N368" s="38">
        <f t="shared" si="10"/>
        <v>0.23676751421536266</v>
      </c>
      <c r="O368" s="38">
        <f t="shared" si="11"/>
        <v>0.14874270340237619</v>
      </c>
      <c r="P368" s="26"/>
      <c r="Q368" s="45"/>
      <c r="R368" s="38"/>
      <c r="S368" s="38"/>
      <c r="T368" s="38"/>
      <c r="U368" s="1" t="b">
        <v>0</v>
      </c>
      <c r="V368" s="1" t="b">
        <v>1</v>
      </c>
      <c r="W368" s="31" t="s">
        <v>1885</v>
      </c>
    </row>
    <row r="369" spans="1:23" ht="30">
      <c r="A369" s="7">
        <v>368</v>
      </c>
      <c r="B369" s="7" t="s">
        <v>1124</v>
      </c>
      <c r="C369" s="7" t="s">
        <v>52</v>
      </c>
      <c r="D369" s="7" t="s">
        <v>112</v>
      </c>
      <c r="E369" s="11">
        <v>7</v>
      </c>
      <c r="F369" s="7" t="s">
        <v>55</v>
      </c>
      <c r="G369" s="7" t="s">
        <v>1742</v>
      </c>
      <c r="H369" s="37">
        <f>IFERROR(VLOOKUP(C369,Fixture_Engine!$D$2:$R$21,13,FALSE),"")</f>
        <v>1.5903534900875227</v>
      </c>
      <c r="I369" s="37">
        <f>IFERROR(VLOOKUP(C369,Fixture_Engine!$D$2:$R$21,14,FALSE),"")</f>
        <v>1.1006915106715305</v>
      </c>
      <c r="J369" s="37">
        <f>IFERROR(VLOOKUP(C369,Fixture_Engine!$D$2:$R$21,15,FALSE),"")</f>
        <v>0.33264097936043036</v>
      </c>
      <c r="K369" s="13">
        <v>9.009383160881225E-2</v>
      </c>
      <c r="L369" s="13">
        <v>0.10925210477190228</v>
      </c>
      <c r="M369" s="13">
        <v>0.31266540642722118</v>
      </c>
      <c r="N369" s="38">
        <f t="shared" si="10"/>
        <v>0.14328103953443214</v>
      </c>
      <c r="O369" s="38">
        <f t="shared" si="11"/>
        <v>0.17374946612340247</v>
      </c>
      <c r="P369" s="26"/>
      <c r="Q369" s="45"/>
      <c r="R369" s="38"/>
      <c r="S369" s="38"/>
      <c r="T369" s="38"/>
      <c r="U369" s="1" t="b">
        <v>0</v>
      </c>
      <c r="V369" s="1" t="b">
        <v>1</v>
      </c>
      <c r="W369" s="31" t="s">
        <v>1885</v>
      </c>
    </row>
    <row r="370" spans="1:23" ht="30">
      <c r="A370" s="7">
        <v>369</v>
      </c>
      <c r="B370" s="7" t="s">
        <v>1127</v>
      </c>
      <c r="C370" s="7" t="s">
        <v>52</v>
      </c>
      <c r="D370" s="7" t="s">
        <v>112</v>
      </c>
      <c r="E370" s="11">
        <v>6</v>
      </c>
      <c r="F370" s="7" t="s">
        <v>55</v>
      </c>
      <c r="G370" s="7" t="s">
        <v>1742</v>
      </c>
      <c r="H370" s="37">
        <f>IFERROR(VLOOKUP(C370,Fixture_Engine!$D$2:$R$21,13,FALSE),"")</f>
        <v>1.5903534900875227</v>
      </c>
      <c r="I370" s="37">
        <f>IFERROR(VLOOKUP(C370,Fixture_Engine!$D$2:$R$21,14,FALSE),"")</f>
        <v>1.1006915106715305</v>
      </c>
      <c r="J370" s="37">
        <f>IFERROR(VLOOKUP(C370,Fixture_Engine!$D$2:$R$21,15,FALSE),"")</f>
        <v>0.33264097936043036</v>
      </c>
      <c r="K370" s="13">
        <v>0.11679590446205487</v>
      </c>
      <c r="L370" s="13">
        <v>0.12676347834534818</v>
      </c>
      <c r="M370" s="13">
        <v>0.68177117000646414</v>
      </c>
      <c r="N370" s="38">
        <f t="shared" si="10"/>
        <v>0.18574677428915784</v>
      </c>
      <c r="O370" s="38">
        <f t="shared" si="11"/>
        <v>0.20159874020215859</v>
      </c>
      <c r="P370" s="26"/>
      <c r="Q370" s="45"/>
      <c r="R370" s="38"/>
      <c r="S370" s="38"/>
      <c r="T370" s="38"/>
      <c r="U370" s="1" t="b">
        <v>0</v>
      </c>
      <c r="V370" s="1" t="b">
        <v>1</v>
      </c>
      <c r="W370" s="31" t="s">
        <v>1885</v>
      </c>
    </row>
    <row r="371" spans="1:23" ht="30">
      <c r="A371" s="7">
        <v>370</v>
      </c>
      <c r="B371" s="7" t="s">
        <v>1130</v>
      </c>
      <c r="C371" s="7" t="s">
        <v>52</v>
      </c>
      <c r="D371" s="7" t="s">
        <v>112</v>
      </c>
      <c r="E371" s="11">
        <v>5.5</v>
      </c>
      <c r="F371" s="7" t="s">
        <v>55</v>
      </c>
      <c r="G371" s="7" t="s">
        <v>1742</v>
      </c>
      <c r="H371" s="37">
        <f>IFERROR(VLOOKUP(C371,Fixture_Engine!$D$2:$R$21,13,FALSE),"")</f>
        <v>1.5903534900875227</v>
      </c>
      <c r="I371" s="37">
        <f>IFERROR(VLOOKUP(C371,Fixture_Engine!$D$2:$R$21,14,FALSE),"")</f>
        <v>1.1006915106715305</v>
      </c>
      <c r="J371" s="37">
        <f>IFERROR(VLOOKUP(C371,Fixture_Engine!$D$2:$R$21,15,FALSE),"")</f>
        <v>0.33264097936043036</v>
      </c>
      <c r="K371" s="13">
        <v>0.1395092492747792</v>
      </c>
      <c r="L371" s="13">
        <v>9.3948872479544129E-2</v>
      </c>
      <c r="M371" s="13">
        <v>0.78337129840546693</v>
      </c>
      <c r="N371" s="38">
        <f t="shared" si="10"/>
        <v>0.2218690214836353</v>
      </c>
      <c r="O371" s="38">
        <f t="shared" si="11"/>
        <v>0.14941191723763061</v>
      </c>
      <c r="P371" s="26"/>
      <c r="Q371" s="45"/>
      <c r="R371" s="38"/>
      <c r="S371" s="38"/>
      <c r="T371" s="38"/>
      <c r="V371" s="1" t="b">
        <v>1</v>
      </c>
      <c r="W371" s="31" t="s">
        <v>1885</v>
      </c>
    </row>
    <row r="372" spans="1:23" ht="30">
      <c r="A372" s="7">
        <v>371</v>
      </c>
      <c r="B372" s="7" t="s">
        <v>1133</v>
      </c>
      <c r="C372" s="7" t="s">
        <v>52</v>
      </c>
      <c r="D372" s="7" t="s">
        <v>112</v>
      </c>
      <c r="E372" s="11">
        <v>6</v>
      </c>
      <c r="F372" s="7" t="s">
        <v>55</v>
      </c>
      <c r="G372" s="7" t="s">
        <v>1742</v>
      </c>
      <c r="H372" s="37">
        <f>IFERROR(VLOOKUP(C372,Fixture_Engine!$D$2:$R$21,13,FALSE),"")</f>
        <v>1.5903534900875227</v>
      </c>
      <c r="I372" s="37">
        <f>IFERROR(VLOOKUP(C372,Fixture_Engine!$D$2:$R$21,14,FALSE),"")</f>
        <v>1.1006915106715305</v>
      </c>
      <c r="J372" s="37">
        <f>IFERROR(VLOOKUP(C372,Fixture_Engine!$D$2:$R$21,15,FALSE),"")</f>
        <v>0.33264097936043036</v>
      </c>
      <c r="K372" s="13">
        <v>5.8776564498771312E-2</v>
      </c>
      <c r="L372" s="13">
        <v>5.7807802348816148E-2</v>
      </c>
      <c r="M372" s="13">
        <v>0.32550739163117015</v>
      </c>
      <c r="N372" s="38">
        <f t="shared" si="10"/>
        <v>9.3475514485975339E-2</v>
      </c>
      <c r="O372" s="38">
        <f t="shared" si="11"/>
        <v>9.1934840219729447E-2</v>
      </c>
      <c r="P372" s="26"/>
      <c r="Q372" s="45"/>
      <c r="R372" s="38"/>
      <c r="S372" s="38"/>
      <c r="T372" s="38"/>
      <c r="U372" s="1" t="b">
        <v>0</v>
      </c>
      <c r="V372" s="1" t="b">
        <v>1</v>
      </c>
      <c r="W372" s="31" t="s">
        <v>1885</v>
      </c>
    </row>
    <row r="373" spans="1:23" ht="30">
      <c r="A373" s="7">
        <v>372</v>
      </c>
      <c r="B373" s="7" t="s">
        <v>1135</v>
      </c>
      <c r="C373" s="7" t="s">
        <v>52</v>
      </c>
      <c r="D373" s="7" t="s">
        <v>112</v>
      </c>
      <c r="E373" s="11">
        <v>5.5</v>
      </c>
      <c r="F373" s="7" t="s">
        <v>55</v>
      </c>
      <c r="G373" s="7" t="s">
        <v>1742</v>
      </c>
      <c r="H373" s="37">
        <f>IFERROR(VLOOKUP(C373,Fixture_Engine!$D$2:$R$21,13,FALSE),"")</f>
        <v>1.5903534900875227</v>
      </c>
      <c r="I373" s="37">
        <f>IFERROR(VLOOKUP(C373,Fixture_Engine!$D$2:$R$21,14,FALSE),"")</f>
        <v>1.1006915106715305</v>
      </c>
      <c r="J373" s="37">
        <f>IFERROR(VLOOKUP(C373,Fixture_Engine!$D$2:$R$21,15,FALSE),"")</f>
        <v>0.33264097936043036</v>
      </c>
      <c r="K373" s="13">
        <v>9.068912439913232E-2</v>
      </c>
      <c r="L373" s="13">
        <v>5.4474260431093158E-2</v>
      </c>
      <c r="M373" s="13">
        <v>0.34630541871921172</v>
      </c>
      <c r="N373" s="38">
        <f t="shared" si="10"/>
        <v>0.14422776550114161</v>
      </c>
      <c r="O373" s="38">
        <f t="shared" si="11"/>
        <v>8.6633330196525637E-2</v>
      </c>
      <c r="P373" s="26"/>
      <c r="Q373" s="45"/>
      <c r="R373" s="38"/>
      <c r="S373" s="38"/>
      <c r="T373" s="38"/>
      <c r="U373" s="1" t="b">
        <v>0</v>
      </c>
      <c r="V373" s="1" t="b">
        <v>1</v>
      </c>
      <c r="W373" s="31" t="s">
        <v>1885</v>
      </c>
    </row>
    <row r="374" spans="1:23" ht="30">
      <c r="A374" s="7">
        <v>373</v>
      </c>
      <c r="B374" s="7" t="s">
        <v>1138</v>
      </c>
      <c r="C374" s="7" t="s">
        <v>52</v>
      </c>
      <c r="D374" s="7" t="s">
        <v>112</v>
      </c>
      <c r="E374" s="11">
        <v>5.5</v>
      </c>
      <c r="F374" s="7" t="s">
        <v>55</v>
      </c>
      <c r="G374" s="7" t="s">
        <v>1742</v>
      </c>
      <c r="H374" s="37">
        <f>IFERROR(VLOOKUP(C374,Fixture_Engine!$D$2:$R$21,13,FALSE),"")</f>
        <v>1.5903534900875227</v>
      </c>
      <c r="I374" s="37">
        <f>IFERROR(VLOOKUP(C374,Fixture_Engine!$D$2:$R$21,14,FALSE),"")</f>
        <v>1.1006915106715305</v>
      </c>
      <c r="J374" s="37">
        <f>IFERROR(VLOOKUP(C374,Fixture_Engine!$D$2:$R$21,15,FALSE),"")</f>
        <v>0.33264097936043036</v>
      </c>
      <c r="K374" s="13">
        <v>8.1820808869802461E-2</v>
      </c>
      <c r="L374" s="13">
        <v>8.4393223405623774E-2</v>
      </c>
      <c r="M374" s="13">
        <v>0.40790283954840911</v>
      </c>
      <c r="N374" s="38">
        <f t="shared" si="10"/>
        <v>0.13012400894787449</v>
      </c>
      <c r="O374" s="38">
        <f t="shared" si="11"/>
        <v>0.13421505738286979</v>
      </c>
      <c r="P374" s="26"/>
      <c r="Q374" s="45"/>
      <c r="R374" s="38"/>
      <c r="S374" s="38"/>
      <c r="T374" s="38"/>
      <c r="U374" s="1" t="b">
        <v>0</v>
      </c>
      <c r="V374" s="1" t="b">
        <v>1</v>
      </c>
      <c r="W374" s="31" t="s">
        <v>1885</v>
      </c>
    </row>
    <row r="375" spans="1:23" ht="30">
      <c r="A375" s="7">
        <v>374</v>
      </c>
      <c r="B375" s="7" t="s">
        <v>1141</v>
      </c>
      <c r="C375" s="7" t="s">
        <v>52</v>
      </c>
      <c r="D375" s="7" t="s">
        <v>112</v>
      </c>
      <c r="E375" s="11">
        <v>5</v>
      </c>
      <c r="F375" s="7" t="s">
        <v>55</v>
      </c>
      <c r="G375" s="7" t="s">
        <v>1742</v>
      </c>
      <c r="H375" s="37">
        <f>IFERROR(VLOOKUP(C375,Fixture_Engine!$D$2:$R$21,13,FALSE),"")</f>
        <v>1.5903534900875227</v>
      </c>
      <c r="I375" s="37">
        <f>IFERROR(VLOOKUP(C375,Fixture_Engine!$D$2:$R$21,14,FALSE),"")</f>
        <v>1.1006915106715305</v>
      </c>
      <c r="J375" s="37">
        <f>IFERROR(VLOOKUP(C375,Fixture_Engine!$D$2:$R$21,15,FALSE),"")</f>
        <v>0.33264097936043036</v>
      </c>
      <c r="K375" s="13">
        <v>9.5174485068957621E-2</v>
      </c>
      <c r="L375" s="13">
        <v>8.0585783745170905E-2</v>
      </c>
      <c r="M375" s="13">
        <v>0.86923076923076925</v>
      </c>
      <c r="N375" s="38">
        <f t="shared" si="10"/>
        <v>0.15136107449669958</v>
      </c>
      <c r="O375" s="38">
        <f t="shared" si="11"/>
        <v>0.12815988243057092</v>
      </c>
      <c r="P375" s="26"/>
      <c r="Q375" s="45"/>
      <c r="R375" s="38"/>
      <c r="S375" s="38"/>
      <c r="T375" s="38"/>
      <c r="V375" s="1" t="b">
        <v>1</v>
      </c>
      <c r="W375" s="31" t="s">
        <v>1885</v>
      </c>
    </row>
    <row r="376" spans="1:23" ht="30">
      <c r="A376" s="7">
        <v>375</v>
      </c>
      <c r="B376" s="7" t="s">
        <v>1143</v>
      </c>
      <c r="C376" s="7" t="s">
        <v>52</v>
      </c>
      <c r="D376" s="7" t="s">
        <v>112</v>
      </c>
      <c r="E376" s="11">
        <v>5</v>
      </c>
      <c r="F376" s="7" t="s">
        <v>55</v>
      </c>
      <c r="G376" s="7" t="s">
        <v>1742</v>
      </c>
      <c r="H376" s="37">
        <f>IFERROR(VLOOKUP(C376,Fixture_Engine!$D$2:$R$21,13,FALSE),"")</f>
        <v>1.5903534900875227</v>
      </c>
      <c r="I376" s="37">
        <f>IFERROR(VLOOKUP(C376,Fixture_Engine!$D$2:$R$21,14,FALSE),"")</f>
        <v>1.1006915106715305</v>
      </c>
      <c r="J376" s="37">
        <f>IFERROR(VLOOKUP(C376,Fixture_Engine!$D$2:$R$21,15,FALSE),"")</f>
        <v>0.33264097936043036</v>
      </c>
      <c r="K376" s="13">
        <v>0.12372391291697968</v>
      </c>
      <c r="L376" s="13">
        <v>8.9553789242077145E-2</v>
      </c>
      <c r="M376" s="13">
        <v>0.98148873653281099</v>
      </c>
      <c r="N376" s="38">
        <f t="shared" si="10"/>
        <v>0.19676475671480337</v>
      </c>
      <c r="O376" s="38">
        <f t="shared" si="11"/>
        <v>0.14242218127169984</v>
      </c>
      <c r="P376" s="26"/>
      <c r="Q376" s="45"/>
      <c r="R376" s="38"/>
      <c r="S376" s="38"/>
      <c r="T376" s="38"/>
      <c r="U376" s="1" t="b">
        <v>0</v>
      </c>
      <c r="V376" s="1" t="b">
        <v>1</v>
      </c>
      <c r="W376" s="31" t="s">
        <v>1885</v>
      </c>
    </row>
    <row r="377" spans="1:23" ht="30">
      <c r="A377" s="7">
        <v>376</v>
      </c>
      <c r="B377" s="7" t="s">
        <v>1146</v>
      </c>
      <c r="C377" s="7" t="s">
        <v>52</v>
      </c>
      <c r="D377" s="7" t="s">
        <v>112</v>
      </c>
      <c r="E377" s="11">
        <v>5</v>
      </c>
      <c r="F377" s="7" t="s">
        <v>55</v>
      </c>
      <c r="G377" s="7" t="s">
        <v>1742</v>
      </c>
      <c r="H377" s="37">
        <f>IFERROR(VLOOKUP(C377,Fixture_Engine!$D$2:$R$21,13,FALSE),"")</f>
        <v>1.5903534900875227</v>
      </c>
      <c r="I377" s="37">
        <f>IFERROR(VLOOKUP(C377,Fixture_Engine!$D$2:$R$21,14,FALSE),"")</f>
        <v>1.1006915106715305</v>
      </c>
      <c r="J377" s="37">
        <f>IFERROR(VLOOKUP(C377,Fixture_Engine!$D$2:$R$21,15,FALSE),"")</f>
        <v>0.33264097936043036</v>
      </c>
      <c r="K377" s="13">
        <v>0.10751786102217777</v>
      </c>
      <c r="L377" s="13">
        <v>9.0240671969462088E-2</v>
      </c>
      <c r="M377" s="13">
        <v>1</v>
      </c>
      <c r="N377" s="38">
        <f t="shared" si="10"/>
        <v>0.17099140552336564</v>
      </c>
      <c r="O377" s="38">
        <f t="shared" si="11"/>
        <v>0.14351456761447731</v>
      </c>
      <c r="P377" s="26"/>
      <c r="Q377" s="45"/>
      <c r="R377" s="38"/>
      <c r="S377" s="38"/>
      <c r="T377" s="38"/>
      <c r="U377" s="1" t="b">
        <v>0</v>
      </c>
      <c r="V377" s="1" t="b">
        <v>1</v>
      </c>
      <c r="W377" s="31" t="s">
        <v>1885</v>
      </c>
    </row>
    <row r="378" spans="1:23" ht="30">
      <c r="A378" s="7">
        <v>377</v>
      </c>
      <c r="B378" s="7" t="s">
        <v>1149</v>
      </c>
      <c r="C378" s="7" t="s">
        <v>52</v>
      </c>
      <c r="D378" s="7" t="s">
        <v>112</v>
      </c>
      <c r="E378" s="11">
        <v>6.5</v>
      </c>
      <c r="F378" s="7" t="s">
        <v>55</v>
      </c>
      <c r="G378" s="7" t="s">
        <v>1742</v>
      </c>
      <c r="H378" s="37">
        <f>IFERROR(VLOOKUP(C378,Fixture_Engine!$D$2:$R$21,13,FALSE),"")</f>
        <v>1.5903534900875227</v>
      </c>
      <c r="I378" s="37">
        <f>IFERROR(VLOOKUP(C378,Fixture_Engine!$D$2:$R$21,14,FALSE),"")</f>
        <v>1.1006915106715305</v>
      </c>
      <c r="J378" s="37">
        <f>IFERROR(VLOOKUP(C378,Fixture_Engine!$D$2:$R$21,15,FALSE),"")</f>
        <v>0.33264097936043036</v>
      </c>
      <c r="K378" s="13">
        <v>0.10751786102217777</v>
      </c>
      <c r="L378" s="13">
        <v>9.0240671969462088E-2</v>
      </c>
      <c r="M378" s="13">
        <v>1</v>
      </c>
      <c r="N378" s="38">
        <f t="shared" si="10"/>
        <v>0.17099140552336564</v>
      </c>
      <c r="O378" s="38">
        <f t="shared" si="11"/>
        <v>0.14351456761447731</v>
      </c>
      <c r="P378" s="26"/>
      <c r="Q378" s="45"/>
      <c r="R378" s="38"/>
      <c r="S378" s="38"/>
      <c r="T378" s="38"/>
      <c r="U378" s="1" t="b">
        <v>0</v>
      </c>
      <c r="V378" s="1" t="b">
        <v>1</v>
      </c>
      <c r="W378" s="31" t="s">
        <v>1885</v>
      </c>
    </row>
    <row r="379" spans="1:23" ht="30">
      <c r="A379" s="7">
        <v>378</v>
      </c>
      <c r="B379" s="7" t="s">
        <v>1152</v>
      </c>
      <c r="C379" s="7" t="s">
        <v>52</v>
      </c>
      <c r="D379" s="7" t="s">
        <v>112</v>
      </c>
      <c r="E379" s="11">
        <v>4.5</v>
      </c>
      <c r="F379" s="7" t="s">
        <v>55</v>
      </c>
      <c r="G379" s="7" t="s">
        <v>1742</v>
      </c>
      <c r="H379" s="37">
        <f>IFERROR(VLOOKUP(C379,Fixture_Engine!$D$2:$R$21,13,FALSE),"")</f>
        <v>1.5903534900875227</v>
      </c>
      <c r="I379" s="37">
        <f>IFERROR(VLOOKUP(C379,Fixture_Engine!$D$2:$R$21,14,FALSE),"")</f>
        <v>1.1006915106715305</v>
      </c>
      <c r="J379" s="37">
        <f>IFERROR(VLOOKUP(C379,Fixture_Engine!$D$2:$R$21,15,FALSE),"")</f>
        <v>0.33264097936043036</v>
      </c>
      <c r="K379" s="13">
        <v>0.10751786102217777</v>
      </c>
      <c r="L379" s="13">
        <v>9.0240671969462088E-2</v>
      </c>
      <c r="M379" s="13">
        <v>1</v>
      </c>
      <c r="N379" s="38">
        <f t="shared" si="10"/>
        <v>0.17099140552336564</v>
      </c>
      <c r="O379" s="38">
        <f t="shared" si="11"/>
        <v>0.14351456761447731</v>
      </c>
      <c r="P379" s="26"/>
      <c r="Q379" s="45"/>
      <c r="R379" s="38"/>
      <c r="S379" s="38"/>
      <c r="T379" s="38"/>
      <c r="U379" s="1" t="b">
        <v>0</v>
      </c>
      <c r="V379" s="1" t="b">
        <v>1</v>
      </c>
      <c r="W379" s="31" t="s">
        <v>1885</v>
      </c>
    </row>
    <row r="380" spans="1:23" ht="30">
      <c r="A380" s="7">
        <v>379</v>
      </c>
      <c r="B380" s="7" t="s">
        <v>1154</v>
      </c>
      <c r="C380" s="7" t="s">
        <v>52</v>
      </c>
      <c r="D380" s="7" t="s">
        <v>167</v>
      </c>
      <c r="E380" s="11">
        <v>9</v>
      </c>
      <c r="F380" s="7" t="s">
        <v>55</v>
      </c>
      <c r="G380" s="7" t="s">
        <v>1742</v>
      </c>
      <c r="H380" s="37">
        <f>IFERROR(VLOOKUP(C380,Fixture_Engine!$D$2:$R$21,13,FALSE),"")</f>
        <v>1.5903534900875227</v>
      </c>
      <c r="I380" s="37">
        <f>IFERROR(VLOOKUP(C380,Fixture_Engine!$D$2:$R$21,14,FALSE),"")</f>
        <v>1.1006915106715305</v>
      </c>
      <c r="J380" s="37">
        <f>IFERROR(VLOOKUP(C380,Fixture_Engine!$D$2:$R$21,15,FALSE),"")</f>
        <v>0.33264097936043036</v>
      </c>
      <c r="K380" s="13">
        <v>0.2690701414924917</v>
      </c>
      <c r="L380" s="13">
        <v>2.7154390060394006E-2</v>
      </c>
      <c r="M380" s="13">
        <v>0.63128689492325851</v>
      </c>
      <c r="N380" s="38">
        <f t="shared" si="10"/>
        <v>0.42791663860092771</v>
      </c>
      <c r="O380" s="38">
        <f t="shared" si="11"/>
        <v>4.3185079003745547E-2</v>
      </c>
      <c r="P380" s="26"/>
      <c r="Q380" s="45"/>
      <c r="R380" s="38"/>
      <c r="S380" s="38"/>
      <c r="T380" s="38"/>
      <c r="U380" s="1" t="b">
        <v>0</v>
      </c>
      <c r="V380" s="1" t="b">
        <v>1</v>
      </c>
      <c r="W380" s="31" t="s">
        <v>1885</v>
      </c>
    </row>
    <row r="381" spans="1:23" ht="30">
      <c r="A381" s="7">
        <v>380</v>
      </c>
      <c r="B381" s="7" t="s">
        <v>1156</v>
      </c>
      <c r="C381" s="7" t="s">
        <v>52</v>
      </c>
      <c r="D381" s="7" t="s">
        <v>167</v>
      </c>
      <c r="E381" s="11">
        <v>7.5</v>
      </c>
      <c r="F381" s="7" t="s">
        <v>55</v>
      </c>
      <c r="G381" s="7" t="s">
        <v>1742</v>
      </c>
      <c r="H381" s="37">
        <f>IFERROR(VLOOKUP(C381,Fixture_Engine!$D$2:$R$21,13,FALSE),"")</f>
        <v>1.5903534900875227</v>
      </c>
      <c r="I381" s="37">
        <f>IFERROR(VLOOKUP(C381,Fixture_Engine!$D$2:$R$21,14,FALSE),"")</f>
        <v>1.1006915106715305</v>
      </c>
      <c r="J381" s="37">
        <f>IFERROR(VLOOKUP(C381,Fixture_Engine!$D$2:$R$21,15,FALSE),"")</f>
        <v>0.33264097936043036</v>
      </c>
      <c r="K381" s="13">
        <v>0.30979497367803865</v>
      </c>
      <c r="L381" s="13">
        <v>6.0540690405902334E-2</v>
      </c>
      <c r="M381" s="13">
        <v>0.42177332856632099</v>
      </c>
      <c r="N381" s="38">
        <f t="shared" si="10"/>
        <v>0.49268351760044099</v>
      </c>
      <c r="O381" s="38">
        <f t="shared" si="11"/>
        <v>9.6281098279334981E-2</v>
      </c>
      <c r="P381" s="26"/>
      <c r="Q381" s="45"/>
      <c r="R381" s="38"/>
      <c r="S381" s="38"/>
      <c r="T381" s="38"/>
      <c r="U381" s="1" t="b">
        <v>0</v>
      </c>
      <c r="V381" s="1" t="b">
        <v>1</v>
      </c>
      <c r="W381" s="31" t="s">
        <v>1885</v>
      </c>
    </row>
    <row r="382" spans="1:23" ht="30">
      <c r="A382" s="7">
        <v>381</v>
      </c>
      <c r="B382" s="7" t="s">
        <v>1160</v>
      </c>
      <c r="C382" s="7" t="s">
        <v>52</v>
      </c>
      <c r="D382" s="7" t="s">
        <v>112</v>
      </c>
      <c r="E382" s="11">
        <v>5</v>
      </c>
      <c r="F382" s="7" t="s">
        <v>55</v>
      </c>
      <c r="G382" s="7" t="s">
        <v>1742</v>
      </c>
      <c r="H382" s="37">
        <f>IFERROR(VLOOKUP(C382,Fixture_Engine!$D$2:$R$21,13,FALSE),"")</f>
        <v>1.5903534900875227</v>
      </c>
      <c r="I382" s="37">
        <f>IFERROR(VLOOKUP(C382,Fixture_Engine!$D$2:$R$21,14,FALSE),"")</f>
        <v>1.1006915106715305</v>
      </c>
      <c r="J382" s="37">
        <f>IFERROR(VLOOKUP(C382,Fixture_Engine!$D$2:$R$21,15,FALSE),"")</f>
        <v>0.33264097936043036</v>
      </c>
      <c r="K382" s="13">
        <v>0.10751786102217777</v>
      </c>
      <c r="L382" s="13">
        <v>9.0240671969462088E-2</v>
      </c>
      <c r="M382" s="13">
        <v>1</v>
      </c>
      <c r="N382" s="38">
        <f t="shared" si="10"/>
        <v>0.17099140552336564</v>
      </c>
      <c r="O382" s="38">
        <f t="shared" si="11"/>
        <v>0.14351456761447731</v>
      </c>
      <c r="P382" s="26"/>
      <c r="Q382" s="45"/>
      <c r="R382" s="38"/>
      <c r="S382" s="38"/>
      <c r="T382" s="38"/>
      <c r="U382" s="1" t="b">
        <v>0</v>
      </c>
      <c r="V382" s="1" t="b">
        <v>1</v>
      </c>
      <c r="W382" s="31" t="s">
        <v>1885</v>
      </c>
    </row>
    <row r="383" spans="1:23" ht="30">
      <c r="A383" s="7">
        <v>382</v>
      </c>
      <c r="B383" s="7" t="s">
        <v>1162</v>
      </c>
      <c r="C383" s="7" t="s">
        <v>52</v>
      </c>
      <c r="D383" s="7" t="s">
        <v>167</v>
      </c>
      <c r="E383" s="11">
        <v>4.5</v>
      </c>
      <c r="F383" s="7" t="s">
        <v>55</v>
      </c>
      <c r="G383" s="7" t="s">
        <v>1742</v>
      </c>
      <c r="H383" s="37">
        <f>IFERROR(VLOOKUP(C383,Fixture_Engine!$D$2:$R$21,13,FALSE),"")</f>
        <v>1.5903534900875227</v>
      </c>
      <c r="I383" s="37">
        <f>IFERROR(VLOOKUP(C383,Fixture_Engine!$D$2:$R$21,14,FALSE),"")</f>
        <v>1.1006915106715305</v>
      </c>
      <c r="J383" s="37">
        <f>IFERROR(VLOOKUP(C383,Fixture_Engine!$D$2:$R$21,15,FALSE),"")</f>
        <v>0.33264097936043036</v>
      </c>
      <c r="K383" s="13">
        <v>0.30461525508032317</v>
      </c>
      <c r="L383" s="13">
        <v>3.9258061548584466E-2</v>
      </c>
      <c r="M383" s="13">
        <v>1</v>
      </c>
      <c r="N383" s="38">
        <f t="shared" si="10"/>
        <v>0.48444593405089292</v>
      </c>
      <c r="O383" s="38">
        <f t="shared" si="11"/>
        <v>6.2434195197862079E-2</v>
      </c>
      <c r="P383" s="26"/>
      <c r="Q383" s="45"/>
      <c r="R383" s="38"/>
      <c r="S383" s="38"/>
      <c r="T383" s="38"/>
      <c r="U383" s="1" t="b">
        <v>0</v>
      </c>
      <c r="V383" s="1" t="b">
        <v>1</v>
      </c>
      <c r="W383" s="31" t="s">
        <v>1885</v>
      </c>
    </row>
    <row r="384" spans="1:23" ht="30">
      <c r="A384" s="7">
        <v>383</v>
      </c>
      <c r="B384" s="7" t="s">
        <v>1165</v>
      </c>
      <c r="C384" s="7" t="s">
        <v>52</v>
      </c>
      <c r="D384" s="7" t="s">
        <v>112</v>
      </c>
      <c r="E384" s="11">
        <v>5.5</v>
      </c>
      <c r="F384" s="7" t="s">
        <v>55</v>
      </c>
      <c r="G384" s="7" t="s">
        <v>1742</v>
      </c>
      <c r="H384" s="37">
        <f>IFERROR(VLOOKUP(C384,Fixture_Engine!$D$2:$R$21,13,FALSE),"")</f>
        <v>1.5903534900875227</v>
      </c>
      <c r="I384" s="37">
        <f>IFERROR(VLOOKUP(C384,Fixture_Engine!$D$2:$R$21,14,FALSE),"")</f>
        <v>1.1006915106715305</v>
      </c>
      <c r="J384" s="37">
        <f>IFERROR(VLOOKUP(C384,Fixture_Engine!$D$2:$R$21,15,FALSE),"")</f>
        <v>0.33264097936043036</v>
      </c>
      <c r="K384" s="13">
        <v>0.11354812774413613</v>
      </c>
      <c r="L384" s="13">
        <v>8.731153151250165E-2</v>
      </c>
      <c r="M384" s="13">
        <v>0.92418918918918913</v>
      </c>
      <c r="N384" s="38">
        <f t="shared" si="10"/>
        <v>0.18058166125079075</v>
      </c>
      <c r="O384" s="38">
        <f t="shared" si="11"/>
        <v>0.13885619886579373</v>
      </c>
      <c r="P384" s="26"/>
      <c r="Q384" s="45"/>
      <c r="R384" s="38"/>
      <c r="S384" s="38"/>
      <c r="T384" s="38"/>
      <c r="U384" s="1" t="b">
        <v>0</v>
      </c>
      <c r="V384" s="1" t="b">
        <v>1</v>
      </c>
      <c r="W384" s="31" t="s">
        <v>1885</v>
      </c>
    </row>
    <row r="385" spans="1:23" ht="30">
      <c r="A385" s="7">
        <v>384</v>
      </c>
      <c r="B385" s="7" t="s">
        <v>1174</v>
      </c>
      <c r="C385" s="7" t="s">
        <v>53</v>
      </c>
      <c r="D385" s="7" t="s">
        <v>85</v>
      </c>
      <c r="E385" s="11">
        <v>5.5</v>
      </c>
      <c r="F385" s="7" t="s">
        <v>41</v>
      </c>
      <c r="G385" s="7" t="s">
        <v>1743</v>
      </c>
      <c r="H385" s="37">
        <f>IFERROR(VLOOKUP(C385,Fixture_Engine!$D$2:$R$21,13,FALSE),"")</f>
        <v>2.1387927682342065</v>
      </c>
      <c r="I385" s="37">
        <f>IFERROR(VLOOKUP(C385,Fixture_Engine!$D$2:$R$21,14,FALSE),"")</f>
        <v>0.9191782076853533</v>
      </c>
      <c r="J385" s="37">
        <f>IFERROR(VLOOKUP(C385,Fixture_Engine!$D$2:$R$21,15,FALSE),"")</f>
        <v>0.39884667557503217</v>
      </c>
      <c r="K385" s="13">
        <v>1.6719534964712218E-4</v>
      </c>
      <c r="L385" s="13">
        <v>1.8201955125139008E-3</v>
      </c>
      <c r="M385" s="13">
        <v>0.32167487684729068</v>
      </c>
      <c r="N385" s="38">
        <f t="shared" si="10"/>
        <v>3.5759620470765454E-4</v>
      </c>
      <c r="O385" s="38">
        <f t="shared" si="11"/>
        <v>3.8930209989370863E-3</v>
      </c>
      <c r="P385" s="26"/>
      <c r="Q385" s="45"/>
      <c r="R385" s="38"/>
      <c r="S385" s="38"/>
      <c r="T385" s="38"/>
      <c r="U385" s="1" t="b">
        <v>0</v>
      </c>
      <c r="V385" s="1" t="b">
        <v>1</v>
      </c>
      <c r="W385" s="31" t="s">
        <v>1885</v>
      </c>
    </row>
    <row r="386" spans="1:23" ht="30">
      <c r="A386" s="7">
        <v>385</v>
      </c>
      <c r="B386" s="7" t="s">
        <v>1176</v>
      </c>
      <c r="C386" s="7" t="s">
        <v>53</v>
      </c>
      <c r="D386" s="7" t="s">
        <v>85</v>
      </c>
      <c r="E386" s="11">
        <v>5</v>
      </c>
      <c r="F386" s="7" t="s">
        <v>41</v>
      </c>
      <c r="G386" s="7" t="s">
        <v>1743</v>
      </c>
      <c r="H386" s="37">
        <f>IFERROR(VLOOKUP(C386,Fixture_Engine!$D$2:$R$21,13,FALSE),"")</f>
        <v>2.1387927682342065</v>
      </c>
      <c r="I386" s="37">
        <f>IFERROR(VLOOKUP(C386,Fixture_Engine!$D$2:$R$21,14,FALSE),"")</f>
        <v>0.9191782076853533</v>
      </c>
      <c r="J386" s="37">
        <f>IFERROR(VLOOKUP(C386,Fixture_Engine!$D$2:$R$21,15,FALSE),"")</f>
        <v>0.39884667557503217</v>
      </c>
      <c r="K386" s="13">
        <v>1.6719534964712218E-4</v>
      </c>
      <c r="L386" s="13">
        <v>1.379361634588758E-3</v>
      </c>
      <c r="M386" s="13">
        <v>0.7617647058823529</v>
      </c>
      <c r="N386" s="38">
        <f t="shared" ref="N386:N449" si="12">IF(OR(H386="",K386=""),"",H386*K386)</f>
        <v>3.5759620470765454E-4</v>
      </c>
      <c r="O386" s="38">
        <f t="shared" ref="O386:O449" si="13">IF(OR(H386="",L386=""),"",H386*L386)</f>
        <v>2.9501686888381497E-3</v>
      </c>
      <c r="P386" s="26"/>
      <c r="Q386" s="45"/>
      <c r="R386" s="38"/>
      <c r="S386" s="38"/>
      <c r="T386" s="38"/>
      <c r="U386" s="1" t="b">
        <v>0</v>
      </c>
      <c r="V386" s="1" t="b">
        <v>1</v>
      </c>
      <c r="W386" s="31" t="s">
        <v>1885</v>
      </c>
    </row>
    <row r="387" spans="1:23" ht="30">
      <c r="A387" s="7">
        <v>386</v>
      </c>
      <c r="B387" s="7" t="s">
        <v>1178</v>
      </c>
      <c r="C387" s="7" t="s">
        <v>53</v>
      </c>
      <c r="D387" s="7" t="s">
        <v>85</v>
      </c>
      <c r="E387" s="11">
        <v>4.5</v>
      </c>
      <c r="F387" s="7" t="s">
        <v>41</v>
      </c>
      <c r="G387" s="7" t="s">
        <v>1743</v>
      </c>
      <c r="H387" s="37">
        <f>IFERROR(VLOOKUP(C387,Fixture_Engine!$D$2:$R$21,13,FALSE),"")</f>
        <v>2.1387927682342065</v>
      </c>
      <c r="I387" s="37">
        <f>IFERROR(VLOOKUP(C387,Fixture_Engine!$D$2:$R$21,14,FALSE),"")</f>
        <v>0.9191782076853533</v>
      </c>
      <c r="J387" s="37">
        <f>IFERROR(VLOOKUP(C387,Fixture_Engine!$D$2:$R$21,15,FALSE),"")</f>
        <v>0.39884667557503217</v>
      </c>
      <c r="K387" s="13">
        <v>1.6719534964712218E-4</v>
      </c>
      <c r="L387" s="13">
        <v>1.379361634588758E-3</v>
      </c>
      <c r="M387" s="13">
        <v>1</v>
      </c>
      <c r="N387" s="38">
        <f t="shared" si="12"/>
        <v>3.5759620470765454E-4</v>
      </c>
      <c r="O387" s="38">
        <f t="shared" si="13"/>
        <v>2.9501686888381497E-3</v>
      </c>
      <c r="P387" s="26"/>
      <c r="Q387" s="45"/>
      <c r="R387" s="38"/>
      <c r="S387" s="38"/>
      <c r="T387" s="38"/>
      <c r="U387" s="1" t="b">
        <v>0</v>
      </c>
      <c r="V387" s="1" t="b">
        <v>1</v>
      </c>
      <c r="W387" s="31" t="s">
        <v>1885</v>
      </c>
    </row>
    <row r="388" spans="1:23" ht="30">
      <c r="A388" s="7">
        <v>387</v>
      </c>
      <c r="B388" s="7" t="s">
        <v>1181</v>
      </c>
      <c r="C388" s="7" t="s">
        <v>53</v>
      </c>
      <c r="D388" s="7" t="s">
        <v>99</v>
      </c>
      <c r="E388" s="11">
        <v>6.5</v>
      </c>
      <c r="F388" s="7" t="s">
        <v>41</v>
      </c>
      <c r="G388" s="7" t="s">
        <v>1743</v>
      </c>
      <c r="H388" s="37">
        <f>IFERROR(VLOOKUP(C388,Fixture_Engine!$D$2:$R$21,13,FALSE),"")</f>
        <v>2.1387927682342065</v>
      </c>
      <c r="I388" s="37">
        <f>IFERROR(VLOOKUP(C388,Fixture_Engine!$D$2:$R$21,14,FALSE),"")</f>
        <v>0.9191782076853533</v>
      </c>
      <c r="J388" s="37">
        <f>IFERROR(VLOOKUP(C388,Fixture_Engine!$D$2:$R$21,15,FALSE),"")</f>
        <v>0.39884667557503217</v>
      </c>
      <c r="K388" s="13">
        <v>8.6496817860919228E-2</v>
      </c>
      <c r="L388" s="13">
        <v>4.5567075078848024E-2</v>
      </c>
      <c r="M388" s="13">
        <v>0.34704913532802628</v>
      </c>
      <c r="N388" s="38">
        <f t="shared" si="12"/>
        <v>0.18499876851620539</v>
      </c>
      <c r="O388" s="38">
        <f t="shared" si="13"/>
        <v>9.7458530648225294E-2</v>
      </c>
      <c r="P388" s="26"/>
      <c r="Q388" s="45"/>
      <c r="R388" s="38"/>
      <c r="S388" s="38"/>
      <c r="T388" s="38"/>
      <c r="U388" s="1" t="b">
        <v>0</v>
      </c>
      <c r="V388" s="1" t="b">
        <v>1</v>
      </c>
      <c r="W388" s="31" t="s">
        <v>1885</v>
      </c>
    </row>
    <row r="389" spans="1:23" ht="30">
      <c r="A389" s="7">
        <v>388</v>
      </c>
      <c r="B389" s="7" t="s">
        <v>1184</v>
      </c>
      <c r="C389" s="7" t="s">
        <v>53</v>
      </c>
      <c r="D389" s="7" t="s">
        <v>99</v>
      </c>
      <c r="E389" s="11">
        <v>6</v>
      </c>
      <c r="F389" s="7" t="s">
        <v>41</v>
      </c>
      <c r="G389" s="7" t="s">
        <v>1743</v>
      </c>
      <c r="H389" s="37">
        <f>IFERROR(VLOOKUP(C389,Fixture_Engine!$D$2:$R$21,13,FALSE),"")</f>
        <v>2.1387927682342065</v>
      </c>
      <c r="I389" s="37">
        <f>IFERROR(VLOOKUP(C389,Fixture_Engine!$D$2:$R$21,14,FALSE),"")</f>
        <v>0.9191782076853533</v>
      </c>
      <c r="J389" s="37">
        <f>IFERROR(VLOOKUP(C389,Fixture_Engine!$D$2:$R$21,15,FALSE),"")</f>
        <v>0.39884667557503217</v>
      </c>
      <c r="K389" s="13">
        <v>5.4989627391666372E-2</v>
      </c>
      <c r="L389" s="13">
        <v>3.7387522799604007E-2</v>
      </c>
      <c r="M389" s="13">
        <v>0.31686746987951808</v>
      </c>
      <c r="N389" s="38">
        <f t="shared" si="12"/>
        <v>0.11761141739318967</v>
      </c>
      <c r="O389" s="38">
        <f t="shared" si="13"/>
        <v>7.9964163385984569E-2</v>
      </c>
      <c r="P389" s="26"/>
      <c r="Q389" s="45"/>
      <c r="R389" s="38"/>
      <c r="S389" s="38"/>
      <c r="T389" s="38"/>
      <c r="U389" s="1" t="b">
        <v>0</v>
      </c>
      <c r="V389" s="1" t="b">
        <v>1</v>
      </c>
      <c r="W389" s="31" t="s">
        <v>1885</v>
      </c>
    </row>
    <row r="390" spans="1:23" ht="30">
      <c r="A390" s="7">
        <v>389</v>
      </c>
      <c r="B390" s="7" t="s">
        <v>1187</v>
      </c>
      <c r="C390" s="7" t="s">
        <v>53</v>
      </c>
      <c r="D390" s="7" t="s">
        <v>99</v>
      </c>
      <c r="E390" s="11">
        <v>6</v>
      </c>
      <c r="F390" s="7" t="s">
        <v>41</v>
      </c>
      <c r="G390" s="7" t="s">
        <v>1743</v>
      </c>
      <c r="H390" s="37">
        <f>IFERROR(VLOOKUP(C390,Fixture_Engine!$D$2:$R$21,13,FALSE),"")</f>
        <v>2.1387927682342065</v>
      </c>
      <c r="I390" s="37">
        <f>IFERROR(VLOOKUP(C390,Fixture_Engine!$D$2:$R$21,14,FALSE),"")</f>
        <v>0.9191782076853533</v>
      </c>
      <c r="J390" s="37">
        <f>IFERROR(VLOOKUP(C390,Fixture_Engine!$D$2:$R$21,15,FALSE),"")</f>
        <v>0.39884667557503217</v>
      </c>
      <c r="K390" s="13">
        <v>1.7490130004826382E-2</v>
      </c>
      <c r="L390" s="13">
        <v>3.8323997890475872E-2</v>
      </c>
      <c r="M390" s="13">
        <v>0.33310023310023307</v>
      </c>
      <c r="N390" s="38">
        <f t="shared" si="12"/>
        <v>3.7407763569798774E-2</v>
      </c>
      <c r="O390" s="38">
        <f t="shared" si="13"/>
        <v>8.1967089537972784E-2</v>
      </c>
      <c r="P390" s="26"/>
      <c r="Q390" s="45"/>
      <c r="R390" s="38"/>
      <c r="S390" s="38"/>
      <c r="T390" s="38"/>
      <c r="U390" s="1" t="b">
        <v>1</v>
      </c>
      <c r="V390" s="1" t="b">
        <v>1</v>
      </c>
      <c r="W390" s="31" t="s">
        <v>1885</v>
      </c>
    </row>
    <row r="391" spans="1:23" ht="30">
      <c r="A391" s="7">
        <v>390</v>
      </c>
      <c r="B391" s="7" t="s">
        <v>1189</v>
      </c>
      <c r="C391" s="7" t="s">
        <v>53</v>
      </c>
      <c r="D391" s="7" t="s">
        <v>99</v>
      </c>
      <c r="E391" s="11">
        <v>5.5</v>
      </c>
      <c r="F391" s="7" t="s">
        <v>41</v>
      </c>
      <c r="G391" s="7" t="s">
        <v>1743</v>
      </c>
      <c r="H391" s="37">
        <f>IFERROR(VLOOKUP(C391,Fixture_Engine!$D$2:$R$21,13,FALSE),"")</f>
        <v>2.1387927682342065</v>
      </c>
      <c r="I391" s="37">
        <f>IFERROR(VLOOKUP(C391,Fixture_Engine!$D$2:$R$21,14,FALSE),"")</f>
        <v>0.9191782076853533</v>
      </c>
      <c r="J391" s="37">
        <f>IFERROR(VLOOKUP(C391,Fixture_Engine!$D$2:$R$21,15,FALSE),"")</f>
        <v>0.39884667557503217</v>
      </c>
      <c r="K391" s="13">
        <v>2.3716579685386388E-2</v>
      </c>
      <c r="L391" s="13">
        <v>2.4568832468241104E-2</v>
      </c>
      <c r="M391" s="13">
        <v>0.38671551449506203</v>
      </c>
      <c r="N391" s="38">
        <f t="shared" si="12"/>
        <v>5.0724849118354697E-2</v>
      </c>
      <c r="O391" s="38">
        <f t="shared" si="13"/>
        <v>5.2547641207031842E-2</v>
      </c>
      <c r="P391" s="26"/>
      <c r="Q391" s="45"/>
      <c r="R391" s="38"/>
      <c r="S391" s="38"/>
      <c r="T391" s="38"/>
      <c r="U391" s="1" t="b">
        <v>0</v>
      </c>
      <c r="V391" s="1" t="b">
        <v>1</v>
      </c>
      <c r="W391" s="31" t="s">
        <v>1885</v>
      </c>
    </row>
    <row r="392" spans="1:23" ht="30">
      <c r="A392" s="7">
        <v>391</v>
      </c>
      <c r="B392" s="7" t="s">
        <v>1192</v>
      </c>
      <c r="C392" s="7" t="s">
        <v>53</v>
      </c>
      <c r="D392" s="7" t="s">
        <v>99</v>
      </c>
      <c r="E392" s="11">
        <v>5.5</v>
      </c>
      <c r="F392" s="7" t="s">
        <v>41</v>
      </c>
      <c r="G392" s="7" t="s">
        <v>1743</v>
      </c>
      <c r="H392" s="37">
        <f>IFERROR(VLOOKUP(C392,Fixture_Engine!$D$2:$R$21,13,FALSE),"")</f>
        <v>2.1387927682342065</v>
      </c>
      <c r="I392" s="37">
        <f>IFERROR(VLOOKUP(C392,Fixture_Engine!$D$2:$R$21,14,FALSE),"")</f>
        <v>0.9191782076853533</v>
      </c>
      <c r="J392" s="37">
        <f>IFERROR(VLOOKUP(C392,Fixture_Engine!$D$2:$R$21,15,FALSE),"")</f>
        <v>0.39884667557503217</v>
      </c>
      <c r="K392" s="13">
        <v>6.0550094979293881E-2</v>
      </c>
      <c r="L392" s="13">
        <v>3.2133143719185242E-2</v>
      </c>
      <c r="M392" s="13">
        <v>0.47974683544303787</v>
      </c>
      <c r="N392" s="38">
        <f t="shared" si="12"/>
        <v>0.12950410525760808</v>
      </c>
      <c r="O392" s="38">
        <f t="shared" si="13"/>
        <v>6.8726135407223804E-2</v>
      </c>
      <c r="P392" s="26"/>
      <c r="Q392" s="45"/>
      <c r="R392" s="38"/>
      <c r="S392" s="38"/>
      <c r="T392" s="38"/>
      <c r="U392" s="1" t="b">
        <v>0</v>
      </c>
      <c r="V392" s="1" t="b">
        <v>1</v>
      </c>
      <c r="W392" s="31" t="s">
        <v>1885</v>
      </c>
    </row>
    <row r="393" spans="1:23" ht="30">
      <c r="A393" s="7">
        <v>392</v>
      </c>
      <c r="B393" s="7" t="s">
        <v>1194</v>
      </c>
      <c r="C393" s="7" t="s">
        <v>53</v>
      </c>
      <c r="D393" s="7" t="s">
        <v>99</v>
      </c>
      <c r="E393" s="11">
        <v>5.5</v>
      </c>
      <c r="F393" s="7" t="s">
        <v>41</v>
      </c>
      <c r="G393" s="7" t="s">
        <v>1743</v>
      </c>
      <c r="H393" s="37">
        <f>IFERROR(VLOOKUP(C393,Fixture_Engine!$D$2:$R$21,13,FALSE),"")</f>
        <v>2.1387927682342065</v>
      </c>
      <c r="I393" s="37">
        <f>IFERROR(VLOOKUP(C393,Fixture_Engine!$D$2:$R$21,14,FALSE),"")</f>
        <v>0.9191782076853533</v>
      </c>
      <c r="J393" s="37">
        <f>IFERROR(VLOOKUP(C393,Fixture_Engine!$D$2:$R$21,15,FALSE),"")</f>
        <v>0.39884667557503217</v>
      </c>
      <c r="K393" s="13">
        <v>3.4460356551642493E-2</v>
      </c>
      <c r="L393" s="13">
        <v>6.6389874102003157E-2</v>
      </c>
      <c r="M393" s="13">
        <v>0.55662100456621011</v>
      </c>
      <c r="N393" s="38">
        <f t="shared" si="12"/>
        <v>7.3703561383425223E-2</v>
      </c>
      <c r="O393" s="38">
        <f t="shared" si="13"/>
        <v>0.14199418261334379</v>
      </c>
      <c r="P393" s="26"/>
      <c r="Q393" s="45"/>
      <c r="R393" s="38"/>
      <c r="S393" s="38"/>
      <c r="T393" s="38"/>
      <c r="U393" s="1" t="b">
        <v>0</v>
      </c>
      <c r="V393" s="1" t="b">
        <v>1</v>
      </c>
      <c r="W393" s="31" t="s">
        <v>1885</v>
      </c>
    </row>
    <row r="394" spans="1:23" ht="30">
      <c r="A394" s="7">
        <v>393</v>
      </c>
      <c r="B394" s="7" t="s">
        <v>1196</v>
      </c>
      <c r="C394" s="7" t="s">
        <v>53</v>
      </c>
      <c r="D394" s="7" t="s">
        <v>99</v>
      </c>
      <c r="E394" s="11">
        <v>5.5</v>
      </c>
      <c r="F394" s="7" t="s">
        <v>41</v>
      </c>
      <c r="G394" s="7" t="s">
        <v>1743</v>
      </c>
      <c r="H394" s="37">
        <f>IFERROR(VLOOKUP(C394,Fixture_Engine!$D$2:$R$21,13,FALSE),"")</f>
        <v>2.1387927682342065</v>
      </c>
      <c r="I394" s="37">
        <f>IFERROR(VLOOKUP(C394,Fixture_Engine!$D$2:$R$21,14,FALSE),"")</f>
        <v>0.9191782076853533</v>
      </c>
      <c r="J394" s="37">
        <f>IFERROR(VLOOKUP(C394,Fixture_Engine!$D$2:$R$21,15,FALSE),"")</f>
        <v>0.39884667557503217</v>
      </c>
      <c r="K394" s="13">
        <v>3.0884266030138548E-2</v>
      </c>
      <c r="L394" s="13">
        <v>4.0507118601509171E-2</v>
      </c>
      <c r="M394" s="13">
        <v>0.47082818294190354</v>
      </c>
      <c r="N394" s="38">
        <f t="shared" si="12"/>
        <v>6.6055044837481688E-2</v>
      </c>
      <c r="O394" s="38">
        <f t="shared" si="13"/>
        <v>8.6636332326913118E-2</v>
      </c>
      <c r="P394" s="26"/>
      <c r="Q394" s="45"/>
      <c r="R394" s="38"/>
      <c r="S394" s="38"/>
      <c r="T394" s="38"/>
      <c r="U394" s="1" t="b">
        <v>1</v>
      </c>
      <c r="V394" s="1" t="b">
        <v>1</v>
      </c>
      <c r="W394" s="31" t="s">
        <v>1885</v>
      </c>
    </row>
    <row r="395" spans="1:23" ht="30">
      <c r="A395" s="7">
        <v>394</v>
      </c>
      <c r="B395" s="7" t="s">
        <v>1199</v>
      </c>
      <c r="C395" s="7" t="s">
        <v>53</v>
      </c>
      <c r="D395" s="7" t="s">
        <v>99</v>
      </c>
      <c r="E395" s="11">
        <v>5</v>
      </c>
      <c r="F395" s="7" t="s">
        <v>41</v>
      </c>
      <c r="G395" s="7" t="s">
        <v>1743</v>
      </c>
      <c r="H395" s="37">
        <f>IFERROR(VLOOKUP(C395,Fixture_Engine!$D$2:$R$21,13,FALSE),"")</f>
        <v>2.1387927682342065</v>
      </c>
      <c r="I395" s="37">
        <f>IFERROR(VLOOKUP(C395,Fixture_Engine!$D$2:$R$21,14,FALSE),"")</f>
        <v>0.9191782076853533</v>
      </c>
      <c r="J395" s="37">
        <f>IFERROR(VLOOKUP(C395,Fixture_Engine!$D$2:$R$21,15,FALSE),"")</f>
        <v>0.39884667557503217</v>
      </c>
      <c r="K395" s="13">
        <v>4.6585795701113542E-2</v>
      </c>
      <c r="L395" s="13">
        <v>3.8448754260008718E-2</v>
      </c>
      <c r="M395" s="13">
        <v>0.8929515418502203</v>
      </c>
      <c r="N395" s="38">
        <f t="shared" si="12"/>
        <v>9.9637362947977828E-2</v>
      </c>
      <c r="O395" s="38">
        <f t="shared" si="13"/>
        <v>8.2233917558920788E-2</v>
      </c>
      <c r="P395" s="26"/>
      <c r="Q395" s="45"/>
      <c r="R395" s="38"/>
      <c r="S395" s="38"/>
      <c r="T395" s="38"/>
      <c r="U395" s="1" t="b">
        <v>0</v>
      </c>
      <c r="V395" s="1" t="b">
        <v>1</v>
      </c>
      <c r="W395" s="31" t="s">
        <v>1885</v>
      </c>
    </row>
    <row r="396" spans="1:23" ht="30">
      <c r="A396" s="7">
        <v>395</v>
      </c>
      <c r="B396" s="7" t="s">
        <v>1201</v>
      </c>
      <c r="C396" s="7" t="s">
        <v>53</v>
      </c>
      <c r="D396" s="7" t="s">
        <v>99</v>
      </c>
      <c r="E396" s="11">
        <v>4.5</v>
      </c>
      <c r="F396" s="7" t="s">
        <v>41</v>
      </c>
      <c r="G396" s="7" t="s">
        <v>1743</v>
      </c>
      <c r="H396" s="37">
        <f>IFERROR(VLOOKUP(C396,Fixture_Engine!$D$2:$R$21,13,FALSE),"")</f>
        <v>2.1387927682342065</v>
      </c>
      <c r="I396" s="37">
        <f>IFERROR(VLOOKUP(C396,Fixture_Engine!$D$2:$R$21,14,FALSE),"")</f>
        <v>0.9191782076853533</v>
      </c>
      <c r="J396" s="37">
        <f>IFERROR(VLOOKUP(C396,Fixture_Engine!$D$2:$R$21,15,FALSE),"")</f>
        <v>0.39884667557503217</v>
      </c>
      <c r="K396" s="13">
        <v>3.637405214381987E-2</v>
      </c>
      <c r="L396" s="13">
        <v>7.2728139668229358E-2</v>
      </c>
      <c r="M396" s="13">
        <v>0.74239828693790155</v>
      </c>
      <c r="N396" s="38">
        <f t="shared" si="12"/>
        <v>7.7796559676575866E-2</v>
      </c>
      <c r="O396" s="38">
        <f t="shared" si="13"/>
        <v>0.15555041916953627</v>
      </c>
      <c r="P396" s="26"/>
      <c r="Q396" s="45"/>
      <c r="R396" s="38"/>
      <c r="S396" s="38"/>
      <c r="T396" s="38"/>
      <c r="U396" s="1" t="b">
        <v>0</v>
      </c>
      <c r="V396" s="1" t="b">
        <v>1</v>
      </c>
      <c r="W396" s="31" t="s">
        <v>1885</v>
      </c>
    </row>
    <row r="397" spans="1:23" ht="30">
      <c r="A397" s="7">
        <v>396</v>
      </c>
      <c r="B397" s="7" t="s">
        <v>1204</v>
      </c>
      <c r="C397" s="7" t="s">
        <v>53</v>
      </c>
      <c r="D397" s="7" t="s">
        <v>99</v>
      </c>
      <c r="E397" s="11">
        <v>4.5</v>
      </c>
      <c r="F397" s="7" t="s">
        <v>41</v>
      </c>
      <c r="G397" s="7" t="s">
        <v>1743</v>
      </c>
      <c r="H397" s="37">
        <f>IFERROR(VLOOKUP(C397,Fixture_Engine!$D$2:$R$21,13,FALSE),"")</f>
        <v>2.1387927682342065</v>
      </c>
      <c r="I397" s="37">
        <f>IFERROR(VLOOKUP(C397,Fixture_Engine!$D$2:$R$21,14,FALSE),"")</f>
        <v>0.9191782076853533</v>
      </c>
      <c r="J397" s="37">
        <f>IFERROR(VLOOKUP(C397,Fixture_Engine!$D$2:$R$21,15,FALSE),"")</f>
        <v>0.39884667557503217</v>
      </c>
      <c r="K397" s="13">
        <v>4.1142361271531161E-2</v>
      </c>
      <c r="L397" s="13">
        <v>4.0513079897554365E-2</v>
      </c>
      <c r="M397" s="13">
        <v>1</v>
      </c>
      <c r="N397" s="38">
        <f t="shared" si="12"/>
        <v>8.7994984755629946E-2</v>
      </c>
      <c r="O397" s="38">
        <f t="shared" si="13"/>
        <v>8.6649082303783889E-2</v>
      </c>
      <c r="P397" s="26"/>
      <c r="Q397" s="45"/>
      <c r="R397" s="38"/>
      <c r="S397" s="38"/>
      <c r="T397" s="38"/>
      <c r="U397" s="1" t="b">
        <v>0</v>
      </c>
      <c r="V397" s="1" t="b">
        <v>1</v>
      </c>
      <c r="W397" s="31" t="s">
        <v>1885</v>
      </c>
    </row>
    <row r="398" spans="1:23" ht="30">
      <c r="A398" s="7">
        <v>397</v>
      </c>
      <c r="B398" s="7" t="s">
        <v>1207</v>
      </c>
      <c r="C398" s="7" t="s">
        <v>53</v>
      </c>
      <c r="D398" s="7" t="s">
        <v>112</v>
      </c>
      <c r="E398" s="11">
        <v>8.5</v>
      </c>
      <c r="F398" s="7" t="s">
        <v>41</v>
      </c>
      <c r="G398" s="7" t="s">
        <v>1743</v>
      </c>
      <c r="H398" s="37">
        <f>IFERROR(VLOOKUP(C398,Fixture_Engine!$D$2:$R$21,13,FALSE),"")</f>
        <v>2.1387927682342065</v>
      </c>
      <c r="I398" s="37">
        <f>IFERROR(VLOOKUP(C398,Fixture_Engine!$D$2:$R$21,14,FALSE),"")</f>
        <v>0.9191782076853533</v>
      </c>
      <c r="J398" s="37">
        <f>IFERROR(VLOOKUP(C398,Fixture_Engine!$D$2:$R$21,15,FALSE),"")</f>
        <v>0.39884667557503217</v>
      </c>
      <c r="K398" s="13">
        <v>0.14740465576259668</v>
      </c>
      <c r="L398" s="13">
        <v>6.0295911110593917E-2</v>
      </c>
      <c r="M398" s="13">
        <v>0.31428571428571428</v>
      </c>
      <c r="N398" s="38">
        <f t="shared" si="12"/>
        <v>0.31526801174909441</v>
      </c>
      <c r="O398" s="38">
        <f t="shared" si="13"/>
        <v>0.1289604586374308</v>
      </c>
      <c r="P398" s="26"/>
      <c r="Q398" s="45"/>
      <c r="R398" s="38"/>
      <c r="S398" s="38"/>
      <c r="T398" s="38"/>
      <c r="U398" s="1" t="b">
        <v>0</v>
      </c>
      <c r="V398" s="1" t="b">
        <v>1</v>
      </c>
      <c r="W398" s="31" t="s">
        <v>1885</v>
      </c>
    </row>
    <row r="399" spans="1:23" ht="30">
      <c r="A399" s="7">
        <v>398</v>
      </c>
      <c r="B399" s="7" t="s">
        <v>1210</v>
      </c>
      <c r="C399" s="7" t="s">
        <v>53</v>
      </c>
      <c r="D399" s="7" t="s">
        <v>112</v>
      </c>
      <c r="E399" s="11">
        <v>7</v>
      </c>
      <c r="F399" s="7" t="s">
        <v>41</v>
      </c>
      <c r="G399" s="7" t="s">
        <v>1743</v>
      </c>
      <c r="H399" s="37">
        <f>IFERROR(VLOOKUP(C399,Fixture_Engine!$D$2:$R$21,13,FALSE),"")</f>
        <v>2.1387927682342065</v>
      </c>
      <c r="I399" s="37">
        <f>IFERROR(VLOOKUP(C399,Fixture_Engine!$D$2:$R$21,14,FALSE),"")</f>
        <v>0.9191782076853533</v>
      </c>
      <c r="J399" s="37">
        <f>IFERROR(VLOOKUP(C399,Fixture_Engine!$D$2:$R$21,15,FALSE),"")</f>
        <v>0.39884667557503217</v>
      </c>
      <c r="K399" s="13">
        <v>0.12640763425630613</v>
      </c>
      <c r="L399" s="13">
        <v>0.10189067551890008</v>
      </c>
      <c r="M399" s="13">
        <v>0.39239766081871341</v>
      </c>
      <c r="N399" s="38">
        <f t="shared" si="12"/>
        <v>0.2703597339969821</v>
      </c>
      <c r="O399" s="38">
        <f t="shared" si="13"/>
        <v>0.21792303995032158</v>
      </c>
      <c r="P399" s="26"/>
      <c r="Q399" s="45"/>
      <c r="R399" s="38"/>
      <c r="S399" s="38"/>
      <c r="T399" s="38"/>
      <c r="U399" s="1" t="b">
        <v>0</v>
      </c>
      <c r="V399" s="1" t="b">
        <v>1</v>
      </c>
      <c r="W399" s="31" t="s">
        <v>1885</v>
      </c>
    </row>
    <row r="400" spans="1:23" ht="30">
      <c r="A400" s="7">
        <v>399</v>
      </c>
      <c r="B400" s="7" t="s">
        <v>1213</v>
      </c>
      <c r="C400" s="7" t="s">
        <v>53</v>
      </c>
      <c r="D400" s="7" t="s">
        <v>112</v>
      </c>
      <c r="E400" s="11">
        <v>7.5</v>
      </c>
      <c r="F400" s="7" t="s">
        <v>41</v>
      </c>
      <c r="G400" s="7" t="s">
        <v>1743</v>
      </c>
      <c r="H400" s="37">
        <f>IFERROR(VLOOKUP(C400,Fixture_Engine!$D$2:$R$21,13,FALSE),"")</f>
        <v>2.1387927682342065</v>
      </c>
      <c r="I400" s="37">
        <f>IFERROR(VLOOKUP(C400,Fixture_Engine!$D$2:$R$21,14,FALSE),"")</f>
        <v>0.9191782076853533</v>
      </c>
      <c r="J400" s="37">
        <f>IFERROR(VLOOKUP(C400,Fixture_Engine!$D$2:$R$21,15,FALSE),"")</f>
        <v>0.39884667557503217</v>
      </c>
      <c r="K400" s="13">
        <v>0.11203542740485478</v>
      </c>
      <c r="L400" s="13">
        <v>0.17588102918369386</v>
      </c>
      <c r="M400" s="13">
        <v>0.42467532467532465</v>
      </c>
      <c r="N400" s="38">
        <f t="shared" si="12"/>
        <v>0.23962056191953185</v>
      </c>
      <c r="O400" s="38">
        <f t="shared" si="13"/>
        <v>0.37617307328767385</v>
      </c>
      <c r="P400" s="26"/>
      <c r="Q400" s="45"/>
      <c r="R400" s="38"/>
      <c r="S400" s="38"/>
      <c r="T400" s="38"/>
      <c r="U400" s="1" t="b">
        <v>0</v>
      </c>
      <c r="V400" s="1" t="b">
        <v>1</v>
      </c>
      <c r="W400" s="31" t="s">
        <v>1885</v>
      </c>
    </row>
    <row r="401" spans="1:23" ht="30">
      <c r="A401" s="7">
        <v>400</v>
      </c>
      <c r="B401" s="7" t="s">
        <v>1215</v>
      </c>
      <c r="C401" s="7" t="s">
        <v>53</v>
      </c>
      <c r="D401" s="7" t="s">
        <v>112</v>
      </c>
      <c r="E401" s="11">
        <v>7.5</v>
      </c>
      <c r="F401" s="7" t="s">
        <v>41</v>
      </c>
      <c r="G401" s="7" t="s">
        <v>1743</v>
      </c>
      <c r="H401" s="37">
        <f>IFERROR(VLOOKUP(C401,Fixture_Engine!$D$2:$R$21,13,FALSE),"")</f>
        <v>2.1387927682342065</v>
      </c>
      <c r="I401" s="37">
        <f>IFERROR(VLOOKUP(C401,Fixture_Engine!$D$2:$R$21,14,FALSE),"")</f>
        <v>0.9191782076853533</v>
      </c>
      <c r="J401" s="37">
        <f>IFERROR(VLOOKUP(C401,Fixture_Engine!$D$2:$R$21,15,FALSE),"")</f>
        <v>0.39884667557503217</v>
      </c>
      <c r="K401" s="13">
        <v>9.0140176971620536E-2</v>
      </c>
      <c r="L401" s="13">
        <v>0.12915790416491618</v>
      </c>
      <c r="M401" s="13">
        <v>0.42455824017309773</v>
      </c>
      <c r="N401" s="38">
        <f t="shared" si="12"/>
        <v>0.19279115863425356</v>
      </c>
      <c r="O401" s="38">
        <f t="shared" si="13"/>
        <v>0.27624199138820943</v>
      </c>
      <c r="P401" s="26"/>
      <c r="Q401" s="45"/>
      <c r="R401" s="38"/>
      <c r="S401" s="38"/>
      <c r="T401" s="38"/>
      <c r="U401" s="1" t="b">
        <v>0</v>
      </c>
      <c r="V401" s="1" t="b">
        <v>1</v>
      </c>
      <c r="W401" s="31" t="s">
        <v>1885</v>
      </c>
    </row>
    <row r="402" spans="1:23" ht="30">
      <c r="A402" s="7">
        <v>401</v>
      </c>
      <c r="B402" s="7" t="s">
        <v>1217</v>
      </c>
      <c r="C402" s="7" t="s">
        <v>53</v>
      </c>
      <c r="D402" s="7" t="s">
        <v>167</v>
      </c>
      <c r="E402" s="11">
        <v>7</v>
      </c>
      <c r="F402" s="7" t="s">
        <v>41</v>
      </c>
      <c r="G402" s="7" t="s">
        <v>1743</v>
      </c>
      <c r="H402" s="37">
        <f>IFERROR(VLOOKUP(C402,Fixture_Engine!$D$2:$R$21,13,FALSE),"")</f>
        <v>2.1387927682342065</v>
      </c>
      <c r="I402" s="37">
        <f>IFERROR(VLOOKUP(C402,Fixture_Engine!$D$2:$R$21,14,FALSE),"")</f>
        <v>0.9191782076853533</v>
      </c>
      <c r="J402" s="37">
        <f>IFERROR(VLOOKUP(C402,Fixture_Engine!$D$2:$R$21,15,FALSE),"")</f>
        <v>0.39884667557503217</v>
      </c>
      <c r="K402" s="13">
        <v>0.26326026478643377</v>
      </c>
      <c r="L402" s="13">
        <v>4.4395145032310082E-2</v>
      </c>
      <c r="M402" s="13">
        <v>0.63222945002956821</v>
      </c>
      <c r="N402" s="38">
        <f t="shared" si="12"/>
        <v>0.56305915048864685</v>
      </c>
      <c r="O402" s="38">
        <f t="shared" si="13"/>
        <v>9.4952015139813564E-2</v>
      </c>
      <c r="P402" s="26"/>
      <c r="Q402" s="45"/>
      <c r="R402" s="38"/>
      <c r="S402" s="38"/>
      <c r="T402" s="38"/>
      <c r="U402" s="1" t="b">
        <v>0</v>
      </c>
      <c r="V402" s="1" t="b">
        <v>1</v>
      </c>
      <c r="W402" s="31" t="s">
        <v>1885</v>
      </c>
    </row>
    <row r="403" spans="1:23" ht="30">
      <c r="A403" s="7">
        <v>402</v>
      </c>
      <c r="B403" s="7" t="s">
        <v>1219</v>
      </c>
      <c r="C403" s="7" t="s">
        <v>53</v>
      </c>
      <c r="D403" s="7" t="s">
        <v>112</v>
      </c>
      <c r="E403" s="11">
        <v>6.5</v>
      </c>
      <c r="F403" s="7" t="s">
        <v>41</v>
      </c>
      <c r="G403" s="7" t="s">
        <v>1743</v>
      </c>
      <c r="H403" s="37">
        <f>IFERROR(VLOOKUP(C403,Fixture_Engine!$D$2:$R$21,13,FALSE),"")</f>
        <v>2.1387927682342065</v>
      </c>
      <c r="I403" s="37">
        <f>IFERROR(VLOOKUP(C403,Fixture_Engine!$D$2:$R$21,14,FALSE),"")</f>
        <v>0.9191782076853533</v>
      </c>
      <c r="J403" s="37">
        <f>IFERROR(VLOOKUP(C403,Fixture_Engine!$D$2:$R$21,15,FALSE),"")</f>
        <v>0.39884667557503217</v>
      </c>
      <c r="K403" s="13">
        <v>6.9000083216938415E-2</v>
      </c>
      <c r="L403" s="13">
        <v>8.3342485711225059E-2</v>
      </c>
      <c r="M403" s="13">
        <v>0.45856573705179282</v>
      </c>
      <c r="N403" s="38">
        <f t="shared" si="12"/>
        <v>0.14757687899194633</v>
      </c>
      <c r="O403" s="38">
        <f t="shared" si="13"/>
        <v>0.17825230572583084</v>
      </c>
      <c r="P403" s="26"/>
      <c r="Q403" s="45"/>
      <c r="R403" s="38"/>
      <c r="S403" s="38"/>
      <c r="T403" s="38"/>
      <c r="V403" s="1" t="b">
        <v>1</v>
      </c>
      <c r="W403" s="31" t="s">
        <v>1885</v>
      </c>
    </row>
    <row r="404" spans="1:23" ht="30">
      <c r="A404" s="7">
        <v>403</v>
      </c>
      <c r="B404" s="7" t="s">
        <v>1222</v>
      </c>
      <c r="C404" s="7" t="s">
        <v>53</v>
      </c>
      <c r="D404" s="7" t="s">
        <v>112</v>
      </c>
      <c r="E404" s="11">
        <v>6.5</v>
      </c>
      <c r="F404" s="7" t="s">
        <v>41</v>
      </c>
      <c r="G404" s="7" t="s">
        <v>1743</v>
      </c>
      <c r="H404" s="37">
        <f>IFERROR(VLOOKUP(C404,Fixture_Engine!$D$2:$R$21,13,FALSE),"")</f>
        <v>2.1387927682342065</v>
      </c>
      <c r="I404" s="37">
        <f>IFERROR(VLOOKUP(C404,Fixture_Engine!$D$2:$R$21,14,FALSE),"")</f>
        <v>0.9191782076853533</v>
      </c>
      <c r="J404" s="37">
        <f>IFERROR(VLOOKUP(C404,Fixture_Engine!$D$2:$R$21,15,FALSE),"")</f>
        <v>0.39884667557503217</v>
      </c>
      <c r="K404" s="13">
        <v>0.1231558268061617</v>
      </c>
      <c r="L404" s="13">
        <v>9.1340434510863322E-2</v>
      </c>
      <c r="M404" s="13">
        <v>0.59532195927352782</v>
      </c>
      <c r="N404" s="38">
        <f t="shared" si="12"/>
        <v>0.26340479173892306</v>
      </c>
      <c r="O404" s="38">
        <f t="shared" si="13"/>
        <v>0.19535826077920462</v>
      </c>
      <c r="P404" s="26"/>
      <c r="Q404" s="45"/>
      <c r="R404" s="38"/>
      <c r="S404" s="38"/>
      <c r="T404" s="38"/>
      <c r="U404" s="1" t="b">
        <v>1</v>
      </c>
      <c r="V404" s="1" t="b">
        <v>1</v>
      </c>
      <c r="W404" s="31" t="s">
        <v>1885</v>
      </c>
    </row>
    <row r="405" spans="1:23" ht="30">
      <c r="A405" s="7">
        <v>404</v>
      </c>
      <c r="B405" s="7" t="s">
        <v>1225</v>
      </c>
      <c r="C405" s="7" t="s">
        <v>53</v>
      </c>
      <c r="D405" s="7" t="s">
        <v>112</v>
      </c>
      <c r="E405" s="11">
        <v>6</v>
      </c>
      <c r="F405" s="7" t="s">
        <v>41</v>
      </c>
      <c r="G405" s="7" t="s">
        <v>1743</v>
      </c>
      <c r="H405" s="37">
        <f>IFERROR(VLOOKUP(C405,Fixture_Engine!$D$2:$R$21,13,FALSE),"")</f>
        <v>2.1387927682342065</v>
      </c>
      <c r="I405" s="37">
        <f>IFERROR(VLOOKUP(C405,Fixture_Engine!$D$2:$R$21,14,FALSE),"")</f>
        <v>0.9191782076853533</v>
      </c>
      <c r="J405" s="37">
        <f>IFERROR(VLOOKUP(C405,Fixture_Engine!$D$2:$R$21,15,FALSE),"")</f>
        <v>0.39884667557503217</v>
      </c>
      <c r="K405" s="13">
        <v>0.12319729374235189</v>
      </c>
      <c r="L405" s="13">
        <v>7.8501897082297212E-2</v>
      </c>
      <c r="M405" s="13">
        <v>0.44311856652687764</v>
      </c>
      <c r="N405" s="38">
        <f t="shared" si="12"/>
        <v>0.26349348092216746</v>
      </c>
      <c r="O405" s="38">
        <f t="shared" si="13"/>
        <v>0.16789928977228324</v>
      </c>
      <c r="P405" s="26"/>
      <c r="Q405" s="45"/>
      <c r="R405" s="38"/>
      <c r="S405" s="38"/>
      <c r="T405" s="38"/>
      <c r="U405" s="1" t="b">
        <v>0</v>
      </c>
      <c r="V405" s="1" t="b">
        <v>1</v>
      </c>
      <c r="W405" s="31" t="s">
        <v>1885</v>
      </c>
    </row>
    <row r="406" spans="1:23" ht="30">
      <c r="A406" s="7">
        <v>405</v>
      </c>
      <c r="B406" s="7" t="s">
        <v>1227</v>
      </c>
      <c r="C406" s="7" t="s">
        <v>53</v>
      </c>
      <c r="D406" s="7" t="s">
        <v>112</v>
      </c>
      <c r="E406" s="11">
        <v>5.5</v>
      </c>
      <c r="F406" s="7" t="s">
        <v>41</v>
      </c>
      <c r="G406" s="7" t="s">
        <v>1743</v>
      </c>
      <c r="H406" s="37">
        <f>IFERROR(VLOOKUP(C406,Fixture_Engine!$D$2:$R$21,13,FALSE),"")</f>
        <v>2.1387927682342065</v>
      </c>
      <c r="I406" s="37">
        <f>IFERROR(VLOOKUP(C406,Fixture_Engine!$D$2:$R$21,14,FALSE),"")</f>
        <v>0.9191782076853533</v>
      </c>
      <c r="J406" s="37">
        <f>IFERROR(VLOOKUP(C406,Fixture_Engine!$D$2:$R$21,15,FALSE),"")</f>
        <v>0.39884667557503217</v>
      </c>
      <c r="K406" s="13">
        <v>5.9950722906043183E-2</v>
      </c>
      <c r="L406" s="13">
        <v>5.9537183482004957E-2</v>
      </c>
      <c r="M406" s="13">
        <v>0.45142522452167122</v>
      </c>
      <c r="N406" s="38">
        <f t="shared" si="12"/>
        <v>0.12822217260185795</v>
      </c>
      <c r="O406" s="38">
        <f t="shared" si="13"/>
        <v>0.12733769747234525</v>
      </c>
      <c r="P406" s="26"/>
      <c r="Q406" s="45"/>
      <c r="R406" s="38"/>
      <c r="S406" s="38"/>
      <c r="T406" s="38"/>
      <c r="U406" s="1" t="b">
        <v>0</v>
      </c>
      <c r="V406" s="1" t="b">
        <v>1</v>
      </c>
      <c r="W406" s="31" t="s">
        <v>1885</v>
      </c>
    </row>
    <row r="407" spans="1:23" ht="30">
      <c r="A407" s="7">
        <v>406</v>
      </c>
      <c r="B407" s="7" t="s">
        <v>1229</v>
      </c>
      <c r="C407" s="7" t="s">
        <v>53</v>
      </c>
      <c r="D407" s="7" t="s">
        <v>112</v>
      </c>
      <c r="E407" s="11">
        <v>5.5</v>
      </c>
      <c r="F407" s="7" t="s">
        <v>41</v>
      </c>
      <c r="G407" s="7" t="s">
        <v>1743</v>
      </c>
      <c r="H407" s="37">
        <f>IFERROR(VLOOKUP(C407,Fixture_Engine!$D$2:$R$21,13,FALSE),"")</f>
        <v>2.1387927682342065</v>
      </c>
      <c r="I407" s="37">
        <f>IFERROR(VLOOKUP(C407,Fixture_Engine!$D$2:$R$21,14,FALSE),"")</f>
        <v>0.9191782076853533</v>
      </c>
      <c r="J407" s="37">
        <f>IFERROR(VLOOKUP(C407,Fixture_Engine!$D$2:$R$21,15,FALSE),"")</f>
        <v>0.39884667557503217</v>
      </c>
      <c r="K407" s="13">
        <v>0.10173367268532311</v>
      </c>
      <c r="L407" s="13">
        <v>9.7265766783689062E-2</v>
      </c>
      <c r="M407" s="13">
        <v>0.9</v>
      </c>
      <c r="N407" s="38">
        <f t="shared" si="12"/>
        <v>0.21758724342527491</v>
      </c>
      <c r="O407" s="38">
        <f t="shared" si="13"/>
        <v>0.20803131859370905</v>
      </c>
      <c r="P407" s="26"/>
      <c r="Q407" s="45"/>
      <c r="R407" s="38"/>
      <c r="S407" s="38"/>
      <c r="T407" s="38"/>
      <c r="U407" s="1" t="b">
        <v>0</v>
      </c>
      <c r="V407" s="1" t="b">
        <v>1</v>
      </c>
      <c r="W407" s="31" t="s">
        <v>1885</v>
      </c>
    </row>
    <row r="408" spans="1:23" ht="30">
      <c r="A408" s="7">
        <v>407</v>
      </c>
      <c r="B408" s="7" t="s">
        <v>1232</v>
      </c>
      <c r="C408" s="7" t="s">
        <v>53</v>
      </c>
      <c r="D408" s="7" t="s">
        <v>112</v>
      </c>
      <c r="E408" s="11">
        <v>5</v>
      </c>
      <c r="F408" s="7" t="s">
        <v>41</v>
      </c>
      <c r="G408" s="7" t="s">
        <v>1743</v>
      </c>
      <c r="H408" s="37">
        <f>IFERROR(VLOOKUP(C408,Fixture_Engine!$D$2:$R$21,13,FALSE),"")</f>
        <v>2.1387927682342065</v>
      </c>
      <c r="I408" s="37">
        <f>IFERROR(VLOOKUP(C408,Fixture_Engine!$D$2:$R$21,14,FALSE),"")</f>
        <v>0.9191782076853533</v>
      </c>
      <c r="J408" s="37">
        <f>IFERROR(VLOOKUP(C408,Fixture_Engine!$D$2:$R$21,15,FALSE),"")</f>
        <v>0.39884667557503217</v>
      </c>
      <c r="K408" s="13">
        <v>0.10751786102217777</v>
      </c>
      <c r="L408" s="13">
        <v>9.0240671969462088E-2</v>
      </c>
      <c r="M408" s="13">
        <v>1</v>
      </c>
      <c r="N408" s="38">
        <f t="shared" si="12"/>
        <v>0.22995842361024427</v>
      </c>
      <c r="O408" s="38">
        <f t="shared" si="13"/>
        <v>0.19300609660888079</v>
      </c>
      <c r="P408" s="26"/>
      <c r="Q408" s="45"/>
      <c r="R408" s="38"/>
      <c r="S408" s="38"/>
      <c r="T408" s="38"/>
      <c r="U408" s="1" t="b">
        <v>0</v>
      </c>
      <c r="V408" s="1" t="b">
        <v>1</v>
      </c>
      <c r="W408" s="31" t="s">
        <v>1885</v>
      </c>
    </row>
    <row r="409" spans="1:23" ht="30">
      <c r="A409" s="7">
        <v>408</v>
      </c>
      <c r="B409" s="7" t="s">
        <v>869</v>
      </c>
      <c r="C409" s="7" t="s">
        <v>53</v>
      </c>
      <c r="D409" s="7" t="s">
        <v>112</v>
      </c>
      <c r="E409" s="11">
        <v>5</v>
      </c>
      <c r="F409" s="7" t="s">
        <v>41</v>
      </c>
      <c r="G409" s="7" t="s">
        <v>1743</v>
      </c>
      <c r="H409" s="37">
        <f>IFERROR(VLOOKUP(C409,Fixture_Engine!$D$2:$R$21,13,FALSE),"")</f>
        <v>2.1387927682342065</v>
      </c>
      <c r="I409" s="37">
        <f>IFERROR(VLOOKUP(C409,Fixture_Engine!$D$2:$R$21,14,FALSE),"")</f>
        <v>0.9191782076853533</v>
      </c>
      <c r="J409" s="37">
        <f>IFERROR(VLOOKUP(C409,Fixture_Engine!$D$2:$R$21,15,FALSE),"")</f>
        <v>0.39884667557503217</v>
      </c>
      <c r="K409" s="13">
        <v>0.10751786102217777</v>
      </c>
      <c r="L409" s="13">
        <v>9.0240671969462088E-2</v>
      </c>
      <c r="M409" s="13">
        <v>1</v>
      </c>
      <c r="N409" s="38">
        <f t="shared" si="12"/>
        <v>0.22995842361024427</v>
      </c>
      <c r="O409" s="38">
        <f t="shared" si="13"/>
        <v>0.19300609660888079</v>
      </c>
      <c r="P409" s="26"/>
      <c r="Q409" s="45"/>
      <c r="R409" s="38"/>
      <c r="S409" s="38"/>
      <c r="T409" s="38"/>
      <c r="U409" s="1" t="b">
        <v>0</v>
      </c>
      <c r="V409" s="1" t="b">
        <v>1</v>
      </c>
      <c r="W409" s="31" t="s">
        <v>1885</v>
      </c>
    </row>
    <row r="410" spans="1:23" ht="30">
      <c r="A410" s="7">
        <v>409</v>
      </c>
      <c r="B410" s="7" t="s">
        <v>1236</v>
      </c>
      <c r="C410" s="7" t="s">
        <v>53</v>
      </c>
      <c r="D410" s="7" t="s">
        <v>112</v>
      </c>
      <c r="E410" s="11">
        <v>4.5</v>
      </c>
      <c r="F410" s="7" t="s">
        <v>41</v>
      </c>
      <c r="G410" s="7" t="s">
        <v>1743</v>
      </c>
      <c r="H410" s="37">
        <f>IFERROR(VLOOKUP(C410,Fixture_Engine!$D$2:$R$21,13,FALSE),"")</f>
        <v>2.1387927682342065</v>
      </c>
      <c r="I410" s="37">
        <f>IFERROR(VLOOKUP(C410,Fixture_Engine!$D$2:$R$21,14,FALSE),"")</f>
        <v>0.9191782076853533</v>
      </c>
      <c r="J410" s="37">
        <f>IFERROR(VLOOKUP(C410,Fixture_Engine!$D$2:$R$21,15,FALSE),"")</f>
        <v>0.39884667557503217</v>
      </c>
      <c r="K410" s="13">
        <v>0.10751786102217777</v>
      </c>
      <c r="L410" s="13">
        <v>9.7067246127483575E-2</v>
      </c>
      <c r="M410" s="13">
        <v>0.97804878048780486</v>
      </c>
      <c r="N410" s="38">
        <f t="shared" si="12"/>
        <v>0.22995842361024427</v>
      </c>
      <c r="O410" s="38">
        <f t="shared" si="13"/>
        <v>0.20760672404987165</v>
      </c>
      <c r="P410" s="26"/>
      <c r="Q410" s="45"/>
      <c r="R410" s="38"/>
      <c r="S410" s="38"/>
      <c r="T410" s="38"/>
      <c r="U410" s="1" t="b">
        <v>0</v>
      </c>
      <c r="V410" s="1" t="b">
        <v>1</v>
      </c>
      <c r="W410" s="31" t="s">
        <v>1885</v>
      </c>
    </row>
    <row r="411" spans="1:23" ht="30">
      <c r="A411" s="7">
        <v>410</v>
      </c>
      <c r="B411" s="7" t="s">
        <v>1238</v>
      </c>
      <c r="C411" s="7" t="s">
        <v>53</v>
      </c>
      <c r="D411" s="7" t="s">
        <v>112</v>
      </c>
      <c r="E411" s="11">
        <v>5</v>
      </c>
      <c r="F411" s="7" t="s">
        <v>41</v>
      </c>
      <c r="G411" s="7" t="s">
        <v>1743</v>
      </c>
      <c r="H411" s="37">
        <f>IFERROR(VLOOKUP(C411,Fixture_Engine!$D$2:$R$21,13,FALSE),"")</f>
        <v>2.1387927682342065</v>
      </c>
      <c r="I411" s="37">
        <f>IFERROR(VLOOKUP(C411,Fixture_Engine!$D$2:$R$21,14,FALSE),"")</f>
        <v>0.9191782076853533</v>
      </c>
      <c r="J411" s="37">
        <f>IFERROR(VLOOKUP(C411,Fixture_Engine!$D$2:$R$21,15,FALSE),"")</f>
        <v>0.39884667557503217</v>
      </c>
      <c r="K411" s="13">
        <v>0.10751786102217777</v>
      </c>
      <c r="L411" s="13">
        <v>9.0240671969462088E-2</v>
      </c>
      <c r="M411" s="13">
        <v>1</v>
      </c>
      <c r="N411" s="38">
        <f t="shared" si="12"/>
        <v>0.22995842361024427</v>
      </c>
      <c r="O411" s="38">
        <f t="shared" si="13"/>
        <v>0.19300609660888079</v>
      </c>
      <c r="P411" s="26"/>
      <c r="Q411" s="45"/>
      <c r="R411" s="38"/>
      <c r="S411" s="38"/>
      <c r="T411" s="38"/>
      <c r="U411" s="1" t="b">
        <v>0</v>
      </c>
      <c r="V411" s="1" t="b">
        <v>1</v>
      </c>
      <c r="W411" s="31" t="s">
        <v>1885</v>
      </c>
    </row>
    <row r="412" spans="1:23" ht="30">
      <c r="A412" s="7">
        <v>411</v>
      </c>
      <c r="B412" s="7" t="s">
        <v>1240</v>
      </c>
      <c r="C412" s="7" t="s">
        <v>53</v>
      </c>
      <c r="D412" s="7" t="s">
        <v>167</v>
      </c>
      <c r="E412" s="11">
        <v>15.5</v>
      </c>
      <c r="F412" s="7" t="s">
        <v>41</v>
      </c>
      <c r="G412" s="7" t="s">
        <v>1743</v>
      </c>
      <c r="H412" s="37">
        <f>IFERROR(VLOOKUP(C412,Fixture_Engine!$D$2:$R$21,13,FALSE),"")</f>
        <v>2.1387927682342065</v>
      </c>
      <c r="I412" s="37">
        <f>IFERROR(VLOOKUP(C412,Fixture_Engine!$D$2:$R$21,14,FALSE),"")</f>
        <v>0.9191782076853533</v>
      </c>
      <c r="J412" s="37">
        <f>IFERROR(VLOOKUP(C412,Fixture_Engine!$D$2:$R$21,15,FALSE),"")</f>
        <v>0.39884667557503217</v>
      </c>
      <c r="K412" s="13">
        <v>0.37712704874890601</v>
      </c>
      <c r="L412" s="13">
        <v>4.1900109972589632E-2</v>
      </c>
      <c r="M412" s="13">
        <v>0.32767518340500879</v>
      </c>
      <c r="N412" s="38">
        <f t="shared" si="12"/>
        <v>0.8065966045696692</v>
      </c>
      <c r="O412" s="38">
        <f t="shared" si="13"/>
        <v>8.9615652197592655E-2</v>
      </c>
      <c r="P412" s="26"/>
      <c r="Q412" s="45"/>
      <c r="R412" s="38"/>
      <c r="S412" s="38"/>
      <c r="T412" s="38"/>
      <c r="U412" s="1" t="b">
        <v>0</v>
      </c>
      <c r="V412" s="1" t="b">
        <v>1</v>
      </c>
      <c r="W412" s="31" t="s">
        <v>1885</v>
      </c>
    </row>
    <row r="413" spans="1:23" ht="30">
      <c r="A413" s="7">
        <v>412</v>
      </c>
      <c r="B413" s="7" t="s">
        <v>1254</v>
      </c>
      <c r="C413" s="7" t="s">
        <v>54</v>
      </c>
      <c r="D413" s="7" t="s">
        <v>85</v>
      </c>
      <c r="E413" s="11">
        <v>5</v>
      </c>
      <c r="F413" s="7" t="s">
        <v>49</v>
      </c>
      <c r="G413" s="7" t="s">
        <v>1742</v>
      </c>
      <c r="H413" s="37">
        <f>IFERROR(VLOOKUP(C413,Fixture_Engine!$D$2:$R$21,13,FALSE),"")</f>
        <v>1.9843123696263989</v>
      </c>
      <c r="I413" s="37">
        <f>IFERROR(VLOOKUP(C413,Fixture_Engine!$D$2:$R$21,14,FALSE),"")</f>
        <v>0.60545882999044243</v>
      </c>
      <c r="J413" s="37">
        <f>IFERROR(VLOOKUP(C413,Fixture_Engine!$D$2:$R$21,15,FALSE),"")</f>
        <v>0.54582392878811159</v>
      </c>
      <c r="K413" s="13">
        <v>1.6719534964712218E-4</v>
      </c>
      <c r="L413" s="13">
        <v>1.379361634588758E-3</v>
      </c>
      <c r="M413" s="13">
        <v>0.25773195876288657</v>
      </c>
      <c r="N413" s="38">
        <f t="shared" si="12"/>
        <v>3.3176780044879531E-4</v>
      </c>
      <c r="O413" s="38">
        <f t="shared" si="13"/>
        <v>2.7370843537025615E-3</v>
      </c>
      <c r="P413" s="26"/>
      <c r="Q413" s="45"/>
      <c r="R413" s="38"/>
      <c r="S413" s="38"/>
      <c r="T413" s="38"/>
      <c r="U413" s="1" t="b">
        <v>0</v>
      </c>
      <c r="V413" s="1" t="b">
        <v>0</v>
      </c>
      <c r="W413" s="31" t="s">
        <v>1885</v>
      </c>
    </row>
    <row r="414" spans="1:23" ht="30">
      <c r="A414" s="7">
        <v>413</v>
      </c>
      <c r="B414" s="7" t="s">
        <v>1256</v>
      </c>
      <c r="C414" s="7" t="s">
        <v>54</v>
      </c>
      <c r="D414" s="7" t="s">
        <v>85</v>
      </c>
      <c r="E414" s="11">
        <v>4.5</v>
      </c>
      <c r="F414" s="7" t="s">
        <v>49</v>
      </c>
      <c r="G414" s="7" t="s">
        <v>1742</v>
      </c>
      <c r="H414" s="37">
        <f>IFERROR(VLOOKUP(C414,Fixture_Engine!$D$2:$R$21,13,FALSE),"")</f>
        <v>1.9843123696263989</v>
      </c>
      <c r="I414" s="37">
        <f>IFERROR(VLOOKUP(C414,Fixture_Engine!$D$2:$R$21,14,FALSE),"")</f>
        <v>0.60545882999044243</v>
      </c>
      <c r="J414" s="37">
        <f>IFERROR(VLOOKUP(C414,Fixture_Engine!$D$2:$R$21,15,FALSE),"")</f>
        <v>0.54582392878811159</v>
      </c>
      <c r="K414" s="13">
        <v>1.6719534964712218E-4</v>
      </c>
      <c r="L414" s="13">
        <v>2.5961328805975013E-3</v>
      </c>
      <c r="M414" s="13">
        <v>0.64935064935064934</v>
      </c>
      <c r="N414" s="38">
        <f t="shared" si="12"/>
        <v>3.3176780044879531E-4</v>
      </c>
      <c r="O414" s="38">
        <f t="shared" si="13"/>
        <v>5.151538588163437E-3</v>
      </c>
      <c r="P414" s="26"/>
      <c r="Q414" s="45"/>
      <c r="R414" s="38"/>
      <c r="S414" s="38"/>
      <c r="T414" s="38"/>
      <c r="U414" s="1" t="b">
        <v>0</v>
      </c>
      <c r="V414" s="1" t="b">
        <v>1</v>
      </c>
      <c r="W414" s="31" t="s">
        <v>1885</v>
      </c>
    </row>
    <row r="415" spans="1:23" ht="30">
      <c r="A415" s="7">
        <v>414</v>
      </c>
      <c r="B415" s="7" t="s">
        <v>1258</v>
      </c>
      <c r="C415" s="7" t="s">
        <v>54</v>
      </c>
      <c r="D415" s="7" t="s">
        <v>85</v>
      </c>
      <c r="E415" s="11">
        <v>4</v>
      </c>
      <c r="F415" s="7" t="s">
        <v>49</v>
      </c>
      <c r="G415" s="7" t="s">
        <v>1742</v>
      </c>
      <c r="H415" s="37">
        <f>IFERROR(VLOOKUP(C415,Fixture_Engine!$D$2:$R$21,13,FALSE),"")</f>
        <v>1.9843123696263989</v>
      </c>
      <c r="I415" s="37">
        <f>IFERROR(VLOOKUP(C415,Fixture_Engine!$D$2:$R$21,14,FALSE),"")</f>
        <v>0.60545882999044243</v>
      </c>
      <c r="J415" s="37">
        <f>IFERROR(VLOOKUP(C415,Fixture_Engine!$D$2:$R$21,15,FALSE),"")</f>
        <v>0.54582392878811159</v>
      </c>
      <c r="K415" s="13">
        <v>1.6719534964712218E-4</v>
      </c>
      <c r="L415" s="13">
        <v>1.379361634588758E-3</v>
      </c>
      <c r="M415" s="13">
        <v>1</v>
      </c>
      <c r="N415" s="38">
        <f t="shared" si="12"/>
        <v>3.3176780044879531E-4</v>
      </c>
      <c r="O415" s="38">
        <f t="shared" si="13"/>
        <v>2.7370843537025615E-3</v>
      </c>
      <c r="P415" s="26"/>
      <c r="Q415" s="45"/>
      <c r="R415" s="38"/>
      <c r="S415" s="38"/>
      <c r="T415" s="38"/>
      <c r="U415" s="1" t="b">
        <v>1</v>
      </c>
      <c r="V415" s="1" t="b">
        <v>1</v>
      </c>
      <c r="W415" s="31" t="s">
        <v>1885</v>
      </c>
    </row>
    <row r="416" spans="1:23" ht="30">
      <c r="A416" s="7">
        <v>415</v>
      </c>
      <c r="B416" s="7" t="s">
        <v>1260</v>
      </c>
      <c r="C416" s="7" t="s">
        <v>54</v>
      </c>
      <c r="D416" s="7" t="s">
        <v>112</v>
      </c>
      <c r="E416" s="11">
        <v>6</v>
      </c>
      <c r="F416" s="7" t="s">
        <v>49</v>
      </c>
      <c r="G416" s="7" t="s">
        <v>1742</v>
      </c>
      <c r="H416" s="37">
        <f>IFERROR(VLOOKUP(C416,Fixture_Engine!$D$2:$R$21,13,FALSE),"")</f>
        <v>1.9843123696263989</v>
      </c>
      <c r="I416" s="37">
        <f>IFERROR(VLOOKUP(C416,Fixture_Engine!$D$2:$R$21,14,FALSE),"")</f>
        <v>0.60545882999044243</v>
      </c>
      <c r="J416" s="37">
        <f>IFERROR(VLOOKUP(C416,Fixture_Engine!$D$2:$R$21,15,FALSE),"")</f>
        <v>0.54582392878811159</v>
      </c>
      <c r="K416" s="13">
        <v>9.5365126432532116E-2</v>
      </c>
      <c r="L416" s="13">
        <v>7.6478773125334992E-2</v>
      </c>
      <c r="M416" s="13">
        <v>0.4098360655737705</v>
      </c>
      <c r="N416" s="38">
        <f t="shared" si="12"/>
        <v>0.18923420001105892</v>
      </c>
      <c r="O416" s="38">
        <f t="shared" si="13"/>
        <v>0.15175777552645323</v>
      </c>
      <c r="P416" s="26"/>
      <c r="Q416" s="45"/>
      <c r="R416" s="38"/>
      <c r="S416" s="38"/>
      <c r="T416" s="38"/>
      <c r="U416" s="1" t="b">
        <v>0</v>
      </c>
      <c r="V416" s="1" t="b">
        <v>0</v>
      </c>
      <c r="W416" s="31" t="s">
        <v>1885</v>
      </c>
    </row>
    <row r="417" spans="1:23" ht="30">
      <c r="A417" s="7">
        <v>416</v>
      </c>
      <c r="B417" s="7" t="s">
        <v>1262</v>
      </c>
      <c r="C417" s="7" t="s">
        <v>54</v>
      </c>
      <c r="D417" s="7" t="s">
        <v>99</v>
      </c>
      <c r="E417" s="11">
        <v>5</v>
      </c>
      <c r="F417" s="7" t="s">
        <v>49</v>
      </c>
      <c r="G417" s="7" t="s">
        <v>1742</v>
      </c>
      <c r="H417" s="37">
        <f>IFERROR(VLOOKUP(C417,Fixture_Engine!$D$2:$R$21,13,FALSE),"")</f>
        <v>1.9843123696263989</v>
      </c>
      <c r="I417" s="37">
        <f>IFERROR(VLOOKUP(C417,Fixture_Engine!$D$2:$R$21,14,FALSE),"")</f>
        <v>0.60545882999044243</v>
      </c>
      <c r="J417" s="37">
        <f>IFERROR(VLOOKUP(C417,Fixture_Engine!$D$2:$R$21,15,FALSE),"")</f>
        <v>0.54582392878811159</v>
      </c>
      <c r="K417" s="13">
        <v>5.2266365029399825E-2</v>
      </c>
      <c r="L417" s="13">
        <v>3.8701943651140783E-2</v>
      </c>
      <c r="M417" s="13">
        <v>0.46082949308755761</v>
      </c>
      <c r="N417" s="38">
        <f t="shared" si="12"/>
        <v>0.10371279464324672</v>
      </c>
      <c r="O417" s="38">
        <f t="shared" si="13"/>
        <v>7.6796745515542525E-2</v>
      </c>
      <c r="P417" s="26"/>
      <c r="Q417" s="45"/>
      <c r="R417" s="38"/>
      <c r="S417" s="38"/>
      <c r="T417" s="38"/>
      <c r="U417" s="1" t="b">
        <v>0</v>
      </c>
      <c r="V417" s="1" t="b">
        <v>0</v>
      </c>
      <c r="W417" s="31" t="s">
        <v>1885</v>
      </c>
    </row>
    <row r="418" spans="1:23" ht="30">
      <c r="A418" s="7">
        <v>417</v>
      </c>
      <c r="B418" s="7" t="s">
        <v>1264</v>
      </c>
      <c r="C418" s="7" t="s">
        <v>54</v>
      </c>
      <c r="D418" s="7" t="s">
        <v>99</v>
      </c>
      <c r="E418" s="11">
        <v>5</v>
      </c>
      <c r="F418" s="7" t="s">
        <v>49</v>
      </c>
      <c r="G418" s="7" t="s">
        <v>1742</v>
      </c>
      <c r="H418" s="37">
        <f>IFERROR(VLOOKUP(C418,Fixture_Engine!$D$2:$R$21,13,FALSE),"")</f>
        <v>1.9843123696263989</v>
      </c>
      <c r="I418" s="37">
        <f>IFERROR(VLOOKUP(C418,Fixture_Engine!$D$2:$R$21,14,FALSE),"")</f>
        <v>0.60545882999044243</v>
      </c>
      <c r="J418" s="37">
        <f>IFERROR(VLOOKUP(C418,Fixture_Engine!$D$2:$R$21,15,FALSE),"")</f>
        <v>0.54582392878811159</v>
      </c>
      <c r="K418" s="13">
        <v>3.9408014721707657E-2</v>
      </c>
      <c r="L418" s="13">
        <v>4.8521304011157659E-2</v>
      </c>
      <c r="M418" s="13">
        <v>0.27708506511499031</v>
      </c>
      <c r="N418" s="38">
        <f t="shared" si="12"/>
        <v>7.8197811074703735E-2</v>
      </c>
      <c r="O418" s="38">
        <f t="shared" si="13"/>
        <v>9.6281423739743147E-2</v>
      </c>
      <c r="P418" s="26"/>
      <c r="Q418" s="45"/>
      <c r="R418" s="38"/>
      <c r="S418" s="38"/>
      <c r="T418" s="38"/>
      <c r="U418" s="1" t="b">
        <v>0</v>
      </c>
      <c r="V418" s="1" t="b">
        <v>0</v>
      </c>
      <c r="W418" s="31" t="s">
        <v>1885</v>
      </c>
    </row>
    <row r="419" spans="1:23" ht="30">
      <c r="A419" s="7">
        <v>418</v>
      </c>
      <c r="B419" s="7" t="s">
        <v>1267</v>
      </c>
      <c r="C419" s="7" t="s">
        <v>54</v>
      </c>
      <c r="D419" s="7" t="s">
        <v>99</v>
      </c>
      <c r="E419" s="11">
        <v>5</v>
      </c>
      <c r="F419" s="7" t="s">
        <v>49</v>
      </c>
      <c r="G419" s="7" t="s">
        <v>1742</v>
      </c>
      <c r="H419" s="37">
        <f>IFERROR(VLOOKUP(C419,Fixture_Engine!$D$2:$R$21,13,FALSE),"")</f>
        <v>1.9843123696263989</v>
      </c>
      <c r="I419" s="37">
        <f>IFERROR(VLOOKUP(C419,Fixture_Engine!$D$2:$R$21,14,FALSE),"")</f>
        <v>0.60545882999044243</v>
      </c>
      <c r="J419" s="37">
        <f>IFERROR(VLOOKUP(C419,Fixture_Engine!$D$2:$R$21,15,FALSE),"")</f>
        <v>0.54582392878811159</v>
      </c>
      <c r="K419" s="13">
        <v>3.7674919028250049E-2</v>
      </c>
      <c r="L419" s="13">
        <v>2.5179278940305135E-2</v>
      </c>
      <c r="M419" s="13">
        <v>0.37750094375235943</v>
      </c>
      <c r="N419" s="38">
        <f t="shared" si="12"/>
        <v>7.4758807852429554E-2</v>
      </c>
      <c r="O419" s="38">
        <f t="shared" si="13"/>
        <v>4.9963554659520966E-2</v>
      </c>
      <c r="P419" s="26"/>
      <c r="Q419" s="45"/>
      <c r="R419" s="38"/>
      <c r="S419" s="38"/>
      <c r="T419" s="38"/>
      <c r="U419" s="1" t="b">
        <v>0</v>
      </c>
      <c r="V419" s="1" t="b">
        <v>0</v>
      </c>
      <c r="W419" s="31" t="s">
        <v>1885</v>
      </c>
    </row>
    <row r="420" spans="1:23" ht="30">
      <c r="A420" s="7">
        <v>419</v>
      </c>
      <c r="B420" s="7" t="s">
        <v>178</v>
      </c>
      <c r="C420" s="7" t="s">
        <v>54</v>
      </c>
      <c r="D420" s="7" t="s">
        <v>99</v>
      </c>
      <c r="E420" s="11">
        <v>5</v>
      </c>
      <c r="F420" s="7" t="s">
        <v>49</v>
      </c>
      <c r="G420" s="7" t="s">
        <v>1742</v>
      </c>
      <c r="H420" s="37">
        <f>IFERROR(VLOOKUP(C420,Fixture_Engine!$D$2:$R$21,13,FALSE),"")</f>
        <v>1.9843123696263989</v>
      </c>
      <c r="I420" s="37">
        <f>IFERROR(VLOOKUP(C420,Fixture_Engine!$D$2:$R$21,14,FALSE),"")</f>
        <v>0.60545882999044243</v>
      </c>
      <c r="J420" s="37">
        <f>IFERROR(VLOOKUP(C420,Fixture_Engine!$D$2:$R$21,15,FALSE),"")</f>
        <v>0.54582392878811159</v>
      </c>
      <c r="K420" s="13">
        <v>2.1982238795928821E-2</v>
      </c>
      <c r="L420" s="13">
        <v>3.2273340473724127E-2</v>
      </c>
      <c r="M420" s="13">
        <v>0.44863167339614174</v>
      </c>
      <c r="N420" s="38">
        <f t="shared" si="12"/>
        <v>4.3619628354842878E-2</v>
      </c>
      <c r="O420" s="38">
        <f t="shared" si="13"/>
        <v>6.4040388711175095E-2</v>
      </c>
      <c r="P420" s="26"/>
      <c r="Q420" s="45"/>
      <c r="R420" s="38"/>
      <c r="S420" s="38"/>
      <c r="T420" s="38"/>
      <c r="U420" s="1" t="b">
        <v>0</v>
      </c>
      <c r="V420" s="1" t="b">
        <v>0</v>
      </c>
      <c r="W420" s="31" t="s">
        <v>1885</v>
      </c>
    </row>
    <row r="421" spans="1:23" ht="30">
      <c r="A421" s="7">
        <v>420</v>
      </c>
      <c r="B421" s="7" t="s">
        <v>1273</v>
      </c>
      <c r="C421" s="7" t="s">
        <v>54</v>
      </c>
      <c r="D421" s="7" t="s">
        <v>99</v>
      </c>
      <c r="E421" s="11">
        <v>5</v>
      </c>
      <c r="F421" s="7" t="s">
        <v>49</v>
      </c>
      <c r="G421" s="7" t="s">
        <v>1742</v>
      </c>
      <c r="H421" s="37">
        <f>IFERROR(VLOOKUP(C421,Fixture_Engine!$D$2:$R$21,13,FALSE),"")</f>
        <v>1.9843123696263989</v>
      </c>
      <c r="I421" s="37">
        <f>IFERROR(VLOOKUP(C421,Fixture_Engine!$D$2:$R$21,14,FALSE),"")</f>
        <v>0.60545882999044243</v>
      </c>
      <c r="J421" s="37">
        <f>IFERROR(VLOOKUP(C421,Fixture_Engine!$D$2:$R$21,15,FALSE),"")</f>
        <v>0.54582392878811159</v>
      </c>
      <c r="K421" s="13">
        <v>4.0777679748195066E-2</v>
      </c>
      <c r="L421" s="13">
        <v>2.6158805610118976E-2</v>
      </c>
      <c r="M421" s="13">
        <v>0.36630036630036633</v>
      </c>
      <c r="N421" s="38">
        <f t="shared" si="12"/>
        <v>8.0915654329007367E-2</v>
      </c>
      <c r="O421" s="38">
        <f t="shared" si="13"/>
        <v>5.1907241546811526E-2</v>
      </c>
      <c r="P421" s="26"/>
      <c r="Q421" s="45"/>
      <c r="R421" s="38"/>
      <c r="S421" s="38"/>
      <c r="T421" s="38"/>
      <c r="U421" s="1" t="b">
        <v>0</v>
      </c>
      <c r="V421" s="1" t="b">
        <v>0</v>
      </c>
      <c r="W421" s="31" t="s">
        <v>1885</v>
      </c>
    </row>
    <row r="422" spans="1:23" ht="30">
      <c r="A422" s="7">
        <v>421</v>
      </c>
      <c r="B422" s="7" t="s">
        <v>1275</v>
      </c>
      <c r="C422" s="7" t="s">
        <v>54</v>
      </c>
      <c r="D422" s="7" t="s">
        <v>99</v>
      </c>
      <c r="E422" s="11">
        <v>4.5</v>
      </c>
      <c r="F422" s="7" t="s">
        <v>49</v>
      </c>
      <c r="G422" s="7" t="s">
        <v>1742</v>
      </c>
      <c r="H422" s="37">
        <f>IFERROR(VLOOKUP(C422,Fixture_Engine!$D$2:$R$21,13,FALSE),"")</f>
        <v>1.9843123696263989</v>
      </c>
      <c r="I422" s="37">
        <f>IFERROR(VLOOKUP(C422,Fixture_Engine!$D$2:$R$21,14,FALSE),"")</f>
        <v>0.60545882999044243</v>
      </c>
      <c r="J422" s="37">
        <f>IFERROR(VLOOKUP(C422,Fixture_Engine!$D$2:$R$21,15,FALSE),"")</f>
        <v>0.54582392878811159</v>
      </c>
      <c r="K422" s="13">
        <v>3.0702815459346163E-2</v>
      </c>
      <c r="L422" s="13">
        <v>2.6010593074514258E-2</v>
      </c>
      <c r="M422" s="13">
        <v>0.52083333333333326</v>
      </c>
      <c r="N422" s="38">
        <f t="shared" si="12"/>
        <v>6.0923976498337216E-2</v>
      </c>
      <c r="O422" s="38">
        <f t="shared" si="13"/>
        <v>5.1613141579077385E-2</v>
      </c>
      <c r="P422" s="26"/>
      <c r="Q422" s="45"/>
      <c r="R422" s="38"/>
      <c r="S422" s="38"/>
      <c r="T422" s="38"/>
      <c r="U422" s="1" t="b">
        <v>0</v>
      </c>
      <c r="V422" s="1" t="b">
        <v>0</v>
      </c>
      <c r="W422" s="31" t="s">
        <v>1885</v>
      </c>
    </row>
    <row r="423" spans="1:23" ht="30">
      <c r="A423" s="7">
        <v>422</v>
      </c>
      <c r="B423" s="7" t="s">
        <v>1278</v>
      </c>
      <c r="C423" s="7" t="s">
        <v>54</v>
      </c>
      <c r="D423" s="7" t="s">
        <v>99</v>
      </c>
      <c r="E423" s="11">
        <v>4.5</v>
      </c>
      <c r="F423" s="7" t="s">
        <v>49</v>
      </c>
      <c r="G423" s="7" t="s">
        <v>1742</v>
      </c>
      <c r="H423" s="37">
        <f>IFERROR(VLOOKUP(C423,Fixture_Engine!$D$2:$R$21,13,FALSE),"")</f>
        <v>1.9843123696263989</v>
      </c>
      <c r="I423" s="37">
        <f>IFERROR(VLOOKUP(C423,Fixture_Engine!$D$2:$R$21,14,FALSE),"")</f>
        <v>0.60545882999044243</v>
      </c>
      <c r="J423" s="37">
        <f>IFERROR(VLOOKUP(C423,Fixture_Engine!$D$2:$R$21,15,FALSE),"")</f>
        <v>0.54582392878811159</v>
      </c>
      <c r="K423" s="13">
        <v>2.5843882993095833E-2</v>
      </c>
      <c r="L423" s="13">
        <v>2.9764218972318728E-2</v>
      </c>
      <c r="M423" s="13">
        <v>0.50581689428426913</v>
      </c>
      <c r="N423" s="38">
        <f t="shared" si="12"/>
        <v>5.1282336702377383E-2</v>
      </c>
      <c r="O423" s="38">
        <f t="shared" si="13"/>
        <v>5.9061507879040791E-2</v>
      </c>
      <c r="P423" s="26"/>
      <c r="Q423" s="45"/>
      <c r="R423" s="38"/>
      <c r="S423" s="38"/>
      <c r="T423" s="38"/>
      <c r="U423" s="1" t="b">
        <v>0</v>
      </c>
      <c r="V423" s="1" t="b">
        <v>0</v>
      </c>
      <c r="W423" s="31" t="s">
        <v>1885</v>
      </c>
    </row>
    <row r="424" spans="1:23" ht="30">
      <c r="A424" s="7">
        <v>423</v>
      </c>
      <c r="B424" s="7" t="s">
        <v>1280</v>
      </c>
      <c r="C424" s="7" t="s">
        <v>54</v>
      </c>
      <c r="D424" s="7" t="s">
        <v>99</v>
      </c>
      <c r="E424" s="11">
        <v>4.5</v>
      </c>
      <c r="F424" s="7" t="s">
        <v>49</v>
      </c>
      <c r="G424" s="7" t="s">
        <v>1742</v>
      </c>
      <c r="H424" s="37">
        <f>IFERROR(VLOOKUP(C424,Fixture_Engine!$D$2:$R$21,13,FALSE),"")</f>
        <v>1.9843123696263989</v>
      </c>
      <c r="I424" s="37">
        <f>IFERROR(VLOOKUP(C424,Fixture_Engine!$D$2:$R$21,14,FALSE),"")</f>
        <v>0.60545882999044243</v>
      </c>
      <c r="J424" s="37">
        <f>IFERROR(VLOOKUP(C424,Fixture_Engine!$D$2:$R$21,15,FALSE),"")</f>
        <v>0.54582392878811159</v>
      </c>
      <c r="K424" s="13">
        <v>1.8685165045872802E-2</v>
      </c>
      <c r="L424" s="13">
        <v>3.4173679326587096E-2</v>
      </c>
      <c r="M424" s="13">
        <v>0.23696682464454977</v>
      </c>
      <c r="N424" s="38">
        <f t="shared" si="12"/>
        <v>3.7077204129036222E-2</v>
      </c>
      <c r="O424" s="38">
        <f t="shared" si="13"/>
        <v>6.7811254603392726E-2</v>
      </c>
      <c r="P424" s="26"/>
      <c r="Q424" s="45"/>
      <c r="R424" s="38"/>
      <c r="S424" s="38"/>
      <c r="T424" s="38"/>
      <c r="U424" s="1" t="b">
        <v>0</v>
      </c>
      <c r="V424" s="1" t="b">
        <v>0</v>
      </c>
      <c r="W424" s="31" t="s">
        <v>1885</v>
      </c>
    </row>
    <row r="425" spans="1:23" ht="30">
      <c r="A425" s="7">
        <v>424</v>
      </c>
      <c r="B425" s="7" t="s">
        <v>1283</v>
      </c>
      <c r="C425" s="7" t="s">
        <v>54</v>
      </c>
      <c r="D425" s="7" t="s">
        <v>99</v>
      </c>
      <c r="E425" s="11">
        <v>4</v>
      </c>
      <c r="F425" s="7" t="s">
        <v>49</v>
      </c>
      <c r="G425" s="7" t="s">
        <v>1742</v>
      </c>
      <c r="H425" s="37">
        <f>IFERROR(VLOOKUP(C425,Fixture_Engine!$D$2:$R$21,13,FALSE),"")</f>
        <v>1.9843123696263989</v>
      </c>
      <c r="I425" s="37">
        <f>IFERROR(VLOOKUP(C425,Fixture_Engine!$D$2:$R$21,14,FALSE),"")</f>
        <v>0.60545882999044243</v>
      </c>
      <c r="J425" s="37">
        <f>IFERROR(VLOOKUP(C425,Fixture_Engine!$D$2:$R$21,15,FALSE),"")</f>
        <v>0.54582392878811159</v>
      </c>
      <c r="K425" s="13">
        <v>4.1142361271531161E-2</v>
      </c>
      <c r="L425" s="13">
        <v>4.0513079897554365E-2</v>
      </c>
      <c r="M425" s="13">
        <v>1</v>
      </c>
      <c r="N425" s="38">
        <f t="shared" si="12"/>
        <v>8.1639296386737378E-2</v>
      </c>
      <c r="O425" s="38">
        <f t="shared" si="13"/>
        <v>8.0390605572379731E-2</v>
      </c>
      <c r="P425" s="26"/>
      <c r="Q425" s="45"/>
      <c r="R425" s="38"/>
      <c r="S425" s="38"/>
      <c r="T425" s="38"/>
      <c r="U425" s="1" t="b">
        <v>0</v>
      </c>
      <c r="V425" s="1" t="b">
        <v>1</v>
      </c>
      <c r="W425" s="31" t="s">
        <v>1885</v>
      </c>
    </row>
    <row r="426" spans="1:23" ht="30">
      <c r="A426" s="7">
        <v>425</v>
      </c>
      <c r="B426" s="7" t="s">
        <v>1286</v>
      </c>
      <c r="C426" s="7" t="s">
        <v>54</v>
      </c>
      <c r="D426" s="7" t="s">
        <v>99</v>
      </c>
      <c r="E426" s="11">
        <v>4</v>
      </c>
      <c r="F426" s="7" t="s">
        <v>49</v>
      </c>
      <c r="G426" s="7" t="s">
        <v>1742</v>
      </c>
      <c r="H426" s="37">
        <f>IFERROR(VLOOKUP(C426,Fixture_Engine!$D$2:$R$21,13,FALSE),"")</f>
        <v>1.9843123696263989</v>
      </c>
      <c r="I426" s="37">
        <f>IFERROR(VLOOKUP(C426,Fixture_Engine!$D$2:$R$21,14,FALSE),"")</f>
        <v>0.60545882999044243</v>
      </c>
      <c r="J426" s="37">
        <f>IFERROR(VLOOKUP(C426,Fixture_Engine!$D$2:$R$21,15,FALSE),"")</f>
        <v>0.54582392878811159</v>
      </c>
      <c r="K426" s="13">
        <v>4.1142361271531161E-2</v>
      </c>
      <c r="L426" s="13">
        <v>4.0513079897554365E-2</v>
      </c>
      <c r="M426" s="13">
        <v>0.99800399201596801</v>
      </c>
      <c r="N426" s="38">
        <f t="shared" si="12"/>
        <v>8.1639296386737378E-2</v>
      </c>
      <c r="O426" s="38">
        <f t="shared" si="13"/>
        <v>8.0390605572379731E-2</v>
      </c>
      <c r="P426" s="26"/>
      <c r="Q426" s="45"/>
      <c r="R426" s="38"/>
      <c r="S426" s="38"/>
      <c r="T426" s="38"/>
      <c r="U426" s="1" t="b">
        <v>0</v>
      </c>
      <c r="V426" s="1" t="b">
        <v>1</v>
      </c>
      <c r="W426" s="31" t="s">
        <v>1885</v>
      </c>
    </row>
    <row r="427" spans="1:23" ht="30">
      <c r="A427" s="7">
        <v>426</v>
      </c>
      <c r="B427" s="7" t="s">
        <v>1289</v>
      </c>
      <c r="C427" s="7" t="s">
        <v>54</v>
      </c>
      <c r="D427" s="7" t="s">
        <v>112</v>
      </c>
      <c r="E427" s="11">
        <v>12</v>
      </c>
      <c r="F427" s="7" t="s">
        <v>49</v>
      </c>
      <c r="G427" s="7" t="s">
        <v>1742</v>
      </c>
      <c r="H427" s="37">
        <f>IFERROR(VLOOKUP(C427,Fixture_Engine!$D$2:$R$21,13,FALSE),"")</f>
        <v>1.9843123696263989</v>
      </c>
      <c r="I427" s="37">
        <f>IFERROR(VLOOKUP(C427,Fixture_Engine!$D$2:$R$21,14,FALSE),"")</f>
        <v>0.60545882999044243</v>
      </c>
      <c r="J427" s="37">
        <f>IFERROR(VLOOKUP(C427,Fixture_Engine!$D$2:$R$21,15,FALSE),"")</f>
        <v>0.54582392878811159</v>
      </c>
      <c r="K427" s="13">
        <v>0.16546854926264512</v>
      </c>
      <c r="L427" s="13">
        <v>0.18041555157332656</v>
      </c>
      <c r="M427" s="13">
        <v>0.24600246002460024</v>
      </c>
      <c r="N427" s="38">
        <f t="shared" si="12"/>
        <v>0.32834128908600185</v>
      </c>
      <c r="O427" s="38">
        <f t="shared" si="13"/>
        <v>0.3580008106599214</v>
      </c>
      <c r="P427" s="26"/>
      <c r="Q427" s="45"/>
      <c r="R427" s="38"/>
      <c r="S427" s="38"/>
      <c r="T427" s="38"/>
      <c r="U427" s="1" t="b">
        <v>0</v>
      </c>
      <c r="V427" s="1" t="b">
        <v>0</v>
      </c>
      <c r="W427" s="31" t="s">
        <v>1885</v>
      </c>
    </row>
    <row r="428" spans="1:23" ht="30">
      <c r="A428" s="7">
        <v>427</v>
      </c>
      <c r="B428" s="7" t="s">
        <v>1292</v>
      </c>
      <c r="C428" s="7" t="s">
        <v>54</v>
      </c>
      <c r="D428" s="7" t="s">
        <v>112</v>
      </c>
      <c r="E428" s="11">
        <v>8</v>
      </c>
      <c r="F428" s="7" t="s">
        <v>49</v>
      </c>
      <c r="G428" s="7" t="s">
        <v>1742</v>
      </c>
      <c r="H428" s="37">
        <f>IFERROR(VLOOKUP(C428,Fixture_Engine!$D$2:$R$21,13,FALSE),"")</f>
        <v>1.9843123696263989</v>
      </c>
      <c r="I428" s="37">
        <f>IFERROR(VLOOKUP(C428,Fixture_Engine!$D$2:$R$21,14,FALSE),"")</f>
        <v>0.60545882999044243</v>
      </c>
      <c r="J428" s="37">
        <f>IFERROR(VLOOKUP(C428,Fixture_Engine!$D$2:$R$21,15,FALSE),"")</f>
        <v>0.54582392878811159</v>
      </c>
      <c r="K428" s="13">
        <v>0.20353207094685677</v>
      </c>
      <c r="L428" s="13">
        <v>9.7365061069591585E-2</v>
      </c>
      <c r="M428" s="13">
        <v>0.27693159789531985</v>
      </c>
      <c r="N428" s="38">
        <f t="shared" si="12"/>
        <v>0.40387120599552567</v>
      </c>
      <c r="O428" s="38">
        <f t="shared" si="13"/>
        <v>0.19320269504982032</v>
      </c>
      <c r="P428" s="26"/>
      <c r="Q428" s="45"/>
      <c r="R428" s="38"/>
      <c r="S428" s="38"/>
      <c r="T428" s="38"/>
      <c r="U428" s="1" t="b">
        <v>0</v>
      </c>
      <c r="V428" s="1" t="b">
        <v>0</v>
      </c>
      <c r="W428" s="31" t="s">
        <v>1885</v>
      </c>
    </row>
    <row r="429" spans="1:23" ht="30">
      <c r="A429" s="7">
        <v>428</v>
      </c>
      <c r="B429" s="7" t="s">
        <v>1295</v>
      </c>
      <c r="C429" s="7" t="s">
        <v>54</v>
      </c>
      <c r="D429" s="7" t="s">
        <v>112</v>
      </c>
      <c r="E429" s="11">
        <v>8</v>
      </c>
      <c r="F429" s="7" t="s">
        <v>49</v>
      </c>
      <c r="G429" s="7" t="s">
        <v>1742</v>
      </c>
      <c r="H429" s="37">
        <f>IFERROR(VLOOKUP(C429,Fixture_Engine!$D$2:$R$21,13,FALSE),"")</f>
        <v>1.9843123696263989</v>
      </c>
      <c r="I429" s="37">
        <f>IFERROR(VLOOKUP(C429,Fixture_Engine!$D$2:$R$21,14,FALSE),"")</f>
        <v>0.60545882999044243</v>
      </c>
      <c r="J429" s="37">
        <f>IFERROR(VLOOKUP(C429,Fixture_Engine!$D$2:$R$21,15,FALSE),"")</f>
        <v>0.54582392878811159</v>
      </c>
      <c r="K429" s="13">
        <v>0.13423879623060694</v>
      </c>
      <c r="L429" s="13">
        <v>7.6214191145826435E-2</v>
      </c>
      <c r="M429" s="13">
        <v>0.28628685943315202</v>
      </c>
      <c r="N429" s="38">
        <f t="shared" si="12"/>
        <v>0.26637170384415099</v>
      </c>
      <c r="O429" s="38">
        <f t="shared" si="13"/>
        <v>0.15123276223173415</v>
      </c>
      <c r="P429" s="26"/>
      <c r="Q429" s="45"/>
      <c r="R429" s="38"/>
      <c r="S429" s="38"/>
      <c r="T429" s="38"/>
      <c r="U429" s="1" t="b">
        <v>0</v>
      </c>
      <c r="V429" s="1" t="b">
        <v>0</v>
      </c>
      <c r="W429" s="31" t="s">
        <v>1885</v>
      </c>
    </row>
    <row r="430" spans="1:23" ht="30">
      <c r="A430" s="7">
        <v>429</v>
      </c>
      <c r="B430" s="7" t="s">
        <v>1297</v>
      </c>
      <c r="C430" s="7" t="s">
        <v>54</v>
      </c>
      <c r="D430" s="7" t="s">
        <v>112</v>
      </c>
      <c r="E430" s="11">
        <v>7</v>
      </c>
      <c r="F430" s="7" t="s">
        <v>49</v>
      </c>
      <c r="G430" s="7" t="s">
        <v>1742</v>
      </c>
      <c r="H430" s="37">
        <f>IFERROR(VLOOKUP(C430,Fixture_Engine!$D$2:$R$21,13,FALSE),"")</f>
        <v>1.9843123696263989</v>
      </c>
      <c r="I430" s="37">
        <f>IFERROR(VLOOKUP(C430,Fixture_Engine!$D$2:$R$21,14,FALSE),"")</f>
        <v>0.60545882999044243</v>
      </c>
      <c r="J430" s="37">
        <f>IFERROR(VLOOKUP(C430,Fixture_Engine!$D$2:$R$21,15,FALSE),"")</f>
        <v>0.54582392878811159</v>
      </c>
      <c r="K430" s="13">
        <v>0.10751786102217777</v>
      </c>
      <c r="L430" s="13">
        <v>9.0240671969462088E-2</v>
      </c>
      <c r="M430" s="13">
        <v>1</v>
      </c>
      <c r="N430" s="38">
        <f t="shared" si="12"/>
        <v>0.21334902158207938</v>
      </c>
      <c r="O430" s="38">
        <f t="shared" si="13"/>
        <v>0.17906568163240186</v>
      </c>
      <c r="P430" s="26"/>
      <c r="Q430" s="45"/>
      <c r="R430" s="38"/>
      <c r="S430" s="38"/>
      <c r="T430" s="38"/>
      <c r="U430" s="1" t="b">
        <v>0</v>
      </c>
      <c r="V430" s="1" t="b">
        <v>1</v>
      </c>
      <c r="W430" s="31" t="s">
        <v>1885</v>
      </c>
    </row>
    <row r="431" spans="1:23" ht="30">
      <c r="A431" s="7">
        <v>430</v>
      </c>
      <c r="B431" s="7" t="s">
        <v>1300</v>
      </c>
      <c r="C431" s="7" t="s">
        <v>54</v>
      </c>
      <c r="D431" s="7" t="s">
        <v>112</v>
      </c>
      <c r="E431" s="11">
        <v>5.5</v>
      </c>
      <c r="F431" s="7" t="s">
        <v>49</v>
      </c>
      <c r="G431" s="7" t="s">
        <v>1742</v>
      </c>
      <c r="H431" s="37">
        <f>IFERROR(VLOOKUP(C431,Fixture_Engine!$D$2:$R$21,13,FALSE),"")</f>
        <v>1.9843123696263989</v>
      </c>
      <c r="I431" s="37">
        <f>IFERROR(VLOOKUP(C431,Fixture_Engine!$D$2:$R$21,14,FALSE),"")</f>
        <v>0.60545882999044243</v>
      </c>
      <c r="J431" s="37">
        <f>IFERROR(VLOOKUP(C431,Fixture_Engine!$D$2:$R$21,15,FALSE),"")</f>
        <v>0.54582392878811159</v>
      </c>
      <c r="K431" s="13">
        <v>9.4139686900476249E-2</v>
      </c>
      <c r="L431" s="13">
        <v>8.7107463293074255E-2</v>
      </c>
      <c r="M431" s="13">
        <v>0.49751243781094523</v>
      </c>
      <c r="N431" s="38">
        <f t="shared" si="12"/>
        <v>0.18680254518937128</v>
      </c>
      <c r="O431" s="38">
        <f t="shared" si="13"/>
        <v>0.17284841689922473</v>
      </c>
      <c r="P431" s="26"/>
      <c r="Q431" s="45"/>
      <c r="R431" s="38"/>
      <c r="S431" s="38"/>
      <c r="T431" s="38"/>
      <c r="U431" s="1" t="b">
        <v>0</v>
      </c>
      <c r="V431" s="1" t="b">
        <v>0</v>
      </c>
      <c r="W431" s="31" t="s">
        <v>1885</v>
      </c>
    </row>
    <row r="432" spans="1:23" ht="30">
      <c r="A432" s="7">
        <v>431</v>
      </c>
      <c r="B432" s="7" t="s">
        <v>1303</v>
      </c>
      <c r="C432" s="7" t="s">
        <v>54</v>
      </c>
      <c r="D432" s="7" t="s">
        <v>112</v>
      </c>
      <c r="E432" s="11">
        <v>6</v>
      </c>
      <c r="F432" s="7" t="s">
        <v>49</v>
      </c>
      <c r="G432" s="7" t="s">
        <v>1742</v>
      </c>
      <c r="H432" s="37">
        <f>IFERROR(VLOOKUP(C432,Fixture_Engine!$D$2:$R$21,13,FALSE),"")</f>
        <v>1.9843123696263989</v>
      </c>
      <c r="I432" s="37">
        <f>IFERROR(VLOOKUP(C432,Fixture_Engine!$D$2:$R$21,14,FALSE),"")</f>
        <v>0.60545882999044243</v>
      </c>
      <c r="J432" s="37">
        <f>IFERROR(VLOOKUP(C432,Fixture_Engine!$D$2:$R$21,15,FALSE),"")</f>
        <v>0.54582392878811159</v>
      </c>
      <c r="K432" s="13">
        <v>0.11784308020048097</v>
      </c>
      <c r="L432" s="13">
        <v>0.10137520830028099</v>
      </c>
      <c r="M432" s="13">
        <v>0.29949086552860138</v>
      </c>
      <c r="N432" s="38">
        <f t="shared" si="12"/>
        <v>0.23383748171669017</v>
      </c>
      <c r="O432" s="38">
        <f t="shared" si="13"/>
        <v>0.20116007980370035</v>
      </c>
      <c r="P432" s="26"/>
      <c r="Q432" s="45"/>
      <c r="R432" s="38"/>
      <c r="S432" s="38"/>
      <c r="T432" s="38"/>
      <c r="U432" s="1" t="b">
        <v>0</v>
      </c>
      <c r="V432" s="1" t="b">
        <v>0</v>
      </c>
      <c r="W432" s="31" t="s">
        <v>1885</v>
      </c>
    </row>
    <row r="433" spans="1:23" ht="30">
      <c r="A433" s="7">
        <v>432</v>
      </c>
      <c r="B433" s="7" t="s">
        <v>1305</v>
      </c>
      <c r="C433" s="7" t="s">
        <v>54</v>
      </c>
      <c r="D433" s="7" t="s">
        <v>112</v>
      </c>
      <c r="E433" s="11">
        <v>5.5</v>
      </c>
      <c r="F433" s="7" t="s">
        <v>49</v>
      </c>
      <c r="G433" s="7" t="s">
        <v>1742</v>
      </c>
      <c r="H433" s="37">
        <f>IFERROR(VLOOKUP(C433,Fixture_Engine!$D$2:$R$21,13,FALSE),"")</f>
        <v>1.9843123696263989</v>
      </c>
      <c r="I433" s="37">
        <f>IFERROR(VLOOKUP(C433,Fixture_Engine!$D$2:$R$21,14,FALSE),"")</f>
        <v>0.60545882999044243</v>
      </c>
      <c r="J433" s="37">
        <f>IFERROR(VLOOKUP(C433,Fixture_Engine!$D$2:$R$21,15,FALSE),"")</f>
        <v>0.54582392878811159</v>
      </c>
      <c r="K433" s="13">
        <v>5.000272063206903E-2</v>
      </c>
      <c r="L433" s="13">
        <v>5.9086023448307379E-2</v>
      </c>
      <c r="M433" s="13">
        <v>0.37693177534866185</v>
      </c>
      <c r="N433" s="38">
        <f t="shared" si="12"/>
        <v>9.9221017065187725E-2</v>
      </c>
      <c r="O433" s="38">
        <f t="shared" si="13"/>
        <v>0.11724512720051178</v>
      </c>
      <c r="P433" s="26"/>
      <c r="Q433" s="45"/>
      <c r="R433" s="38"/>
      <c r="S433" s="38"/>
      <c r="T433" s="38"/>
      <c r="V433" s="1" t="b">
        <v>0</v>
      </c>
      <c r="W433" s="31" t="s">
        <v>1885</v>
      </c>
    </row>
    <row r="434" spans="1:23" ht="30">
      <c r="A434" s="7">
        <v>433</v>
      </c>
      <c r="B434" s="7" t="s">
        <v>1308</v>
      </c>
      <c r="C434" s="7" t="s">
        <v>54</v>
      </c>
      <c r="D434" s="7" t="s">
        <v>112</v>
      </c>
      <c r="E434" s="11">
        <v>5</v>
      </c>
      <c r="F434" s="7" t="s">
        <v>49</v>
      </c>
      <c r="G434" s="7" t="s">
        <v>1742</v>
      </c>
      <c r="H434" s="37">
        <f>IFERROR(VLOOKUP(C434,Fixture_Engine!$D$2:$R$21,13,FALSE),"")</f>
        <v>1.9843123696263989</v>
      </c>
      <c r="I434" s="37">
        <f>IFERROR(VLOOKUP(C434,Fixture_Engine!$D$2:$R$21,14,FALSE),"")</f>
        <v>0.60545882999044243</v>
      </c>
      <c r="J434" s="37">
        <f>IFERROR(VLOOKUP(C434,Fixture_Engine!$D$2:$R$21,15,FALSE),"")</f>
        <v>0.54582392878811159</v>
      </c>
      <c r="K434" s="13">
        <v>7.7413057699482854E-2</v>
      </c>
      <c r="L434" s="13">
        <v>5.256954028484144E-2</v>
      </c>
      <c r="M434" s="13">
        <v>0.53304904051172708</v>
      </c>
      <c r="N434" s="38">
        <f t="shared" si="12"/>
        <v>0.15361168796368596</v>
      </c>
      <c r="O434" s="38">
        <f t="shared" si="13"/>
        <v>0.10431438905278416</v>
      </c>
      <c r="P434" s="26"/>
      <c r="Q434" s="45"/>
      <c r="R434" s="38"/>
      <c r="S434" s="38"/>
      <c r="T434" s="38"/>
      <c r="U434" s="1" t="b">
        <v>0</v>
      </c>
      <c r="V434" s="1" t="b">
        <v>0</v>
      </c>
      <c r="W434" s="31" t="s">
        <v>1885</v>
      </c>
    </row>
    <row r="435" spans="1:23" ht="30">
      <c r="A435" s="7">
        <v>434</v>
      </c>
      <c r="B435" s="7" t="s">
        <v>1310</v>
      </c>
      <c r="C435" s="7" t="s">
        <v>54</v>
      </c>
      <c r="D435" s="7" t="s">
        <v>112</v>
      </c>
      <c r="E435" s="11">
        <v>5</v>
      </c>
      <c r="F435" s="7" t="s">
        <v>49</v>
      </c>
      <c r="G435" s="7" t="s">
        <v>1742</v>
      </c>
      <c r="H435" s="37">
        <f>IFERROR(VLOOKUP(C435,Fixture_Engine!$D$2:$R$21,13,FALSE),"")</f>
        <v>1.9843123696263989</v>
      </c>
      <c r="I435" s="37">
        <f>IFERROR(VLOOKUP(C435,Fixture_Engine!$D$2:$R$21,14,FALSE),"")</f>
        <v>0.60545882999044243</v>
      </c>
      <c r="J435" s="37">
        <f>IFERROR(VLOOKUP(C435,Fixture_Engine!$D$2:$R$21,15,FALSE),"")</f>
        <v>0.54582392878811159</v>
      </c>
      <c r="K435" s="13">
        <v>9.8544779424658183E-2</v>
      </c>
      <c r="L435" s="13">
        <v>8.2464449114791907E-2</v>
      </c>
      <c r="M435" s="13">
        <v>0.90334236675700086</v>
      </c>
      <c r="N435" s="38">
        <f t="shared" si="12"/>
        <v>0.19554362477445428</v>
      </c>
      <c r="O435" s="38">
        <f t="shared" si="13"/>
        <v>0.16363522643290832</v>
      </c>
      <c r="P435" s="26"/>
      <c r="Q435" s="45"/>
      <c r="R435" s="38"/>
      <c r="S435" s="38"/>
      <c r="T435" s="38"/>
      <c r="U435" s="1" t="b">
        <v>0</v>
      </c>
      <c r="V435" s="1" t="b">
        <v>1</v>
      </c>
      <c r="W435" s="31" t="s">
        <v>1885</v>
      </c>
    </row>
    <row r="436" spans="1:23" ht="30">
      <c r="A436" s="7">
        <v>435</v>
      </c>
      <c r="B436" s="7" t="s">
        <v>1312</v>
      </c>
      <c r="C436" s="7" t="s">
        <v>54</v>
      </c>
      <c r="D436" s="7" t="s">
        <v>112</v>
      </c>
      <c r="E436" s="11">
        <v>5</v>
      </c>
      <c r="F436" s="7" t="s">
        <v>49</v>
      </c>
      <c r="G436" s="7" t="s">
        <v>1742</v>
      </c>
      <c r="H436" s="37">
        <f>IFERROR(VLOOKUP(C436,Fixture_Engine!$D$2:$R$21,13,FALSE),"")</f>
        <v>1.9843123696263989</v>
      </c>
      <c r="I436" s="37">
        <f>IFERROR(VLOOKUP(C436,Fixture_Engine!$D$2:$R$21,14,FALSE),"")</f>
        <v>0.60545882999044243</v>
      </c>
      <c r="J436" s="37">
        <f>IFERROR(VLOOKUP(C436,Fixture_Engine!$D$2:$R$21,15,FALSE),"")</f>
        <v>0.54582392878811159</v>
      </c>
      <c r="K436" s="13">
        <v>0.10841848752426977</v>
      </c>
      <c r="L436" s="13">
        <v>8.7273469778623422E-2</v>
      </c>
      <c r="M436" s="13">
        <v>0.96153846153846156</v>
      </c>
      <c r="N436" s="38">
        <f t="shared" si="12"/>
        <v>0.21513614589059393</v>
      </c>
      <c r="O436" s="38">
        <f t="shared" si="13"/>
        <v>0.17317782562193815</v>
      </c>
      <c r="P436" s="26"/>
      <c r="Q436" s="45"/>
      <c r="R436" s="38"/>
      <c r="S436" s="38"/>
      <c r="T436" s="38"/>
      <c r="U436" s="1" t="b">
        <v>0</v>
      </c>
      <c r="V436" s="1" t="b">
        <v>1</v>
      </c>
      <c r="W436" s="31" t="s">
        <v>1885</v>
      </c>
    </row>
    <row r="437" spans="1:23" ht="30">
      <c r="A437" s="7">
        <v>436</v>
      </c>
      <c r="B437" s="7" t="s">
        <v>1315</v>
      </c>
      <c r="C437" s="7" t="s">
        <v>54</v>
      </c>
      <c r="D437" s="7" t="s">
        <v>112</v>
      </c>
      <c r="E437" s="11">
        <v>5</v>
      </c>
      <c r="F437" s="7" t="s">
        <v>49</v>
      </c>
      <c r="G437" s="7" t="s">
        <v>1742</v>
      </c>
      <c r="H437" s="37">
        <f>IFERROR(VLOOKUP(C437,Fixture_Engine!$D$2:$R$21,13,FALSE),"")</f>
        <v>1.9843123696263989</v>
      </c>
      <c r="I437" s="37">
        <f>IFERROR(VLOOKUP(C437,Fixture_Engine!$D$2:$R$21,14,FALSE),"")</f>
        <v>0.60545882999044243</v>
      </c>
      <c r="J437" s="37">
        <f>IFERROR(VLOOKUP(C437,Fixture_Engine!$D$2:$R$21,15,FALSE),"")</f>
        <v>0.54582392878811159</v>
      </c>
      <c r="K437" s="13">
        <v>0.10751786102217777</v>
      </c>
      <c r="L437" s="13">
        <v>9.0240671969462088E-2</v>
      </c>
      <c r="M437" s="13">
        <v>1</v>
      </c>
      <c r="N437" s="38">
        <f t="shared" si="12"/>
        <v>0.21334902158207938</v>
      </c>
      <c r="O437" s="38">
        <f t="shared" si="13"/>
        <v>0.17906568163240186</v>
      </c>
      <c r="P437" s="26"/>
      <c r="Q437" s="45"/>
      <c r="R437" s="38"/>
      <c r="S437" s="38"/>
      <c r="T437" s="38"/>
      <c r="U437" s="1" t="b">
        <v>0</v>
      </c>
      <c r="V437" s="1" t="b">
        <v>1</v>
      </c>
      <c r="W437" s="31" t="s">
        <v>1885</v>
      </c>
    </row>
    <row r="438" spans="1:23" ht="30">
      <c r="A438" s="7">
        <v>437</v>
      </c>
      <c r="B438" s="7" t="s">
        <v>1317</v>
      </c>
      <c r="C438" s="7" t="s">
        <v>54</v>
      </c>
      <c r="D438" s="7" t="s">
        <v>112</v>
      </c>
      <c r="E438" s="11">
        <v>4.5</v>
      </c>
      <c r="F438" s="7" t="s">
        <v>49</v>
      </c>
      <c r="G438" s="7" t="s">
        <v>1742</v>
      </c>
      <c r="H438" s="37">
        <f>IFERROR(VLOOKUP(C438,Fixture_Engine!$D$2:$R$21,13,FALSE),"")</f>
        <v>1.9843123696263989</v>
      </c>
      <c r="I438" s="37">
        <f>IFERROR(VLOOKUP(C438,Fixture_Engine!$D$2:$R$21,14,FALSE),"")</f>
        <v>0.60545882999044243</v>
      </c>
      <c r="J438" s="37">
        <f>IFERROR(VLOOKUP(C438,Fixture_Engine!$D$2:$R$21,15,FALSE),"")</f>
        <v>0.54582392878811159</v>
      </c>
      <c r="K438" s="13">
        <v>0.10751786102217777</v>
      </c>
      <c r="L438" s="13">
        <v>8.9423062630313674E-2</v>
      </c>
      <c r="M438" s="13">
        <v>0.98522167487684731</v>
      </c>
      <c r="N438" s="38">
        <f t="shared" si="12"/>
        <v>0.21334902158207938</v>
      </c>
      <c r="O438" s="38">
        <f t="shared" si="13"/>
        <v>0.1774432893072076</v>
      </c>
      <c r="P438" s="26"/>
      <c r="Q438" s="45"/>
      <c r="R438" s="38"/>
      <c r="S438" s="38"/>
      <c r="T438" s="38"/>
      <c r="U438" s="1" t="b">
        <v>0</v>
      </c>
      <c r="V438" s="1" t="b">
        <v>1</v>
      </c>
      <c r="W438" s="31" t="s">
        <v>1885</v>
      </c>
    </row>
    <row r="439" spans="1:23" ht="30">
      <c r="A439" s="7">
        <v>438</v>
      </c>
      <c r="B439" s="7" t="s">
        <v>1318</v>
      </c>
      <c r="C439" s="7" t="s">
        <v>54</v>
      </c>
      <c r="D439" s="7" t="s">
        <v>112</v>
      </c>
      <c r="E439" s="11">
        <v>4.5</v>
      </c>
      <c r="F439" s="7" t="s">
        <v>49</v>
      </c>
      <c r="G439" s="7" t="s">
        <v>1742</v>
      </c>
      <c r="H439" s="37">
        <f>IFERROR(VLOOKUP(C439,Fixture_Engine!$D$2:$R$21,13,FALSE),"")</f>
        <v>1.9843123696263989</v>
      </c>
      <c r="I439" s="37">
        <f>IFERROR(VLOOKUP(C439,Fixture_Engine!$D$2:$R$21,14,FALSE),"")</f>
        <v>0.60545882999044243</v>
      </c>
      <c r="J439" s="37">
        <f>IFERROR(VLOOKUP(C439,Fixture_Engine!$D$2:$R$21,15,FALSE),"")</f>
        <v>0.54582392878811159</v>
      </c>
      <c r="K439" s="13">
        <v>0.10751786102217777</v>
      </c>
      <c r="L439" s="13">
        <v>8.9247206066635554E-2</v>
      </c>
      <c r="M439" s="13">
        <v>0.98328416912487704</v>
      </c>
      <c r="N439" s="38">
        <f t="shared" si="12"/>
        <v>0.21334902158207938</v>
      </c>
      <c r="O439" s="38">
        <f t="shared" si="13"/>
        <v>0.17709433495262111</v>
      </c>
      <c r="P439" s="26"/>
      <c r="Q439" s="45"/>
      <c r="R439" s="38"/>
      <c r="S439" s="38"/>
      <c r="T439" s="38"/>
      <c r="U439" s="1" t="b">
        <v>0</v>
      </c>
      <c r="V439" s="1" t="b">
        <v>1</v>
      </c>
      <c r="W439" s="31" t="s">
        <v>1885</v>
      </c>
    </row>
    <row r="440" spans="1:23" ht="30">
      <c r="A440" s="7">
        <v>439</v>
      </c>
      <c r="B440" s="7" t="s">
        <v>1320</v>
      </c>
      <c r="C440" s="7" t="s">
        <v>54</v>
      </c>
      <c r="D440" s="7" t="s">
        <v>167</v>
      </c>
      <c r="E440" s="11">
        <v>7</v>
      </c>
      <c r="F440" s="7" t="s">
        <v>49</v>
      </c>
      <c r="G440" s="7" t="s">
        <v>1742</v>
      </c>
      <c r="H440" s="37">
        <f>IFERROR(VLOOKUP(C440,Fixture_Engine!$D$2:$R$21,13,FALSE),"")</f>
        <v>1.9843123696263989</v>
      </c>
      <c r="I440" s="37">
        <f>IFERROR(VLOOKUP(C440,Fixture_Engine!$D$2:$R$21,14,FALSE),"")</f>
        <v>0.60545882999044243</v>
      </c>
      <c r="J440" s="37">
        <f>IFERROR(VLOOKUP(C440,Fixture_Engine!$D$2:$R$21,15,FALSE),"")</f>
        <v>0.54582392878811159</v>
      </c>
      <c r="K440" s="13">
        <v>0.29923067070813913</v>
      </c>
      <c r="L440" s="13">
        <v>2.0502922569262463E-2</v>
      </c>
      <c r="M440" s="13">
        <v>0.38022813688212931</v>
      </c>
      <c r="N440" s="38">
        <f t="shared" si="12"/>
        <v>0.59376712125776421</v>
      </c>
      <c r="O440" s="38">
        <f t="shared" si="13"/>
        <v>4.0684202867679771E-2</v>
      </c>
      <c r="P440" s="26"/>
      <c r="Q440" s="45"/>
      <c r="R440" s="38"/>
      <c r="S440" s="38"/>
      <c r="T440" s="38"/>
      <c r="U440" s="1" t="b">
        <v>0</v>
      </c>
      <c r="V440" s="1" t="b">
        <v>0</v>
      </c>
      <c r="W440" s="31" t="s">
        <v>1885</v>
      </c>
    </row>
    <row r="441" spans="1:23" ht="30">
      <c r="A441" s="7">
        <v>440</v>
      </c>
      <c r="B441" s="7" t="s">
        <v>1324</v>
      </c>
      <c r="C441" s="7" t="s">
        <v>54</v>
      </c>
      <c r="D441" s="7" t="s">
        <v>167</v>
      </c>
      <c r="E441" s="11">
        <v>5.5</v>
      </c>
      <c r="F441" s="7" t="s">
        <v>49</v>
      </c>
      <c r="G441" s="7" t="s">
        <v>1742</v>
      </c>
      <c r="H441" s="37">
        <f>IFERROR(VLOOKUP(C441,Fixture_Engine!$D$2:$R$21,13,FALSE),"")</f>
        <v>1.9843123696263989</v>
      </c>
      <c r="I441" s="37">
        <f>IFERROR(VLOOKUP(C441,Fixture_Engine!$D$2:$R$21,14,FALSE),"")</f>
        <v>0.60545882999044243</v>
      </c>
      <c r="J441" s="37">
        <f>IFERROR(VLOOKUP(C441,Fixture_Engine!$D$2:$R$21,15,FALSE),"")</f>
        <v>0.54582392878811159</v>
      </c>
      <c r="K441" s="13">
        <v>0.27885443905677881</v>
      </c>
      <c r="L441" s="13">
        <v>3.5510333515244519E-2</v>
      </c>
      <c r="M441" s="13">
        <v>0.62227753578095824</v>
      </c>
      <c r="N441" s="38">
        <f t="shared" si="12"/>
        <v>0.55333431274559697</v>
      </c>
      <c r="O441" s="38">
        <f t="shared" si="13"/>
        <v>7.0463594043858588E-2</v>
      </c>
      <c r="P441" s="26"/>
      <c r="Q441" s="45"/>
      <c r="R441" s="38"/>
      <c r="S441" s="38"/>
      <c r="T441" s="38"/>
      <c r="U441" s="1" t="b">
        <v>1</v>
      </c>
      <c r="V441" s="1" t="b">
        <v>1</v>
      </c>
      <c r="W441" s="31" t="s">
        <v>1885</v>
      </c>
    </row>
    <row r="442" spans="1:23" ht="30">
      <c r="A442" s="7">
        <v>441</v>
      </c>
      <c r="B442" s="7" t="s">
        <v>1327</v>
      </c>
      <c r="C442" s="7" t="s">
        <v>54</v>
      </c>
      <c r="D442" s="7" t="s">
        <v>167</v>
      </c>
      <c r="E442" s="11">
        <v>4.5</v>
      </c>
      <c r="F442" s="7" t="s">
        <v>49</v>
      </c>
      <c r="G442" s="7" t="s">
        <v>1742</v>
      </c>
      <c r="H442" s="37">
        <f>IFERROR(VLOOKUP(C442,Fixture_Engine!$D$2:$R$21,13,FALSE),"")</f>
        <v>1.9843123696263989</v>
      </c>
      <c r="I442" s="37">
        <f>IFERROR(VLOOKUP(C442,Fixture_Engine!$D$2:$R$21,14,FALSE),"")</f>
        <v>0.60545882999044243</v>
      </c>
      <c r="J442" s="37">
        <f>IFERROR(VLOOKUP(C442,Fixture_Engine!$D$2:$R$21,15,FALSE),"")</f>
        <v>0.54582392878811159</v>
      </c>
      <c r="K442" s="13">
        <v>0.30461525508032317</v>
      </c>
      <c r="L442" s="13">
        <v>3.9258061548584466E-2</v>
      </c>
      <c r="M442" s="13">
        <v>1</v>
      </c>
      <c r="N442" s="38">
        <f t="shared" si="12"/>
        <v>0.60445181863278596</v>
      </c>
      <c r="O442" s="38">
        <f t="shared" si="13"/>
        <v>7.7900257138410658E-2</v>
      </c>
      <c r="P442" s="26"/>
      <c r="Q442" s="45"/>
      <c r="R442" s="38"/>
      <c r="S442" s="38"/>
      <c r="T442" s="38"/>
      <c r="U442" s="1" t="b">
        <v>0</v>
      </c>
      <c r="V442" s="1" t="b">
        <v>1</v>
      </c>
      <c r="W442" s="31" t="s">
        <v>1885</v>
      </c>
    </row>
    <row r="443" spans="1:23" ht="30">
      <c r="A443" s="7">
        <v>442</v>
      </c>
      <c r="B443" s="7" t="s">
        <v>1330</v>
      </c>
      <c r="C443" s="7" t="s">
        <v>55</v>
      </c>
      <c r="D443" s="7" t="s">
        <v>85</v>
      </c>
      <c r="E443" s="11">
        <v>5</v>
      </c>
      <c r="F443" s="7" t="s">
        <v>52</v>
      </c>
      <c r="G443" s="7" t="s">
        <v>1743</v>
      </c>
      <c r="H443" s="37">
        <f>IFERROR(VLOOKUP(C443,Fixture_Engine!$D$2:$R$21,13,FALSE),"")</f>
        <v>1.1006915106715305</v>
      </c>
      <c r="I443" s="37">
        <f>IFERROR(VLOOKUP(C443,Fixture_Engine!$D$2:$R$21,14,FALSE),"")</f>
        <v>1.5903534900875227</v>
      </c>
      <c r="J443" s="37">
        <f>IFERROR(VLOOKUP(C443,Fixture_Engine!$D$2:$R$21,15,FALSE),"")</f>
        <v>0.20385353879115936</v>
      </c>
      <c r="K443" s="13">
        <v>2.5856142850147787E-3</v>
      </c>
      <c r="L443" s="13">
        <v>1.379361634588758E-3</v>
      </c>
      <c r="M443" s="13">
        <v>0.36346604215456668</v>
      </c>
      <c r="N443" s="38">
        <f t="shared" si="12"/>
        <v>2.8459636933868058E-3</v>
      </c>
      <c r="O443" s="38">
        <f t="shared" si="13"/>
        <v>1.5182516413378517E-3</v>
      </c>
      <c r="P443" s="26"/>
      <c r="Q443" s="45"/>
      <c r="R443" s="38"/>
      <c r="S443" s="38"/>
      <c r="T443" s="38"/>
      <c r="U443" s="1" t="b">
        <v>0</v>
      </c>
      <c r="V443" s="1" t="b">
        <v>1</v>
      </c>
      <c r="W443" s="31" t="s">
        <v>1885</v>
      </c>
    </row>
    <row r="444" spans="1:23" ht="30">
      <c r="A444" s="7">
        <v>443</v>
      </c>
      <c r="B444" s="7" t="s">
        <v>1335</v>
      </c>
      <c r="C444" s="7" t="s">
        <v>55</v>
      </c>
      <c r="D444" s="7" t="s">
        <v>85</v>
      </c>
      <c r="E444" s="11">
        <v>4.5</v>
      </c>
      <c r="F444" s="7" t="s">
        <v>52</v>
      </c>
      <c r="G444" s="7" t="s">
        <v>1743</v>
      </c>
      <c r="H444" s="37">
        <f>IFERROR(VLOOKUP(C444,Fixture_Engine!$D$2:$R$21,13,FALSE),"")</f>
        <v>1.1006915106715305</v>
      </c>
      <c r="I444" s="37">
        <f>IFERROR(VLOOKUP(C444,Fixture_Engine!$D$2:$R$21,14,FALSE),"")</f>
        <v>1.5903534900875227</v>
      </c>
      <c r="J444" s="37">
        <f>IFERROR(VLOOKUP(C444,Fixture_Engine!$D$2:$R$21,15,FALSE),"")</f>
        <v>0.20385353879115936</v>
      </c>
      <c r="K444" s="13">
        <v>1.6719534964712218E-4</v>
      </c>
      <c r="L444" s="13">
        <v>1.379361634588758E-3</v>
      </c>
      <c r="M444" s="13">
        <v>1</v>
      </c>
      <c r="N444" s="38">
        <f t="shared" si="12"/>
        <v>1.8403050198034565E-4</v>
      </c>
      <c r="O444" s="38">
        <f t="shared" si="13"/>
        <v>1.5182516413378517E-3</v>
      </c>
      <c r="P444" s="26"/>
      <c r="Q444" s="45"/>
      <c r="R444" s="38"/>
      <c r="S444" s="38"/>
      <c r="T444" s="38"/>
      <c r="U444" s="1" t="b">
        <v>0</v>
      </c>
      <c r="V444" s="1" t="b">
        <v>1</v>
      </c>
      <c r="W444" s="31" t="s">
        <v>1885</v>
      </c>
    </row>
    <row r="445" spans="1:23" ht="30">
      <c r="A445" s="7">
        <v>444</v>
      </c>
      <c r="B445" s="7" t="s">
        <v>1338</v>
      </c>
      <c r="C445" s="7" t="s">
        <v>55</v>
      </c>
      <c r="D445" s="7" t="s">
        <v>85</v>
      </c>
      <c r="E445" s="11">
        <v>4.5</v>
      </c>
      <c r="F445" s="7" t="s">
        <v>52</v>
      </c>
      <c r="G445" s="7" t="s">
        <v>1743</v>
      </c>
      <c r="H445" s="37">
        <f>IFERROR(VLOOKUP(C445,Fixture_Engine!$D$2:$R$21,13,FALSE),"")</f>
        <v>1.1006915106715305</v>
      </c>
      <c r="I445" s="37">
        <f>IFERROR(VLOOKUP(C445,Fixture_Engine!$D$2:$R$21,14,FALSE),"")</f>
        <v>1.5903534900875227</v>
      </c>
      <c r="J445" s="37">
        <f>IFERROR(VLOOKUP(C445,Fixture_Engine!$D$2:$R$21,15,FALSE),"")</f>
        <v>0.20385353879115936</v>
      </c>
      <c r="K445" s="13">
        <v>1.6719534964712218E-4</v>
      </c>
      <c r="L445" s="13">
        <v>1.379361634588758E-3</v>
      </c>
      <c r="M445" s="13">
        <v>1</v>
      </c>
      <c r="N445" s="38">
        <f t="shared" si="12"/>
        <v>1.8403050198034565E-4</v>
      </c>
      <c r="O445" s="38">
        <f t="shared" si="13"/>
        <v>1.5182516413378517E-3</v>
      </c>
      <c r="P445" s="26"/>
      <c r="Q445" s="45"/>
      <c r="R445" s="38"/>
      <c r="S445" s="38"/>
      <c r="T445" s="38"/>
      <c r="U445" s="1" t="b">
        <v>0</v>
      </c>
      <c r="V445" s="1" t="b">
        <v>1</v>
      </c>
      <c r="W445" s="31" t="s">
        <v>1885</v>
      </c>
    </row>
    <row r="446" spans="1:23" ht="30">
      <c r="A446" s="7">
        <v>445</v>
      </c>
      <c r="B446" s="7" t="s">
        <v>1340</v>
      </c>
      <c r="C446" s="7" t="s">
        <v>55</v>
      </c>
      <c r="D446" s="7" t="s">
        <v>99</v>
      </c>
      <c r="E446" s="11">
        <v>5</v>
      </c>
      <c r="F446" s="7" t="s">
        <v>52</v>
      </c>
      <c r="G446" s="7" t="s">
        <v>1743</v>
      </c>
      <c r="H446" s="37">
        <f>IFERROR(VLOOKUP(C446,Fixture_Engine!$D$2:$R$21,13,FALSE),"")</f>
        <v>1.1006915106715305</v>
      </c>
      <c r="I446" s="37">
        <f>IFERROR(VLOOKUP(C446,Fixture_Engine!$D$2:$R$21,14,FALSE),"")</f>
        <v>1.5903534900875227</v>
      </c>
      <c r="J446" s="37">
        <f>IFERROR(VLOOKUP(C446,Fixture_Engine!$D$2:$R$21,15,FALSE),"")</f>
        <v>0.20385353879115936</v>
      </c>
      <c r="K446" s="13">
        <v>7.8748145965416183E-2</v>
      </c>
      <c r="L446" s="13">
        <v>2.6309946348758873E-2</v>
      </c>
      <c r="M446" s="13">
        <v>0.32710068130204395</v>
      </c>
      <c r="N446" s="38">
        <f t="shared" si="12"/>
        <v>8.6677415745256128E-2</v>
      </c>
      <c r="O446" s="38">
        <f t="shared" si="13"/>
        <v>2.8959134592302323E-2</v>
      </c>
      <c r="P446" s="26"/>
      <c r="Q446" s="45"/>
      <c r="R446" s="38"/>
      <c r="S446" s="38"/>
      <c r="T446" s="38"/>
      <c r="U446" s="1" t="b">
        <v>0</v>
      </c>
      <c r="V446" s="1" t="b">
        <v>1</v>
      </c>
      <c r="W446" s="31" t="s">
        <v>1885</v>
      </c>
    </row>
    <row r="447" spans="1:23" ht="30">
      <c r="A447" s="7">
        <v>446</v>
      </c>
      <c r="B447" s="7" t="s">
        <v>1343</v>
      </c>
      <c r="C447" s="7" t="s">
        <v>55</v>
      </c>
      <c r="D447" s="7" t="s">
        <v>99</v>
      </c>
      <c r="E447" s="11">
        <v>5</v>
      </c>
      <c r="F447" s="7" t="s">
        <v>52</v>
      </c>
      <c r="G447" s="7" t="s">
        <v>1743</v>
      </c>
      <c r="H447" s="37">
        <f>IFERROR(VLOOKUP(C447,Fixture_Engine!$D$2:$R$21,13,FALSE),"")</f>
        <v>1.1006915106715305</v>
      </c>
      <c r="I447" s="37">
        <f>IFERROR(VLOOKUP(C447,Fixture_Engine!$D$2:$R$21,14,FALSE),"")</f>
        <v>1.5903534900875227</v>
      </c>
      <c r="J447" s="37">
        <f>IFERROR(VLOOKUP(C447,Fixture_Engine!$D$2:$R$21,15,FALSE),"")</f>
        <v>0.20385353879115936</v>
      </c>
      <c r="K447" s="13">
        <v>4.6869808814576655E-2</v>
      </c>
      <c r="L447" s="13">
        <v>3.6988133911670822E-2</v>
      </c>
      <c r="M447" s="13">
        <v>0.530828147438966</v>
      </c>
      <c r="N447" s="38">
        <f t="shared" si="12"/>
        <v>5.1589200669002196E-2</v>
      </c>
      <c r="O447" s="38">
        <f t="shared" si="13"/>
        <v>4.0712524992157821E-2</v>
      </c>
      <c r="P447" s="26"/>
      <c r="Q447" s="45"/>
      <c r="R447" s="38"/>
      <c r="S447" s="38"/>
      <c r="T447" s="38"/>
      <c r="U447" s="1" t="b">
        <v>0</v>
      </c>
      <c r="V447" s="1" t="b">
        <v>1</v>
      </c>
      <c r="W447" s="31" t="s">
        <v>1885</v>
      </c>
    </row>
    <row r="448" spans="1:23" ht="30">
      <c r="A448" s="7">
        <v>447</v>
      </c>
      <c r="B448" s="7" t="s">
        <v>1346</v>
      </c>
      <c r="C448" s="7" t="s">
        <v>55</v>
      </c>
      <c r="D448" s="7" t="s">
        <v>99</v>
      </c>
      <c r="E448" s="11">
        <v>5</v>
      </c>
      <c r="F448" s="7" t="s">
        <v>52</v>
      </c>
      <c r="G448" s="7" t="s">
        <v>1743</v>
      </c>
      <c r="H448" s="37">
        <f>IFERROR(VLOOKUP(C448,Fixture_Engine!$D$2:$R$21,13,FALSE),"")</f>
        <v>1.1006915106715305</v>
      </c>
      <c r="I448" s="37">
        <f>IFERROR(VLOOKUP(C448,Fixture_Engine!$D$2:$R$21,14,FALSE),"")</f>
        <v>1.5903534900875227</v>
      </c>
      <c r="J448" s="37">
        <f>IFERROR(VLOOKUP(C448,Fixture_Engine!$D$2:$R$21,15,FALSE),"")</f>
        <v>0.20385353879115936</v>
      </c>
      <c r="K448" s="13">
        <v>5.008619005749846E-2</v>
      </c>
      <c r="L448" s="13">
        <v>3.3275175636032869E-2</v>
      </c>
      <c r="M448" s="13">
        <v>0.41757233592095977</v>
      </c>
      <c r="N448" s="38">
        <f t="shared" si="12"/>
        <v>5.5129444198169369E-2</v>
      </c>
      <c r="O448" s="38">
        <f t="shared" si="13"/>
        <v>3.6625703338685527E-2</v>
      </c>
      <c r="P448" s="26"/>
      <c r="Q448" s="45"/>
      <c r="R448" s="38"/>
      <c r="S448" s="38"/>
      <c r="T448" s="38"/>
      <c r="U448" s="1" t="b">
        <v>0</v>
      </c>
      <c r="V448" s="1" t="b">
        <v>1</v>
      </c>
      <c r="W448" s="31" t="s">
        <v>1885</v>
      </c>
    </row>
    <row r="449" spans="1:23" ht="30">
      <c r="A449" s="7">
        <v>448</v>
      </c>
      <c r="B449" s="7" t="s">
        <v>1349</v>
      </c>
      <c r="C449" s="7" t="s">
        <v>55</v>
      </c>
      <c r="D449" s="7" t="s">
        <v>99</v>
      </c>
      <c r="E449" s="11">
        <v>5</v>
      </c>
      <c r="F449" s="7" t="s">
        <v>52</v>
      </c>
      <c r="G449" s="7" t="s">
        <v>1743</v>
      </c>
      <c r="H449" s="37">
        <f>IFERROR(VLOOKUP(C449,Fixture_Engine!$D$2:$R$21,13,FALSE),"")</f>
        <v>1.1006915106715305</v>
      </c>
      <c r="I449" s="37">
        <f>IFERROR(VLOOKUP(C449,Fixture_Engine!$D$2:$R$21,14,FALSE),"")</f>
        <v>1.5903534900875227</v>
      </c>
      <c r="J449" s="37">
        <f>IFERROR(VLOOKUP(C449,Fixture_Engine!$D$2:$R$21,15,FALSE),"")</f>
        <v>0.20385353879115936</v>
      </c>
      <c r="K449" s="13">
        <v>3.3925187157489954E-2</v>
      </c>
      <c r="L449" s="13">
        <v>2.1537294335185267E-2</v>
      </c>
      <c r="M449" s="13">
        <v>0.38169014084507036</v>
      </c>
      <c r="N449" s="38">
        <f t="shared" si="12"/>
        <v>3.734116550219202E-2</v>
      </c>
      <c r="O449" s="38">
        <f t="shared" si="13"/>
        <v>2.3705917037572466E-2</v>
      </c>
      <c r="P449" s="26"/>
      <c r="Q449" s="45"/>
      <c r="R449" s="38"/>
      <c r="S449" s="38"/>
      <c r="T449" s="38"/>
      <c r="U449" s="1" t="b">
        <v>0</v>
      </c>
      <c r="V449" s="1" t="b">
        <v>1</v>
      </c>
      <c r="W449" s="31" t="s">
        <v>1885</v>
      </c>
    </row>
    <row r="450" spans="1:23" ht="30">
      <c r="A450" s="7">
        <v>449</v>
      </c>
      <c r="B450" s="7" t="s">
        <v>1351</v>
      </c>
      <c r="C450" s="7" t="s">
        <v>55</v>
      </c>
      <c r="D450" s="7" t="s">
        <v>99</v>
      </c>
      <c r="E450" s="11">
        <v>5</v>
      </c>
      <c r="F450" s="7" t="s">
        <v>52</v>
      </c>
      <c r="G450" s="7" t="s">
        <v>1743</v>
      </c>
      <c r="H450" s="37">
        <f>IFERROR(VLOOKUP(C450,Fixture_Engine!$D$2:$R$21,13,FALSE),"")</f>
        <v>1.1006915106715305</v>
      </c>
      <c r="I450" s="37">
        <f>IFERROR(VLOOKUP(C450,Fixture_Engine!$D$2:$R$21,14,FALSE),"")</f>
        <v>1.5903534900875227</v>
      </c>
      <c r="J450" s="37">
        <f>IFERROR(VLOOKUP(C450,Fixture_Engine!$D$2:$R$21,15,FALSE),"")</f>
        <v>0.20385353879115936</v>
      </c>
      <c r="K450" s="13">
        <v>3.2915435279199698E-2</v>
      </c>
      <c r="L450" s="13">
        <v>6.2715937941711861E-2</v>
      </c>
      <c r="M450" s="13">
        <v>0.38337531486146093</v>
      </c>
      <c r="N450" s="38">
        <f t="shared" ref="N450:N513" si="14">IF(OR(H450="",K450=""),"",H450*K450)</f>
        <v>3.6229740181873304E-2</v>
      </c>
      <c r="O450" s="38">
        <f t="shared" ref="O450:O513" si="15">IF(OR(H450="",L450=""),"",H450*L450)</f>
        <v>6.9030900476244786E-2</v>
      </c>
      <c r="P450" s="26"/>
      <c r="Q450" s="45"/>
      <c r="R450" s="38"/>
      <c r="S450" s="38"/>
      <c r="T450" s="38"/>
      <c r="V450" s="1" t="b">
        <v>1</v>
      </c>
      <c r="W450" s="31" t="s">
        <v>1885</v>
      </c>
    </row>
    <row r="451" spans="1:23" ht="30">
      <c r="A451" s="7">
        <v>450</v>
      </c>
      <c r="B451" s="7" t="s">
        <v>1353</v>
      </c>
      <c r="C451" s="7" t="s">
        <v>55</v>
      </c>
      <c r="D451" s="7" t="s">
        <v>99</v>
      </c>
      <c r="E451" s="11">
        <v>5</v>
      </c>
      <c r="F451" s="7" t="s">
        <v>52</v>
      </c>
      <c r="G451" s="7" t="s">
        <v>1743</v>
      </c>
      <c r="H451" s="37">
        <f>IFERROR(VLOOKUP(C451,Fixture_Engine!$D$2:$R$21,13,FALSE),"")</f>
        <v>1.1006915106715305</v>
      </c>
      <c r="I451" s="37">
        <f>IFERROR(VLOOKUP(C451,Fixture_Engine!$D$2:$R$21,14,FALSE),"")</f>
        <v>1.5903534900875227</v>
      </c>
      <c r="J451" s="37">
        <f>IFERROR(VLOOKUP(C451,Fixture_Engine!$D$2:$R$21,15,FALSE),"")</f>
        <v>0.20385353879115936</v>
      </c>
      <c r="K451" s="13">
        <v>2.3046235664432799E-2</v>
      </c>
      <c r="L451" s="13">
        <v>4.0352943321528584E-2</v>
      </c>
      <c r="M451" s="13">
        <v>0.48693035253654338</v>
      </c>
      <c r="N451" s="38">
        <f t="shared" si="14"/>
        <v>2.5366795948776642E-2</v>
      </c>
      <c r="O451" s="38">
        <f t="shared" si="15"/>
        <v>4.4416142144615943E-2</v>
      </c>
      <c r="P451" s="26"/>
      <c r="Q451" s="45"/>
      <c r="R451" s="38"/>
      <c r="S451" s="38"/>
      <c r="T451" s="38"/>
      <c r="V451" s="1" t="b">
        <v>1</v>
      </c>
      <c r="W451" s="31" t="s">
        <v>1885</v>
      </c>
    </row>
    <row r="452" spans="1:23" ht="30">
      <c r="A452" s="7">
        <v>451</v>
      </c>
      <c r="B452" s="7" t="s">
        <v>1357</v>
      </c>
      <c r="C452" s="7" t="s">
        <v>55</v>
      </c>
      <c r="D452" s="7" t="s">
        <v>99</v>
      </c>
      <c r="E452" s="11">
        <v>4</v>
      </c>
      <c r="F452" s="7" t="s">
        <v>52</v>
      </c>
      <c r="G452" s="7" t="s">
        <v>1743</v>
      </c>
      <c r="H452" s="37">
        <f>IFERROR(VLOOKUP(C452,Fixture_Engine!$D$2:$R$21,13,FALSE),"")</f>
        <v>1.1006915106715305</v>
      </c>
      <c r="I452" s="37">
        <f>IFERROR(VLOOKUP(C452,Fixture_Engine!$D$2:$R$21,14,FALSE),"")</f>
        <v>1.5903534900875227</v>
      </c>
      <c r="J452" s="37">
        <f>IFERROR(VLOOKUP(C452,Fixture_Engine!$D$2:$R$21,15,FALSE),"")</f>
        <v>0.20385353879115936</v>
      </c>
      <c r="K452" s="13">
        <v>4.1142361271531161E-2</v>
      </c>
      <c r="L452" s="13">
        <v>4.0513079897554365E-2</v>
      </c>
      <c r="M452" s="13">
        <v>0.99374379344587882</v>
      </c>
      <c r="N452" s="38">
        <f t="shared" si="14"/>
        <v>4.5285047780555504E-2</v>
      </c>
      <c r="O452" s="38">
        <f t="shared" si="15"/>
        <v>4.4592403114395524E-2</v>
      </c>
      <c r="P452" s="26"/>
      <c r="Q452" s="45"/>
      <c r="R452" s="38"/>
      <c r="S452" s="38"/>
      <c r="T452" s="38"/>
      <c r="U452" s="1" t="b">
        <v>0</v>
      </c>
      <c r="V452" s="1" t="b">
        <v>1</v>
      </c>
      <c r="W452" s="31" t="s">
        <v>1885</v>
      </c>
    </row>
    <row r="453" spans="1:23" ht="30">
      <c r="A453" s="7">
        <v>452</v>
      </c>
      <c r="B453" s="7" t="s">
        <v>1359</v>
      </c>
      <c r="C453" s="7" t="s">
        <v>55</v>
      </c>
      <c r="D453" s="7" t="s">
        <v>112</v>
      </c>
      <c r="E453" s="11">
        <v>7</v>
      </c>
      <c r="F453" s="7" t="s">
        <v>52</v>
      </c>
      <c r="G453" s="7" t="s">
        <v>1743</v>
      </c>
      <c r="H453" s="37">
        <f>IFERROR(VLOOKUP(C453,Fixture_Engine!$D$2:$R$21,13,FALSE),"")</f>
        <v>1.1006915106715305</v>
      </c>
      <c r="I453" s="37">
        <f>IFERROR(VLOOKUP(C453,Fixture_Engine!$D$2:$R$21,14,FALSE),"")</f>
        <v>1.5903534900875227</v>
      </c>
      <c r="J453" s="37">
        <f>IFERROR(VLOOKUP(C453,Fixture_Engine!$D$2:$R$21,15,FALSE),"")</f>
        <v>0.20385353879115936</v>
      </c>
      <c r="K453" s="13">
        <v>0.12594201278952782</v>
      </c>
      <c r="L453" s="13">
        <v>0.1098885153938973</v>
      </c>
      <c r="M453" s="13">
        <v>0.36041666666666661</v>
      </c>
      <c r="N453" s="38">
        <f t="shared" si="14"/>
        <v>0.1386233043143186</v>
      </c>
      <c r="O453" s="38">
        <f t="shared" si="15"/>
        <v>0.12095335601436055</v>
      </c>
      <c r="P453" s="26"/>
      <c r="Q453" s="45"/>
      <c r="R453" s="38"/>
      <c r="S453" s="38"/>
      <c r="T453" s="38"/>
      <c r="U453" s="1" t="b">
        <v>0</v>
      </c>
      <c r="V453" s="1" t="b">
        <v>1</v>
      </c>
      <c r="W453" s="31" t="s">
        <v>1885</v>
      </c>
    </row>
    <row r="454" spans="1:23" ht="30">
      <c r="A454" s="7">
        <v>453</v>
      </c>
      <c r="B454" s="7" t="s">
        <v>1362</v>
      </c>
      <c r="C454" s="7" t="s">
        <v>55</v>
      </c>
      <c r="D454" s="7" t="s">
        <v>112</v>
      </c>
      <c r="E454" s="11">
        <v>6</v>
      </c>
      <c r="F454" s="7" t="s">
        <v>52</v>
      </c>
      <c r="G454" s="7" t="s">
        <v>1743</v>
      </c>
      <c r="H454" s="37">
        <f>IFERROR(VLOOKUP(C454,Fixture_Engine!$D$2:$R$21,13,FALSE),"")</f>
        <v>1.1006915106715305</v>
      </c>
      <c r="I454" s="37">
        <f>IFERROR(VLOOKUP(C454,Fixture_Engine!$D$2:$R$21,14,FALSE),"")</f>
        <v>1.5903534900875227</v>
      </c>
      <c r="J454" s="37">
        <f>IFERROR(VLOOKUP(C454,Fixture_Engine!$D$2:$R$21,15,FALSE),"")</f>
        <v>0.20385353879115936</v>
      </c>
      <c r="K454" s="13">
        <v>0.16848787887453168</v>
      </c>
      <c r="L454" s="13">
        <v>8.6231580530671176E-2</v>
      </c>
      <c r="M454" s="13">
        <v>0.40498136225008474</v>
      </c>
      <c r="N454" s="38">
        <f t="shared" si="14"/>
        <v>0.18545317792825011</v>
      </c>
      <c r="O454" s="38">
        <f t="shared" si="15"/>
        <v>9.4914368641898186E-2</v>
      </c>
      <c r="P454" s="26"/>
      <c r="Q454" s="45"/>
      <c r="R454" s="38"/>
      <c r="S454" s="38"/>
      <c r="T454" s="38"/>
      <c r="U454" s="1" t="b">
        <v>0</v>
      </c>
      <c r="V454" s="1" t="b">
        <v>1</v>
      </c>
      <c r="W454" s="31" t="s">
        <v>1885</v>
      </c>
    </row>
    <row r="455" spans="1:23" ht="30">
      <c r="A455" s="7">
        <v>454</v>
      </c>
      <c r="B455" s="7" t="s">
        <v>1365</v>
      </c>
      <c r="C455" s="7" t="s">
        <v>55</v>
      </c>
      <c r="D455" s="7" t="s">
        <v>112</v>
      </c>
      <c r="E455" s="11">
        <v>6</v>
      </c>
      <c r="F455" s="7" t="s">
        <v>52</v>
      </c>
      <c r="G455" s="7" t="s">
        <v>1743</v>
      </c>
      <c r="H455" s="37">
        <f>IFERROR(VLOOKUP(C455,Fixture_Engine!$D$2:$R$21,13,FALSE),"")</f>
        <v>1.1006915106715305</v>
      </c>
      <c r="I455" s="37">
        <f>IFERROR(VLOOKUP(C455,Fixture_Engine!$D$2:$R$21,14,FALSE),"")</f>
        <v>1.5903534900875227</v>
      </c>
      <c r="J455" s="37">
        <f>IFERROR(VLOOKUP(C455,Fixture_Engine!$D$2:$R$21,15,FALSE),"")</f>
        <v>0.20385353879115936</v>
      </c>
      <c r="K455" s="13">
        <v>9.1425127930383016E-2</v>
      </c>
      <c r="L455" s="13">
        <v>8.5050153798794409E-2</v>
      </c>
      <c r="M455" s="13">
        <v>0.4909643788010426</v>
      </c>
      <c r="N455" s="38">
        <f t="shared" si="14"/>
        <v>0.10063086217503121</v>
      </c>
      <c r="O455" s="38">
        <f t="shared" si="15"/>
        <v>9.3613982267641019E-2</v>
      </c>
      <c r="P455" s="26"/>
      <c r="Q455" s="45"/>
      <c r="R455" s="38"/>
      <c r="S455" s="38"/>
      <c r="T455" s="38"/>
      <c r="U455" s="1" t="b">
        <v>0</v>
      </c>
      <c r="V455" s="1" t="b">
        <v>1</v>
      </c>
      <c r="W455" s="31" t="s">
        <v>1885</v>
      </c>
    </row>
    <row r="456" spans="1:23" ht="30">
      <c r="A456" s="7">
        <v>455</v>
      </c>
      <c r="B456" s="7" t="s">
        <v>1469</v>
      </c>
      <c r="C456" s="7" t="s">
        <v>57</v>
      </c>
      <c r="D456" s="7" t="s">
        <v>112</v>
      </c>
      <c r="E456" s="11">
        <v>5.5</v>
      </c>
      <c r="F456" s="7" t="s">
        <v>42</v>
      </c>
      <c r="G456" s="7" t="s">
        <v>1742</v>
      </c>
      <c r="H456" s="37">
        <f>IFERROR(VLOOKUP(C456,Fixture_Engine!$D$2:$R$21,13,FALSE),"")</f>
        <v>1.2818599603231151</v>
      </c>
      <c r="I456" s="37">
        <f>IFERROR(VLOOKUP(C456,Fixture_Engine!$D$2:$R$21,14,FALSE),"")</f>
        <v>1.3720338233100562</v>
      </c>
      <c r="J456" s="37">
        <f>IFERROR(VLOOKUP(C456,Fixture_Engine!$D$2:$R$21,15,FALSE),"")</f>
        <v>0.25359067608785163</v>
      </c>
      <c r="K456" s="13">
        <v>6.7198385757827148E-2</v>
      </c>
      <c r="L456" s="13">
        <v>7.658596820323671E-2</v>
      </c>
      <c r="M456" s="13">
        <v>0.39052065647990952</v>
      </c>
      <c r="N456" s="38">
        <f t="shared" si="14"/>
        <v>8.6138920101305694E-2</v>
      </c>
      <c r="O456" s="38">
        <f t="shared" si="15"/>
        <v>9.8172486162308364E-2</v>
      </c>
      <c r="P456" s="26"/>
      <c r="Q456" s="45"/>
      <c r="R456" s="38"/>
      <c r="S456" s="38"/>
      <c r="T456" s="38"/>
      <c r="U456" s="1" t="b">
        <v>0</v>
      </c>
      <c r="V456" s="1" t="b">
        <v>1</v>
      </c>
      <c r="W456" s="31" t="s">
        <v>1885</v>
      </c>
    </row>
    <row r="457" spans="1:23" ht="30">
      <c r="A457" s="7">
        <v>456</v>
      </c>
      <c r="B457" s="7" t="s">
        <v>1367</v>
      </c>
      <c r="C457" s="7" t="s">
        <v>55</v>
      </c>
      <c r="D457" s="7" t="s">
        <v>112</v>
      </c>
      <c r="E457" s="11">
        <v>5</v>
      </c>
      <c r="F457" s="7" t="s">
        <v>52</v>
      </c>
      <c r="G457" s="7" t="s">
        <v>1743</v>
      </c>
      <c r="H457" s="37">
        <f>IFERROR(VLOOKUP(C457,Fixture_Engine!$D$2:$R$21,13,FALSE),"")</f>
        <v>1.1006915106715305</v>
      </c>
      <c r="I457" s="37">
        <f>IFERROR(VLOOKUP(C457,Fixture_Engine!$D$2:$R$21,14,FALSE),"")</f>
        <v>1.5903534900875227</v>
      </c>
      <c r="J457" s="37">
        <f>IFERROR(VLOOKUP(C457,Fixture_Engine!$D$2:$R$21,15,FALSE),"")</f>
        <v>0.20385353879115936</v>
      </c>
      <c r="K457" s="13">
        <v>7.689377291341179E-2</v>
      </c>
      <c r="L457" s="13">
        <v>7.4316765651117223E-2</v>
      </c>
      <c r="M457" s="13">
        <v>0.46870135190495688</v>
      </c>
      <c r="N457" s="38">
        <f t="shared" si="14"/>
        <v>8.4636323069296832E-2</v>
      </c>
      <c r="O457" s="38">
        <f t="shared" si="15"/>
        <v>8.179983305275032E-2</v>
      </c>
      <c r="P457" s="26"/>
      <c r="Q457" s="45"/>
      <c r="R457" s="38"/>
      <c r="S457" s="38"/>
      <c r="T457" s="38"/>
      <c r="U457" s="1" t="b">
        <v>0</v>
      </c>
      <c r="V457" s="1" t="b">
        <v>1</v>
      </c>
      <c r="W457" s="31" t="s">
        <v>1885</v>
      </c>
    </row>
    <row r="458" spans="1:23" ht="30">
      <c r="A458" s="7">
        <v>457</v>
      </c>
      <c r="B458" s="7" t="s">
        <v>1370</v>
      </c>
      <c r="C458" s="7" t="s">
        <v>55</v>
      </c>
      <c r="D458" s="7" t="s">
        <v>112</v>
      </c>
      <c r="E458" s="11">
        <v>6</v>
      </c>
      <c r="F458" s="7" t="s">
        <v>52</v>
      </c>
      <c r="G458" s="7" t="s">
        <v>1743</v>
      </c>
      <c r="H458" s="37">
        <f>IFERROR(VLOOKUP(C458,Fixture_Engine!$D$2:$R$21,13,FALSE),"")</f>
        <v>1.1006915106715305</v>
      </c>
      <c r="I458" s="37">
        <f>IFERROR(VLOOKUP(C458,Fixture_Engine!$D$2:$R$21,14,FALSE),"")</f>
        <v>1.5903534900875227</v>
      </c>
      <c r="J458" s="37">
        <f>IFERROR(VLOOKUP(C458,Fixture_Engine!$D$2:$R$21,15,FALSE),"")</f>
        <v>0.20385353879115936</v>
      </c>
      <c r="K458" s="13">
        <v>0.11138714380382861</v>
      </c>
      <c r="L458" s="13">
        <v>9.5211728786936276E-2</v>
      </c>
      <c r="M458" s="13">
        <v>0.44535686876438985</v>
      </c>
      <c r="N458" s="38">
        <f t="shared" si="14"/>
        <v>0.12260288358282312</v>
      </c>
      <c r="O458" s="38">
        <f t="shared" si="15"/>
        <v>0.10479874159214093</v>
      </c>
      <c r="P458" s="26"/>
      <c r="Q458" s="45"/>
      <c r="R458" s="38"/>
      <c r="S458" s="38"/>
      <c r="T458" s="38"/>
      <c r="U458" s="1" t="b">
        <v>0</v>
      </c>
      <c r="V458" s="1" t="b">
        <v>1</v>
      </c>
      <c r="W458" s="31" t="s">
        <v>1885</v>
      </c>
    </row>
    <row r="459" spans="1:23" ht="30">
      <c r="A459" s="7">
        <v>458</v>
      </c>
      <c r="B459" s="7" t="s">
        <v>1373</v>
      </c>
      <c r="C459" s="7" t="s">
        <v>55</v>
      </c>
      <c r="D459" s="7" t="s">
        <v>112</v>
      </c>
      <c r="E459" s="11">
        <v>5.5</v>
      </c>
      <c r="F459" s="7" t="s">
        <v>52</v>
      </c>
      <c r="G459" s="7" t="s">
        <v>1743</v>
      </c>
      <c r="H459" s="37">
        <f>IFERROR(VLOOKUP(C459,Fixture_Engine!$D$2:$R$21,13,FALSE),"")</f>
        <v>1.1006915106715305</v>
      </c>
      <c r="I459" s="37">
        <f>IFERROR(VLOOKUP(C459,Fixture_Engine!$D$2:$R$21,14,FALSE),"")</f>
        <v>1.5903534900875227</v>
      </c>
      <c r="J459" s="37">
        <f>IFERROR(VLOOKUP(C459,Fixture_Engine!$D$2:$R$21,15,FALSE),"")</f>
        <v>0.20385353879115936</v>
      </c>
      <c r="K459" s="13">
        <v>8.6678188654562532E-2</v>
      </c>
      <c r="L459" s="13">
        <v>6.1223705847607585E-2</v>
      </c>
      <c r="M459" s="13">
        <v>0.40508474576271181</v>
      </c>
      <c r="N459" s="38">
        <f t="shared" si="14"/>
        <v>9.5405946412462347E-2</v>
      </c>
      <c r="O459" s="38">
        <f t="shared" si="15"/>
        <v>6.7388413278312603E-2</v>
      </c>
      <c r="P459" s="26"/>
      <c r="Q459" s="45"/>
      <c r="R459" s="38"/>
      <c r="S459" s="38"/>
      <c r="T459" s="38"/>
      <c r="U459" s="1" t="b">
        <v>0</v>
      </c>
      <c r="V459" s="1" t="b">
        <v>1</v>
      </c>
      <c r="W459" s="31" t="s">
        <v>1885</v>
      </c>
    </row>
    <row r="460" spans="1:23" ht="30">
      <c r="A460" s="7">
        <v>459</v>
      </c>
      <c r="B460" s="7" t="s">
        <v>1376</v>
      </c>
      <c r="C460" s="7" t="s">
        <v>55</v>
      </c>
      <c r="D460" s="7" t="s">
        <v>112</v>
      </c>
      <c r="E460" s="11">
        <v>5.5</v>
      </c>
      <c r="F460" s="7" t="s">
        <v>52</v>
      </c>
      <c r="G460" s="7" t="s">
        <v>1743</v>
      </c>
      <c r="H460" s="37">
        <f>IFERROR(VLOOKUP(C460,Fixture_Engine!$D$2:$R$21,13,FALSE),"")</f>
        <v>1.1006915106715305</v>
      </c>
      <c r="I460" s="37">
        <f>IFERROR(VLOOKUP(C460,Fixture_Engine!$D$2:$R$21,14,FALSE),"")</f>
        <v>1.5903534900875227</v>
      </c>
      <c r="J460" s="37">
        <f>IFERROR(VLOOKUP(C460,Fixture_Engine!$D$2:$R$21,15,FALSE),"")</f>
        <v>0.20385353879115936</v>
      </c>
      <c r="K460" s="13">
        <v>7.8973791099254759E-2</v>
      </c>
      <c r="L460" s="13">
        <v>8.7009629099595212E-2</v>
      </c>
      <c r="M460" s="13">
        <v>0.46101083032490975</v>
      </c>
      <c r="N460" s="38">
        <f t="shared" si="14"/>
        <v>8.6925781428496593E-2</v>
      </c>
      <c r="O460" s="38">
        <f t="shared" si="15"/>
        <v>9.5770760096603014E-2</v>
      </c>
      <c r="P460" s="26"/>
      <c r="Q460" s="45"/>
      <c r="R460" s="38"/>
      <c r="S460" s="38"/>
      <c r="T460" s="38"/>
      <c r="U460" s="1" t="b">
        <v>0</v>
      </c>
      <c r="V460" s="1" t="b">
        <v>1</v>
      </c>
      <c r="W460" s="31" t="s">
        <v>1885</v>
      </c>
    </row>
    <row r="461" spans="1:23" ht="30">
      <c r="A461" s="7">
        <v>460</v>
      </c>
      <c r="B461" s="7" t="s">
        <v>1380</v>
      </c>
      <c r="C461" s="7" t="s">
        <v>55</v>
      </c>
      <c r="D461" s="7" t="s">
        <v>112</v>
      </c>
      <c r="E461" s="11">
        <v>5</v>
      </c>
      <c r="F461" s="7" t="s">
        <v>52</v>
      </c>
      <c r="G461" s="7" t="s">
        <v>1743</v>
      </c>
      <c r="H461" s="37">
        <f>IFERROR(VLOOKUP(C461,Fixture_Engine!$D$2:$R$21,13,FALSE),"")</f>
        <v>1.1006915106715305</v>
      </c>
      <c r="I461" s="37">
        <f>IFERROR(VLOOKUP(C461,Fixture_Engine!$D$2:$R$21,14,FALSE),"")</f>
        <v>1.5903534900875227</v>
      </c>
      <c r="J461" s="37">
        <f>IFERROR(VLOOKUP(C461,Fixture_Engine!$D$2:$R$21,15,FALSE),"")</f>
        <v>0.20385353879115936</v>
      </c>
      <c r="K461" s="13">
        <v>9.426442076268067E-2</v>
      </c>
      <c r="L461" s="13">
        <v>7.9457847054626732E-2</v>
      </c>
      <c r="M461" s="13">
        <v>0.55638945233265713</v>
      </c>
      <c r="N461" s="38">
        <f t="shared" si="14"/>
        <v>0.10375604769185177</v>
      </c>
      <c r="O461" s="38">
        <f t="shared" si="15"/>
        <v>8.7458577709264518E-2</v>
      </c>
      <c r="P461" s="26"/>
      <c r="Q461" s="45"/>
      <c r="R461" s="38"/>
      <c r="S461" s="38"/>
      <c r="T461" s="38"/>
      <c r="U461" s="1" t="b">
        <v>0</v>
      </c>
      <c r="V461" s="1" t="b">
        <v>1</v>
      </c>
      <c r="W461" s="31" t="s">
        <v>1885</v>
      </c>
    </row>
    <row r="462" spans="1:23" ht="30">
      <c r="A462" s="7">
        <v>461</v>
      </c>
      <c r="B462" s="7" t="s">
        <v>1383</v>
      </c>
      <c r="C462" s="7" t="s">
        <v>55</v>
      </c>
      <c r="D462" s="7" t="s">
        <v>112</v>
      </c>
      <c r="E462" s="11">
        <v>6</v>
      </c>
      <c r="F462" s="7" t="s">
        <v>52</v>
      </c>
      <c r="G462" s="7" t="s">
        <v>1743</v>
      </c>
      <c r="H462" s="37">
        <f>IFERROR(VLOOKUP(C462,Fixture_Engine!$D$2:$R$21,13,FALSE),"")</f>
        <v>1.1006915106715305</v>
      </c>
      <c r="I462" s="37">
        <f>IFERROR(VLOOKUP(C462,Fixture_Engine!$D$2:$R$21,14,FALSE),"")</f>
        <v>1.5903534900875227</v>
      </c>
      <c r="J462" s="37">
        <f>IFERROR(VLOOKUP(C462,Fixture_Engine!$D$2:$R$21,15,FALSE),"")</f>
        <v>0.20385353879115936</v>
      </c>
      <c r="K462" s="13">
        <v>0.10751786102217777</v>
      </c>
      <c r="L462" s="13">
        <v>9.0240671969462088E-2</v>
      </c>
      <c r="M462" s="13">
        <v>1</v>
      </c>
      <c r="N462" s="38">
        <f t="shared" si="14"/>
        <v>0.11834399687267251</v>
      </c>
      <c r="O462" s="38">
        <f t="shared" si="15"/>
        <v>9.9327141554081261E-2</v>
      </c>
      <c r="P462" s="26"/>
      <c r="Q462" s="45"/>
      <c r="R462" s="38"/>
      <c r="S462" s="38"/>
      <c r="T462" s="38"/>
      <c r="U462" s="1" t="b">
        <v>0</v>
      </c>
      <c r="V462" s="1" t="b">
        <v>1</v>
      </c>
      <c r="W462" s="31" t="s">
        <v>1885</v>
      </c>
    </row>
    <row r="463" spans="1:23" ht="30">
      <c r="A463" s="7">
        <v>462</v>
      </c>
      <c r="B463" s="7" t="s">
        <v>1386</v>
      </c>
      <c r="C463" s="7" t="s">
        <v>55</v>
      </c>
      <c r="D463" s="7" t="s">
        <v>112</v>
      </c>
      <c r="E463" s="11">
        <v>5</v>
      </c>
      <c r="F463" s="7" t="s">
        <v>52</v>
      </c>
      <c r="G463" s="7" t="s">
        <v>1743</v>
      </c>
      <c r="H463" s="37">
        <f>IFERROR(VLOOKUP(C463,Fixture_Engine!$D$2:$R$21,13,FALSE),"")</f>
        <v>1.1006915106715305</v>
      </c>
      <c r="I463" s="37">
        <f>IFERROR(VLOOKUP(C463,Fixture_Engine!$D$2:$R$21,14,FALSE),"")</f>
        <v>1.5903534900875227</v>
      </c>
      <c r="J463" s="37">
        <f>IFERROR(VLOOKUP(C463,Fixture_Engine!$D$2:$R$21,15,FALSE),"")</f>
        <v>0.20385353879115936</v>
      </c>
      <c r="K463" s="13">
        <v>0.10751786102217777</v>
      </c>
      <c r="L463" s="13">
        <v>9.0240671969462088E-2</v>
      </c>
      <c r="M463" s="13">
        <v>1</v>
      </c>
      <c r="N463" s="38">
        <f t="shared" si="14"/>
        <v>0.11834399687267251</v>
      </c>
      <c r="O463" s="38">
        <f t="shared" si="15"/>
        <v>9.9327141554081261E-2</v>
      </c>
      <c r="P463" s="26"/>
      <c r="Q463" s="45"/>
      <c r="R463" s="38"/>
      <c r="S463" s="38"/>
      <c r="T463" s="38"/>
      <c r="U463" s="1" t="b">
        <v>0</v>
      </c>
      <c r="V463" s="1" t="b">
        <v>1</v>
      </c>
      <c r="W463" s="31" t="s">
        <v>1885</v>
      </c>
    </row>
    <row r="464" spans="1:23" ht="30">
      <c r="A464" s="7">
        <v>463</v>
      </c>
      <c r="B464" s="7" t="s">
        <v>1388</v>
      </c>
      <c r="C464" s="7" t="s">
        <v>55</v>
      </c>
      <c r="D464" s="7" t="s">
        <v>167</v>
      </c>
      <c r="E464" s="11">
        <v>6</v>
      </c>
      <c r="F464" s="7" t="s">
        <v>52</v>
      </c>
      <c r="G464" s="7" t="s">
        <v>1743</v>
      </c>
      <c r="H464" s="37">
        <f>IFERROR(VLOOKUP(C464,Fixture_Engine!$D$2:$R$21,13,FALSE),"")</f>
        <v>1.1006915106715305</v>
      </c>
      <c r="I464" s="37">
        <f>IFERROR(VLOOKUP(C464,Fixture_Engine!$D$2:$R$21,14,FALSE),"")</f>
        <v>1.5903534900875227</v>
      </c>
      <c r="J464" s="37">
        <f>IFERROR(VLOOKUP(C464,Fixture_Engine!$D$2:$R$21,15,FALSE),"")</f>
        <v>0.20385353879115936</v>
      </c>
      <c r="K464" s="13">
        <v>0.24779250173575268</v>
      </c>
      <c r="L464" s="13">
        <v>4.460521287916297E-2</v>
      </c>
      <c r="M464" s="13">
        <v>0.41077348066298336</v>
      </c>
      <c r="N464" s="38">
        <f t="shared" si="14"/>
        <v>0.27274310306860344</v>
      </c>
      <c r="O464" s="38">
        <f t="shared" si="15"/>
        <v>4.90965791477911E-2</v>
      </c>
      <c r="P464" s="26"/>
      <c r="Q464" s="45"/>
      <c r="R464" s="38"/>
      <c r="S464" s="38"/>
      <c r="T464" s="38"/>
      <c r="U464" s="1" t="b">
        <v>0</v>
      </c>
      <c r="V464" s="1" t="b">
        <v>1</v>
      </c>
      <c r="W464" s="31" t="s">
        <v>1885</v>
      </c>
    </row>
    <row r="465" spans="1:23" ht="30">
      <c r="A465" s="7">
        <v>464</v>
      </c>
      <c r="B465" s="7" t="s">
        <v>1391</v>
      </c>
      <c r="C465" s="7" t="s">
        <v>55</v>
      </c>
      <c r="D465" s="7" t="s">
        <v>167</v>
      </c>
      <c r="E465" s="11">
        <v>6</v>
      </c>
      <c r="F465" s="7" t="s">
        <v>52</v>
      </c>
      <c r="G465" s="7" t="s">
        <v>1743</v>
      </c>
      <c r="H465" s="37">
        <f>IFERROR(VLOOKUP(C465,Fixture_Engine!$D$2:$R$21,13,FALSE),"")</f>
        <v>1.1006915106715305</v>
      </c>
      <c r="I465" s="37">
        <f>IFERROR(VLOOKUP(C465,Fixture_Engine!$D$2:$R$21,14,FALSE),"")</f>
        <v>1.5903534900875227</v>
      </c>
      <c r="J465" s="37">
        <f>IFERROR(VLOOKUP(C465,Fixture_Engine!$D$2:$R$21,15,FALSE),"")</f>
        <v>0.20385353879115936</v>
      </c>
      <c r="K465" s="13">
        <v>0.32240465178821487</v>
      </c>
      <c r="L465" s="13">
        <v>4.6405164818339062E-2</v>
      </c>
      <c r="M465" s="13">
        <v>0.69327620303230053</v>
      </c>
      <c r="N465" s="38">
        <f t="shared" si="14"/>
        <v>0.35486806322429898</v>
      </c>
      <c r="O465" s="38">
        <f t="shared" si="15"/>
        <v>5.1077770966858983E-2</v>
      </c>
      <c r="P465" s="26"/>
      <c r="Q465" s="45"/>
      <c r="R465" s="38"/>
      <c r="S465" s="38"/>
      <c r="T465" s="38"/>
      <c r="U465" s="1" t="b">
        <v>0</v>
      </c>
      <c r="V465" s="1" t="b">
        <v>1</v>
      </c>
      <c r="W465" s="31" t="s">
        <v>1885</v>
      </c>
    </row>
    <row r="466" spans="1:23" ht="30">
      <c r="A466" s="7">
        <v>465</v>
      </c>
      <c r="B466" s="7" t="s">
        <v>1393</v>
      </c>
      <c r="C466" s="7" t="s">
        <v>55</v>
      </c>
      <c r="D466" s="7" t="s">
        <v>167</v>
      </c>
      <c r="E466" s="11">
        <v>6</v>
      </c>
      <c r="F466" s="7" t="s">
        <v>52</v>
      </c>
      <c r="G466" s="7" t="s">
        <v>1743</v>
      </c>
      <c r="H466" s="37">
        <f>IFERROR(VLOOKUP(C466,Fixture_Engine!$D$2:$R$21,13,FALSE),"")</f>
        <v>1.1006915106715305</v>
      </c>
      <c r="I466" s="37">
        <f>IFERROR(VLOOKUP(C466,Fixture_Engine!$D$2:$R$21,14,FALSE),"")</f>
        <v>1.5903534900875227</v>
      </c>
      <c r="J466" s="37">
        <f>IFERROR(VLOOKUP(C466,Fixture_Engine!$D$2:$R$21,15,FALSE),"")</f>
        <v>0.20385353879115936</v>
      </c>
      <c r="K466" s="13">
        <v>0.31016732384576712</v>
      </c>
      <c r="L466" s="13">
        <v>4.2016455140035401E-2</v>
      </c>
      <c r="M466" s="13">
        <v>0.59861495844875345</v>
      </c>
      <c r="N466" s="38">
        <f t="shared" si="14"/>
        <v>0.34139854024474325</v>
      </c>
      <c r="O466" s="38">
        <f t="shared" si="15"/>
        <v>4.6247155481148154E-2</v>
      </c>
      <c r="P466" s="26"/>
      <c r="Q466" s="45"/>
      <c r="R466" s="38"/>
      <c r="S466" s="38"/>
      <c r="T466" s="38"/>
      <c r="U466" s="1" t="b">
        <v>0</v>
      </c>
      <c r="V466" s="1" t="b">
        <v>1</v>
      </c>
      <c r="W466" s="31" t="s">
        <v>1885</v>
      </c>
    </row>
    <row r="467" spans="1:23" ht="30">
      <c r="A467" s="7">
        <v>466</v>
      </c>
      <c r="B467" s="7" t="s">
        <v>1395</v>
      </c>
      <c r="C467" s="7" t="s">
        <v>55</v>
      </c>
      <c r="D467" s="7" t="s">
        <v>167</v>
      </c>
      <c r="E467" s="11">
        <v>4.5</v>
      </c>
      <c r="F467" s="7" t="s">
        <v>52</v>
      </c>
      <c r="G467" s="7" t="s">
        <v>1743</v>
      </c>
      <c r="H467" s="37">
        <f>IFERROR(VLOOKUP(C467,Fixture_Engine!$D$2:$R$21,13,FALSE),"")</f>
        <v>1.1006915106715305</v>
      </c>
      <c r="I467" s="37">
        <f>IFERROR(VLOOKUP(C467,Fixture_Engine!$D$2:$R$21,14,FALSE),"")</f>
        <v>1.5903534900875227</v>
      </c>
      <c r="J467" s="37">
        <f>IFERROR(VLOOKUP(C467,Fixture_Engine!$D$2:$R$21,15,FALSE),"")</f>
        <v>0.20385353879115936</v>
      </c>
      <c r="K467" s="13">
        <v>0.3026934035380866</v>
      </c>
      <c r="L467" s="13">
        <v>3.9258061548584466E-2</v>
      </c>
      <c r="M467" s="13">
        <v>0.98845014807502463</v>
      </c>
      <c r="N467" s="38">
        <f t="shared" si="14"/>
        <v>0.33317205961064372</v>
      </c>
      <c r="O467" s="38">
        <f t="shared" si="15"/>
        <v>4.3211015071947356E-2</v>
      </c>
      <c r="P467" s="26"/>
      <c r="Q467" s="45"/>
      <c r="R467" s="38"/>
      <c r="S467" s="38"/>
      <c r="T467" s="38"/>
      <c r="U467" s="1" t="b">
        <v>0</v>
      </c>
      <c r="V467" s="1" t="b">
        <v>1</v>
      </c>
      <c r="W467" s="31" t="s">
        <v>1885</v>
      </c>
    </row>
    <row r="468" spans="1:23" ht="30">
      <c r="A468" s="7">
        <v>467</v>
      </c>
      <c r="B468" s="7" t="s">
        <v>1403</v>
      </c>
      <c r="C468" s="7" t="s">
        <v>56</v>
      </c>
      <c r="D468" s="7" t="s">
        <v>85</v>
      </c>
      <c r="E468" s="11">
        <v>5</v>
      </c>
      <c r="F468" s="7" t="s">
        <v>51</v>
      </c>
      <c r="G468" s="7" t="s">
        <v>1743</v>
      </c>
      <c r="H468" s="37">
        <f>IFERROR(VLOOKUP(C468,Fixture_Engine!$D$2:$R$21,13,FALSE),"")</f>
        <v>1.2669809751991843</v>
      </c>
      <c r="I468" s="37">
        <f>IFERROR(VLOOKUP(C468,Fixture_Engine!$D$2:$R$21,14,FALSE),"")</f>
        <v>1.0502506804949732</v>
      </c>
      <c r="J468" s="37">
        <f>IFERROR(VLOOKUP(C468,Fixture_Engine!$D$2:$R$21,15,FALSE),"")</f>
        <v>0.34985003753724808</v>
      </c>
      <c r="K468" s="13">
        <v>1.6719534964712218E-4</v>
      </c>
      <c r="L468" s="13">
        <v>1.5713171505942819E-3</v>
      </c>
      <c r="M468" s="13">
        <v>0.34543223343332419</v>
      </c>
      <c r="N468" s="38">
        <f t="shared" si="14"/>
        <v>2.1183332714467946E-4</v>
      </c>
      <c r="O468" s="38">
        <f t="shared" si="15"/>
        <v>1.9908289358071467E-3</v>
      </c>
      <c r="P468" s="26"/>
      <c r="Q468" s="45"/>
      <c r="R468" s="38"/>
      <c r="S468" s="38"/>
      <c r="T468" s="38"/>
      <c r="U468" s="1" t="b">
        <v>1</v>
      </c>
      <c r="V468" s="1" t="b">
        <v>1</v>
      </c>
      <c r="W468" s="31" t="s">
        <v>1885</v>
      </c>
    </row>
    <row r="469" spans="1:23" ht="30">
      <c r="A469" s="7">
        <v>468</v>
      </c>
      <c r="B469" s="7" t="s">
        <v>1406</v>
      </c>
      <c r="C469" s="7" t="s">
        <v>56</v>
      </c>
      <c r="D469" s="7" t="s">
        <v>85</v>
      </c>
      <c r="E469" s="11">
        <v>4.5</v>
      </c>
      <c r="F469" s="7" t="s">
        <v>51</v>
      </c>
      <c r="G469" s="7" t="s">
        <v>1743</v>
      </c>
      <c r="H469" s="37">
        <f>IFERROR(VLOOKUP(C469,Fixture_Engine!$D$2:$R$21,13,FALSE),"")</f>
        <v>1.2669809751991843</v>
      </c>
      <c r="I469" s="37">
        <f>IFERROR(VLOOKUP(C469,Fixture_Engine!$D$2:$R$21,14,FALSE),"")</f>
        <v>1.0502506804949732</v>
      </c>
      <c r="J469" s="37">
        <f>IFERROR(VLOOKUP(C469,Fixture_Engine!$D$2:$R$21,15,FALSE),"")</f>
        <v>0.34985003753724808</v>
      </c>
      <c r="K469" s="13">
        <v>1.6719534964712218E-4</v>
      </c>
      <c r="L469" s="13">
        <v>1.379361634588758E-3</v>
      </c>
      <c r="M469" s="13">
        <v>0.72630480167014611</v>
      </c>
      <c r="N469" s="38">
        <f t="shared" si="14"/>
        <v>2.1183332714467946E-4</v>
      </c>
      <c r="O469" s="38">
        <f t="shared" si="15"/>
        <v>1.7476249489436055E-3</v>
      </c>
      <c r="P469" s="26"/>
      <c r="Q469" s="45"/>
      <c r="R469" s="38"/>
      <c r="S469" s="38"/>
      <c r="T469" s="38"/>
      <c r="U469" s="1" t="b">
        <v>0</v>
      </c>
      <c r="V469" s="1" t="b">
        <v>1</v>
      </c>
      <c r="W469" s="31" t="s">
        <v>1885</v>
      </c>
    </row>
    <row r="470" spans="1:23" ht="30">
      <c r="A470" s="7">
        <v>469</v>
      </c>
      <c r="B470" s="7" t="s">
        <v>1409</v>
      </c>
      <c r="C470" s="7" t="s">
        <v>56</v>
      </c>
      <c r="D470" s="7" t="s">
        <v>99</v>
      </c>
      <c r="E470" s="11">
        <v>5</v>
      </c>
      <c r="F470" s="7" t="s">
        <v>51</v>
      </c>
      <c r="G470" s="7" t="s">
        <v>1743</v>
      </c>
      <c r="H470" s="37">
        <f>IFERROR(VLOOKUP(C470,Fixture_Engine!$D$2:$R$21,13,FALSE),"")</f>
        <v>1.2669809751991843</v>
      </c>
      <c r="I470" s="37">
        <f>IFERROR(VLOOKUP(C470,Fixture_Engine!$D$2:$R$21,14,FALSE),"")</f>
        <v>1.0502506804949732</v>
      </c>
      <c r="J470" s="37">
        <f>IFERROR(VLOOKUP(C470,Fixture_Engine!$D$2:$R$21,15,FALSE),"")</f>
        <v>0.34985003753724808</v>
      </c>
      <c r="K470" s="13">
        <v>4.4923977391888394E-2</v>
      </c>
      <c r="L470" s="13">
        <v>7.5930098024610204E-2</v>
      </c>
      <c r="M470" s="13">
        <v>0.31413276231263387</v>
      </c>
      <c r="N470" s="38">
        <f t="shared" si="14"/>
        <v>5.6917824685800866E-2</v>
      </c>
      <c r="O470" s="38">
        <f t="shared" si="15"/>
        <v>9.6201989642190289E-2</v>
      </c>
      <c r="P470" s="26"/>
      <c r="Q470" s="45"/>
      <c r="R470" s="38"/>
      <c r="S470" s="38"/>
      <c r="T470" s="38"/>
      <c r="U470" s="1" t="b">
        <v>0</v>
      </c>
      <c r="V470" s="1" t="b">
        <v>1</v>
      </c>
      <c r="W470" s="31" t="s">
        <v>1885</v>
      </c>
    </row>
    <row r="471" spans="1:23" ht="30">
      <c r="A471" s="7">
        <v>470</v>
      </c>
      <c r="B471" s="7" t="s">
        <v>1411</v>
      </c>
      <c r="C471" s="7" t="s">
        <v>56</v>
      </c>
      <c r="D471" s="7" t="s">
        <v>99</v>
      </c>
      <c r="E471" s="11">
        <v>5</v>
      </c>
      <c r="F471" s="7" t="s">
        <v>51</v>
      </c>
      <c r="G471" s="7" t="s">
        <v>1743</v>
      </c>
      <c r="H471" s="37">
        <f>IFERROR(VLOOKUP(C471,Fixture_Engine!$D$2:$R$21,13,FALSE),"")</f>
        <v>1.2669809751991843</v>
      </c>
      <c r="I471" s="37">
        <f>IFERROR(VLOOKUP(C471,Fixture_Engine!$D$2:$R$21,14,FALSE),"")</f>
        <v>1.0502506804949732</v>
      </c>
      <c r="J471" s="37">
        <f>IFERROR(VLOOKUP(C471,Fixture_Engine!$D$2:$R$21,15,FALSE),"")</f>
        <v>0.34985003753724808</v>
      </c>
      <c r="K471" s="13">
        <v>5.768404062958149E-2</v>
      </c>
      <c r="L471" s="13">
        <v>2.3922559455369991E-2</v>
      </c>
      <c r="M471" s="13">
        <v>0.48461538461538467</v>
      </c>
      <c r="N471" s="38">
        <f t="shared" si="14"/>
        <v>7.3084582050296526E-2</v>
      </c>
      <c r="O471" s="38">
        <f t="shared" si="15"/>
        <v>3.0309427708025138E-2</v>
      </c>
      <c r="P471" s="26"/>
      <c r="Q471" s="45"/>
      <c r="R471" s="38"/>
      <c r="S471" s="38"/>
      <c r="T471" s="38"/>
      <c r="U471" s="1" t="b">
        <v>0</v>
      </c>
      <c r="V471" s="1" t="b">
        <v>1</v>
      </c>
      <c r="W471" s="31" t="s">
        <v>1885</v>
      </c>
    </row>
    <row r="472" spans="1:23" ht="30">
      <c r="A472" s="7">
        <v>471</v>
      </c>
      <c r="B472" s="7" t="s">
        <v>1413</v>
      </c>
      <c r="C472" s="7" t="s">
        <v>56</v>
      </c>
      <c r="D472" s="7" t="s">
        <v>99</v>
      </c>
      <c r="E472" s="11">
        <v>5.5</v>
      </c>
      <c r="F472" s="7" t="s">
        <v>51</v>
      </c>
      <c r="G472" s="7" t="s">
        <v>1743</v>
      </c>
      <c r="H472" s="37">
        <f>IFERROR(VLOOKUP(C472,Fixture_Engine!$D$2:$R$21,13,FALSE),"")</f>
        <v>1.2669809751991843</v>
      </c>
      <c r="I472" s="37">
        <f>IFERROR(VLOOKUP(C472,Fixture_Engine!$D$2:$R$21,14,FALSE),"")</f>
        <v>1.0502506804949732</v>
      </c>
      <c r="J472" s="37">
        <f>IFERROR(VLOOKUP(C472,Fixture_Engine!$D$2:$R$21,15,FALSE),"")</f>
        <v>0.34985003753724808</v>
      </c>
      <c r="K472" s="13">
        <v>2.5272167837172448E-2</v>
      </c>
      <c r="L472" s="13">
        <v>2.2785626040730596E-2</v>
      </c>
      <c r="M472" s="13">
        <v>0.30571428571428572</v>
      </c>
      <c r="N472" s="38">
        <f t="shared" si="14"/>
        <v>3.2019355851738207E-2</v>
      </c>
      <c r="O472" s="38">
        <f t="shared" si="15"/>
        <v>2.886895470160878E-2</v>
      </c>
      <c r="P472" s="26"/>
      <c r="Q472" s="45"/>
      <c r="R472" s="38"/>
      <c r="S472" s="38"/>
      <c r="T472" s="38"/>
      <c r="U472" s="1" t="b">
        <v>0</v>
      </c>
      <c r="V472" s="1" t="b">
        <v>1</v>
      </c>
      <c r="W472" s="31" t="s">
        <v>1885</v>
      </c>
    </row>
    <row r="473" spans="1:23" ht="30">
      <c r="A473" s="7">
        <v>472</v>
      </c>
      <c r="B473" s="7" t="s">
        <v>1415</v>
      </c>
      <c r="C473" s="7" t="s">
        <v>56</v>
      </c>
      <c r="D473" s="7" t="s">
        <v>99</v>
      </c>
      <c r="E473" s="11">
        <v>5.5</v>
      </c>
      <c r="F473" s="7" t="s">
        <v>51</v>
      </c>
      <c r="G473" s="7" t="s">
        <v>1743</v>
      </c>
      <c r="H473" s="37">
        <f>IFERROR(VLOOKUP(C473,Fixture_Engine!$D$2:$R$21,13,FALSE),"")</f>
        <v>1.2669809751991843</v>
      </c>
      <c r="I473" s="37">
        <f>IFERROR(VLOOKUP(C473,Fixture_Engine!$D$2:$R$21,14,FALSE),"")</f>
        <v>1.0502506804949732</v>
      </c>
      <c r="J473" s="37">
        <f>IFERROR(VLOOKUP(C473,Fixture_Engine!$D$2:$R$21,15,FALSE),"")</f>
        <v>0.34985003753724808</v>
      </c>
      <c r="K473" s="13">
        <v>3.1550225546804388E-2</v>
      </c>
      <c r="L473" s="13">
        <v>2.5748081901123338E-2</v>
      </c>
      <c r="M473" s="13">
        <v>0.38753993610223647</v>
      </c>
      <c r="N473" s="38">
        <f t="shared" si="14"/>
        <v>3.9973535531044442E-2</v>
      </c>
      <c r="O473" s="38">
        <f t="shared" si="15"/>
        <v>3.2622329916593716E-2</v>
      </c>
      <c r="P473" s="26"/>
      <c r="Q473" s="45"/>
      <c r="R473" s="38"/>
      <c r="S473" s="38"/>
      <c r="T473" s="38"/>
      <c r="U473" s="1" t="b">
        <v>0</v>
      </c>
      <c r="V473" s="1" t="b">
        <v>1</v>
      </c>
      <c r="W473" s="31" t="s">
        <v>1885</v>
      </c>
    </row>
    <row r="474" spans="1:23" ht="30">
      <c r="A474" s="7">
        <v>473</v>
      </c>
      <c r="B474" s="7" t="s">
        <v>1418</v>
      </c>
      <c r="C474" s="7" t="s">
        <v>56</v>
      </c>
      <c r="D474" s="7" t="s">
        <v>99</v>
      </c>
      <c r="E474" s="11">
        <v>4.5</v>
      </c>
      <c r="F474" s="7" t="s">
        <v>51</v>
      </c>
      <c r="G474" s="7" t="s">
        <v>1743</v>
      </c>
      <c r="H474" s="37">
        <f>IFERROR(VLOOKUP(C474,Fixture_Engine!$D$2:$R$21,13,FALSE),"")</f>
        <v>1.2669809751991843</v>
      </c>
      <c r="I474" s="37">
        <f>IFERROR(VLOOKUP(C474,Fixture_Engine!$D$2:$R$21,14,FALSE),"")</f>
        <v>1.0502506804949732</v>
      </c>
      <c r="J474" s="37">
        <f>IFERROR(VLOOKUP(C474,Fixture_Engine!$D$2:$R$21,15,FALSE),"")</f>
        <v>0.34985003753724808</v>
      </c>
      <c r="K474" s="13">
        <v>2.9032084202323193E-2</v>
      </c>
      <c r="L474" s="13">
        <v>3.9872231232715639E-2</v>
      </c>
      <c r="M474" s="13">
        <v>0.44789331271743327</v>
      </c>
      <c r="N474" s="38">
        <f t="shared" si="14"/>
        <v>3.6783098354724271E-2</v>
      </c>
      <c r="O474" s="38">
        <f t="shared" si="15"/>
        <v>5.0517358410593433E-2</v>
      </c>
      <c r="P474" s="26"/>
      <c r="Q474" s="45"/>
      <c r="R474" s="38"/>
      <c r="S474" s="38"/>
      <c r="T474" s="38"/>
      <c r="U474" s="1" t="b">
        <v>0</v>
      </c>
      <c r="V474" s="1" t="b">
        <v>1</v>
      </c>
      <c r="W474" s="31" t="s">
        <v>1885</v>
      </c>
    </row>
    <row r="475" spans="1:23" ht="30">
      <c r="A475" s="7">
        <v>474</v>
      </c>
      <c r="B475" s="7" t="s">
        <v>1420</v>
      </c>
      <c r="C475" s="7" t="s">
        <v>56</v>
      </c>
      <c r="D475" s="7" t="s">
        <v>99</v>
      </c>
      <c r="E475" s="11">
        <v>4.5</v>
      </c>
      <c r="F475" s="7" t="s">
        <v>51</v>
      </c>
      <c r="G475" s="7" t="s">
        <v>1743</v>
      </c>
      <c r="H475" s="37">
        <f>IFERROR(VLOOKUP(C475,Fixture_Engine!$D$2:$R$21,13,FALSE),"")</f>
        <v>1.2669809751991843</v>
      </c>
      <c r="I475" s="37">
        <f>IFERROR(VLOOKUP(C475,Fixture_Engine!$D$2:$R$21,14,FALSE),"")</f>
        <v>1.0502506804949732</v>
      </c>
      <c r="J475" s="37">
        <f>IFERROR(VLOOKUP(C475,Fixture_Engine!$D$2:$R$21,15,FALSE),"")</f>
        <v>0.34985003753724808</v>
      </c>
      <c r="K475" s="13">
        <v>4.0504359564080779E-2</v>
      </c>
      <c r="L475" s="13">
        <v>3.0786152452433494E-2</v>
      </c>
      <c r="M475" s="13">
        <v>0.69445178335535007</v>
      </c>
      <c r="N475" s="38">
        <f t="shared" si="14"/>
        <v>5.1318252980317475E-2</v>
      </c>
      <c r="O475" s="38">
        <f t="shared" si="15"/>
        <v>3.9005469456814948E-2</v>
      </c>
      <c r="P475" s="26"/>
      <c r="Q475" s="45"/>
      <c r="R475" s="38"/>
      <c r="S475" s="38"/>
      <c r="T475" s="38"/>
      <c r="U475" s="1" t="b">
        <v>0</v>
      </c>
      <c r="V475" s="1" t="b">
        <v>1</v>
      </c>
      <c r="W475" s="31" t="s">
        <v>1885</v>
      </c>
    </row>
    <row r="476" spans="1:23" ht="30">
      <c r="A476" s="7">
        <v>475</v>
      </c>
      <c r="B476" s="7" t="s">
        <v>1422</v>
      </c>
      <c r="C476" s="7" t="s">
        <v>56</v>
      </c>
      <c r="D476" s="7" t="s">
        <v>99</v>
      </c>
      <c r="E476" s="11">
        <v>4.5</v>
      </c>
      <c r="F476" s="7" t="s">
        <v>51</v>
      </c>
      <c r="G476" s="7" t="s">
        <v>1743</v>
      </c>
      <c r="H476" s="37">
        <f>IFERROR(VLOOKUP(C476,Fixture_Engine!$D$2:$R$21,13,FALSE),"")</f>
        <v>1.2669809751991843</v>
      </c>
      <c r="I476" s="37">
        <f>IFERROR(VLOOKUP(C476,Fixture_Engine!$D$2:$R$21,14,FALSE),"")</f>
        <v>1.0502506804949732</v>
      </c>
      <c r="J476" s="37">
        <f>IFERROR(VLOOKUP(C476,Fixture_Engine!$D$2:$R$21,15,FALSE),"")</f>
        <v>0.34985003753724808</v>
      </c>
      <c r="K476" s="13">
        <v>6.6677990895176634E-2</v>
      </c>
      <c r="L476" s="13">
        <v>3.6926686494948679E-2</v>
      </c>
      <c r="M476" s="13">
        <v>0.5444444444444444</v>
      </c>
      <c r="N476" s="38">
        <f t="shared" si="14"/>
        <v>8.4479745928693228E-2</v>
      </c>
      <c r="O476" s="38">
        <f t="shared" si="15"/>
        <v>4.6785409266244624E-2</v>
      </c>
      <c r="P476" s="26"/>
      <c r="Q476" s="45"/>
      <c r="R476" s="38"/>
      <c r="S476" s="38"/>
      <c r="T476" s="38"/>
      <c r="U476" s="1" t="b">
        <v>0</v>
      </c>
      <c r="V476" s="1" t="b">
        <v>1</v>
      </c>
      <c r="W476" s="31" t="s">
        <v>1885</v>
      </c>
    </row>
    <row r="477" spans="1:23" ht="30">
      <c r="A477" s="7">
        <v>476</v>
      </c>
      <c r="B477" s="7" t="s">
        <v>1424</v>
      </c>
      <c r="C477" s="7" t="s">
        <v>56</v>
      </c>
      <c r="D477" s="7" t="s">
        <v>99</v>
      </c>
      <c r="E477" s="11">
        <v>4</v>
      </c>
      <c r="F477" s="7" t="s">
        <v>51</v>
      </c>
      <c r="G477" s="7" t="s">
        <v>1743</v>
      </c>
      <c r="H477" s="37">
        <f>IFERROR(VLOOKUP(C477,Fixture_Engine!$D$2:$R$21,13,FALSE),"")</f>
        <v>1.2669809751991843</v>
      </c>
      <c r="I477" s="37">
        <f>IFERROR(VLOOKUP(C477,Fixture_Engine!$D$2:$R$21,14,FALSE),"")</f>
        <v>1.0502506804949732</v>
      </c>
      <c r="J477" s="37">
        <f>IFERROR(VLOOKUP(C477,Fixture_Engine!$D$2:$R$21,15,FALSE),"")</f>
        <v>0.34985003753724808</v>
      </c>
      <c r="K477" s="13">
        <v>4.1142361271531161E-2</v>
      </c>
      <c r="L477" s="13">
        <v>4.0513079897554365E-2</v>
      </c>
      <c r="M477" s="13">
        <v>1</v>
      </c>
      <c r="N477" s="38">
        <f t="shared" si="14"/>
        <v>5.21265890058017E-2</v>
      </c>
      <c r="O477" s="38">
        <f t="shared" si="15"/>
        <v>5.1329301476925895E-2</v>
      </c>
      <c r="P477" s="26"/>
      <c r="Q477" s="45"/>
      <c r="R477" s="38"/>
      <c r="S477" s="38"/>
      <c r="T477" s="38"/>
      <c r="U477" s="1" t="b">
        <v>0</v>
      </c>
      <c r="V477" s="1" t="b">
        <v>1</v>
      </c>
      <c r="W477" s="31" t="s">
        <v>1885</v>
      </c>
    </row>
    <row r="478" spans="1:23" ht="30">
      <c r="A478" s="7">
        <v>477</v>
      </c>
      <c r="B478" s="7" t="s">
        <v>1427</v>
      </c>
      <c r="C478" s="7" t="s">
        <v>56</v>
      </c>
      <c r="D478" s="7" t="s">
        <v>99</v>
      </c>
      <c r="E478" s="11">
        <v>4</v>
      </c>
      <c r="F478" s="7" t="s">
        <v>51</v>
      </c>
      <c r="G478" s="7" t="s">
        <v>1743</v>
      </c>
      <c r="H478" s="37">
        <f>IFERROR(VLOOKUP(C478,Fixture_Engine!$D$2:$R$21,13,FALSE),"")</f>
        <v>1.2669809751991843</v>
      </c>
      <c r="I478" s="37">
        <f>IFERROR(VLOOKUP(C478,Fixture_Engine!$D$2:$R$21,14,FALSE),"")</f>
        <v>1.0502506804949732</v>
      </c>
      <c r="J478" s="37">
        <f>IFERROR(VLOOKUP(C478,Fixture_Engine!$D$2:$R$21,15,FALSE),"")</f>
        <v>0.34985003753724808</v>
      </c>
      <c r="K478" s="13">
        <v>4.1142361271531161E-2</v>
      </c>
      <c r="L478" s="13">
        <v>3.5923327167937009E-2</v>
      </c>
      <c r="M478" s="13">
        <v>0.87253218884120165</v>
      </c>
      <c r="N478" s="38">
        <f t="shared" si="14"/>
        <v>5.21265890058017E-2</v>
      </c>
      <c r="O478" s="38">
        <f t="shared" si="15"/>
        <v>4.5514172087632185E-2</v>
      </c>
      <c r="P478" s="26"/>
      <c r="Q478" s="45"/>
      <c r="R478" s="38"/>
      <c r="S478" s="38"/>
      <c r="T478" s="38"/>
      <c r="U478" s="1" t="b">
        <v>1</v>
      </c>
      <c r="V478" s="1" t="b">
        <v>1</v>
      </c>
      <c r="W478" s="31" t="s">
        <v>1885</v>
      </c>
    </row>
    <row r="479" spans="1:23" ht="30">
      <c r="A479" s="7">
        <v>478</v>
      </c>
      <c r="B479" s="7" t="s">
        <v>1430</v>
      </c>
      <c r="C479" s="7" t="s">
        <v>56</v>
      </c>
      <c r="D479" s="7" t="s">
        <v>99</v>
      </c>
      <c r="E479" s="11">
        <v>4.5</v>
      </c>
      <c r="F479" s="7" t="s">
        <v>51</v>
      </c>
      <c r="G479" s="7" t="s">
        <v>1743</v>
      </c>
      <c r="H479" s="37">
        <f>IFERROR(VLOOKUP(C479,Fixture_Engine!$D$2:$R$21,13,FALSE),"")</f>
        <v>1.2669809751991843</v>
      </c>
      <c r="I479" s="37">
        <f>IFERROR(VLOOKUP(C479,Fixture_Engine!$D$2:$R$21,14,FALSE),"")</f>
        <v>1.0502506804949732</v>
      </c>
      <c r="J479" s="37">
        <f>IFERROR(VLOOKUP(C479,Fixture_Engine!$D$2:$R$21,15,FALSE),"")</f>
        <v>0.34985003753724808</v>
      </c>
      <c r="K479" s="13">
        <v>4.1142361271531161E-2</v>
      </c>
      <c r="L479" s="13">
        <v>5.1276821466389497E-2</v>
      </c>
      <c r="M479" s="13">
        <v>0.7651884700665188</v>
      </c>
      <c r="N479" s="38">
        <f t="shared" si="14"/>
        <v>5.21265890058017E-2</v>
      </c>
      <c r="O479" s="38">
        <f t="shared" si="15"/>
        <v>6.496675726660063E-2</v>
      </c>
      <c r="P479" s="26"/>
      <c r="Q479" s="45"/>
      <c r="R479" s="38"/>
      <c r="S479" s="38"/>
      <c r="T479" s="38"/>
      <c r="U479" s="1" t="b">
        <v>0</v>
      </c>
      <c r="V479" s="1" t="b">
        <v>1</v>
      </c>
      <c r="W479" s="31" t="s">
        <v>1885</v>
      </c>
    </row>
    <row r="480" spans="1:23" ht="30">
      <c r="A480" s="7">
        <v>479</v>
      </c>
      <c r="B480" s="7" t="s">
        <v>1432</v>
      </c>
      <c r="C480" s="7" t="s">
        <v>56</v>
      </c>
      <c r="D480" s="7" t="s">
        <v>99</v>
      </c>
      <c r="E480" s="11">
        <v>4</v>
      </c>
      <c r="F480" s="7" t="s">
        <v>51</v>
      </c>
      <c r="G480" s="7" t="s">
        <v>1743</v>
      </c>
      <c r="H480" s="37">
        <f>IFERROR(VLOOKUP(C480,Fixture_Engine!$D$2:$R$21,13,FALSE),"")</f>
        <v>1.2669809751991843</v>
      </c>
      <c r="I480" s="37">
        <f>IFERROR(VLOOKUP(C480,Fixture_Engine!$D$2:$R$21,14,FALSE),"")</f>
        <v>1.0502506804949732</v>
      </c>
      <c r="J480" s="37">
        <f>IFERROR(VLOOKUP(C480,Fixture_Engine!$D$2:$R$21,15,FALSE),"")</f>
        <v>0.34985003753724808</v>
      </c>
      <c r="K480" s="13">
        <v>4.1142361271531161E-2</v>
      </c>
      <c r="L480" s="13">
        <v>4.0513079897554365E-2</v>
      </c>
      <c r="M480" s="13">
        <v>1</v>
      </c>
      <c r="N480" s="38">
        <f t="shared" si="14"/>
        <v>5.21265890058017E-2</v>
      </c>
      <c r="O480" s="38">
        <f t="shared" si="15"/>
        <v>5.1329301476925895E-2</v>
      </c>
      <c r="P480" s="26"/>
      <c r="Q480" s="45"/>
      <c r="R480" s="38"/>
      <c r="S480" s="38"/>
      <c r="T480" s="38"/>
      <c r="U480" s="1" t="b">
        <v>0</v>
      </c>
      <c r="V480" s="1" t="b">
        <v>1</v>
      </c>
      <c r="W480" s="31" t="s">
        <v>1885</v>
      </c>
    </row>
    <row r="481" spans="1:23" ht="30">
      <c r="A481" s="7">
        <v>480</v>
      </c>
      <c r="B481" s="7" t="s">
        <v>1434</v>
      </c>
      <c r="C481" s="7" t="s">
        <v>56</v>
      </c>
      <c r="D481" s="7" t="s">
        <v>112</v>
      </c>
      <c r="E481" s="11">
        <v>8</v>
      </c>
      <c r="F481" s="7" t="s">
        <v>51</v>
      </c>
      <c r="G481" s="7" t="s">
        <v>1743</v>
      </c>
      <c r="H481" s="37">
        <f>IFERROR(VLOOKUP(C481,Fixture_Engine!$D$2:$R$21,13,FALSE),"")</f>
        <v>1.2669809751991843</v>
      </c>
      <c r="I481" s="37">
        <f>IFERROR(VLOOKUP(C481,Fixture_Engine!$D$2:$R$21,14,FALSE),"")</f>
        <v>1.0502506804949732</v>
      </c>
      <c r="J481" s="37">
        <f>IFERROR(VLOOKUP(C481,Fixture_Engine!$D$2:$R$21,15,FALSE),"")</f>
        <v>0.34985003753724808</v>
      </c>
      <c r="K481" s="13">
        <v>0.21072644470254939</v>
      </c>
      <c r="L481" s="13">
        <v>7.6308524961943777E-2</v>
      </c>
      <c r="M481" s="13">
        <v>0.31945866861741035</v>
      </c>
      <c r="N481" s="38">
        <f t="shared" si="14"/>
        <v>0.26698639640949301</v>
      </c>
      <c r="O481" s="38">
        <f t="shared" si="15"/>
        <v>9.6681449372294823E-2</v>
      </c>
      <c r="P481" s="26"/>
      <c r="Q481" s="45"/>
      <c r="R481" s="38"/>
      <c r="S481" s="38"/>
      <c r="T481" s="38"/>
      <c r="U481" s="1" t="b">
        <v>0</v>
      </c>
      <c r="V481" s="1" t="b">
        <v>1</v>
      </c>
      <c r="W481" s="31" t="s">
        <v>1885</v>
      </c>
    </row>
    <row r="482" spans="1:23" ht="30">
      <c r="A482" s="7">
        <v>481</v>
      </c>
      <c r="B482" s="7" t="s">
        <v>1242</v>
      </c>
      <c r="C482" s="7" t="s">
        <v>53</v>
      </c>
      <c r="D482" s="7" t="s">
        <v>112</v>
      </c>
      <c r="E482" s="11">
        <v>6.5</v>
      </c>
      <c r="F482" s="7" t="s">
        <v>41</v>
      </c>
      <c r="G482" s="7" t="s">
        <v>1743</v>
      </c>
      <c r="H482" s="37">
        <f>IFERROR(VLOOKUP(C482,Fixture_Engine!$D$2:$R$21,13,FALSE),"")</f>
        <v>2.1387927682342065</v>
      </c>
      <c r="I482" s="37">
        <f>IFERROR(VLOOKUP(C482,Fixture_Engine!$D$2:$R$21,14,FALSE),"")</f>
        <v>0.9191782076853533</v>
      </c>
      <c r="J482" s="37">
        <f>IFERROR(VLOOKUP(C482,Fixture_Engine!$D$2:$R$21,15,FALSE),"")</f>
        <v>0.39884667557503217</v>
      </c>
      <c r="K482" s="13">
        <v>8.2853691646338268E-2</v>
      </c>
      <c r="L482" s="13">
        <v>0.10003171270930966</v>
      </c>
      <c r="M482" s="13">
        <v>0.41159279778393354</v>
      </c>
      <c r="N482" s="38">
        <f t="shared" si="14"/>
        <v>0.17720687651469516</v>
      </c>
      <c r="O482" s="38">
        <f t="shared" si="15"/>
        <v>0.21394710373675327</v>
      </c>
      <c r="P482" s="26"/>
      <c r="Q482" s="45"/>
      <c r="R482" s="38"/>
      <c r="S482" s="38"/>
      <c r="T482" s="38"/>
      <c r="U482" s="1" t="b">
        <v>0</v>
      </c>
      <c r="V482" s="1" t="b">
        <v>1</v>
      </c>
      <c r="W482" s="31" t="s">
        <v>1885</v>
      </c>
    </row>
    <row r="483" spans="1:23" ht="30">
      <c r="A483" s="7">
        <v>482</v>
      </c>
      <c r="B483" s="7" t="s">
        <v>1437</v>
      </c>
      <c r="C483" s="7" t="s">
        <v>56</v>
      </c>
      <c r="D483" s="7" t="s">
        <v>112</v>
      </c>
      <c r="E483" s="11">
        <v>6</v>
      </c>
      <c r="F483" s="7" t="s">
        <v>51</v>
      </c>
      <c r="G483" s="7" t="s">
        <v>1743</v>
      </c>
      <c r="H483" s="37">
        <f>IFERROR(VLOOKUP(C483,Fixture_Engine!$D$2:$R$21,13,FALSE),"")</f>
        <v>1.2669809751991843</v>
      </c>
      <c r="I483" s="37">
        <f>IFERROR(VLOOKUP(C483,Fixture_Engine!$D$2:$R$21,14,FALSE),"")</f>
        <v>1.0502506804949732</v>
      </c>
      <c r="J483" s="37">
        <f>IFERROR(VLOOKUP(C483,Fixture_Engine!$D$2:$R$21,15,FALSE),"")</f>
        <v>0.34985003753724808</v>
      </c>
      <c r="K483" s="13">
        <v>0.11015813048373385</v>
      </c>
      <c r="L483" s="13">
        <v>0.10884577124094329</v>
      </c>
      <c r="M483" s="13">
        <v>0.41712473572938691</v>
      </c>
      <c r="N483" s="38">
        <f t="shared" si="14"/>
        <v>0.1395682555864001</v>
      </c>
      <c r="O483" s="38">
        <f t="shared" si="15"/>
        <v>0.13790552139315765</v>
      </c>
      <c r="P483" s="26"/>
      <c r="Q483" s="45"/>
      <c r="R483" s="38"/>
      <c r="S483" s="38"/>
      <c r="T483" s="38"/>
      <c r="U483" s="1" t="b">
        <v>0</v>
      </c>
      <c r="V483" s="1" t="b">
        <v>1</v>
      </c>
      <c r="W483" s="31" t="s">
        <v>1885</v>
      </c>
    </row>
    <row r="484" spans="1:23" ht="30">
      <c r="A484" s="7">
        <v>483</v>
      </c>
      <c r="B484" s="7" t="s">
        <v>1439</v>
      </c>
      <c r="C484" s="7" t="s">
        <v>56</v>
      </c>
      <c r="D484" s="7" t="s">
        <v>112</v>
      </c>
      <c r="E484" s="11">
        <v>5.5</v>
      </c>
      <c r="F484" s="7" t="s">
        <v>51</v>
      </c>
      <c r="G484" s="7" t="s">
        <v>1743</v>
      </c>
      <c r="H484" s="37">
        <f>IFERROR(VLOOKUP(C484,Fixture_Engine!$D$2:$R$21,13,FALSE),"")</f>
        <v>1.2669809751991843</v>
      </c>
      <c r="I484" s="37">
        <f>IFERROR(VLOOKUP(C484,Fixture_Engine!$D$2:$R$21,14,FALSE),"")</f>
        <v>1.0502506804949732</v>
      </c>
      <c r="J484" s="37">
        <f>IFERROR(VLOOKUP(C484,Fixture_Engine!$D$2:$R$21,15,FALSE),"")</f>
        <v>0.34985003753724808</v>
      </c>
      <c r="K484" s="13">
        <v>8.7828283828167875E-2</v>
      </c>
      <c r="L484" s="13">
        <v>9.3128958948072077E-2</v>
      </c>
      <c r="M484" s="13">
        <v>0.51532071988924777</v>
      </c>
      <c r="N484" s="38">
        <f t="shared" si="14"/>
        <v>0.11127676469468288</v>
      </c>
      <c r="O484" s="38">
        <f t="shared" si="15"/>
        <v>0.11799261922731316</v>
      </c>
      <c r="P484" s="26"/>
      <c r="Q484" s="45"/>
      <c r="R484" s="38"/>
      <c r="S484" s="38"/>
      <c r="T484" s="38"/>
      <c r="U484" s="1" t="b">
        <v>0</v>
      </c>
      <c r="V484" s="1" t="b">
        <v>1</v>
      </c>
      <c r="W484" s="31" t="s">
        <v>1885</v>
      </c>
    </row>
    <row r="485" spans="1:23" ht="30">
      <c r="A485" s="7">
        <v>484</v>
      </c>
      <c r="B485" s="7" t="s">
        <v>1442</v>
      </c>
      <c r="C485" s="7" t="s">
        <v>56</v>
      </c>
      <c r="D485" s="7" t="s">
        <v>112</v>
      </c>
      <c r="E485" s="11">
        <v>5.5</v>
      </c>
      <c r="F485" s="7" t="s">
        <v>51</v>
      </c>
      <c r="G485" s="7" t="s">
        <v>1743</v>
      </c>
      <c r="H485" s="37">
        <f>IFERROR(VLOOKUP(C485,Fixture_Engine!$D$2:$R$21,13,FALSE),"")</f>
        <v>1.2669809751991843</v>
      </c>
      <c r="I485" s="37">
        <f>IFERROR(VLOOKUP(C485,Fixture_Engine!$D$2:$R$21,14,FALSE),"")</f>
        <v>1.0502506804949732</v>
      </c>
      <c r="J485" s="37">
        <f>IFERROR(VLOOKUP(C485,Fixture_Engine!$D$2:$R$21,15,FALSE),"")</f>
        <v>0.34985003753724808</v>
      </c>
      <c r="K485" s="13">
        <v>9.7172298924065426E-2</v>
      </c>
      <c r="L485" s="13">
        <v>0.13614293230658203</v>
      </c>
      <c r="M485" s="13">
        <v>0.43632286995515701</v>
      </c>
      <c r="N485" s="38">
        <f t="shared" si="14"/>
        <v>0.12311545405315906</v>
      </c>
      <c r="O485" s="38">
        <f t="shared" si="15"/>
        <v>0.17249050514026984</v>
      </c>
      <c r="P485" s="26"/>
      <c r="Q485" s="45"/>
      <c r="R485" s="38"/>
      <c r="S485" s="38"/>
      <c r="T485" s="38"/>
      <c r="U485" s="1" t="b">
        <v>0</v>
      </c>
      <c r="V485" s="1" t="b">
        <v>1</v>
      </c>
      <c r="W485" s="31" t="s">
        <v>1885</v>
      </c>
    </row>
    <row r="486" spans="1:23" ht="30">
      <c r="A486" s="7">
        <v>485</v>
      </c>
      <c r="B486" s="7" t="s">
        <v>1444</v>
      </c>
      <c r="C486" s="7" t="s">
        <v>56</v>
      </c>
      <c r="D486" s="7" t="s">
        <v>112</v>
      </c>
      <c r="E486" s="11">
        <v>5.5</v>
      </c>
      <c r="F486" s="7" t="s">
        <v>51</v>
      </c>
      <c r="G486" s="7" t="s">
        <v>1743</v>
      </c>
      <c r="H486" s="37">
        <f>IFERROR(VLOOKUP(C486,Fixture_Engine!$D$2:$R$21,13,FALSE),"")</f>
        <v>1.2669809751991843</v>
      </c>
      <c r="I486" s="37">
        <f>IFERROR(VLOOKUP(C486,Fixture_Engine!$D$2:$R$21,14,FALSE),"")</f>
        <v>1.0502506804949732</v>
      </c>
      <c r="J486" s="37">
        <f>IFERROR(VLOOKUP(C486,Fixture_Engine!$D$2:$R$21,15,FALSE),"")</f>
        <v>0.34985003753724808</v>
      </c>
      <c r="K486" s="13">
        <v>9.6548505532960738E-2</v>
      </c>
      <c r="L486" s="13">
        <v>0.10508525421151002</v>
      </c>
      <c r="M486" s="13">
        <v>0.68102001291155578</v>
      </c>
      <c r="N486" s="38">
        <f t="shared" si="14"/>
        <v>0.12232511969417444</v>
      </c>
      <c r="O486" s="38">
        <f t="shared" si="15"/>
        <v>0.13314101785995316</v>
      </c>
      <c r="P486" s="26"/>
      <c r="Q486" s="45"/>
      <c r="R486" s="38"/>
      <c r="S486" s="38"/>
      <c r="T486" s="38"/>
      <c r="U486" s="1" t="b">
        <v>0</v>
      </c>
      <c r="V486" s="1" t="b">
        <v>1</v>
      </c>
      <c r="W486" s="31" t="s">
        <v>1885</v>
      </c>
    </row>
    <row r="487" spans="1:23" ht="30">
      <c r="A487" s="7">
        <v>486</v>
      </c>
      <c r="B487" s="7" t="s">
        <v>1446</v>
      </c>
      <c r="C487" s="7" t="s">
        <v>56</v>
      </c>
      <c r="D487" s="7" t="s">
        <v>112</v>
      </c>
      <c r="E487" s="11">
        <v>5.5</v>
      </c>
      <c r="F487" s="7" t="s">
        <v>51</v>
      </c>
      <c r="G487" s="7" t="s">
        <v>1743</v>
      </c>
      <c r="H487" s="37">
        <f>IFERROR(VLOOKUP(C487,Fixture_Engine!$D$2:$R$21,13,FALSE),"")</f>
        <v>1.2669809751991843</v>
      </c>
      <c r="I487" s="37">
        <f>IFERROR(VLOOKUP(C487,Fixture_Engine!$D$2:$R$21,14,FALSE),"")</f>
        <v>1.0502506804949732</v>
      </c>
      <c r="J487" s="37">
        <f>IFERROR(VLOOKUP(C487,Fixture_Engine!$D$2:$R$21,15,FALSE),"")</f>
        <v>0.34985003753724808</v>
      </c>
      <c r="K487" s="13">
        <v>9.5231927985794607E-2</v>
      </c>
      <c r="L487" s="13">
        <v>9.130235202572913E-2</v>
      </c>
      <c r="M487" s="13">
        <v>0.7987577639751553</v>
      </c>
      <c r="N487" s="38">
        <f t="shared" si="14"/>
        <v>0.12065704098954054</v>
      </c>
      <c r="O487" s="38">
        <f t="shared" si="15"/>
        <v>0.11567834300753752</v>
      </c>
      <c r="P487" s="26"/>
      <c r="Q487" s="45"/>
      <c r="R487" s="38"/>
      <c r="S487" s="38"/>
      <c r="T487" s="38"/>
      <c r="U487" s="1" t="b">
        <v>0</v>
      </c>
      <c r="V487" s="1" t="b">
        <v>1</v>
      </c>
      <c r="W487" s="31" t="s">
        <v>1885</v>
      </c>
    </row>
    <row r="488" spans="1:23" ht="30">
      <c r="A488" s="7">
        <v>487</v>
      </c>
      <c r="B488" s="7" t="s">
        <v>1448</v>
      </c>
      <c r="C488" s="7" t="s">
        <v>56</v>
      </c>
      <c r="D488" s="7" t="s">
        <v>112</v>
      </c>
      <c r="E488" s="11">
        <v>5</v>
      </c>
      <c r="F488" s="7" t="s">
        <v>51</v>
      </c>
      <c r="G488" s="7" t="s">
        <v>1743</v>
      </c>
      <c r="H488" s="37">
        <f>IFERROR(VLOOKUP(C488,Fixture_Engine!$D$2:$R$21,13,FALSE),"")</f>
        <v>1.2669809751991843</v>
      </c>
      <c r="I488" s="37">
        <f>IFERROR(VLOOKUP(C488,Fixture_Engine!$D$2:$R$21,14,FALSE),"")</f>
        <v>1.0502506804949732</v>
      </c>
      <c r="J488" s="37">
        <f>IFERROR(VLOOKUP(C488,Fixture_Engine!$D$2:$R$21,15,FALSE),"")</f>
        <v>0.34985003753724808</v>
      </c>
      <c r="K488" s="13">
        <v>0.10075559091448874</v>
      </c>
      <c r="L488" s="13">
        <v>7.0250842220367204E-2</v>
      </c>
      <c r="M488" s="13">
        <v>0.51512915129151282</v>
      </c>
      <c r="N488" s="38">
        <f t="shared" si="14"/>
        <v>0.12765541683360901</v>
      </c>
      <c r="O488" s="38">
        <f t="shared" si="15"/>
        <v>8.9006480584924871E-2</v>
      </c>
      <c r="P488" s="26"/>
      <c r="Q488" s="45"/>
      <c r="R488" s="38"/>
      <c r="S488" s="38"/>
      <c r="T488" s="38"/>
      <c r="U488" s="1" t="b">
        <v>0</v>
      </c>
      <c r="V488" s="1" t="b">
        <v>1</v>
      </c>
      <c r="W488" s="31" t="s">
        <v>1885</v>
      </c>
    </row>
    <row r="489" spans="1:23" ht="30">
      <c r="A489" s="7">
        <v>488</v>
      </c>
      <c r="B489" s="7" t="s">
        <v>418</v>
      </c>
      <c r="C489" s="7" t="s">
        <v>56</v>
      </c>
      <c r="D489" s="7" t="s">
        <v>112</v>
      </c>
      <c r="E489" s="11">
        <v>5</v>
      </c>
      <c r="F489" s="7" t="s">
        <v>51</v>
      </c>
      <c r="G489" s="7" t="s">
        <v>1743</v>
      </c>
      <c r="H489" s="37">
        <f>IFERROR(VLOOKUP(C489,Fixture_Engine!$D$2:$R$21,13,FALSE),"")</f>
        <v>1.2669809751991843</v>
      </c>
      <c r="I489" s="37">
        <f>IFERROR(VLOOKUP(C489,Fixture_Engine!$D$2:$R$21,14,FALSE),"")</f>
        <v>1.0502506804949732</v>
      </c>
      <c r="J489" s="37">
        <f>IFERROR(VLOOKUP(C489,Fixture_Engine!$D$2:$R$21,15,FALSE),"")</f>
        <v>0.34985003753724808</v>
      </c>
      <c r="K489" s="13">
        <v>6.7499330962205603E-2</v>
      </c>
      <c r="L489" s="13">
        <v>7.4647263758412352E-2</v>
      </c>
      <c r="M489" s="13">
        <v>0.39287341360234296</v>
      </c>
      <c r="N489" s="38">
        <f t="shared" si="14"/>
        <v>8.5520368167787755E-2</v>
      </c>
      <c r="O489" s="38">
        <f t="shared" si="15"/>
        <v>9.457666303258401E-2</v>
      </c>
      <c r="P489" s="26"/>
      <c r="Q489" s="45"/>
      <c r="R489" s="38"/>
      <c r="S489" s="38"/>
      <c r="T489" s="38"/>
      <c r="U489" s="1" t="b">
        <v>0</v>
      </c>
      <c r="V489" s="1" t="b">
        <v>1</v>
      </c>
      <c r="W489" s="31" t="s">
        <v>1885</v>
      </c>
    </row>
    <row r="490" spans="1:23" ht="30">
      <c r="A490" s="7">
        <v>489</v>
      </c>
      <c r="B490" s="7" t="s">
        <v>1451</v>
      </c>
      <c r="C490" s="7" t="s">
        <v>56</v>
      </c>
      <c r="D490" s="7" t="s">
        <v>112</v>
      </c>
      <c r="E490" s="11">
        <v>4.5</v>
      </c>
      <c r="F490" s="7" t="s">
        <v>51</v>
      </c>
      <c r="G490" s="7" t="s">
        <v>1743</v>
      </c>
      <c r="H490" s="37">
        <f>IFERROR(VLOOKUP(C490,Fixture_Engine!$D$2:$R$21,13,FALSE),"")</f>
        <v>1.2669809751991843</v>
      </c>
      <c r="I490" s="37">
        <f>IFERROR(VLOOKUP(C490,Fixture_Engine!$D$2:$R$21,14,FALSE),"")</f>
        <v>1.0502506804949732</v>
      </c>
      <c r="J490" s="37">
        <f>IFERROR(VLOOKUP(C490,Fixture_Engine!$D$2:$R$21,15,FALSE),"")</f>
        <v>0.34985003753724808</v>
      </c>
      <c r="K490" s="13">
        <v>9.1621615206030391E-2</v>
      </c>
      <c r="L490" s="13">
        <v>7.5175397321460821E-2</v>
      </c>
      <c r="M490" s="13">
        <v>0.66179775280898878</v>
      </c>
      <c r="N490" s="38">
        <f t="shared" si="14"/>
        <v>0.1160828433830608</v>
      </c>
      <c r="O490" s="38">
        <f t="shared" si="15"/>
        <v>9.5245798209330573E-2</v>
      </c>
      <c r="P490" s="26"/>
      <c r="Q490" s="45"/>
      <c r="R490" s="38"/>
      <c r="S490" s="38"/>
      <c r="T490" s="38"/>
      <c r="U490" s="1" t="b">
        <v>0</v>
      </c>
      <c r="V490" s="1" t="b">
        <v>1</v>
      </c>
      <c r="W490" s="31" t="s">
        <v>1885</v>
      </c>
    </row>
    <row r="491" spans="1:23" ht="30">
      <c r="A491" s="7">
        <v>490</v>
      </c>
      <c r="B491" s="7" t="s">
        <v>1454</v>
      </c>
      <c r="C491" s="7" t="s">
        <v>56</v>
      </c>
      <c r="D491" s="7" t="s">
        <v>167</v>
      </c>
      <c r="E491" s="11">
        <v>6</v>
      </c>
      <c r="F491" s="7" t="s">
        <v>51</v>
      </c>
      <c r="G491" s="7" t="s">
        <v>1743</v>
      </c>
      <c r="H491" s="37">
        <f>IFERROR(VLOOKUP(C491,Fixture_Engine!$D$2:$R$21,13,FALSE),"")</f>
        <v>1.2669809751991843</v>
      </c>
      <c r="I491" s="37">
        <f>IFERROR(VLOOKUP(C491,Fixture_Engine!$D$2:$R$21,14,FALSE),"")</f>
        <v>1.0502506804949732</v>
      </c>
      <c r="J491" s="37">
        <f>IFERROR(VLOOKUP(C491,Fixture_Engine!$D$2:$R$21,15,FALSE),"")</f>
        <v>0.34985003753724808</v>
      </c>
      <c r="K491" s="13">
        <v>0.32645872281501015</v>
      </c>
      <c r="L491" s="13">
        <v>3.385430262467358E-2</v>
      </c>
      <c r="M491" s="13">
        <v>0.57468354430379742</v>
      </c>
      <c r="N491" s="38">
        <f t="shared" si="14"/>
        <v>0.41361699099444177</v>
      </c>
      <c r="O491" s="38">
        <f t="shared" si="15"/>
        <v>4.2892757354097234E-2</v>
      </c>
      <c r="P491" s="26"/>
      <c r="Q491" s="45"/>
      <c r="R491" s="38"/>
      <c r="S491" s="38"/>
      <c r="T491" s="38"/>
      <c r="U491" s="1" t="b">
        <v>0</v>
      </c>
      <c r="V491" s="1" t="b">
        <v>1</v>
      </c>
      <c r="W491" s="31" t="s">
        <v>1885</v>
      </c>
    </row>
    <row r="492" spans="1:23" ht="30">
      <c r="A492" s="7">
        <v>491</v>
      </c>
      <c r="B492" s="7" t="s">
        <v>1456</v>
      </c>
      <c r="C492" s="7" t="s">
        <v>56</v>
      </c>
      <c r="D492" s="7" t="s">
        <v>167</v>
      </c>
      <c r="E492" s="11">
        <v>6</v>
      </c>
      <c r="F492" s="7" t="s">
        <v>51</v>
      </c>
      <c r="G492" s="7" t="s">
        <v>1743</v>
      </c>
      <c r="H492" s="37">
        <f>IFERROR(VLOOKUP(C492,Fixture_Engine!$D$2:$R$21,13,FALSE),"")</f>
        <v>1.2669809751991843</v>
      </c>
      <c r="I492" s="37">
        <f>IFERROR(VLOOKUP(C492,Fixture_Engine!$D$2:$R$21,14,FALSE),"")</f>
        <v>1.0502506804949732</v>
      </c>
      <c r="J492" s="37">
        <f>IFERROR(VLOOKUP(C492,Fixture_Engine!$D$2:$R$21,15,FALSE),"")</f>
        <v>0.34985003753724808</v>
      </c>
      <c r="K492" s="13">
        <v>0.24538720158195315</v>
      </c>
      <c r="L492" s="13">
        <v>4.0258235604094618E-2</v>
      </c>
      <c r="M492" s="13">
        <v>0.37330701488004858</v>
      </c>
      <c r="N492" s="38">
        <f t="shared" si="14"/>
        <v>0.31090091596170183</v>
      </c>
      <c r="O492" s="38">
        <f t="shared" si="15"/>
        <v>5.1006418605474321E-2</v>
      </c>
      <c r="P492" s="26"/>
      <c r="Q492" s="45"/>
      <c r="R492" s="38"/>
      <c r="S492" s="38"/>
      <c r="T492" s="38"/>
      <c r="U492" s="1" t="b">
        <v>0</v>
      </c>
      <c r="V492" s="1" t="b">
        <v>1</v>
      </c>
      <c r="W492" s="31" t="s">
        <v>1885</v>
      </c>
    </row>
    <row r="493" spans="1:23" ht="30">
      <c r="A493" s="7">
        <v>492</v>
      </c>
      <c r="B493" s="7" t="s">
        <v>1458</v>
      </c>
      <c r="C493" s="7" t="s">
        <v>56</v>
      </c>
      <c r="D493" s="7" t="s">
        <v>167</v>
      </c>
      <c r="E493" s="11">
        <v>5.5</v>
      </c>
      <c r="F493" s="7" t="s">
        <v>51</v>
      </c>
      <c r="G493" s="7" t="s">
        <v>1743</v>
      </c>
      <c r="H493" s="37">
        <f>IFERROR(VLOOKUP(C493,Fixture_Engine!$D$2:$R$21,13,FALSE),"")</f>
        <v>1.2669809751991843</v>
      </c>
      <c r="I493" s="37">
        <f>IFERROR(VLOOKUP(C493,Fixture_Engine!$D$2:$R$21,14,FALSE),"")</f>
        <v>1.0502506804949732</v>
      </c>
      <c r="J493" s="37">
        <f>IFERROR(VLOOKUP(C493,Fixture_Engine!$D$2:$R$21,15,FALSE),"")</f>
        <v>0.34985003753724808</v>
      </c>
      <c r="K493" s="13">
        <v>0.38207891035417474</v>
      </c>
      <c r="L493" s="13">
        <v>6.2611818906200933E-2</v>
      </c>
      <c r="M493" s="13">
        <v>0.70810810810810809</v>
      </c>
      <c r="N493" s="38">
        <f t="shared" si="14"/>
        <v>0.48408671044357404</v>
      </c>
      <c r="O493" s="38">
        <f t="shared" si="15"/>
        <v>7.9327983376773187E-2</v>
      </c>
      <c r="P493" s="26"/>
      <c r="Q493" s="45"/>
      <c r="R493" s="38"/>
      <c r="S493" s="38"/>
      <c r="T493" s="38"/>
      <c r="U493" s="1" t="b">
        <v>0</v>
      </c>
      <c r="V493" s="1" t="b">
        <v>1</v>
      </c>
      <c r="W493" s="31" t="s">
        <v>1885</v>
      </c>
    </row>
    <row r="494" spans="1:23" ht="30">
      <c r="A494" s="7">
        <v>493</v>
      </c>
      <c r="B494" s="7" t="s">
        <v>1461</v>
      </c>
      <c r="C494" s="7" t="s">
        <v>56</v>
      </c>
      <c r="D494" s="7" t="s">
        <v>167</v>
      </c>
      <c r="E494" s="11">
        <v>5.5</v>
      </c>
      <c r="F494" s="7" t="s">
        <v>51</v>
      </c>
      <c r="G494" s="7" t="s">
        <v>1743</v>
      </c>
      <c r="H494" s="37">
        <f>IFERROR(VLOOKUP(C494,Fixture_Engine!$D$2:$R$21,13,FALSE),"")</f>
        <v>1.2669809751991843</v>
      </c>
      <c r="I494" s="37">
        <f>IFERROR(VLOOKUP(C494,Fixture_Engine!$D$2:$R$21,14,FALSE),"")</f>
        <v>1.0502506804949732</v>
      </c>
      <c r="J494" s="37">
        <f>IFERROR(VLOOKUP(C494,Fixture_Engine!$D$2:$R$21,15,FALSE),"")</f>
        <v>0.34985003753724808</v>
      </c>
      <c r="K494" s="13">
        <v>0.30924524332504388</v>
      </c>
      <c r="L494" s="13">
        <v>3.7599374808018449E-2</v>
      </c>
      <c r="M494" s="13">
        <v>0.92644628099173554</v>
      </c>
      <c r="N494" s="38">
        <f t="shared" si="14"/>
        <v>0.39180783996367313</v>
      </c>
      <c r="O494" s="38">
        <f t="shared" si="15"/>
        <v>4.7637692561142857E-2</v>
      </c>
      <c r="P494" s="26"/>
      <c r="Q494" s="45"/>
      <c r="R494" s="38"/>
      <c r="S494" s="38"/>
      <c r="T494" s="38"/>
      <c r="U494" s="1" t="b">
        <v>0</v>
      </c>
      <c r="V494" s="1" t="b">
        <v>1</v>
      </c>
      <c r="W494" s="31" t="s">
        <v>1885</v>
      </c>
    </row>
    <row r="495" spans="1:23" ht="30">
      <c r="A495" s="7">
        <v>494</v>
      </c>
      <c r="B495" s="7" t="s">
        <v>1471</v>
      </c>
      <c r="C495" s="7" t="s">
        <v>57</v>
      </c>
      <c r="D495" s="7" t="s">
        <v>85</v>
      </c>
      <c r="E495" s="11">
        <v>4.5</v>
      </c>
      <c r="F495" s="7" t="s">
        <v>42</v>
      </c>
      <c r="G495" s="7" t="s">
        <v>1742</v>
      </c>
      <c r="H495" s="37">
        <f>IFERROR(VLOOKUP(C495,Fixture_Engine!$D$2:$R$21,13,FALSE),"")</f>
        <v>1.2818599603231151</v>
      </c>
      <c r="I495" s="37">
        <f>IFERROR(VLOOKUP(C495,Fixture_Engine!$D$2:$R$21,14,FALSE),"")</f>
        <v>1.3720338233100562</v>
      </c>
      <c r="J495" s="37">
        <f>IFERROR(VLOOKUP(C495,Fixture_Engine!$D$2:$R$21,15,FALSE),"")</f>
        <v>0.25359067608785163</v>
      </c>
      <c r="K495" s="13">
        <v>1.6719534964712218E-4</v>
      </c>
      <c r="L495" s="13">
        <v>1.2663223310260575E-3</v>
      </c>
      <c r="M495" s="13">
        <v>0.26385224274406327</v>
      </c>
      <c r="N495" s="38">
        <f t="shared" si="14"/>
        <v>2.1432102426486939E-4</v>
      </c>
      <c r="O495" s="38">
        <f t="shared" si="15"/>
        <v>1.6232478930053367E-3</v>
      </c>
      <c r="P495" s="26"/>
      <c r="Q495" s="45"/>
      <c r="R495" s="38"/>
      <c r="S495" s="38"/>
      <c r="T495" s="38"/>
      <c r="U495" s="1" t="b">
        <v>0</v>
      </c>
      <c r="V495" s="1" t="b">
        <v>0</v>
      </c>
      <c r="W495" s="31" t="s">
        <v>1885</v>
      </c>
    </row>
    <row r="496" spans="1:23" ht="30">
      <c r="A496" s="7">
        <v>495</v>
      </c>
      <c r="B496" s="7" t="s">
        <v>1473</v>
      </c>
      <c r="C496" s="7" t="s">
        <v>57</v>
      </c>
      <c r="D496" s="7" t="s">
        <v>85</v>
      </c>
      <c r="E496" s="11">
        <v>4</v>
      </c>
      <c r="F496" s="7" t="s">
        <v>42</v>
      </c>
      <c r="G496" s="7" t="s">
        <v>1742</v>
      </c>
      <c r="H496" s="37">
        <f>IFERROR(VLOOKUP(C496,Fixture_Engine!$D$2:$R$21,13,FALSE),"")</f>
        <v>1.2818599603231151</v>
      </c>
      <c r="I496" s="37">
        <f>IFERROR(VLOOKUP(C496,Fixture_Engine!$D$2:$R$21,14,FALSE),"")</f>
        <v>1.3720338233100562</v>
      </c>
      <c r="J496" s="37">
        <f>IFERROR(VLOOKUP(C496,Fixture_Engine!$D$2:$R$21,15,FALSE),"")</f>
        <v>0.25359067608785163</v>
      </c>
      <c r="K496" s="13">
        <v>1.6719534964712218E-4</v>
      </c>
      <c r="L496" s="13">
        <v>1.379361634588758E-3</v>
      </c>
      <c r="M496" s="13">
        <v>1</v>
      </c>
      <c r="N496" s="38">
        <f t="shared" si="14"/>
        <v>2.1432102426486939E-4</v>
      </c>
      <c r="O496" s="38">
        <f t="shared" si="15"/>
        <v>1.7681484501851725E-3</v>
      </c>
      <c r="P496" s="26"/>
      <c r="Q496" s="45"/>
      <c r="R496" s="38"/>
      <c r="S496" s="38"/>
      <c r="T496" s="38"/>
      <c r="U496" s="1" t="b">
        <v>0</v>
      </c>
      <c r="V496" s="1" t="b">
        <v>1</v>
      </c>
      <c r="W496" s="31" t="s">
        <v>1885</v>
      </c>
    </row>
    <row r="497" spans="1:23" ht="30">
      <c r="A497" s="7">
        <v>496</v>
      </c>
      <c r="B497" s="7" t="s">
        <v>1476</v>
      </c>
      <c r="C497" s="7" t="s">
        <v>57</v>
      </c>
      <c r="D497" s="7" t="s">
        <v>85</v>
      </c>
      <c r="E497" s="11">
        <v>4.5</v>
      </c>
      <c r="F497" s="7" t="s">
        <v>42</v>
      </c>
      <c r="G497" s="7" t="s">
        <v>1742</v>
      </c>
      <c r="H497" s="37">
        <f>IFERROR(VLOOKUP(C497,Fixture_Engine!$D$2:$R$21,13,FALSE),"")</f>
        <v>1.2818599603231151</v>
      </c>
      <c r="I497" s="37">
        <f>IFERROR(VLOOKUP(C497,Fixture_Engine!$D$2:$R$21,14,FALSE),"")</f>
        <v>1.3720338233100562</v>
      </c>
      <c r="J497" s="37">
        <f>IFERROR(VLOOKUP(C497,Fixture_Engine!$D$2:$R$21,15,FALSE),"")</f>
        <v>0.25359067608785163</v>
      </c>
      <c r="K497" s="13">
        <v>1.6719534964712218E-4</v>
      </c>
      <c r="L497" s="13">
        <v>1.379361634588758E-3</v>
      </c>
      <c r="M497" s="13">
        <v>0.61349693251533743</v>
      </c>
      <c r="N497" s="38">
        <f t="shared" si="14"/>
        <v>2.1432102426486939E-4</v>
      </c>
      <c r="O497" s="38">
        <f t="shared" si="15"/>
        <v>1.7681484501851725E-3</v>
      </c>
      <c r="P497" s="26"/>
      <c r="Q497" s="45"/>
      <c r="R497" s="38"/>
      <c r="S497" s="38"/>
      <c r="T497" s="38"/>
      <c r="U497" s="1" t="b">
        <v>0</v>
      </c>
      <c r="V497" s="1" t="b">
        <v>1</v>
      </c>
      <c r="W497" s="31" t="s">
        <v>1885</v>
      </c>
    </row>
    <row r="498" spans="1:23" ht="30">
      <c r="A498" s="7">
        <v>497</v>
      </c>
      <c r="B498" s="7" t="s">
        <v>1479</v>
      </c>
      <c r="C498" s="7" t="s">
        <v>57</v>
      </c>
      <c r="D498" s="7" t="s">
        <v>85</v>
      </c>
      <c r="E498" s="11">
        <v>4</v>
      </c>
      <c r="F498" s="7" t="s">
        <v>42</v>
      </c>
      <c r="G498" s="7" t="s">
        <v>1742</v>
      </c>
      <c r="H498" s="37">
        <f>IFERROR(VLOOKUP(C498,Fixture_Engine!$D$2:$R$21,13,FALSE),"")</f>
        <v>1.2818599603231151</v>
      </c>
      <c r="I498" s="37">
        <f>IFERROR(VLOOKUP(C498,Fixture_Engine!$D$2:$R$21,14,FALSE),"")</f>
        <v>1.3720338233100562</v>
      </c>
      <c r="J498" s="37">
        <f>IFERROR(VLOOKUP(C498,Fixture_Engine!$D$2:$R$21,15,FALSE),"")</f>
        <v>0.25359067608785163</v>
      </c>
      <c r="K498" s="13">
        <v>1.6719534964712218E-4</v>
      </c>
      <c r="L498" s="13">
        <v>1.3515557013923135E-3</v>
      </c>
      <c r="M498" s="13">
        <v>0.35481927710843375</v>
      </c>
      <c r="N498" s="38">
        <f t="shared" si="14"/>
        <v>2.1432102426486939E-4</v>
      </c>
      <c r="O498" s="38">
        <f t="shared" si="15"/>
        <v>1.7325051377612311E-3</v>
      </c>
      <c r="P498" s="26"/>
      <c r="Q498" s="45"/>
      <c r="R498" s="38"/>
      <c r="S498" s="38"/>
      <c r="T498" s="38"/>
      <c r="U498" s="1" t="b">
        <v>0</v>
      </c>
      <c r="V498" s="1" t="b">
        <v>1</v>
      </c>
      <c r="W498" s="31" t="s">
        <v>1885</v>
      </c>
    </row>
    <row r="499" spans="1:23" ht="30">
      <c r="A499" s="7">
        <v>498</v>
      </c>
      <c r="B499" s="7" t="s">
        <v>1481</v>
      </c>
      <c r="C499" s="7" t="s">
        <v>57</v>
      </c>
      <c r="D499" s="7" t="s">
        <v>99</v>
      </c>
      <c r="E499" s="11">
        <v>6</v>
      </c>
      <c r="F499" s="7" t="s">
        <v>42</v>
      </c>
      <c r="G499" s="7" t="s">
        <v>1742</v>
      </c>
      <c r="H499" s="37">
        <f>IFERROR(VLOOKUP(C499,Fixture_Engine!$D$2:$R$21,13,FALSE),"")</f>
        <v>1.2818599603231151</v>
      </c>
      <c r="I499" s="37">
        <f>IFERROR(VLOOKUP(C499,Fixture_Engine!$D$2:$R$21,14,FALSE),"")</f>
        <v>1.3720338233100562</v>
      </c>
      <c r="J499" s="37">
        <f>IFERROR(VLOOKUP(C499,Fixture_Engine!$D$2:$R$21,15,FALSE),"")</f>
        <v>0.25359067608785163</v>
      </c>
      <c r="K499" s="13">
        <v>3.1083704312727764E-2</v>
      </c>
      <c r="L499" s="13">
        <v>6.5801947588255624E-2</v>
      </c>
      <c r="M499" s="13">
        <v>0.34822761194029861</v>
      </c>
      <c r="N499" s="38">
        <f t="shared" si="14"/>
        <v>3.9844955977008656E-2</v>
      </c>
      <c r="O499" s="38">
        <f t="shared" si="15"/>
        <v>8.4348881924665053E-2</v>
      </c>
      <c r="P499" s="26"/>
      <c r="Q499" s="45"/>
      <c r="R499" s="38"/>
      <c r="S499" s="38"/>
      <c r="T499" s="38"/>
      <c r="U499" s="1" t="b">
        <v>0</v>
      </c>
      <c r="V499" s="1" t="b">
        <v>1</v>
      </c>
      <c r="W499" s="31" t="s">
        <v>1885</v>
      </c>
    </row>
    <row r="500" spans="1:23" ht="30">
      <c r="A500" s="7">
        <v>499</v>
      </c>
      <c r="B500" s="7" t="s">
        <v>1483</v>
      </c>
      <c r="C500" s="7" t="s">
        <v>57</v>
      </c>
      <c r="D500" s="7" t="s">
        <v>99</v>
      </c>
      <c r="E500" s="11">
        <v>5.5</v>
      </c>
      <c r="F500" s="7" t="s">
        <v>42</v>
      </c>
      <c r="G500" s="7" t="s">
        <v>1742</v>
      </c>
      <c r="H500" s="37">
        <f>IFERROR(VLOOKUP(C500,Fixture_Engine!$D$2:$R$21,13,FALSE),"")</f>
        <v>1.2818599603231151</v>
      </c>
      <c r="I500" s="37">
        <f>IFERROR(VLOOKUP(C500,Fixture_Engine!$D$2:$R$21,14,FALSE),"")</f>
        <v>1.3720338233100562</v>
      </c>
      <c r="J500" s="37">
        <f>IFERROR(VLOOKUP(C500,Fixture_Engine!$D$2:$R$21,15,FALSE),"")</f>
        <v>0.25359067608785163</v>
      </c>
      <c r="K500" s="13">
        <v>3.4515518394814433E-2</v>
      </c>
      <c r="L500" s="13">
        <v>0.10918747163130883</v>
      </c>
      <c r="M500" s="13">
        <v>0.26364355391510674</v>
      </c>
      <c r="N500" s="38">
        <f t="shared" si="14"/>
        <v>4.4244061040108577E-2</v>
      </c>
      <c r="O500" s="38">
        <f t="shared" si="15"/>
        <v>0.13996304805309079</v>
      </c>
      <c r="P500" s="26"/>
      <c r="Q500" s="45"/>
      <c r="R500" s="38"/>
      <c r="S500" s="38"/>
      <c r="T500" s="38"/>
      <c r="U500" s="1" t="b">
        <v>0</v>
      </c>
      <c r="V500" s="1" t="b">
        <v>0</v>
      </c>
      <c r="W500" s="31" t="s">
        <v>1885</v>
      </c>
    </row>
    <row r="501" spans="1:23" ht="30">
      <c r="A501" s="7">
        <v>500</v>
      </c>
      <c r="B501" s="7" t="s">
        <v>1485</v>
      </c>
      <c r="C501" s="7" t="s">
        <v>57</v>
      </c>
      <c r="D501" s="7" t="s">
        <v>99</v>
      </c>
      <c r="E501" s="11">
        <v>5</v>
      </c>
      <c r="F501" s="7" t="s">
        <v>42</v>
      </c>
      <c r="G501" s="7" t="s">
        <v>1742</v>
      </c>
      <c r="H501" s="37">
        <f>IFERROR(VLOOKUP(C501,Fixture_Engine!$D$2:$R$21,13,FALSE),"")</f>
        <v>1.2818599603231151</v>
      </c>
      <c r="I501" s="37">
        <f>IFERROR(VLOOKUP(C501,Fixture_Engine!$D$2:$R$21,14,FALSE),"")</f>
        <v>1.3720338233100562</v>
      </c>
      <c r="J501" s="37">
        <f>IFERROR(VLOOKUP(C501,Fixture_Engine!$D$2:$R$21,15,FALSE),"")</f>
        <v>0.25359067608785163</v>
      </c>
      <c r="K501" s="13">
        <v>5.5764155200951952E-2</v>
      </c>
      <c r="L501" s="13">
        <v>5.1372631543239587E-2</v>
      </c>
      <c r="M501" s="13">
        <v>0.34855350296270482</v>
      </c>
      <c r="N501" s="38">
        <f t="shared" si="14"/>
        <v>7.1481837773344298E-2</v>
      </c>
      <c r="O501" s="38">
        <f t="shared" si="15"/>
        <v>6.585251943171111E-2</v>
      </c>
      <c r="P501" s="26"/>
      <c r="Q501" s="45"/>
      <c r="R501" s="38"/>
      <c r="S501" s="38"/>
      <c r="T501" s="38"/>
      <c r="U501" s="1" t="b">
        <v>0</v>
      </c>
      <c r="V501" s="1" t="b">
        <v>0</v>
      </c>
      <c r="W501" s="31" t="s">
        <v>1885</v>
      </c>
    </row>
    <row r="502" spans="1:23" ht="30">
      <c r="A502" s="7">
        <v>501</v>
      </c>
      <c r="B502" s="7" t="s">
        <v>1488</v>
      </c>
      <c r="C502" s="7" t="s">
        <v>57</v>
      </c>
      <c r="D502" s="7" t="s">
        <v>99</v>
      </c>
      <c r="E502" s="11">
        <v>5</v>
      </c>
      <c r="F502" s="7" t="s">
        <v>42</v>
      </c>
      <c r="G502" s="7" t="s">
        <v>1742</v>
      </c>
      <c r="H502" s="37">
        <f>IFERROR(VLOOKUP(C502,Fixture_Engine!$D$2:$R$21,13,FALSE),"")</f>
        <v>1.2818599603231151</v>
      </c>
      <c r="I502" s="37">
        <f>IFERROR(VLOOKUP(C502,Fixture_Engine!$D$2:$R$21,14,FALSE),"")</f>
        <v>1.3720338233100562</v>
      </c>
      <c r="J502" s="37">
        <f>IFERROR(VLOOKUP(C502,Fixture_Engine!$D$2:$R$21,15,FALSE),"")</f>
        <v>0.25359067608785163</v>
      </c>
      <c r="K502" s="13">
        <v>3.7827385002624017E-2</v>
      </c>
      <c r="L502" s="13">
        <v>2.5895170710146392E-2</v>
      </c>
      <c r="M502" s="13">
        <v>0.40176777822418641</v>
      </c>
      <c r="N502" s="38">
        <f t="shared" si="14"/>
        <v>4.8489410238590824E-2</v>
      </c>
      <c r="O502" s="38">
        <f t="shared" si="15"/>
        <v>3.3193982499068547E-2</v>
      </c>
      <c r="P502" s="26"/>
      <c r="Q502" s="45"/>
      <c r="R502" s="38"/>
      <c r="S502" s="38"/>
      <c r="T502" s="38"/>
      <c r="U502" s="1" t="b">
        <v>0</v>
      </c>
      <c r="V502" s="1" t="b">
        <v>0</v>
      </c>
      <c r="W502" s="31" t="s">
        <v>1885</v>
      </c>
    </row>
    <row r="503" spans="1:23" ht="30">
      <c r="A503" s="7">
        <v>502</v>
      </c>
      <c r="B503" s="7" t="s">
        <v>1490</v>
      </c>
      <c r="C503" s="7" t="s">
        <v>57</v>
      </c>
      <c r="D503" s="7" t="s">
        <v>99</v>
      </c>
      <c r="E503" s="11">
        <v>4.5</v>
      </c>
      <c r="F503" s="7" t="s">
        <v>42</v>
      </c>
      <c r="G503" s="7" t="s">
        <v>1742</v>
      </c>
      <c r="H503" s="37">
        <f>IFERROR(VLOOKUP(C503,Fixture_Engine!$D$2:$R$21,13,FALSE),"")</f>
        <v>1.2818599603231151</v>
      </c>
      <c r="I503" s="37">
        <f>IFERROR(VLOOKUP(C503,Fixture_Engine!$D$2:$R$21,14,FALSE),"")</f>
        <v>1.3720338233100562</v>
      </c>
      <c r="J503" s="37">
        <f>IFERROR(VLOOKUP(C503,Fixture_Engine!$D$2:$R$21,15,FALSE),"")</f>
        <v>0.25359067608785163</v>
      </c>
      <c r="K503" s="13">
        <v>4.6418823261954983E-2</v>
      </c>
      <c r="L503" s="13">
        <v>5.2648617893083768E-2</v>
      </c>
      <c r="M503" s="13">
        <v>0.54260969976905316</v>
      </c>
      <c r="N503" s="38">
        <f t="shared" si="14"/>
        <v>5.9502430944815304E-2</v>
      </c>
      <c r="O503" s="38">
        <f t="shared" si="15"/>
        <v>6.7488155243495204E-2</v>
      </c>
      <c r="P503" s="26"/>
      <c r="Q503" s="45"/>
      <c r="R503" s="38"/>
      <c r="S503" s="38"/>
      <c r="T503" s="38"/>
      <c r="U503" s="1" t="b">
        <v>0</v>
      </c>
      <c r="V503" s="1" t="b">
        <v>1</v>
      </c>
      <c r="W503" s="31" t="s">
        <v>1885</v>
      </c>
    </row>
    <row r="504" spans="1:23" ht="30">
      <c r="A504" s="7">
        <v>503</v>
      </c>
      <c r="B504" s="7" t="s">
        <v>1492</v>
      </c>
      <c r="C504" s="7" t="s">
        <v>57</v>
      </c>
      <c r="D504" s="7" t="s">
        <v>99</v>
      </c>
      <c r="E504" s="11">
        <v>5</v>
      </c>
      <c r="F504" s="7" t="s">
        <v>42</v>
      </c>
      <c r="G504" s="7" t="s">
        <v>1742</v>
      </c>
      <c r="H504" s="37">
        <f>IFERROR(VLOOKUP(C504,Fixture_Engine!$D$2:$R$21,13,FALSE),"")</f>
        <v>1.2818599603231151</v>
      </c>
      <c r="I504" s="37">
        <f>IFERROR(VLOOKUP(C504,Fixture_Engine!$D$2:$R$21,14,FALSE),"")</f>
        <v>1.3720338233100562</v>
      </c>
      <c r="J504" s="37">
        <f>IFERROR(VLOOKUP(C504,Fixture_Engine!$D$2:$R$21,15,FALSE),"")</f>
        <v>0.25359067608785163</v>
      </c>
      <c r="K504" s="13">
        <v>6.9847156959052512E-2</v>
      </c>
      <c r="L504" s="13">
        <v>1.8065597598998853E-2</v>
      </c>
      <c r="M504" s="13">
        <v>0.24746349913387777</v>
      </c>
      <c r="N504" s="38">
        <f t="shared" si="14"/>
        <v>8.9534273848213441E-2</v>
      </c>
      <c r="O504" s="38">
        <f t="shared" si="15"/>
        <v>2.3157566221466034E-2</v>
      </c>
      <c r="P504" s="26"/>
      <c r="Q504" s="45"/>
      <c r="R504" s="38"/>
      <c r="S504" s="38"/>
      <c r="T504" s="38"/>
      <c r="U504" s="1" t="b">
        <v>0</v>
      </c>
      <c r="V504" s="1" t="b">
        <v>0</v>
      </c>
      <c r="W504" s="31" t="s">
        <v>1885</v>
      </c>
    </row>
    <row r="505" spans="1:23" ht="30">
      <c r="A505" s="7">
        <v>504</v>
      </c>
      <c r="B505" s="7" t="s">
        <v>504</v>
      </c>
      <c r="C505" s="7" t="s">
        <v>43</v>
      </c>
      <c r="D505" s="7" t="s">
        <v>99</v>
      </c>
      <c r="E505" s="11">
        <v>5</v>
      </c>
      <c r="F505" s="7" t="s">
        <v>40</v>
      </c>
      <c r="G505" s="7" t="s">
        <v>1743</v>
      </c>
      <c r="H505" s="37">
        <f>IFERROR(VLOOKUP(C505,Fixture_Engine!$D$2:$R$21,13,FALSE),"")</f>
        <v>1.452548189055803</v>
      </c>
      <c r="I505" s="37">
        <f>IFERROR(VLOOKUP(C505,Fixture_Engine!$D$2:$R$21,14,FALSE),"")</f>
        <v>1.2147039153583923</v>
      </c>
      <c r="J505" s="37">
        <f>IFERROR(VLOOKUP(C505,Fixture_Engine!$D$2:$R$21,15,FALSE),"")</f>
        <v>0.29679787857927975</v>
      </c>
      <c r="K505" s="13">
        <v>4.1142361271531161E-2</v>
      </c>
      <c r="L505" s="13">
        <v>4.0513079897554365E-2</v>
      </c>
      <c r="M505" s="13">
        <v>1</v>
      </c>
      <c r="N505" s="38">
        <f t="shared" si="14"/>
        <v>5.9761262358442188E-2</v>
      </c>
      <c r="O505" s="38">
        <f t="shared" si="15"/>
        <v>5.8847200838265647E-2</v>
      </c>
      <c r="P505" s="26"/>
      <c r="Q505" s="45"/>
      <c r="R505" s="38"/>
      <c r="S505" s="38"/>
      <c r="T505" s="38"/>
      <c r="U505" s="1" t="b">
        <v>0</v>
      </c>
      <c r="V505" s="1" t="b">
        <v>1</v>
      </c>
      <c r="W505" s="31" t="s">
        <v>1885</v>
      </c>
    </row>
    <row r="506" spans="1:23" ht="30">
      <c r="A506" s="7">
        <v>505</v>
      </c>
      <c r="B506" s="7" t="s">
        <v>1494</v>
      </c>
      <c r="C506" s="7" t="s">
        <v>57</v>
      </c>
      <c r="D506" s="7" t="s">
        <v>99</v>
      </c>
      <c r="E506" s="11">
        <v>4.5</v>
      </c>
      <c r="F506" s="7" t="s">
        <v>42</v>
      </c>
      <c r="G506" s="7" t="s">
        <v>1742</v>
      </c>
      <c r="H506" s="37">
        <f>IFERROR(VLOOKUP(C506,Fixture_Engine!$D$2:$R$21,13,FALSE),"")</f>
        <v>1.2818599603231151</v>
      </c>
      <c r="I506" s="37">
        <f>IFERROR(VLOOKUP(C506,Fixture_Engine!$D$2:$R$21,14,FALSE),"")</f>
        <v>1.3720338233100562</v>
      </c>
      <c r="J506" s="37">
        <f>IFERROR(VLOOKUP(C506,Fixture_Engine!$D$2:$R$21,15,FALSE),"")</f>
        <v>0.25359067608785163</v>
      </c>
      <c r="K506" s="13">
        <v>3.8731505828642557E-2</v>
      </c>
      <c r="L506" s="13">
        <v>6.292163984832877E-2</v>
      </c>
      <c r="M506" s="13">
        <v>0.32797638570022958</v>
      </c>
      <c r="N506" s="38">
        <f t="shared" si="14"/>
        <v>4.964836652475825E-2</v>
      </c>
      <c r="O506" s="38">
        <f t="shared" si="15"/>
        <v>8.0656730759444059E-2</v>
      </c>
      <c r="P506" s="26"/>
      <c r="Q506" s="45"/>
      <c r="R506" s="38"/>
      <c r="S506" s="38"/>
      <c r="T506" s="38"/>
      <c r="U506" s="1" t="b">
        <v>0</v>
      </c>
      <c r="V506" s="1" t="b">
        <v>0</v>
      </c>
      <c r="W506" s="31" t="s">
        <v>1885</v>
      </c>
    </row>
    <row r="507" spans="1:23" ht="30">
      <c r="A507" s="7">
        <v>506</v>
      </c>
      <c r="B507" s="7" t="s">
        <v>1497</v>
      </c>
      <c r="C507" s="7" t="s">
        <v>57</v>
      </c>
      <c r="D507" s="7" t="s">
        <v>99</v>
      </c>
      <c r="E507" s="11">
        <v>4.5</v>
      </c>
      <c r="F507" s="7" t="s">
        <v>42</v>
      </c>
      <c r="G507" s="7" t="s">
        <v>1742</v>
      </c>
      <c r="H507" s="37">
        <f>IFERROR(VLOOKUP(C507,Fixture_Engine!$D$2:$R$21,13,FALSE),"")</f>
        <v>1.2818599603231151</v>
      </c>
      <c r="I507" s="37">
        <f>IFERROR(VLOOKUP(C507,Fixture_Engine!$D$2:$R$21,14,FALSE),"")</f>
        <v>1.3720338233100562</v>
      </c>
      <c r="J507" s="37">
        <f>IFERROR(VLOOKUP(C507,Fixture_Engine!$D$2:$R$21,15,FALSE),"")</f>
        <v>0.25359067608785163</v>
      </c>
      <c r="K507" s="13">
        <v>2.4210861358257459E-2</v>
      </c>
      <c r="L507" s="13">
        <v>4.3714381112442982E-2</v>
      </c>
      <c r="M507" s="13">
        <v>0.42826552462526768</v>
      </c>
      <c r="N507" s="38">
        <f t="shared" si="14"/>
        <v>3.1034933780084345E-2</v>
      </c>
      <c r="O507" s="38">
        <f t="shared" si="15"/>
        <v>5.6035714838345692E-2</v>
      </c>
      <c r="P507" s="26"/>
      <c r="Q507" s="45"/>
      <c r="R507" s="38"/>
      <c r="S507" s="38"/>
      <c r="T507" s="38"/>
      <c r="U507" s="1" t="b">
        <v>0</v>
      </c>
      <c r="V507" s="1" t="b">
        <v>0</v>
      </c>
      <c r="W507" s="31" t="s">
        <v>1885</v>
      </c>
    </row>
    <row r="508" spans="1:23" ht="30">
      <c r="A508" s="7">
        <v>507</v>
      </c>
      <c r="B508" s="7" t="s">
        <v>869</v>
      </c>
      <c r="C508" s="7" t="s">
        <v>57</v>
      </c>
      <c r="D508" s="7" t="s">
        <v>99</v>
      </c>
      <c r="E508" s="11">
        <v>4.5</v>
      </c>
      <c r="F508" s="7" t="s">
        <v>42</v>
      </c>
      <c r="G508" s="7" t="s">
        <v>1742</v>
      </c>
      <c r="H508" s="37">
        <f>IFERROR(VLOOKUP(C508,Fixture_Engine!$D$2:$R$21,13,FALSE),"")</f>
        <v>1.2818599603231151</v>
      </c>
      <c r="I508" s="37">
        <f>IFERROR(VLOOKUP(C508,Fixture_Engine!$D$2:$R$21,14,FALSE),"")</f>
        <v>1.3720338233100562</v>
      </c>
      <c r="J508" s="37">
        <f>IFERROR(VLOOKUP(C508,Fixture_Engine!$D$2:$R$21,15,FALSE),"")</f>
        <v>0.25359067608785163</v>
      </c>
      <c r="K508" s="13">
        <v>4.1142361271531161E-2</v>
      </c>
      <c r="L508" s="13">
        <v>4.0513079897554365E-2</v>
      </c>
      <c r="M508" s="13">
        <v>1</v>
      </c>
      <c r="N508" s="38">
        <f t="shared" si="14"/>
        <v>5.27387455871242E-2</v>
      </c>
      <c r="O508" s="38">
        <f t="shared" si="15"/>
        <v>5.1932094990046231E-2</v>
      </c>
      <c r="P508" s="26"/>
      <c r="Q508" s="45"/>
      <c r="R508" s="38"/>
      <c r="S508" s="38"/>
      <c r="T508" s="38"/>
      <c r="U508" s="1" t="b">
        <v>0</v>
      </c>
      <c r="V508" s="1" t="b">
        <v>1</v>
      </c>
      <c r="W508" s="31" t="s">
        <v>1885</v>
      </c>
    </row>
    <row r="509" spans="1:23" ht="30">
      <c r="A509" s="7">
        <v>508</v>
      </c>
      <c r="B509" s="7" t="s">
        <v>1091</v>
      </c>
      <c r="C509" s="7" t="s">
        <v>57</v>
      </c>
      <c r="D509" s="7" t="s">
        <v>99</v>
      </c>
      <c r="E509" s="11">
        <v>4</v>
      </c>
      <c r="F509" s="7" t="s">
        <v>42</v>
      </c>
      <c r="G509" s="7" t="s">
        <v>1742</v>
      </c>
      <c r="H509" s="37">
        <f>IFERROR(VLOOKUP(C509,Fixture_Engine!$D$2:$R$21,13,FALSE),"")</f>
        <v>1.2818599603231151</v>
      </c>
      <c r="I509" s="37">
        <f>IFERROR(VLOOKUP(C509,Fixture_Engine!$D$2:$R$21,14,FALSE),"")</f>
        <v>1.3720338233100562</v>
      </c>
      <c r="J509" s="37">
        <f>IFERROR(VLOOKUP(C509,Fixture_Engine!$D$2:$R$21,15,FALSE),"")</f>
        <v>0.25359067608785163</v>
      </c>
      <c r="K509" s="13">
        <v>7.3096268724939406E-2</v>
      </c>
      <c r="L509" s="13">
        <v>4.0931408360523211E-2</v>
      </c>
      <c r="M509" s="13">
        <v>0.88028169014084512</v>
      </c>
      <c r="N509" s="38">
        <f t="shared" si="14"/>
        <v>9.3699180127518586E-2</v>
      </c>
      <c r="O509" s="38">
        <f t="shared" si="15"/>
        <v>5.2468333496989504E-2</v>
      </c>
      <c r="P509" s="26"/>
      <c r="Q509" s="45"/>
      <c r="R509" s="38"/>
      <c r="S509" s="38"/>
      <c r="T509" s="38"/>
      <c r="U509" s="1" t="b">
        <v>0</v>
      </c>
      <c r="V509" s="1" t="b">
        <v>1</v>
      </c>
      <c r="W509" s="31" t="s">
        <v>1885</v>
      </c>
    </row>
    <row r="510" spans="1:23" ht="30">
      <c r="A510" s="7">
        <v>509</v>
      </c>
      <c r="B510" s="7" t="s">
        <v>1503</v>
      </c>
      <c r="C510" s="7" t="s">
        <v>57</v>
      </c>
      <c r="D510" s="7" t="s">
        <v>99</v>
      </c>
      <c r="E510" s="11">
        <v>4</v>
      </c>
      <c r="F510" s="7" t="s">
        <v>42</v>
      </c>
      <c r="G510" s="7" t="s">
        <v>1742</v>
      </c>
      <c r="H510" s="37">
        <f>IFERROR(VLOOKUP(C510,Fixture_Engine!$D$2:$R$21,13,FALSE),"")</f>
        <v>1.2818599603231151</v>
      </c>
      <c r="I510" s="37">
        <f>IFERROR(VLOOKUP(C510,Fixture_Engine!$D$2:$R$21,14,FALSE),"")</f>
        <v>1.3720338233100562</v>
      </c>
      <c r="J510" s="37">
        <f>IFERROR(VLOOKUP(C510,Fixture_Engine!$D$2:$R$21,15,FALSE),"")</f>
        <v>0.25359067608785163</v>
      </c>
      <c r="K510" s="13">
        <v>4.1142361271531161E-2</v>
      </c>
      <c r="L510" s="13">
        <v>4.0513079897554365E-2</v>
      </c>
      <c r="M510" s="13">
        <v>0.99900099900099903</v>
      </c>
      <c r="N510" s="38">
        <f t="shared" si="14"/>
        <v>5.27387455871242E-2</v>
      </c>
      <c r="O510" s="38">
        <f t="shared" si="15"/>
        <v>5.1932094990046231E-2</v>
      </c>
      <c r="P510" s="26"/>
      <c r="Q510" s="45"/>
      <c r="R510" s="38"/>
      <c r="S510" s="38"/>
      <c r="T510" s="38"/>
      <c r="U510" s="1" t="b">
        <v>0</v>
      </c>
      <c r="V510" s="1" t="b">
        <v>1</v>
      </c>
      <c r="W510" s="31" t="s">
        <v>1885</v>
      </c>
    </row>
    <row r="511" spans="1:23" ht="30">
      <c r="A511" s="7">
        <v>510</v>
      </c>
      <c r="B511" s="7" t="s">
        <v>1505</v>
      </c>
      <c r="C511" s="7" t="s">
        <v>57</v>
      </c>
      <c r="D511" s="7" t="s">
        <v>99</v>
      </c>
      <c r="E511" s="11">
        <v>4</v>
      </c>
      <c r="F511" s="7" t="s">
        <v>42</v>
      </c>
      <c r="G511" s="7" t="s">
        <v>1742</v>
      </c>
      <c r="H511" s="37">
        <f>IFERROR(VLOOKUP(C511,Fixture_Engine!$D$2:$R$21,13,FALSE),"")</f>
        <v>1.2818599603231151</v>
      </c>
      <c r="I511" s="37">
        <f>IFERROR(VLOOKUP(C511,Fixture_Engine!$D$2:$R$21,14,FALSE),"")</f>
        <v>1.3720338233100562</v>
      </c>
      <c r="J511" s="37">
        <f>IFERROR(VLOOKUP(C511,Fixture_Engine!$D$2:$R$21,15,FALSE),"")</f>
        <v>0.25359067608785163</v>
      </c>
      <c r="K511" s="13">
        <v>4.1142361271531161E-2</v>
      </c>
      <c r="L511" s="13">
        <v>4.0513079897554365E-2</v>
      </c>
      <c r="M511" s="13">
        <v>0.99900099900099903</v>
      </c>
      <c r="N511" s="38">
        <f t="shared" si="14"/>
        <v>5.27387455871242E-2</v>
      </c>
      <c r="O511" s="38">
        <f t="shared" si="15"/>
        <v>5.1932094990046231E-2</v>
      </c>
      <c r="P511" s="26"/>
      <c r="Q511" s="45"/>
      <c r="R511" s="38"/>
      <c r="S511" s="38"/>
      <c r="T511" s="38"/>
      <c r="U511" s="1" t="b">
        <v>0</v>
      </c>
      <c r="V511" s="1" t="b">
        <v>1</v>
      </c>
      <c r="W511" s="31" t="s">
        <v>1885</v>
      </c>
    </row>
    <row r="512" spans="1:23" ht="30">
      <c r="A512" s="7">
        <v>511</v>
      </c>
      <c r="B512" s="7" t="s">
        <v>1507</v>
      </c>
      <c r="C512" s="7" t="s">
        <v>57</v>
      </c>
      <c r="D512" s="7" t="s">
        <v>99</v>
      </c>
      <c r="E512" s="11">
        <v>4</v>
      </c>
      <c r="F512" s="7" t="s">
        <v>42</v>
      </c>
      <c r="G512" s="7" t="s">
        <v>1742</v>
      </c>
      <c r="H512" s="37">
        <f>IFERROR(VLOOKUP(C512,Fixture_Engine!$D$2:$R$21,13,FALSE),"")</f>
        <v>1.2818599603231151</v>
      </c>
      <c r="I512" s="37">
        <f>IFERROR(VLOOKUP(C512,Fixture_Engine!$D$2:$R$21,14,FALSE),"")</f>
        <v>1.3720338233100562</v>
      </c>
      <c r="J512" s="37">
        <f>IFERROR(VLOOKUP(C512,Fixture_Engine!$D$2:$R$21,15,FALSE),"")</f>
        <v>0.25359067608785163</v>
      </c>
      <c r="K512" s="13">
        <v>3.752395908190119E-2</v>
      </c>
      <c r="L512" s="13">
        <v>3.7721611118699094E-2</v>
      </c>
      <c r="M512" s="13">
        <v>0.87565674255691772</v>
      </c>
      <c r="N512" s="38">
        <f t="shared" si="14"/>
        <v>4.8100460699892052E-2</v>
      </c>
      <c r="O512" s="38">
        <f t="shared" si="15"/>
        <v>4.83538229319396E-2</v>
      </c>
      <c r="P512" s="26"/>
      <c r="Q512" s="45"/>
      <c r="R512" s="38"/>
      <c r="S512" s="38"/>
      <c r="T512" s="38"/>
      <c r="U512" s="1" t="b">
        <v>0</v>
      </c>
      <c r="V512" s="1" t="b">
        <v>1</v>
      </c>
      <c r="W512" s="31" t="s">
        <v>1885</v>
      </c>
    </row>
    <row r="513" spans="1:23" ht="30">
      <c r="A513" s="7">
        <v>512</v>
      </c>
      <c r="B513" s="7" t="s">
        <v>1510</v>
      </c>
      <c r="C513" s="7" t="s">
        <v>57</v>
      </c>
      <c r="D513" s="7" t="s">
        <v>112</v>
      </c>
      <c r="E513" s="11">
        <v>6.5</v>
      </c>
      <c r="F513" s="7" t="s">
        <v>42</v>
      </c>
      <c r="G513" s="7" t="s">
        <v>1742</v>
      </c>
      <c r="H513" s="37">
        <f>IFERROR(VLOOKUP(C513,Fixture_Engine!$D$2:$R$21,13,FALSE),"")</f>
        <v>1.2818599603231151</v>
      </c>
      <c r="I513" s="37">
        <f>IFERROR(VLOOKUP(C513,Fixture_Engine!$D$2:$R$21,14,FALSE),"")</f>
        <v>1.3720338233100562</v>
      </c>
      <c r="J513" s="37">
        <f>IFERROR(VLOOKUP(C513,Fixture_Engine!$D$2:$R$21,15,FALSE),"")</f>
        <v>0.25359067608785163</v>
      </c>
      <c r="K513" s="13">
        <v>0.10717075385490248</v>
      </c>
      <c r="L513" s="13">
        <v>0.11688192188144461</v>
      </c>
      <c r="M513" s="13">
        <v>0.39447731755424065</v>
      </c>
      <c r="N513" s="38">
        <f t="shared" si="14"/>
        <v>0.13737789828424363</v>
      </c>
      <c r="O513" s="38">
        <f t="shared" si="15"/>
        <v>0.14982625574543804</v>
      </c>
      <c r="P513" s="26"/>
      <c r="Q513" s="45"/>
      <c r="R513" s="38"/>
      <c r="S513" s="38"/>
      <c r="T513" s="38"/>
      <c r="U513" s="1" t="b">
        <v>1</v>
      </c>
      <c r="V513" s="1" t="b">
        <v>0</v>
      </c>
      <c r="W513" s="31" t="s">
        <v>1885</v>
      </c>
    </row>
    <row r="514" spans="1:23" ht="30">
      <c r="A514" s="7">
        <v>513</v>
      </c>
      <c r="B514" s="7" t="s">
        <v>1512</v>
      </c>
      <c r="C514" s="7" t="s">
        <v>57</v>
      </c>
      <c r="D514" s="7" t="s">
        <v>112</v>
      </c>
      <c r="E514" s="11">
        <v>6</v>
      </c>
      <c r="F514" s="7" t="s">
        <v>42</v>
      </c>
      <c r="G514" s="7" t="s">
        <v>1742</v>
      </c>
      <c r="H514" s="37">
        <f>IFERROR(VLOOKUP(C514,Fixture_Engine!$D$2:$R$21,13,FALSE),"")</f>
        <v>1.2818599603231151</v>
      </c>
      <c r="I514" s="37">
        <f>IFERROR(VLOOKUP(C514,Fixture_Engine!$D$2:$R$21,14,FALSE),"")</f>
        <v>1.3720338233100562</v>
      </c>
      <c r="J514" s="37">
        <f>IFERROR(VLOOKUP(C514,Fixture_Engine!$D$2:$R$21,15,FALSE),"")</f>
        <v>0.25359067608785163</v>
      </c>
      <c r="K514" s="13">
        <v>0.13438218457305343</v>
      </c>
      <c r="L514" s="13">
        <v>0.15268135128120208</v>
      </c>
      <c r="M514" s="13">
        <v>0.36403349108117944</v>
      </c>
      <c r="N514" s="38">
        <f t="shared" ref="N514:N568" si="16">IF(OR(H514="",K514=""),"",H514*K514)</f>
        <v>0.17225914178494781</v>
      </c>
      <c r="O514" s="38">
        <f t="shared" ref="O514:O568" si="17">IF(OR(H514="",L514=""),"",H514*L514)</f>
        <v>0.19571611089540131</v>
      </c>
      <c r="P514" s="26"/>
      <c r="Q514" s="45"/>
      <c r="R514" s="38"/>
      <c r="S514" s="38"/>
      <c r="T514" s="38"/>
      <c r="U514" s="1" t="b">
        <v>0</v>
      </c>
      <c r="V514" s="1" t="b">
        <v>0</v>
      </c>
      <c r="W514" s="31" t="s">
        <v>1885</v>
      </c>
    </row>
    <row r="515" spans="1:23" ht="30">
      <c r="A515" s="7">
        <v>514</v>
      </c>
      <c r="B515" s="7" t="s">
        <v>1514</v>
      </c>
      <c r="C515" s="7" t="s">
        <v>57</v>
      </c>
      <c r="D515" s="7" t="s">
        <v>112</v>
      </c>
      <c r="E515" s="11">
        <v>6</v>
      </c>
      <c r="F515" s="7" t="s">
        <v>42</v>
      </c>
      <c r="G515" s="7" t="s">
        <v>1742</v>
      </c>
      <c r="H515" s="37">
        <f>IFERROR(VLOOKUP(C515,Fixture_Engine!$D$2:$R$21,13,FALSE),"")</f>
        <v>1.2818599603231151</v>
      </c>
      <c r="I515" s="37">
        <f>IFERROR(VLOOKUP(C515,Fixture_Engine!$D$2:$R$21,14,FALSE),"")</f>
        <v>1.3720338233100562</v>
      </c>
      <c r="J515" s="37">
        <f>IFERROR(VLOOKUP(C515,Fixture_Engine!$D$2:$R$21,15,FALSE),"")</f>
        <v>0.25359067608785163</v>
      </c>
      <c r="K515" s="13">
        <v>0.13654792674472055</v>
      </c>
      <c r="L515" s="13">
        <v>0.12768023649077212</v>
      </c>
      <c r="M515" s="13">
        <v>0.42844901456726647</v>
      </c>
      <c r="N515" s="38">
        <f t="shared" si="16"/>
        <v>0.17503531995919111</v>
      </c>
      <c r="O515" s="38">
        <f t="shared" si="17"/>
        <v>0.1636681828821071</v>
      </c>
      <c r="P515" s="26"/>
      <c r="Q515" s="45"/>
      <c r="R515" s="38"/>
      <c r="S515" s="38"/>
      <c r="T515" s="38"/>
      <c r="U515" s="1" t="b">
        <v>0</v>
      </c>
      <c r="V515" s="1" t="b">
        <v>0</v>
      </c>
      <c r="W515" s="31" t="s">
        <v>1885</v>
      </c>
    </row>
    <row r="516" spans="1:23" ht="30">
      <c r="A516" s="7">
        <v>515</v>
      </c>
      <c r="B516" s="7" t="s">
        <v>1516</v>
      </c>
      <c r="C516" s="7" t="s">
        <v>57</v>
      </c>
      <c r="D516" s="7" t="s">
        <v>112</v>
      </c>
      <c r="E516" s="11">
        <v>6.5</v>
      </c>
      <c r="F516" s="7" t="s">
        <v>42</v>
      </c>
      <c r="G516" s="7" t="s">
        <v>1742</v>
      </c>
      <c r="H516" s="37">
        <f>IFERROR(VLOOKUP(C516,Fixture_Engine!$D$2:$R$21,13,FALSE),"")</f>
        <v>1.2818599603231151</v>
      </c>
      <c r="I516" s="37">
        <f>IFERROR(VLOOKUP(C516,Fixture_Engine!$D$2:$R$21,14,FALSE),"")</f>
        <v>1.3720338233100562</v>
      </c>
      <c r="J516" s="37">
        <f>IFERROR(VLOOKUP(C516,Fixture_Engine!$D$2:$R$21,15,FALSE),"")</f>
        <v>0.25359067608785163</v>
      </c>
      <c r="K516" s="13">
        <v>0.12134706094988179</v>
      </c>
      <c r="L516" s="13">
        <v>9.223469242694593E-2</v>
      </c>
      <c r="M516" s="13">
        <v>0.96711798839458418</v>
      </c>
      <c r="N516" s="38">
        <f t="shared" si="16"/>
        <v>0.15554993873454209</v>
      </c>
      <c r="O516" s="38">
        <f t="shared" si="17"/>
        <v>0.11823195917481964</v>
      </c>
      <c r="P516" s="26"/>
      <c r="Q516" s="45"/>
      <c r="R516" s="38"/>
      <c r="S516" s="38"/>
      <c r="T516" s="38"/>
      <c r="U516" s="1" t="b">
        <v>0</v>
      </c>
      <c r="V516" s="1" t="b">
        <v>1</v>
      </c>
      <c r="W516" s="31" t="s">
        <v>1885</v>
      </c>
    </row>
    <row r="517" spans="1:23" ht="30">
      <c r="A517" s="7">
        <v>516</v>
      </c>
      <c r="B517" s="7" t="s">
        <v>1518</v>
      </c>
      <c r="C517" s="7" t="s">
        <v>57</v>
      </c>
      <c r="D517" s="7" t="s">
        <v>112</v>
      </c>
      <c r="E517" s="11">
        <v>5.5</v>
      </c>
      <c r="F517" s="7" t="s">
        <v>42</v>
      </c>
      <c r="G517" s="7" t="s">
        <v>1742</v>
      </c>
      <c r="H517" s="37">
        <f>IFERROR(VLOOKUP(C517,Fixture_Engine!$D$2:$R$21,13,FALSE),"")</f>
        <v>1.2818599603231151</v>
      </c>
      <c r="I517" s="37">
        <f>IFERROR(VLOOKUP(C517,Fixture_Engine!$D$2:$R$21,14,FALSE),"")</f>
        <v>1.3720338233100562</v>
      </c>
      <c r="J517" s="37">
        <f>IFERROR(VLOOKUP(C517,Fixture_Engine!$D$2:$R$21,15,FALSE),"")</f>
        <v>0.25359067608785163</v>
      </c>
      <c r="K517" s="13">
        <v>5.8707590632700611E-2</v>
      </c>
      <c r="L517" s="13">
        <v>5.6271066656063226E-2</v>
      </c>
      <c r="M517" s="13">
        <v>0.34722222222222221</v>
      </c>
      <c r="N517" s="38">
        <f t="shared" si="16"/>
        <v>7.5254909799099295E-2</v>
      </c>
      <c r="O517" s="38">
        <f t="shared" si="17"/>
        <v>7.2131627271080578E-2</v>
      </c>
      <c r="P517" s="26"/>
      <c r="Q517" s="45"/>
      <c r="R517" s="38"/>
      <c r="S517" s="38"/>
      <c r="T517" s="38"/>
      <c r="U517" s="1" t="b">
        <v>0</v>
      </c>
      <c r="V517" s="1" t="b">
        <v>0</v>
      </c>
      <c r="W517" s="31" t="s">
        <v>1885</v>
      </c>
    </row>
    <row r="518" spans="1:23" ht="30">
      <c r="A518" s="7">
        <v>517</v>
      </c>
      <c r="B518" s="7" t="s">
        <v>1520</v>
      </c>
      <c r="C518" s="7" t="s">
        <v>57</v>
      </c>
      <c r="D518" s="7" t="s">
        <v>112</v>
      </c>
      <c r="E518" s="11">
        <v>5.5</v>
      </c>
      <c r="F518" s="7" t="s">
        <v>42</v>
      </c>
      <c r="G518" s="7" t="s">
        <v>1742</v>
      </c>
      <c r="H518" s="37">
        <f>IFERROR(VLOOKUP(C518,Fixture_Engine!$D$2:$R$21,13,FALSE),"")</f>
        <v>1.2818599603231151</v>
      </c>
      <c r="I518" s="37">
        <f>IFERROR(VLOOKUP(C518,Fixture_Engine!$D$2:$R$21,14,FALSE),"")</f>
        <v>1.3720338233100562</v>
      </c>
      <c r="J518" s="37">
        <f>IFERROR(VLOOKUP(C518,Fixture_Engine!$D$2:$R$21,15,FALSE),"")</f>
        <v>0.25359067608785163</v>
      </c>
      <c r="K518" s="13">
        <v>0.13776767800313272</v>
      </c>
      <c r="L518" s="13">
        <v>9.8222957388165361E-2</v>
      </c>
      <c r="M518" s="13">
        <v>0.50709939148073024</v>
      </c>
      <c r="N518" s="38">
        <f t="shared" si="16"/>
        <v>0.17659887025890342</v>
      </c>
      <c r="O518" s="38">
        <f t="shared" si="17"/>
        <v>0.12590807626041267</v>
      </c>
      <c r="P518" s="26"/>
      <c r="Q518" s="45"/>
      <c r="R518" s="38"/>
      <c r="S518" s="38"/>
      <c r="T518" s="38"/>
      <c r="U518" s="1" t="b">
        <v>0</v>
      </c>
      <c r="V518" s="1" t="b">
        <v>0</v>
      </c>
      <c r="W518" s="31" t="s">
        <v>1885</v>
      </c>
    </row>
    <row r="519" spans="1:23" ht="30">
      <c r="A519" s="7">
        <v>518</v>
      </c>
      <c r="B519" s="7" t="s">
        <v>1522</v>
      </c>
      <c r="C519" s="7" t="s">
        <v>57</v>
      </c>
      <c r="D519" s="7" t="s">
        <v>112</v>
      </c>
      <c r="E519" s="11">
        <v>5</v>
      </c>
      <c r="F519" s="7" t="s">
        <v>42</v>
      </c>
      <c r="G519" s="7" t="s">
        <v>1742</v>
      </c>
      <c r="H519" s="37">
        <f>IFERROR(VLOOKUP(C519,Fixture_Engine!$D$2:$R$21,13,FALSE),"")</f>
        <v>1.2818599603231151</v>
      </c>
      <c r="I519" s="37">
        <f>IFERROR(VLOOKUP(C519,Fixture_Engine!$D$2:$R$21,14,FALSE),"")</f>
        <v>1.3720338233100562</v>
      </c>
      <c r="J519" s="37">
        <f>IFERROR(VLOOKUP(C519,Fixture_Engine!$D$2:$R$21,15,FALSE),"")</f>
        <v>0.25359067608785163</v>
      </c>
      <c r="K519" s="13">
        <v>0.10338478267260376</v>
      </c>
      <c r="L519" s="13">
        <v>7.7531688429422985E-2</v>
      </c>
      <c r="M519" s="13">
        <v>0.41876046901172526</v>
      </c>
      <c r="N519" s="38">
        <f t="shared" si="16"/>
        <v>0.13252481341471772</v>
      </c>
      <c r="O519" s="38">
        <f t="shared" si="17"/>
        <v>9.9384767053924267E-2</v>
      </c>
      <c r="P519" s="26"/>
      <c r="Q519" s="45"/>
      <c r="R519" s="38"/>
      <c r="S519" s="38"/>
      <c r="T519" s="38"/>
      <c r="U519" s="1" t="b">
        <v>0</v>
      </c>
      <c r="V519" s="1" t="b">
        <v>0</v>
      </c>
      <c r="W519" s="31" t="s">
        <v>1885</v>
      </c>
    </row>
    <row r="520" spans="1:23" ht="30">
      <c r="A520" s="7">
        <v>519</v>
      </c>
      <c r="B520" s="7" t="s">
        <v>1525</v>
      </c>
      <c r="C520" s="7" t="s">
        <v>57</v>
      </c>
      <c r="D520" s="7" t="s">
        <v>112</v>
      </c>
      <c r="E520" s="11">
        <v>5.5</v>
      </c>
      <c r="F520" s="7" t="s">
        <v>42</v>
      </c>
      <c r="G520" s="7" t="s">
        <v>1742</v>
      </c>
      <c r="H520" s="37">
        <f>IFERROR(VLOOKUP(C520,Fixture_Engine!$D$2:$R$21,13,FALSE),"")</f>
        <v>1.2818599603231151</v>
      </c>
      <c r="I520" s="37">
        <f>IFERROR(VLOOKUP(C520,Fixture_Engine!$D$2:$R$21,14,FALSE),"")</f>
        <v>1.3720338233100562</v>
      </c>
      <c r="J520" s="37">
        <f>IFERROR(VLOOKUP(C520,Fixture_Engine!$D$2:$R$21,15,FALSE),"")</f>
        <v>0.25359067608785163</v>
      </c>
      <c r="K520" s="13">
        <v>9.742687174630224E-2</v>
      </c>
      <c r="L520" s="13">
        <v>6.8754316064801688E-2</v>
      </c>
      <c r="M520" s="13">
        <v>0.45808520384791573</v>
      </c>
      <c r="N520" s="38">
        <f t="shared" si="16"/>
        <v>0.12488760595112021</v>
      </c>
      <c r="O520" s="38">
        <f t="shared" si="17"/>
        <v>8.8133404862869608E-2</v>
      </c>
      <c r="P520" s="26"/>
      <c r="Q520" s="45"/>
      <c r="R520" s="38"/>
      <c r="S520" s="38"/>
      <c r="T520" s="38"/>
      <c r="U520" s="1" t="b">
        <v>0</v>
      </c>
      <c r="V520" s="1" t="b">
        <v>0</v>
      </c>
      <c r="W520" s="31" t="s">
        <v>1885</v>
      </c>
    </row>
    <row r="521" spans="1:23" ht="30">
      <c r="A521" s="7">
        <v>520</v>
      </c>
      <c r="B521" s="7" t="s">
        <v>1528</v>
      </c>
      <c r="C521" s="7" t="s">
        <v>57</v>
      </c>
      <c r="D521" s="7" t="s">
        <v>112</v>
      </c>
      <c r="E521" s="11">
        <v>5.5</v>
      </c>
      <c r="F521" s="7" t="s">
        <v>42</v>
      </c>
      <c r="G521" s="7" t="s">
        <v>1742</v>
      </c>
      <c r="H521" s="37">
        <f>IFERROR(VLOOKUP(C521,Fixture_Engine!$D$2:$R$21,13,FALSE),"")</f>
        <v>1.2818599603231151</v>
      </c>
      <c r="I521" s="37">
        <f>IFERROR(VLOOKUP(C521,Fixture_Engine!$D$2:$R$21,14,FALSE),"")</f>
        <v>1.3720338233100562</v>
      </c>
      <c r="J521" s="37">
        <f>IFERROR(VLOOKUP(C521,Fixture_Engine!$D$2:$R$21,15,FALSE),"")</f>
        <v>0.25359067608785163</v>
      </c>
      <c r="K521" s="13">
        <v>0.10878918722362034</v>
      </c>
      <c r="L521" s="13">
        <v>6.4964538091796462E-2</v>
      </c>
      <c r="M521" s="13">
        <v>0.51150895140664954</v>
      </c>
      <c r="N521" s="38">
        <f t="shared" si="16"/>
        <v>0.13945250321805391</v>
      </c>
      <c r="O521" s="38">
        <f t="shared" si="17"/>
        <v>8.3275440220759708E-2</v>
      </c>
      <c r="P521" s="26"/>
      <c r="Q521" s="45"/>
      <c r="R521" s="38"/>
      <c r="S521" s="38"/>
      <c r="T521" s="38"/>
      <c r="U521" s="1" t="b">
        <v>0</v>
      </c>
      <c r="V521" s="1" t="b">
        <v>0</v>
      </c>
      <c r="W521" s="31" t="s">
        <v>1885</v>
      </c>
    </row>
    <row r="522" spans="1:23" ht="30">
      <c r="A522" s="7">
        <v>521</v>
      </c>
      <c r="B522" s="7" t="s">
        <v>1530</v>
      </c>
      <c r="C522" s="7" t="s">
        <v>57</v>
      </c>
      <c r="D522" s="7" t="s">
        <v>112</v>
      </c>
      <c r="E522" s="11">
        <v>6.5</v>
      </c>
      <c r="F522" s="7" t="s">
        <v>42</v>
      </c>
      <c r="G522" s="7" t="s">
        <v>1742</v>
      </c>
      <c r="H522" s="37">
        <f>IFERROR(VLOOKUP(C522,Fixture_Engine!$D$2:$R$21,13,FALSE),"")</f>
        <v>1.2818599603231151</v>
      </c>
      <c r="I522" s="37">
        <f>IFERROR(VLOOKUP(C522,Fixture_Engine!$D$2:$R$21,14,FALSE),"")</f>
        <v>1.3720338233100562</v>
      </c>
      <c r="J522" s="37">
        <f>IFERROR(VLOOKUP(C522,Fixture_Engine!$D$2:$R$21,15,FALSE),"")</f>
        <v>0.25359067608785163</v>
      </c>
      <c r="K522" s="13">
        <v>0.10751786102217777</v>
      </c>
      <c r="L522" s="13">
        <v>9.0240671969462088E-2</v>
      </c>
      <c r="M522" s="13">
        <v>1</v>
      </c>
      <c r="N522" s="38">
        <f t="shared" si="16"/>
        <v>0.13782284106391499</v>
      </c>
      <c r="O522" s="38">
        <f t="shared" si="17"/>
        <v>0.11567590419030592</v>
      </c>
      <c r="P522" s="26"/>
      <c r="Q522" s="45"/>
      <c r="R522" s="38"/>
      <c r="S522" s="38"/>
      <c r="T522" s="38"/>
      <c r="U522" s="1" t="b">
        <v>0</v>
      </c>
      <c r="V522" s="1" t="b">
        <v>1</v>
      </c>
      <c r="W522" s="31" t="s">
        <v>1885</v>
      </c>
    </row>
    <row r="523" spans="1:23" ht="30">
      <c r="A523" s="7">
        <v>522</v>
      </c>
      <c r="B523" s="7" t="s">
        <v>1532</v>
      </c>
      <c r="C523" s="7" t="s">
        <v>57</v>
      </c>
      <c r="D523" s="7" t="s">
        <v>112</v>
      </c>
      <c r="E523" s="11">
        <v>5</v>
      </c>
      <c r="F523" s="7" t="s">
        <v>42</v>
      </c>
      <c r="G523" s="7" t="s">
        <v>1742</v>
      </c>
      <c r="H523" s="37">
        <f>IFERROR(VLOOKUP(C523,Fixture_Engine!$D$2:$R$21,13,FALSE),"")</f>
        <v>1.2818599603231151</v>
      </c>
      <c r="I523" s="37">
        <f>IFERROR(VLOOKUP(C523,Fixture_Engine!$D$2:$R$21,14,FALSE),"")</f>
        <v>1.3720338233100562</v>
      </c>
      <c r="J523" s="37">
        <f>IFERROR(VLOOKUP(C523,Fixture_Engine!$D$2:$R$21,15,FALSE),"")</f>
        <v>0.25359067608785163</v>
      </c>
      <c r="K523" s="13">
        <v>9.5413946184612616E-2</v>
      </c>
      <c r="L523" s="13">
        <v>8.1155674613299117E-2</v>
      </c>
      <c r="M523" s="13">
        <v>0.40469445568595708</v>
      </c>
      <c r="N523" s="38">
        <f t="shared" si="16"/>
        <v>0.12230731727047937</v>
      </c>
      <c r="O523" s="38">
        <f t="shared" si="17"/>
        <v>0.10403020983979924</v>
      </c>
      <c r="P523" s="26"/>
      <c r="Q523" s="45"/>
      <c r="R523" s="38"/>
      <c r="S523" s="38"/>
      <c r="T523" s="38"/>
      <c r="U523" s="1" t="b">
        <v>0</v>
      </c>
      <c r="V523" s="1" t="b">
        <v>0</v>
      </c>
      <c r="W523" s="31" t="s">
        <v>1885</v>
      </c>
    </row>
    <row r="524" spans="1:23" ht="30">
      <c r="A524" s="7">
        <v>523</v>
      </c>
      <c r="B524" s="7" t="s">
        <v>1534</v>
      </c>
      <c r="C524" s="7" t="s">
        <v>57</v>
      </c>
      <c r="D524" s="7" t="s">
        <v>112</v>
      </c>
      <c r="E524" s="11">
        <v>5</v>
      </c>
      <c r="F524" s="7" t="s">
        <v>42</v>
      </c>
      <c r="G524" s="7" t="s">
        <v>1742</v>
      </c>
      <c r="H524" s="37">
        <f>IFERROR(VLOOKUP(C524,Fixture_Engine!$D$2:$R$21,13,FALSE),"")</f>
        <v>1.2818599603231151</v>
      </c>
      <c r="I524" s="37">
        <f>IFERROR(VLOOKUP(C524,Fixture_Engine!$D$2:$R$21,14,FALSE),"")</f>
        <v>1.3720338233100562</v>
      </c>
      <c r="J524" s="37">
        <f>IFERROR(VLOOKUP(C524,Fixture_Engine!$D$2:$R$21,15,FALSE),"")</f>
        <v>0.25359067608785163</v>
      </c>
      <c r="K524" s="13">
        <v>0.10751786102217777</v>
      </c>
      <c r="L524" s="13">
        <v>9.0240671969462088E-2</v>
      </c>
      <c r="M524" s="13">
        <v>1</v>
      </c>
      <c r="N524" s="38">
        <f t="shared" si="16"/>
        <v>0.13782284106391499</v>
      </c>
      <c r="O524" s="38">
        <f t="shared" si="17"/>
        <v>0.11567590419030592</v>
      </c>
      <c r="P524" s="26"/>
      <c r="Q524" s="45"/>
      <c r="R524" s="38"/>
      <c r="S524" s="38"/>
      <c r="T524" s="38"/>
      <c r="U524" s="1" t="b">
        <v>0</v>
      </c>
      <c r="V524" s="1" t="b">
        <v>1</v>
      </c>
      <c r="W524" s="31" t="s">
        <v>1885</v>
      </c>
    </row>
    <row r="525" spans="1:23" ht="30">
      <c r="A525" s="7">
        <v>524</v>
      </c>
      <c r="B525" s="7" t="s">
        <v>1537</v>
      </c>
      <c r="C525" s="7" t="s">
        <v>57</v>
      </c>
      <c r="D525" s="7" t="s">
        <v>112</v>
      </c>
      <c r="E525" s="11">
        <v>4.5</v>
      </c>
      <c r="F525" s="7" t="s">
        <v>42</v>
      </c>
      <c r="G525" s="7" t="s">
        <v>1742</v>
      </c>
      <c r="H525" s="37">
        <f>IFERROR(VLOOKUP(C525,Fixture_Engine!$D$2:$R$21,13,FALSE),"")</f>
        <v>1.2818599603231151</v>
      </c>
      <c r="I525" s="37">
        <f>IFERROR(VLOOKUP(C525,Fixture_Engine!$D$2:$R$21,14,FALSE),"")</f>
        <v>1.3720338233100562</v>
      </c>
      <c r="J525" s="37">
        <f>IFERROR(VLOOKUP(C525,Fixture_Engine!$D$2:$R$21,15,FALSE),"")</f>
        <v>0.25359067608785163</v>
      </c>
      <c r="K525" s="13">
        <v>0.10751786102217777</v>
      </c>
      <c r="L525" s="13">
        <v>8.9837940798286081E-2</v>
      </c>
      <c r="M525" s="13">
        <v>0.98619329388560162</v>
      </c>
      <c r="N525" s="38">
        <f t="shared" si="16"/>
        <v>0.13782284106391499</v>
      </c>
      <c r="O525" s="38">
        <f t="shared" si="17"/>
        <v>0.11515965922720137</v>
      </c>
      <c r="P525" s="26"/>
      <c r="Q525" s="45"/>
      <c r="R525" s="38"/>
      <c r="S525" s="38"/>
      <c r="T525" s="38"/>
      <c r="U525" s="1" t="b">
        <v>0</v>
      </c>
      <c r="V525" s="1" t="b">
        <v>1</v>
      </c>
      <c r="W525" s="31" t="s">
        <v>1885</v>
      </c>
    </row>
    <row r="526" spans="1:23" ht="30">
      <c r="A526" s="7">
        <v>525</v>
      </c>
      <c r="B526" s="7" t="s">
        <v>1539</v>
      </c>
      <c r="C526" s="7" t="s">
        <v>57</v>
      </c>
      <c r="D526" s="7" t="s">
        <v>112</v>
      </c>
      <c r="E526" s="11">
        <v>6</v>
      </c>
      <c r="F526" s="7" t="s">
        <v>42</v>
      </c>
      <c r="G526" s="7" t="s">
        <v>1742</v>
      </c>
      <c r="H526" s="37">
        <f>IFERROR(VLOOKUP(C526,Fixture_Engine!$D$2:$R$21,13,FALSE),"")</f>
        <v>1.2818599603231151</v>
      </c>
      <c r="I526" s="37">
        <f>IFERROR(VLOOKUP(C526,Fixture_Engine!$D$2:$R$21,14,FALSE),"")</f>
        <v>1.3720338233100562</v>
      </c>
      <c r="J526" s="37">
        <f>IFERROR(VLOOKUP(C526,Fixture_Engine!$D$2:$R$21,15,FALSE),"")</f>
        <v>0.25359067608785163</v>
      </c>
      <c r="K526" s="13">
        <v>7.0117406025367965E-2</v>
      </c>
      <c r="L526" s="13">
        <v>7.9096950541500483E-2</v>
      </c>
      <c r="M526" s="13">
        <v>0.36160069703759024</v>
      </c>
      <c r="N526" s="38">
        <f t="shared" si="16"/>
        <v>8.9880695305637928E-2</v>
      </c>
      <c r="O526" s="38">
        <f t="shared" si="17"/>
        <v>0.10139121388280721</v>
      </c>
      <c r="P526" s="26"/>
      <c r="Q526" s="45"/>
      <c r="R526" s="38"/>
      <c r="S526" s="38"/>
      <c r="T526" s="38"/>
      <c r="U526" s="1" t="b">
        <v>0</v>
      </c>
      <c r="V526" s="1" t="b">
        <v>1</v>
      </c>
      <c r="W526" s="31" t="s">
        <v>1885</v>
      </c>
    </row>
    <row r="527" spans="1:23" ht="30">
      <c r="A527" s="7">
        <v>526</v>
      </c>
      <c r="B527" s="7" t="s">
        <v>1541</v>
      </c>
      <c r="C527" s="7" t="s">
        <v>57</v>
      </c>
      <c r="D527" s="7" t="s">
        <v>167</v>
      </c>
      <c r="E527" s="11">
        <v>6</v>
      </c>
      <c r="F527" s="7" t="s">
        <v>42</v>
      </c>
      <c r="G527" s="7" t="s">
        <v>1742</v>
      </c>
      <c r="H527" s="37">
        <f>IFERROR(VLOOKUP(C527,Fixture_Engine!$D$2:$R$21,13,FALSE),"")</f>
        <v>1.2818599603231151</v>
      </c>
      <c r="I527" s="37">
        <f>IFERROR(VLOOKUP(C527,Fixture_Engine!$D$2:$R$21,14,FALSE),"")</f>
        <v>1.3720338233100562</v>
      </c>
      <c r="J527" s="37">
        <f>IFERROR(VLOOKUP(C527,Fixture_Engine!$D$2:$R$21,15,FALSE),"")</f>
        <v>0.25359067608785163</v>
      </c>
      <c r="K527" s="13">
        <v>0.2796946695444783</v>
      </c>
      <c r="L527" s="13">
        <v>3.4215353804999737E-2</v>
      </c>
      <c r="M527" s="13">
        <v>0.50075112669003508</v>
      </c>
      <c r="N527" s="38">
        <f t="shared" si="16"/>
        <v>0.35852939800487177</v>
      </c>
      <c r="O527" s="38">
        <f t="shared" si="17"/>
        <v>4.3859292070918307E-2</v>
      </c>
      <c r="P527" s="26"/>
      <c r="Q527" s="45"/>
      <c r="R527" s="38"/>
      <c r="S527" s="38"/>
      <c r="T527" s="38"/>
      <c r="U527" s="1" t="b">
        <v>0</v>
      </c>
      <c r="V527" s="1" t="b">
        <v>0</v>
      </c>
      <c r="W527" s="31" t="s">
        <v>1885</v>
      </c>
    </row>
    <row r="528" spans="1:23" ht="30">
      <c r="A528" s="7">
        <v>527</v>
      </c>
      <c r="B528" s="7" t="s">
        <v>1544</v>
      </c>
      <c r="C528" s="7" t="s">
        <v>57</v>
      </c>
      <c r="D528" s="7" t="s">
        <v>167</v>
      </c>
      <c r="E528" s="11">
        <v>6</v>
      </c>
      <c r="F528" s="7" t="s">
        <v>42</v>
      </c>
      <c r="G528" s="7" t="s">
        <v>1742</v>
      </c>
      <c r="H528" s="37">
        <f>IFERROR(VLOOKUP(C528,Fixture_Engine!$D$2:$R$21,13,FALSE),"")</f>
        <v>1.2818599603231151</v>
      </c>
      <c r="I528" s="37">
        <f>IFERROR(VLOOKUP(C528,Fixture_Engine!$D$2:$R$21,14,FALSE),"")</f>
        <v>1.3720338233100562</v>
      </c>
      <c r="J528" s="37">
        <f>IFERROR(VLOOKUP(C528,Fixture_Engine!$D$2:$R$21,15,FALSE),"")</f>
        <v>0.25359067608785163</v>
      </c>
      <c r="K528" s="13">
        <v>0.35319406062299363</v>
      </c>
      <c r="L528" s="13">
        <v>5.5547752724639292E-2</v>
      </c>
      <c r="M528" s="13">
        <v>0.33852403520649965</v>
      </c>
      <c r="N528" s="38">
        <f t="shared" si="16"/>
        <v>0.45274532453655053</v>
      </c>
      <c r="O528" s="38">
        <f t="shared" si="17"/>
        <v>7.1204440103644337E-2</v>
      </c>
      <c r="P528" s="26"/>
      <c r="Q528" s="45"/>
      <c r="R528" s="38"/>
      <c r="S528" s="38"/>
      <c r="T528" s="38"/>
      <c r="V528" s="1" t="b">
        <v>0</v>
      </c>
      <c r="W528" s="31" t="s">
        <v>1885</v>
      </c>
    </row>
    <row r="529" spans="1:23" ht="30">
      <c r="A529" s="7">
        <v>528</v>
      </c>
      <c r="B529" s="7" t="s">
        <v>1546</v>
      </c>
      <c r="C529" s="7" t="s">
        <v>57</v>
      </c>
      <c r="D529" s="7" t="s">
        <v>167</v>
      </c>
      <c r="E529" s="11">
        <v>4.5</v>
      </c>
      <c r="F529" s="7" t="s">
        <v>42</v>
      </c>
      <c r="G529" s="7" t="s">
        <v>1742</v>
      </c>
      <c r="H529" s="37">
        <f>IFERROR(VLOOKUP(C529,Fixture_Engine!$D$2:$R$21,13,FALSE),"")</f>
        <v>1.2818599603231151</v>
      </c>
      <c r="I529" s="37">
        <f>IFERROR(VLOOKUP(C529,Fixture_Engine!$D$2:$R$21,14,FALSE),"")</f>
        <v>1.3720338233100562</v>
      </c>
      <c r="J529" s="37">
        <f>IFERROR(VLOOKUP(C529,Fixture_Engine!$D$2:$R$21,15,FALSE),"")</f>
        <v>0.25359067608785163</v>
      </c>
      <c r="K529" s="13">
        <v>0.30461525508032317</v>
      </c>
      <c r="L529" s="13">
        <v>3.9834221994622117E-2</v>
      </c>
      <c r="M529" s="13">
        <v>0.99304865938430986</v>
      </c>
      <c r="N529" s="38">
        <f t="shared" si="16"/>
        <v>0.39047409879107864</v>
      </c>
      <c r="O529" s="38">
        <f t="shared" si="17"/>
        <v>5.1061894225528467E-2</v>
      </c>
      <c r="P529" s="26"/>
      <c r="Q529" s="45"/>
      <c r="R529" s="38"/>
      <c r="S529" s="38"/>
      <c r="T529" s="38"/>
      <c r="U529" s="1" t="b">
        <v>1</v>
      </c>
      <c r="V529" s="1" t="b">
        <v>1</v>
      </c>
      <c r="W529" s="31" t="s">
        <v>1885</v>
      </c>
    </row>
    <row r="530" spans="1:23" ht="30">
      <c r="A530" s="7">
        <v>529</v>
      </c>
      <c r="B530" s="7" t="s">
        <v>1549</v>
      </c>
      <c r="C530" s="7" t="s">
        <v>58</v>
      </c>
      <c r="D530" s="7" t="s">
        <v>85</v>
      </c>
      <c r="E530" s="11">
        <v>5</v>
      </c>
      <c r="F530" s="7" t="s">
        <v>50</v>
      </c>
      <c r="G530" s="7" t="s">
        <v>1742</v>
      </c>
      <c r="H530" s="37">
        <f>IFERROR(VLOOKUP(C530,Fixture_Engine!$D$2:$R$21,13,FALSE),"")</f>
        <v>1.1347601803060365</v>
      </c>
      <c r="I530" s="37">
        <f>IFERROR(VLOOKUP(C530,Fixture_Engine!$D$2:$R$21,14,FALSE),"")</f>
        <v>1.1088256638526099</v>
      </c>
      <c r="J530" s="37">
        <f>IFERROR(VLOOKUP(C530,Fixture_Engine!$D$2:$R$21,15,FALSE),"")</f>
        <v>0.32994620140653291</v>
      </c>
      <c r="K530" s="13">
        <v>1.6719534964712218E-4</v>
      </c>
      <c r="L530" s="13">
        <v>2.4508760032551967E-3</v>
      </c>
      <c r="M530" s="13">
        <v>0.24096385542168675</v>
      </c>
      <c r="N530" s="38">
        <f t="shared" si="16"/>
        <v>1.8972662511189918E-4</v>
      </c>
      <c r="O530" s="38">
        <f t="shared" si="17"/>
        <v>2.7811564953616054E-3</v>
      </c>
      <c r="P530" s="26"/>
      <c r="Q530" s="45"/>
      <c r="R530" s="38"/>
      <c r="S530" s="38"/>
      <c r="T530" s="38"/>
      <c r="U530" s="1" t="b">
        <v>1</v>
      </c>
      <c r="V530" s="1" t="b">
        <v>0</v>
      </c>
      <c r="W530" s="31" t="s">
        <v>1885</v>
      </c>
    </row>
    <row r="531" spans="1:23" ht="30">
      <c r="A531" s="7">
        <v>530</v>
      </c>
      <c r="B531" s="7" t="s">
        <v>772</v>
      </c>
      <c r="C531" s="7" t="s">
        <v>58</v>
      </c>
      <c r="D531" s="7" t="s">
        <v>85</v>
      </c>
      <c r="E531" s="11">
        <v>4</v>
      </c>
      <c r="F531" s="7" t="s">
        <v>50</v>
      </c>
      <c r="G531" s="7" t="s">
        <v>1742</v>
      </c>
      <c r="H531" s="37">
        <f>IFERROR(VLOOKUP(C531,Fixture_Engine!$D$2:$R$21,13,FALSE),"")</f>
        <v>1.1347601803060365</v>
      </c>
      <c r="I531" s="37">
        <f>IFERROR(VLOOKUP(C531,Fixture_Engine!$D$2:$R$21,14,FALSE),"")</f>
        <v>1.1088256638526099</v>
      </c>
      <c r="J531" s="37">
        <f>IFERROR(VLOOKUP(C531,Fixture_Engine!$D$2:$R$21,15,FALSE),"")</f>
        <v>0.32994620140653291</v>
      </c>
      <c r="K531" s="13">
        <v>1.6719534964712218E-4</v>
      </c>
      <c r="L531" s="13">
        <v>1.379361634588758E-3</v>
      </c>
      <c r="M531" s="13">
        <v>1</v>
      </c>
      <c r="N531" s="38">
        <f t="shared" si="16"/>
        <v>1.8972662511189918E-4</v>
      </c>
      <c r="O531" s="38">
        <f t="shared" si="17"/>
        <v>1.5652446571731682E-3</v>
      </c>
      <c r="P531" s="26"/>
      <c r="Q531" s="45"/>
      <c r="R531" s="38"/>
      <c r="S531" s="38"/>
      <c r="T531" s="38"/>
      <c r="U531" s="1" t="b">
        <v>0</v>
      </c>
      <c r="V531" s="1" t="b">
        <v>1</v>
      </c>
      <c r="W531" s="31" t="s">
        <v>1885</v>
      </c>
    </row>
    <row r="532" spans="1:23" ht="30">
      <c r="A532" s="7">
        <v>531</v>
      </c>
      <c r="B532" s="7" t="s">
        <v>1554</v>
      </c>
      <c r="C532" s="7" t="s">
        <v>58</v>
      </c>
      <c r="D532" s="7" t="s">
        <v>85</v>
      </c>
      <c r="E532" s="11">
        <v>4.5</v>
      </c>
      <c r="F532" s="7" t="s">
        <v>50</v>
      </c>
      <c r="G532" s="7" t="s">
        <v>1742</v>
      </c>
      <c r="H532" s="37">
        <f>IFERROR(VLOOKUP(C532,Fixture_Engine!$D$2:$R$21,13,FALSE),"")</f>
        <v>1.1347601803060365</v>
      </c>
      <c r="I532" s="37">
        <f>IFERROR(VLOOKUP(C532,Fixture_Engine!$D$2:$R$21,14,FALSE),"")</f>
        <v>1.1088256638526099</v>
      </c>
      <c r="J532" s="37">
        <f>IFERROR(VLOOKUP(C532,Fixture_Engine!$D$2:$R$21,15,FALSE),"")</f>
        <v>0.32994620140653291</v>
      </c>
      <c r="K532" s="13">
        <v>1.6719534964712218E-4</v>
      </c>
      <c r="L532" s="13">
        <v>2.4706428270652126E-3</v>
      </c>
      <c r="M532" s="13">
        <v>0.78740157480314954</v>
      </c>
      <c r="N532" s="38">
        <f t="shared" si="16"/>
        <v>1.8972662511189918E-4</v>
      </c>
      <c r="O532" s="38">
        <f t="shared" si="17"/>
        <v>2.8035870999123364E-3</v>
      </c>
      <c r="P532" s="26"/>
      <c r="Q532" s="45"/>
      <c r="R532" s="38"/>
      <c r="S532" s="38"/>
      <c r="T532" s="38"/>
      <c r="U532" s="1" t="b">
        <v>0</v>
      </c>
      <c r="V532" s="1" t="b">
        <v>1</v>
      </c>
      <c r="W532" s="31" t="s">
        <v>1885</v>
      </c>
    </row>
    <row r="533" spans="1:23" ht="30">
      <c r="A533" s="7">
        <v>532</v>
      </c>
      <c r="B533" s="7" t="s">
        <v>1557</v>
      </c>
      <c r="C533" s="7" t="s">
        <v>58</v>
      </c>
      <c r="D533" s="7" t="s">
        <v>99</v>
      </c>
      <c r="E533" s="11">
        <v>5</v>
      </c>
      <c r="F533" s="7" t="s">
        <v>50</v>
      </c>
      <c r="G533" s="7" t="s">
        <v>1742</v>
      </c>
      <c r="H533" s="37">
        <f>IFERROR(VLOOKUP(C533,Fixture_Engine!$D$2:$R$21,13,FALSE),"")</f>
        <v>1.1347601803060365</v>
      </c>
      <c r="I533" s="37">
        <f>IFERROR(VLOOKUP(C533,Fixture_Engine!$D$2:$R$21,14,FALSE),"")</f>
        <v>1.1088256638526099</v>
      </c>
      <c r="J533" s="37">
        <f>IFERROR(VLOOKUP(C533,Fixture_Engine!$D$2:$R$21,15,FALSE),"")</f>
        <v>0.32994620140653291</v>
      </c>
      <c r="K533" s="13">
        <v>8.1876589132624286E-2</v>
      </c>
      <c r="L533" s="13">
        <v>3.050294360838178E-2</v>
      </c>
      <c r="M533" s="13">
        <v>0.31806615776081426</v>
      </c>
      <c r="N533" s="38">
        <f t="shared" si="16"/>
        <v>9.2910293046980008E-2</v>
      </c>
      <c r="O533" s="38">
        <f t="shared" si="17"/>
        <v>3.4613525788912171E-2</v>
      </c>
      <c r="P533" s="26"/>
      <c r="Q533" s="45"/>
      <c r="R533" s="38"/>
      <c r="S533" s="38"/>
      <c r="T533" s="38"/>
      <c r="U533" s="1" t="b">
        <v>0</v>
      </c>
      <c r="V533" s="1" t="b">
        <v>0</v>
      </c>
      <c r="W533" s="31" t="s">
        <v>1885</v>
      </c>
    </row>
    <row r="534" spans="1:23" ht="30">
      <c r="A534" s="7">
        <v>533</v>
      </c>
      <c r="B534" s="7" t="s">
        <v>1559</v>
      </c>
      <c r="C534" s="7" t="s">
        <v>58</v>
      </c>
      <c r="D534" s="7" t="s">
        <v>99</v>
      </c>
      <c r="E534" s="11">
        <v>5.5</v>
      </c>
      <c r="F534" s="7" t="s">
        <v>50</v>
      </c>
      <c r="G534" s="7" t="s">
        <v>1742</v>
      </c>
      <c r="H534" s="37">
        <f>IFERROR(VLOOKUP(C534,Fixture_Engine!$D$2:$R$21,13,FALSE),"")</f>
        <v>1.1347601803060365</v>
      </c>
      <c r="I534" s="37">
        <f>IFERROR(VLOOKUP(C534,Fixture_Engine!$D$2:$R$21,14,FALSE),"")</f>
        <v>1.1088256638526099</v>
      </c>
      <c r="J534" s="37">
        <f>IFERROR(VLOOKUP(C534,Fixture_Engine!$D$2:$R$21,15,FALSE),"")</f>
        <v>0.32994620140653291</v>
      </c>
      <c r="K534" s="13">
        <v>4.8511917677071928E-2</v>
      </c>
      <c r="L534" s="13">
        <v>7.2276713805217357E-2</v>
      </c>
      <c r="M534" s="13">
        <v>0.26427061310782241</v>
      </c>
      <c r="N534" s="38">
        <f t="shared" si="16"/>
        <v>5.5049392450225741E-2</v>
      </c>
      <c r="O534" s="38">
        <f t="shared" si="17"/>
        <v>8.2016736789536249E-2</v>
      </c>
      <c r="P534" s="26"/>
      <c r="Q534" s="45"/>
      <c r="R534" s="38"/>
      <c r="S534" s="38"/>
      <c r="T534" s="38"/>
      <c r="U534" s="1" t="b">
        <v>0</v>
      </c>
      <c r="V534" s="1" t="b">
        <v>0</v>
      </c>
      <c r="W534" s="31" t="s">
        <v>1885</v>
      </c>
    </row>
    <row r="535" spans="1:23" ht="30">
      <c r="A535" s="7">
        <v>534</v>
      </c>
      <c r="B535" s="7" t="s">
        <v>1561</v>
      </c>
      <c r="C535" s="7" t="s">
        <v>58</v>
      </c>
      <c r="D535" s="7" t="s">
        <v>99</v>
      </c>
      <c r="E535" s="11">
        <v>4.5</v>
      </c>
      <c r="F535" s="7" t="s">
        <v>50</v>
      </c>
      <c r="G535" s="7" t="s">
        <v>1742</v>
      </c>
      <c r="H535" s="37">
        <f>IFERROR(VLOOKUP(C535,Fixture_Engine!$D$2:$R$21,13,FALSE),"")</f>
        <v>1.1347601803060365</v>
      </c>
      <c r="I535" s="37">
        <f>IFERROR(VLOOKUP(C535,Fixture_Engine!$D$2:$R$21,14,FALSE),"")</f>
        <v>1.1088256638526099</v>
      </c>
      <c r="J535" s="37">
        <f>IFERROR(VLOOKUP(C535,Fixture_Engine!$D$2:$R$21,15,FALSE),"")</f>
        <v>0.32994620140653291</v>
      </c>
      <c r="K535" s="13">
        <v>5.9701296144102724E-2</v>
      </c>
      <c r="L535" s="13">
        <v>5.4748125586661874E-2</v>
      </c>
      <c r="M535" s="13">
        <v>0.24801587301587302</v>
      </c>
      <c r="N535" s="38">
        <f t="shared" si="16"/>
        <v>6.7746653576986088E-2</v>
      </c>
      <c r="O535" s="38">
        <f t="shared" si="17"/>
        <v>6.2125992862137963E-2</v>
      </c>
      <c r="P535" s="26"/>
      <c r="Q535" s="45"/>
      <c r="R535" s="38"/>
      <c r="S535" s="38"/>
      <c r="T535" s="38"/>
      <c r="U535" s="1" t="b">
        <v>0</v>
      </c>
      <c r="V535" s="1" t="b">
        <v>0</v>
      </c>
      <c r="W535" s="31" t="s">
        <v>1885</v>
      </c>
    </row>
    <row r="536" spans="1:23" ht="30">
      <c r="A536" s="7">
        <v>535</v>
      </c>
      <c r="B536" s="7" t="s">
        <v>1563</v>
      </c>
      <c r="C536" s="7" t="s">
        <v>58</v>
      </c>
      <c r="D536" s="7" t="s">
        <v>99</v>
      </c>
      <c r="E536" s="11">
        <v>5</v>
      </c>
      <c r="F536" s="7" t="s">
        <v>50</v>
      </c>
      <c r="G536" s="7" t="s">
        <v>1742</v>
      </c>
      <c r="H536" s="37">
        <f>IFERROR(VLOOKUP(C536,Fixture_Engine!$D$2:$R$21,13,FALSE),"")</f>
        <v>1.1347601803060365</v>
      </c>
      <c r="I536" s="37">
        <f>IFERROR(VLOOKUP(C536,Fixture_Engine!$D$2:$R$21,14,FALSE),"")</f>
        <v>1.1088256638526099</v>
      </c>
      <c r="J536" s="37">
        <f>IFERROR(VLOOKUP(C536,Fixture_Engine!$D$2:$R$21,15,FALSE),"")</f>
        <v>0.32994620140653291</v>
      </c>
      <c r="K536" s="13">
        <v>4.8345824727426961E-2</v>
      </c>
      <c r="L536" s="13">
        <v>3.1740379585390881E-2</v>
      </c>
      <c r="M536" s="13">
        <v>0.26336581511719781</v>
      </c>
      <c r="N536" s="38">
        <f t="shared" si="16"/>
        <v>5.4860916784739061E-2</v>
      </c>
      <c r="O536" s="38">
        <f t="shared" si="17"/>
        <v>3.6017718861300195E-2</v>
      </c>
      <c r="P536" s="26"/>
      <c r="Q536" s="45"/>
      <c r="R536" s="38"/>
      <c r="S536" s="38"/>
      <c r="T536" s="38"/>
      <c r="U536" s="1" t="b">
        <v>0</v>
      </c>
      <c r="V536" s="1" t="b">
        <v>0</v>
      </c>
      <c r="W536" s="31" t="s">
        <v>1885</v>
      </c>
    </row>
    <row r="537" spans="1:23" ht="30">
      <c r="A537" s="7">
        <v>536</v>
      </c>
      <c r="B537" s="7" t="s">
        <v>1565</v>
      </c>
      <c r="C537" s="7" t="s">
        <v>58</v>
      </c>
      <c r="D537" s="7" t="s">
        <v>99</v>
      </c>
      <c r="E537" s="11">
        <v>4.5</v>
      </c>
      <c r="F537" s="7" t="s">
        <v>50</v>
      </c>
      <c r="G537" s="7" t="s">
        <v>1742</v>
      </c>
      <c r="H537" s="37">
        <f>IFERROR(VLOOKUP(C537,Fixture_Engine!$D$2:$R$21,13,FALSE),"")</f>
        <v>1.1347601803060365</v>
      </c>
      <c r="I537" s="37">
        <f>IFERROR(VLOOKUP(C537,Fixture_Engine!$D$2:$R$21,14,FALSE),"")</f>
        <v>1.1088256638526099</v>
      </c>
      <c r="J537" s="37">
        <f>IFERROR(VLOOKUP(C537,Fixture_Engine!$D$2:$R$21,15,FALSE),"")</f>
        <v>0.32994620140653291</v>
      </c>
      <c r="K537" s="13">
        <v>1.7724769785612798E-2</v>
      </c>
      <c r="L537" s="13">
        <v>3.2037113056931986E-2</v>
      </c>
      <c r="M537" s="13">
        <v>0.33715441672285906</v>
      </c>
      <c r="N537" s="38">
        <f t="shared" si="16"/>
        <v>2.0113362957804966E-2</v>
      </c>
      <c r="O537" s="38">
        <f t="shared" si="17"/>
        <v>3.6354440188969016E-2</v>
      </c>
      <c r="P537" s="26"/>
      <c r="Q537" s="45"/>
      <c r="R537" s="38"/>
      <c r="S537" s="38"/>
      <c r="T537" s="38"/>
      <c r="U537" s="1" t="b">
        <v>0</v>
      </c>
      <c r="V537" s="1" t="b">
        <v>0</v>
      </c>
      <c r="W537" s="31" t="s">
        <v>1885</v>
      </c>
    </row>
    <row r="538" spans="1:23" ht="30">
      <c r="A538" s="7">
        <v>537</v>
      </c>
      <c r="B538" s="7" t="s">
        <v>1567</v>
      </c>
      <c r="C538" s="7" t="s">
        <v>58</v>
      </c>
      <c r="D538" s="7" t="s">
        <v>99</v>
      </c>
      <c r="E538" s="11">
        <v>4.5</v>
      </c>
      <c r="F538" s="7" t="s">
        <v>50</v>
      </c>
      <c r="G538" s="7" t="s">
        <v>1742</v>
      </c>
      <c r="H538" s="37">
        <f>IFERROR(VLOOKUP(C538,Fixture_Engine!$D$2:$R$21,13,FALSE),"")</f>
        <v>1.1347601803060365</v>
      </c>
      <c r="I538" s="37">
        <f>IFERROR(VLOOKUP(C538,Fixture_Engine!$D$2:$R$21,14,FALSE),"")</f>
        <v>1.1088256638526099</v>
      </c>
      <c r="J538" s="37">
        <f>IFERROR(VLOOKUP(C538,Fixture_Engine!$D$2:$R$21,15,FALSE),"")</f>
        <v>0.32994620140653291</v>
      </c>
      <c r="K538" s="13">
        <v>4.1142361271531161E-2</v>
      </c>
      <c r="L538" s="13">
        <v>3.6533325044524619E-2</v>
      </c>
      <c r="M538" s="13">
        <v>0.88261253309796994</v>
      </c>
      <c r="N538" s="38">
        <f t="shared" si="16"/>
        <v>4.6686713294698798E-2</v>
      </c>
      <c r="O538" s="38">
        <f t="shared" si="17"/>
        <v>4.1456562514703796E-2</v>
      </c>
      <c r="P538" s="26"/>
      <c r="Q538" s="45"/>
      <c r="R538" s="38"/>
      <c r="S538" s="38"/>
      <c r="T538" s="38"/>
      <c r="U538" s="1" t="b">
        <v>0</v>
      </c>
      <c r="V538" s="1" t="b">
        <v>1</v>
      </c>
      <c r="W538" s="31" t="s">
        <v>1885</v>
      </c>
    </row>
    <row r="539" spans="1:23" ht="30">
      <c r="A539" s="7">
        <v>538</v>
      </c>
      <c r="B539" s="7" t="s">
        <v>1569</v>
      </c>
      <c r="C539" s="7" t="s">
        <v>58</v>
      </c>
      <c r="D539" s="7" t="s">
        <v>99</v>
      </c>
      <c r="E539" s="11">
        <v>4</v>
      </c>
      <c r="F539" s="7" t="s">
        <v>50</v>
      </c>
      <c r="G539" s="7" t="s">
        <v>1742</v>
      </c>
      <c r="H539" s="37">
        <f>IFERROR(VLOOKUP(C539,Fixture_Engine!$D$2:$R$21,13,FALSE),"")</f>
        <v>1.1347601803060365</v>
      </c>
      <c r="I539" s="37">
        <f>IFERROR(VLOOKUP(C539,Fixture_Engine!$D$2:$R$21,14,FALSE),"")</f>
        <v>1.1088256638526099</v>
      </c>
      <c r="J539" s="37">
        <f>IFERROR(VLOOKUP(C539,Fixture_Engine!$D$2:$R$21,15,FALSE),"")</f>
        <v>0.32994620140653291</v>
      </c>
      <c r="K539" s="13">
        <v>4.1142361271531161E-2</v>
      </c>
      <c r="L539" s="13">
        <v>4.0513079897554365E-2</v>
      </c>
      <c r="M539" s="13">
        <v>1</v>
      </c>
      <c r="N539" s="38">
        <f t="shared" si="16"/>
        <v>4.6686713294698798E-2</v>
      </c>
      <c r="O539" s="38">
        <f t="shared" si="17"/>
        <v>4.5972629849301658E-2</v>
      </c>
      <c r="P539" s="26"/>
      <c r="Q539" s="45"/>
      <c r="R539" s="38"/>
      <c r="S539" s="38"/>
      <c r="T539" s="38"/>
      <c r="U539" s="1" t="b">
        <v>0</v>
      </c>
      <c r="V539" s="1" t="b">
        <v>1</v>
      </c>
      <c r="W539" s="31" t="s">
        <v>1885</v>
      </c>
    </row>
    <row r="540" spans="1:23" ht="30">
      <c r="A540" s="7">
        <v>539</v>
      </c>
      <c r="B540" s="7" t="s">
        <v>1571</v>
      </c>
      <c r="C540" s="7" t="s">
        <v>58</v>
      </c>
      <c r="D540" s="7" t="s">
        <v>99</v>
      </c>
      <c r="E540" s="11">
        <v>4</v>
      </c>
      <c r="F540" s="7" t="s">
        <v>50</v>
      </c>
      <c r="G540" s="7" t="s">
        <v>1742</v>
      </c>
      <c r="H540" s="37">
        <f>IFERROR(VLOOKUP(C540,Fixture_Engine!$D$2:$R$21,13,FALSE),"")</f>
        <v>1.1347601803060365</v>
      </c>
      <c r="I540" s="37">
        <f>IFERROR(VLOOKUP(C540,Fixture_Engine!$D$2:$R$21,14,FALSE),"")</f>
        <v>1.1088256638526099</v>
      </c>
      <c r="J540" s="37">
        <f>IFERROR(VLOOKUP(C540,Fixture_Engine!$D$2:$R$21,15,FALSE),"")</f>
        <v>0.32994620140653291</v>
      </c>
      <c r="K540" s="13">
        <v>3.4715668971189537E-2</v>
      </c>
      <c r="L540" s="13">
        <v>3.3190022881885474E-2</v>
      </c>
      <c r="M540" s="13">
        <v>0.63897763578274758</v>
      </c>
      <c r="N540" s="38">
        <f t="shared" si="16"/>
        <v>3.9393958781191715E-2</v>
      </c>
      <c r="O540" s="38">
        <f t="shared" si="17"/>
        <v>3.766271634980984E-2</v>
      </c>
      <c r="P540" s="26"/>
      <c r="Q540" s="45"/>
      <c r="R540" s="38"/>
      <c r="S540" s="38"/>
      <c r="T540" s="38"/>
      <c r="U540" s="1" t="b">
        <v>0</v>
      </c>
      <c r="V540" s="1" t="b">
        <v>1</v>
      </c>
      <c r="W540" s="31" t="s">
        <v>1885</v>
      </c>
    </row>
    <row r="541" spans="1:23" ht="30">
      <c r="A541" s="7">
        <v>540</v>
      </c>
      <c r="B541" s="7" t="s">
        <v>1574</v>
      </c>
      <c r="C541" s="7" t="s">
        <v>58</v>
      </c>
      <c r="D541" s="7" t="s">
        <v>99</v>
      </c>
      <c r="E541" s="11">
        <v>4</v>
      </c>
      <c r="F541" s="7" t="s">
        <v>50</v>
      </c>
      <c r="G541" s="7" t="s">
        <v>1742</v>
      </c>
      <c r="H541" s="37">
        <f>IFERROR(VLOOKUP(C541,Fixture_Engine!$D$2:$R$21,13,FALSE),"")</f>
        <v>1.1347601803060365</v>
      </c>
      <c r="I541" s="37">
        <f>IFERROR(VLOOKUP(C541,Fixture_Engine!$D$2:$R$21,14,FALSE),"")</f>
        <v>1.1088256638526099</v>
      </c>
      <c r="J541" s="37">
        <f>IFERROR(VLOOKUP(C541,Fixture_Engine!$D$2:$R$21,15,FALSE),"")</f>
        <v>0.32994620140653291</v>
      </c>
      <c r="K541" s="13">
        <v>4.2041424814911445E-2</v>
      </c>
      <c r="L541" s="13">
        <v>4.2263554596169428E-2</v>
      </c>
      <c r="M541" s="13">
        <v>0.88888888888888884</v>
      </c>
      <c r="N541" s="38">
        <f t="shared" si="16"/>
        <v>4.7706934803291592E-2</v>
      </c>
      <c r="O541" s="38">
        <f t="shared" si="17"/>
        <v>4.7958998833923239E-2</v>
      </c>
      <c r="P541" s="26"/>
      <c r="Q541" s="45"/>
      <c r="R541" s="38"/>
      <c r="S541" s="38"/>
      <c r="T541" s="38"/>
      <c r="V541" s="1" t="b">
        <v>1</v>
      </c>
      <c r="W541" s="31" t="s">
        <v>1885</v>
      </c>
    </row>
    <row r="542" spans="1:23" ht="30">
      <c r="A542" s="7">
        <v>541</v>
      </c>
      <c r="B542" s="7" t="s">
        <v>1577</v>
      </c>
      <c r="C542" s="7" t="s">
        <v>58</v>
      </c>
      <c r="D542" s="7" t="s">
        <v>99</v>
      </c>
      <c r="E542" s="11">
        <v>4.5</v>
      </c>
      <c r="F542" s="7" t="s">
        <v>50</v>
      </c>
      <c r="G542" s="7" t="s">
        <v>1742</v>
      </c>
      <c r="H542" s="37">
        <f>IFERROR(VLOOKUP(C542,Fixture_Engine!$D$2:$R$21,13,FALSE),"")</f>
        <v>1.1347601803060365</v>
      </c>
      <c r="I542" s="37">
        <f>IFERROR(VLOOKUP(C542,Fixture_Engine!$D$2:$R$21,14,FALSE),"")</f>
        <v>1.1088256638526099</v>
      </c>
      <c r="J542" s="37">
        <f>IFERROR(VLOOKUP(C542,Fixture_Engine!$D$2:$R$21,15,FALSE),"")</f>
        <v>0.32994620140653291</v>
      </c>
      <c r="K542" s="13">
        <v>4.1142361271531161E-2</v>
      </c>
      <c r="L542" s="13">
        <v>4.0513079897554365E-2</v>
      </c>
      <c r="M542" s="13">
        <v>1</v>
      </c>
      <c r="N542" s="38">
        <f t="shared" si="16"/>
        <v>4.6686713294698798E-2</v>
      </c>
      <c r="O542" s="38">
        <f t="shared" si="17"/>
        <v>4.5972629849301658E-2</v>
      </c>
      <c r="P542" s="26"/>
      <c r="Q542" s="45"/>
      <c r="R542" s="38"/>
      <c r="S542" s="38"/>
      <c r="T542" s="38"/>
      <c r="U542" s="1" t="b">
        <v>0</v>
      </c>
      <c r="V542" s="1" t="b">
        <v>1</v>
      </c>
      <c r="W542" s="31" t="s">
        <v>1885</v>
      </c>
    </row>
    <row r="543" spans="1:23" ht="30">
      <c r="A543" s="7">
        <v>542</v>
      </c>
      <c r="B543" s="7" t="s">
        <v>1580</v>
      </c>
      <c r="C543" s="7" t="s">
        <v>58</v>
      </c>
      <c r="D543" s="7" t="s">
        <v>112</v>
      </c>
      <c r="E543" s="11">
        <v>6</v>
      </c>
      <c r="F543" s="7" t="s">
        <v>50</v>
      </c>
      <c r="G543" s="7" t="s">
        <v>1742</v>
      </c>
      <c r="H543" s="37">
        <f>IFERROR(VLOOKUP(C543,Fixture_Engine!$D$2:$R$21,13,FALSE),"")</f>
        <v>1.1347601803060365</v>
      </c>
      <c r="I543" s="37">
        <f>IFERROR(VLOOKUP(C543,Fixture_Engine!$D$2:$R$21,14,FALSE),"")</f>
        <v>1.1088256638526099</v>
      </c>
      <c r="J543" s="37">
        <f>IFERROR(VLOOKUP(C543,Fixture_Engine!$D$2:$R$21,15,FALSE),"")</f>
        <v>0.32994620140653291</v>
      </c>
      <c r="K543" s="13">
        <v>0.14413446622947018</v>
      </c>
      <c r="L543" s="13">
        <v>0.1560690106400052</v>
      </c>
      <c r="M543" s="13">
        <v>0.25445292620865145</v>
      </c>
      <c r="N543" s="38">
        <f t="shared" si="16"/>
        <v>0.16355805288686792</v>
      </c>
      <c r="O543" s="38">
        <f t="shared" si="17"/>
        <v>0.17710089865403703</v>
      </c>
      <c r="P543" s="26"/>
      <c r="Q543" s="45"/>
      <c r="R543" s="38"/>
      <c r="S543" s="38"/>
      <c r="T543" s="38"/>
      <c r="U543" s="1" t="b">
        <v>0</v>
      </c>
      <c r="V543" s="1" t="b">
        <v>0</v>
      </c>
      <c r="W543" s="31" t="s">
        <v>1885</v>
      </c>
    </row>
    <row r="544" spans="1:23" ht="30">
      <c r="A544" s="7">
        <v>543</v>
      </c>
      <c r="B544" s="7" t="s">
        <v>1582</v>
      </c>
      <c r="C544" s="7" t="s">
        <v>58</v>
      </c>
      <c r="D544" s="7" t="s">
        <v>112</v>
      </c>
      <c r="E544" s="11">
        <v>5.5</v>
      </c>
      <c r="F544" s="7" t="s">
        <v>50</v>
      </c>
      <c r="G544" s="7" t="s">
        <v>1742</v>
      </c>
      <c r="H544" s="37">
        <f>IFERROR(VLOOKUP(C544,Fixture_Engine!$D$2:$R$21,13,FALSE),"")</f>
        <v>1.1347601803060365</v>
      </c>
      <c r="I544" s="37">
        <f>IFERROR(VLOOKUP(C544,Fixture_Engine!$D$2:$R$21,14,FALSE),"")</f>
        <v>1.1088256638526099</v>
      </c>
      <c r="J544" s="37">
        <f>IFERROR(VLOOKUP(C544,Fixture_Engine!$D$2:$R$21,15,FALSE),"")</f>
        <v>0.32994620140653291</v>
      </c>
      <c r="K544" s="13">
        <v>0.16438154956007983</v>
      </c>
      <c r="L544" s="13">
        <v>6.8651997124546282E-2</v>
      </c>
      <c r="M544" s="13">
        <v>0.41614648356221395</v>
      </c>
      <c r="N544" s="38">
        <f t="shared" si="16"/>
        <v>0.18653363681778187</v>
      </c>
      <c r="O544" s="38">
        <f t="shared" si="17"/>
        <v>7.7903552635419634E-2</v>
      </c>
      <c r="P544" s="26"/>
      <c r="Q544" s="45"/>
      <c r="R544" s="38"/>
      <c r="S544" s="38"/>
      <c r="T544" s="38"/>
      <c r="V544" s="1" t="b">
        <v>0</v>
      </c>
      <c r="W544" s="31" t="s">
        <v>1885</v>
      </c>
    </row>
    <row r="545" spans="1:23" ht="30">
      <c r="A545" s="7">
        <v>544</v>
      </c>
      <c r="B545" s="7" t="s">
        <v>1584</v>
      </c>
      <c r="C545" s="7" t="s">
        <v>58</v>
      </c>
      <c r="D545" s="7" t="s">
        <v>112</v>
      </c>
      <c r="E545" s="11">
        <v>5.5</v>
      </c>
      <c r="F545" s="7" t="s">
        <v>50</v>
      </c>
      <c r="G545" s="7" t="s">
        <v>1742</v>
      </c>
      <c r="H545" s="37">
        <f>IFERROR(VLOOKUP(C545,Fixture_Engine!$D$2:$R$21,13,FALSE),"")</f>
        <v>1.1347601803060365</v>
      </c>
      <c r="I545" s="37">
        <f>IFERROR(VLOOKUP(C545,Fixture_Engine!$D$2:$R$21,14,FALSE),"")</f>
        <v>1.1088256638526099</v>
      </c>
      <c r="J545" s="37">
        <f>IFERROR(VLOOKUP(C545,Fixture_Engine!$D$2:$R$21,15,FALSE),"")</f>
        <v>0.32994620140653291</v>
      </c>
      <c r="K545" s="13">
        <v>5.0324218454056116E-2</v>
      </c>
      <c r="L545" s="13">
        <v>0.1071965736793616</v>
      </c>
      <c r="M545" s="13">
        <v>0.25634452704434763</v>
      </c>
      <c r="N545" s="38">
        <f t="shared" si="16"/>
        <v>5.7105919206685091E-2</v>
      </c>
      <c r="O545" s="38">
        <f t="shared" si="17"/>
        <v>0.1216424032765817</v>
      </c>
      <c r="P545" s="26"/>
      <c r="Q545" s="45"/>
      <c r="R545" s="38"/>
      <c r="S545" s="38"/>
      <c r="T545" s="38"/>
      <c r="V545" s="1" t="b">
        <v>0</v>
      </c>
      <c r="W545" s="31" t="s">
        <v>1885</v>
      </c>
    </row>
    <row r="546" spans="1:23" ht="30">
      <c r="A546" s="7">
        <v>545</v>
      </c>
      <c r="B546" s="7" t="s">
        <v>1587</v>
      </c>
      <c r="C546" s="7" t="s">
        <v>58</v>
      </c>
      <c r="D546" s="7" t="s">
        <v>112</v>
      </c>
      <c r="E546" s="11">
        <v>5</v>
      </c>
      <c r="F546" s="7" t="s">
        <v>50</v>
      </c>
      <c r="G546" s="7" t="s">
        <v>1742</v>
      </c>
      <c r="H546" s="37">
        <f>IFERROR(VLOOKUP(C546,Fixture_Engine!$D$2:$R$21,13,FALSE),"")</f>
        <v>1.1347601803060365</v>
      </c>
      <c r="I546" s="37">
        <f>IFERROR(VLOOKUP(C546,Fixture_Engine!$D$2:$R$21,14,FALSE),"")</f>
        <v>1.1088256638526099</v>
      </c>
      <c r="J546" s="37">
        <f>IFERROR(VLOOKUP(C546,Fixture_Engine!$D$2:$R$21,15,FALSE),"")</f>
        <v>0.32994620140653291</v>
      </c>
      <c r="K546" s="13">
        <v>5.9943517363335433E-2</v>
      </c>
      <c r="L546" s="13">
        <v>5.6181076623412651E-2</v>
      </c>
      <c r="M546" s="13">
        <v>0.25700334104343359</v>
      </c>
      <c r="N546" s="38">
        <f t="shared" si="16"/>
        <v>6.8021516571396545E-2</v>
      </c>
      <c r="O546" s="38">
        <f t="shared" si="17"/>
        <v>6.3752048638970993E-2</v>
      </c>
      <c r="P546" s="26"/>
      <c r="Q546" s="45"/>
      <c r="R546" s="38"/>
      <c r="S546" s="38"/>
      <c r="T546" s="38"/>
      <c r="V546" s="1" t="b">
        <v>0</v>
      </c>
      <c r="W546" s="31" t="s">
        <v>1885</v>
      </c>
    </row>
    <row r="547" spans="1:23" ht="30">
      <c r="A547" s="7">
        <v>546</v>
      </c>
      <c r="B547" s="7" t="s">
        <v>1589</v>
      </c>
      <c r="C547" s="7" t="s">
        <v>58</v>
      </c>
      <c r="D547" s="7" t="s">
        <v>112</v>
      </c>
      <c r="E547" s="11">
        <v>5</v>
      </c>
      <c r="F547" s="7" t="s">
        <v>50</v>
      </c>
      <c r="G547" s="7" t="s">
        <v>1742</v>
      </c>
      <c r="H547" s="37">
        <f>IFERROR(VLOOKUP(C547,Fixture_Engine!$D$2:$R$21,13,FALSE),"")</f>
        <v>1.1347601803060365</v>
      </c>
      <c r="I547" s="37">
        <f>IFERROR(VLOOKUP(C547,Fixture_Engine!$D$2:$R$21,14,FALSE),"")</f>
        <v>1.1088256638526099</v>
      </c>
      <c r="J547" s="37">
        <f>IFERROR(VLOOKUP(C547,Fixture_Engine!$D$2:$R$21,15,FALSE),"")</f>
        <v>0.32994620140653291</v>
      </c>
      <c r="K547" s="13">
        <v>8.38623828067913E-2</v>
      </c>
      <c r="L547" s="13">
        <v>8.7780272528058215E-2</v>
      </c>
      <c r="M547" s="13">
        <v>0.60642813826561559</v>
      </c>
      <c r="N547" s="38">
        <f t="shared" si="16"/>
        <v>9.5163692634728347E-2</v>
      </c>
      <c r="O547" s="38">
        <f t="shared" si="17"/>
        <v>9.9609557881252364E-2</v>
      </c>
      <c r="P547" s="26"/>
      <c r="Q547" s="45"/>
      <c r="R547" s="38"/>
      <c r="S547" s="38"/>
      <c r="T547" s="38"/>
      <c r="U547" s="1" t="b">
        <v>0</v>
      </c>
      <c r="V547" s="1" t="b">
        <v>1</v>
      </c>
      <c r="W547" s="31" t="s">
        <v>1885</v>
      </c>
    </row>
    <row r="548" spans="1:23" ht="30">
      <c r="A548" s="7">
        <v>547</v>
      </c>
      <c r="B548" s="7" t="s">
        <v>1591</v>
      </c>
      <c r="C548" s="7" t="s">
        <v>58</v>
      </c>
      <c r="D548" s="7" t="s">
        <v>112</v>
      </c>
      <c r="E548" s="11">
        <v>5</v>
      </c>
      <c r="F548" s="7" t="s">
        <v>50</v>
      </c>
      <c r="G548" s="7" t="s">
        <v>1742</v>
      </c>
      <c r="H548" s="37">
        <f>IFERROR(VLOOKUP(C548,Fixture_Engine!$D$2:$R$21,13,FALSE),"")</f>
        <v>1.1347601803060365</v>
      </c>
      <c r="I548" s="37">
        <f>IFERROR(VLOOKUP(C548,Fixture_Engine!$D$2:$R$21,14,FALSE),"")</f>
        <v>1.1088256638526099</v>
      </c>
      <c r="J548" s="37">
        <f>IFERROR(VLOOKUP(C548,Fixture_Engine!$D$2:$R$21,15,FALSE),"")</f>
        <v>0.32994620140653291</v>
      </c>
      <c r="K548" s="13">
        <v>0.13152701422357715</v>
      </c>
      <c r="L548" s="13">
        <v>9.4668467554166941E-2</v>
      </c>
      <c r="M548" s="13">
        <v>0.71479628305932807</v>
      </c>
      <c r="N548" s="38">
        <f t="shared" si="16"/>
        <v>0.14925161837546105</v>
      </c>
      <c r="O548" s="38">
        <f t="shared" si="17"/>
        <v>0.10742600731106265</v>
      </c>
      <c r="P548" s="26"/>
      <c r="Q548" s="45"/>
      <c r="R548" s="38"/>
      <c r="S548" s="38"/>
      <c r="T548" s="38"/>
      <c r="U548" s="1" t="b">
        <v>0</v>
      </c>
      <c r="V548" s="1" t="b">
        <v>1</v>
      </c>
      <c r="W548" s="31" t="s">
        <v>1885</v>
      </c>
    </row>
    <row r="549" spans="1:23" ht="30">
      <c r="A549" s="7">
        <v>548</v>
      </c>
      <c r="B549" s="7" t="s">
        <v>1593</v>
      </c>
      <c r="C549" s="7" t="s">
        <v>58</v>
      </c>
      <c r="D549" s="7" t="s">
        <v>112</v>
      </c>
      <c r="E549" s="11">
        <v>5</v>
      </c>
      <c r="F549" s="7" t="s">
        <v>50</v>
      </c>
      <c r="G549" s="7" t="s">
        <v>1742</v>
      </c>
      <c r="H549" s="37">
        <f>IFERROR(VLOOKUP(C549,Fixture_Engine!$D$2:$R$21,13,FALSE),"")</f>
        <v>1.1347601803060365</v>
      </c>
      <c r="I549" s="37">
        <f>IFERROR(VLOOKUP(C549,Fixture_Engine!$D$2:$R$21,14,FALSE),"")</f>
        <v>1.1088256638526099</v>
      </c>
      <c r="J549" s="37">
        <f>IFERROR(VLOOKUP(C549,Fixture_Engine!$D$2:$R$21,15,FALSE),"")</f>
        <v>0.32994620140653291</v>
      </c>
      <c r="K549" s="13">
        <v>0.10416787003463732</v>
      </c>
      <c r="L549" s="13">
        <v>9.784082372777074E-2</v>
      </c>
      <c r="M549" s="13">
        <v>0.56882821387940841</v>
      </c>
      <c r="N549" s="38">
        <f t="shared" si="16"/>
        <v>0.11820555098260083</v>
      </c>
      <c r="O549" s="38">
        <f t="shared" si="17"/>
        <v>0.11102587077461626</v>
      </c>
      <c r="P549" s="26"/>
      <c r="Q549" s="45"/>
      <c r="R549" s="38"/>
      <c r="S549" s="38"/>
      <c r="T549" s="38"/>
      <c r="V549" s="1" t="b">
        <v>1</v>
      </c>
      <c r="W549" s="31" t="s">
        <v>1885</v>
      </c>
    </row>
    <row r="550" spans="1:23" ht="30">
      <c r="A550" s="7">
        <v>549</v>
      </c>
      <c r="B550" s="7" t="s">
        <v>1596</v>
      </c>
      <c r="C550" s="7" t="s">
        <v>58</v>
      </c>
      <c r="D550" s="7" t="s">
        <v>112</v>
      </c>
      <c r="E550" s="11">
        <v>5.5</v>
      </c>
      <c r="F550" s="7" t="s">
        <v>50</v>
      </c>
      <c r="G550" s="7" t="s">
        <v>1742</v>
      </c>
      <c r="H550" s="37">
        <f>IFERROR(VLOOKUP(C550,Fixture_Engine!$D$2:$R$21,13,FALSE),"")</f>
        <v>1.1347601803060365</v>
      </c>
      <c r="I550" s="37">
        <f>IFERROR(VLOOKUP(C550,Fixture_Engine!$D$2:$R$21,14,FALSE),"")</f>
        <v>1.1088256638526099</v>
      </c>
      <c r="J550" s="37">
        <f>IFERROR(VLOOKUP(C550,Fixture_Engine!$D$2:$R$21,15,FALSE),"")</f>
        <v>0.32994620140653291</v>
      </c>
      <c r="K550" s="13">
        <v>0.11546519487394449</v>
      </c>
      <c r="L550" s="13">
        <v>7.5982609698676748E-2</v>
      </c>
      <c r="M550" s="13">
        <v>0.39169604386995693</v>
      </c>
      <c r="N550" s="38">
        <f t="shared" si="16"/>
        <v>0.1310253053542289</v>
      </c>
      <c r="O550" s="38">
        <f t="shared" si="17"/>
        <v>8.6222039881793625E-2</v>
      </c>
      <c r="P550" s="26"/>
      <c r="Q550" s="45"/>
      <c r="R550" s="38"/>
      <c r="S550" s="38"/>
      <c r="T550" s="38"/>
      <c r="V550" s="1" t="b">
        <v>0</v>
      </c>
      <c r="W550" s="31" t="s">
        <v>1885</v>
      </c>
    </row>
    <row r="551" spans="1:23" ht="30">
      <c r="A551" s="7">
        <v>550</v>
      </c>
      <c r="B551" s="7" t="s">
        <v>1598</v>
      </c>
      <c r="C551" s="7" t="s">
        <v>58</v>
      </c>
      <c r="D551" s="7" t="s">
        <v>112</v>
      </c>
      <c r="E551" s="11">
        <v>5</v>
      </c>
      <c r="F551" s="7" t="s">
        <v>50</v>
      </c>
      <c r="G551" s="7" t="s">
        <v>1742</v>
      </c>
      <c r="H551" s="37">
        <f>IFERROR(VLOOKUP(C551,Fixture_Engine!$D$2:$R$21,13,FALSE),"")</f>
        <v>1.1347601803060365</v>
      </c>
      <c r="I551" s="37">
        <f>IFERROR(VLOOKUP(C551,Fixture_Engine!$D$2:$R$21,14,FALSE),"")</f>
        <v>1.1088256638526099</v>
      </c>
      <c r="J551" s="37">
        <f>IFERROR(VLOOKUP(C551,Fixture_Engine!$D$2:$R$21,15,FALSE),"")</f>
        <v>0.32994620140653291</v>
      </c>
      <c r="K551" s="13">
        <v>0.10751786102217777</v>
      </c>
      <c r="L551" s="13">
        <v>9.0325030328545483E-2</v>
      </c>
      <c r="M551" s="13">
        <v>0.96339113680154143</v>
      </c>
      <c r="N551" s="38">
        <f t="shared" si="16"/>
        <v>0.12200698735964582</v>
      </c>
      <c r="O551" s="38">
        <f t="shared" si="17"/>
        <v>0.10249724770176849</v>
      </c>
      <c r="P551" s="26"/>
      <c r="Q551" s="45"/>
      <c r="R551" s="38"/>
      <c r="S551" s="38"/>
      <c r="T551" s="38"/>
      <c r="U551" s="1" t="b">
        <v>0</v>
      </c>
      <c r="V551" s="1" t="b">
        <v>1</v>
      </c>
      <c r="W551" s="31" t="s">
        <v>1885</v>
      </c>
    </row>
    <row r="552" spans="1:23" ht="30">
      <c r="A552" s="7">
        <v>551</v>
      </c>
      <c r="B552" s="7" t="s">
        <v>1601</v>
      </c>
      <c r="C552" s="7" t="s">
        <v>58</v>
      </c>
      <c r="D552" s="7" t="s">
        <v>112</v>
      </c>
      <c r="E552" s="11">
        <v>5</v>
      </c>
      <c r="F552" s="7" t="s">
        <v>50</v>
      </c>
      <c r="G552" s="7" t="s">
        <v>1742</v>
      </c>
      <c r="H552" s="37">
        <f>IFERROR(VLOOKUP(C552,Fixture_Engine!$D$2:$R$21,13,FALSE),"")</f>
        <v>1.1347601803060365</v>
      </c>
      <c r="I552" s="37">
        <f>IFERROR(VLOOKUP(C552,Fixture_Engine!$D$2:$R$21,14,FALSE),"")</f>
        <v>1.1088256638526099</v>
      </c>
      <c r="J552" s="37">
        <f>IFERROR(VLOOKUP(C552,Fixture_Engine!$D$2:$R$21,15,FALSE),"")</f>
        <v>0.32994620140653291</v>
      </c>
      <c r="K552" s="13">
        <v>0.12506389658805434</v>
      </c>
      <c r="L552" s="13">
        <v>7.1942041758862568E-2</v>
      </c>
      <c r="M552" s="13">
        <v>0.7137758743754461</v>
      </c>
      <c r="N552" s="38">
        <f t="shared" si="16"/>
        <v>0.14191752984203604</v>
      </c>
      <c r="O552" s="38">
        <f t="shared" si="17"/>
        <v>8.1636964277871302E-2</v>
      </c>
      <c r="P552" s="26"/>
      <c r="Q552" s="45"/>
      <c r="R552" s="38"/>
      <c r="S552" s="38"/>
      <c r="T552" s="38"/>
      <c r="V552" s="1" t="b">
        <v>1</v>
      </c>
      <c r="W552" s="31" t="s">
        <v>1885</v>
      </c>
    </row>
    <row r="553" spans="1:23" ht="30">
      <c r="A553" s="7">
        <v>552</v>
      </c>
      <c r="B553" s="7" t="s">
        <v>1603</v>
      </c>
      <c r="C553" s="7" t="s">
        <v>58</v>
      </c>
      <c r="D553" s="7" t="s">
        <v>167</v>
      </c>
      <c r="E553" s="11">
        <v>6</v>
      </c>
      <c r="F553" s="7" t="s">
        <v>50</v>
      </c>
      <c r="G553" s="7" t="s">
        <v>1742</v>
      </c>
      <c r="H553" s="37">
        <f>IFERROR(VLOOKUP(C553,Fixture_Engine!$D$2:$R$21,13,FALSE),"")</f>
        <v>1.1347601803060365</v>
      </c>
      <c r="I553" s="37">
        <f>IFERROR(VLOOKUP(C553,Fixture_Engine!$D$2:$R$21,14,FALSE),"")</f>
        <v>1.1088256638526099</v>
      </c>
      <c r="J553" s="37">
        <f>IFERROR(VLOOKUP(C553,Fixture_Engine!$D$2:$R$21,15,FALSE),"")</f>
        <v>0.32994620140653291</v>
      </c>
      <c r="K553" s="13">
        <v>0.28557535499018005</v>
      </c>
      <c r="L553" s="13">
        <v>3.3617447214846073E-2</v>
      </c>
      <c r="M553" s="13">
        <v>0.34246575342465757</v>
      </c>
      <c r="N553" s="38">
        <f t="shared" si="16"/>
        <v>0.32405954131961712</v>
      </c>
      <c r="O553" s="38">
        <f t="shared" si="17"/>
        <v>3.8147740462947395E-2</v>
      </c>
      <c r="P553" s="26"/>
      <c r="Q553" s="45"/>
      <c r="R553" s="38"/>
      <c r="S553" s="38"/>
      <c r="T553" s="38"/>
      <c r="V553" s="1" t="b">
        <v>0</v>
      </c>
      <c r="W553" s="31" t="s">
        <v>1885</v>
      </c>
    </row>
    <row r="554" spans="1:23" ht="30">
      <c r="A554" s="7">
        <v>553</v>
      </c>
      <c r="B554" s="7" t="s">
        <v>1605</v>
      </c>
      <c r="C554" s="7" t="s">
        <v>58</v>
      </c>
      <c r="D554" s="7" t="s">
        <v>167</v>
      </c>
      <c r="E554" s="11">
        <v>5.5</v>
      </c>
      <c r="F554" s="7" t="s">
        <v>50</v>
      </c>
      <c r="G554" s="7" t="s">
        <v>1742</v>
      </c>
      <c r="H554" s="37">
        <f>IFERROR(VLOOKUP(C554,Fixture_Engine!$D$2:$R$21,13,FALSE),"")</f>
        <v>1.1347601803060365</v>
      </c>
      <c r="I554" s="37">
        <f>IFERROR(VLOOKUP(C554,Fixture_Engine!$D$2:$R$21,14,FALSE),"")</f>
        <v>1.1088256638526099</v>
      </c>
      <c r="J554" s="37">
        <f>IFERROR(VLOOKUP(C554,Fixture_Engine!$D$2:$R$21,15,FALSE),"")</f>
        <v>0.32994620140653291</v>
      </c>
      <c r="K554" s="13">
        <v>0.3341846474346265</v>
      </c>
      <c r="L554" s="13">
        <v>3.3829982266518455E-2</v>
      </c>
      <c r="M554" s="13">
        <v>0.46554934823091243</v>
      </c>
      <c r="N554" s="38">
        <f t="shared" si="16"/>
        <v>0.37921943077842601</v>
      </c>
      <c r="O554" s="38">
        <f t="shared" si="17"/>
        <v>3.8388916776504502E-2</v>
      </c>
      <c r="P554" s="26"/>
      <c r="Q554" s="45"/>
      <c r="R554" s="38"/>
      <c r="S554" s="38"/>
      <c r="T554" s="38"/>
      <c r="V554" s="1" t="b">
        <v>0</v>
      </c>
      <c r="W554" s="31" t="s">
        <v>1885</v>
      </c>
    </row>
    <row r="555" spans="1:23" ht="30">
      <c r="A555" s="7">
        <v>554</v>
      </c>
      <c r="B555" s="7" t="s">
        <v>1012</v>
      </c>
      <c r="C555" s="7" t="s">
        <v>50</v>
      </c>
      <c r="D555" s="7" t="s">
        <v>85</v>
      </c>
      <c r="E555" s="11">
        <v>4.5</v>
      </c>
      <c r="F555" s="7" t="s">
        <v>58</v>
      </c>
      <c r="G555" s="7" t="s">
        <v>1743</v>
      </c>
      <c r="H555" s="37">
        <f>IFERROR(VLOOKUP(C555,Fixture_Engine!$D$2:$R$21,13,FALSE),"")</f>
        <v>1.1088256638526099</v>
      </c>
      <c r="I555" s="37">
        <f>IFERROR(VLOOKUP(C555,Fixture_Engine!$D$2:$R$21,14,FALSE),"")</f>
        <v>1.1347601803060365</v>
      </c>
      <c r="J555" s="37">
        <f>IFERROR(VLOOKUP(C555,Fixture_Engine!$D$2:$R$21,15,FALSE),"")</f>
        <v>0.32149921393295505</v>
      </c>
      <c r="K555" s="13">
        <v>1.6719534964712218E-4</v>
      </c>
      <c r="L555" s="13">
        <v>1.379361634588758E-3</v>
      </c>
      <c r="M555" s="13">
        <v>1</v>
      </c>
      <c r="N555" s="38">
        <f t="shared" si="16"/>
        <v>1.8539049456553949E-4</v>
      </c>
      <c r="O555" s="38">
        <f t="shared" si="17"/>
        <v>1.5294715801657008E-3</v>
      </c>
      <c r="P555" s="26"/>
      <c r="Q555" s="45"/>
      <c r="R555" s="38"/>
      <c r="S555" s="38"/>
      <c r="T555" s="38"/>
      <c r="U555" s="1" t="b">
        <v>0</v>
      </c>
      <c r="V555" s="1" t="b">
        <v>1</v>
      </c>
      <c r="W555" s="31" t="s">
        <v>1885</v>
      </c>
    </row>
    <row r="556" spans="1:23" ht="30">
      <c r="A556" s="7">
        <v>555</v>
      </c>
      <c r="B556" s="7" t="s">
        <v>746</v>
      </c>
      <c r="C556" s="7" t="s">
        <v>46</v>
      </c>
      <c r="D556" s="7" t="s">
        <v>85</v>
      </c>
      <c r="E556" s="11">
        <v>4</v>
      </c>
      <c r="F556" s="7" t="s">
        <v>47</v>
      </c>
      <c r="G556" s="7" t="s">
        <v>1742</v>
      </c>
      <c r="H556" s="37">
        <f>IFERROR(VLOOKUP(C556,Fixture_Engine!$D$2:$R$21,13,FALSE),"")</f>
        <v>1.0054212185228999</v>
      </c>
      <c r="I556" s="37">
        <f>IFERROR(VLOOKUP(C556,Fixture_Engine!$D$2:$R$21,14,FALSE),"")</f>
        <v>1.3042477689012788</v>
      </c>
      <c r="J556" s="37">
        <f>IFERROR(VLOOKUP(C556,Fixture_Engine!$D$2:$R$21,15,FALSE),"")</f>
        <v>0.27137659620053128</v>
      </c>
      <c r="K556" s="13">
        <v>1.6719534964712218E-4</v>
      </c>
      <c r="L556" s="13">
        <v>1.379361634588758E-3</v>
      </c>
      <c r="M556" s="13">
        <v>1</v>
      </c>
      <c r="N556" s="38">
        <f t="shared" si="16"/>
        <v>1.6810175217357189E-4</v>
      </c>
      <c r="O556" s="38">
        <f t="shared" si="17"/>
        <v>1.3868394554319681E-3</v>
      </c>
      <c r="P556" s="26"/>
      <c r="Q556" s="45"/>
      <c r="R556" s="38"/>
      <c r="S556" s="38"/>
      <c r="T556" s="38"/>
      <c r="U556" s="1" t="b">
        <v>0</v>
      </c>
      <c r="V556" s="1" t="b">
        <v>1</v>
      </c>
      <c r="W556" s="31" t="s">
        <v>1885</v>
      </c>
    </row>
    <row r="557" spans="1:23" ht="30">
      <c r="A557" s="7">
        <v>556</v>
      </c>
      <c r="B557" s="7" t="s">
        <v>937</v>
      </c>
      <c r="C557" s="7" t="s">
        <v>49</v>
      </c>
      <c r="D557" s="7" t="s">
        <v>99</v>
      </c>
      <c r="E557" s="11">
        <v>4</v>
      </c>
      <c r="F557" s="7" t="s">
        <v>54</v>
      </c>
      <c r="G557" s="7" t="s">
        <v>1743</v>
      </c>
      <c r="H557" s="37">
        <f>IFERROR(VLOOKUP(C557,Fixture_Engine!$D$2:$R$21,13,FALSE),"")</f>
        <v>0.60545882999044243</v>
      </c>
      <c r="I557" s="37">
        <f>IFERROR(VLOOKUP(C557,Fixture_Engine!$D$2:$R$21,14,FALSE),"")</f>
        <v>1.9843123696263989</v>
      </c>
      <c r="J557" s="37">
        <f>IFERROR(VLOOKUP(C557,Fixture_Engine!$D$2:$R$21,15,FALSE),"")</f>
        <v>0.13747511368662868</v>
      </c>
      <c r="K557" s="13">
        <v>4.1142361271531161E-2</v>
      </c>
      <c r="L557" s="13">
        <v>4.0513079897554365E-2</v>
      </c>
      <c r="M557" s="13">
        <v>1</v>
      </c>
      <c r="N557" s="38">
        <f t="shared" si="16"/>
        <v>2.4910005918505347E-2</v>
      </c>
      <c r="O557" s="38">
        <f t="shared" si="17"/>
        <v>2.4529001954082578E-2</v>
      </c>
      <c r="P557" s="26"/>
      <c r="Q557" s="45"/>
      <c r="R557" s="38"/>
      <c r="S557" s="38"/>
      <c r="T557" s="38"/>
      <c r="V557" s="1" t="b">
        <v>1</v>
      </c>
      <c r="W557" s="31" t="s">
        <v>1885</v>
      </c>
    </row>
    <row r="558" spans="1:23" ht="30">
      <c r="A558" s="7">
        <v>557</v>
      </c>
      <c r="B558" s="7" t="s">
        <v>175</v>
      </c>
      <c r="C558" s="7" t="s">
        <v>39</v>
      </c>
      <c r="D558" s="7" t="s">
        <v>112</v>
      </c>
      <c r="E558" s="11">
        <v>6.5</v>
      </c>
      <c r="F558" s="7" t="s">
        <v>45</v>
      </c>
      <c r="G558" s="7" t="s">
        <v>1743</v>
      </c>
      <c r="H558" s="37">
        <f>IFERROR(VLOOKUP(C558,Fixture_Engine!$D$2:$R$21,13,FALSE),"")</f>
        <v>2.6529358272146251</v>
      </c>
      <c r="I558" s="37">
        <f>IFERROR(VLOOKUP(C558,Fixture_Engine!$D$2:$R$21,14,FALSE),"")</f>
        <v>0.52865868671275384</v>
      </c>
      <c r="J558" s="37">
        <f>IFERROR(VLOOKUP(C558,Fixture_Engine!$D$2:$R$21,15,FALSE),"")</f>
        <v>0.58939500306781811</v>
      </c>
      <c r="K558" s="13">
        <v>0.10751786102217777</v>
      </c>
      <c r="L558" s="13">
        <v>9.0240671969462088E-2</v>
      </c>
      <c r="M558" s="13">
        <v>1</v>
      </c>
      <c r="N558" s="38">
        <f t="shared" si="16"/>
        <v>0.28523798557121827</v>
      </c>
      <c r="O558" s="38">
        <f t="shared" si="17"/>
        <v>0.23940271173970853</v>
      </c>
      <c r="P558" s="26"/>
      <c r="Q558" s="45"/>
      <c r="R558" s="38"/>
      <c r="S558" s="38"/>
      <c r="T558" s="38"/>
      <c r="U558" s="1" t="b">
        <v>0</v>
      </c>
      <c r="V558" s="1" t="b">
        <v>1</v>
      </c>
      <c r="W558" s="31" t="s">
        <v>1885</v>
      </c>
    </row>
    <row r="559" spans="1:23" ht="30">
      <c r="A559" s="7">
        <v>558</v>
      </c>
      <c r="B559" s="7" t="s">
        <v>1463</v>
      </c>
      <c r="C559" s="7" t="s">
        <v>56</v>
      </c>
      <c r="D559" s="7" t="s">
        <v>112</v>
      </c>
      <c r="E559" s="11">
        <v>5</v>
      </c>
      <c r="F559" s="7" t="s">
        <v>51</v>
      </c>
      <c r="G559" s="7" t="s">
        <v>1743</v>
      </c>
      <c r="H559" s="37">
        <f>IFERROR(VLOOKUP(C559,Fixture_Engine!$D$2:$R$21,13,FALSE),"")</f>
        <v>1.2669809751991843</v>
      </c>
      <c r="I559" s="37">
        <f>IFERROR(VLOOKUP(C559,Fixture_Engine!$D$2:$R$21,14,FALSE),"")</f>
        <v>1.0502506804949732</v>
      </c>
      <c r="J559" s="37">
        <f>IFERROR(VLOOKUP(C559,Fixture_Engine!$D$2:$R$21,15,FALSE),"")</f>
        <v>0.34985003753724808</v>
      </c>
      <c r="K559" s="13">
        <v>0.10751786102217777</v>
      </c>
      <c r="L559" s="13">
        <v>9.0240671969462088E-2</v>
      </c>
      <c r="M559" s="13">
        <v>1</v>
      </c>
      <c r="N559" s="38">
        <f t="shared" si="16"/>
        <v>0.13622308440920916</v>
      </c>
      <c r="O559" s="38">
        <f t="shared" si="17"/>
        <v>0.11433321457449877</v>
      </c>
      <c r="P559" s="26"/>
      <c r="Q559" s="45"/>
      <c r="R559" s="38"/>
      <c r="S559" s="38"/>
      <c r="T559" s="38"/>
      <c r="U559" s="1" t="b">
        <v>0</v>
      </c>
      <c r="V559" s="1" t="b">
        <v>1</v>
      </c>
      <c r="W559" s="31" t="s">
        <v>1885</v>
      </c>
    </row>
    <row r="560" spans="1:23" ht="30">
      <c r="A560" s="7">
        <v>559</v>
      </c>
      <c r="B560" s="7" t="s">
        <v>1398</v>
      </c>
      <c r="C560" s="7" t="s">
        <v>55</v>
      </c>
      <c r="D560" s="7" t="s">
        <v>112</v>
      </c>
      <c r="E560" s="11">
        <v>5</v>
      </c>
      <c r="F560" s="7" t="s">
        <v>52</v>
      </c>
      <c r="G560" s="7" t="s">
        <v>1743</v>
      </c>
      <c r="H560" s="37">
        <f>IFERROR(VLOOKUP(C560,Fixture_Engine!$D$2:$R$21,13,FALSE),"")</f>
        <v>1.1006915106715305</v>
      </c>
      <c r="I560" s="37">
        <f>IFERROR(VLOOKUP(C560,Fixture_Engine!$D$2:$R$21,14,FALSE),"")</f>
        <v>1.5903534900875227</v>
      </c>
      <c r="J560" s="37">
        <f>IFERROR(VLOOKUP(C560,Fixture_Engine!$D$2:$R$21,15,FALSE),"")</f>
        <v>0.20385353879115936</v>
      </c>
      <c r="K560" s="13">
        <v>0.10751786102217777</v>
      </c>
      <c r="L560" s="13">
        <v>9.0240671969462088E-2</v>
      </c>
      <c r="M560" s="13">
        <v>1</v>
      </c>
      <c r="N560" s="38">
        <f t="shared" si="16"/>
        <v>0.11834399687267251</v>
      </c>
      <c r="O560" s="38">
        <f t="shared" si="17"/>
        <v>9.9327141554081261E-2</v>
      </c>
      <c r="P560" s="26"/>
      <c r="Q560" s="45"/>
      <c r="R560" s="38"/>
      <c r="S560" s="38"/>
      <c r="T560" s="38"/>
      <c r="U560" s="1" t="b">
        <v>0</v>
      </c>
      <c r="V560" s="1" t="b">
        <v>1</v>
      </c>
      <c r="W560" s="31" t="s">
        <v>1885</v>
      </c>
    </row>
    <row r="561" spans="1:23" ht="30">
      <c r="A561" s="7">
        <v>560</v>
      </c>
      <c r="B561" s="7" t="s">
        <v>596</v>
      </c>
      <c r="C561" s="7" t="s">
        <v>44</v>
      </c>
      <c r="D561" s="7" t="s">
        <v>85</v>
      </c>
      <c r="E561" s="11">
        <v>4.5</v>
      </c>
      <c r="F561" s="7" t="s">
        <v>48</v>
      </c>
      <c r="G561" s="7" t="s">
        <v>1742</v>
      </c>
      <c r="H561" s="37">
        <f>IFERROR(VLOOKUP(C561,Fixture_Engine!$D$2:$R$21,13,FALSE),"")</f>
        <v>1.529190937318446</v>
      </c>
      <c r="I561" s="37">
        <f>IFERROR(VLOOKUP(C561,Fixture_Engine!$D$2:$R$21,14,FALSE),"")</f>
        <v>1.0345389928276891</v>
      </c>
      <c r="J561" s="37">
        <f>IFERROR(VLOOKUP(C561,Fixture_Engine!$D$2:$R$21,15,FALSE),"")</f>
        <v>0.35539018058786065</v>
      </c>
      <c r="K561" s="13">
        <v>1.6719534964712218E-4</v>
      </c>
      <c r="L561" s="13">
        <v>1.379361634588758E-3</v>
      </c>
      <c r="M561" s="13">
        <v>1</v>
      </c>
      <c r="N561" s="38">
        <f t="shared" si="16"/>
        <v>2.5567361344216809E-4</v>
      </c>
      <c r="O561" s="38">
        <f t="shared" si="17"/>
        <v>2.1093073108978868E-3</v>
      </c>
      <c r="P561" s="26"/>
      <c r="Q561" s="45"/>
      <c r="R561" s="38"/>
      <c r="S561" s="38"/>
      <c r="T561" s="38"/>
      <c r="V561" s="1" t="b">
        <v>1</v>
      </c>
      <c r="W561" s="31" t="s">
        <v>1885</v>
      </c>
    </row>
    <row r="562" spans="1:23" ht="30">
      <c r="A562" s="7">
        <v>561</v>
      </c>
      <c r="B562" s="7" t="s">
        <v>598</v>
      </c>
      <c r="C562" s="7" t="s">
        <v>44</v>
      </c>
      <c r="D562" s="7" t="s">
        <v>99</v>
      </c>
      <c r="E562" s="11">
        <v>4.5</v>
      </c>
      <c r="F562" s="7" t="s">
        <v>48</v>
      </c>
      <c r="G562" s="7" t="s">
        <v>1742</v>
      </c>
      <c r="H562" s="37">
        <f>IFERROR(VLOOKUP(C562,Fixture_Engine!$D$2:$R$21,13,FALSE),"")</f>
        <v>1.529190937318446</v>
      </c>
      <c r="I562" s="37">
        <f>IFERROR(VLOOKUP(C562,Fixture_Engine!$D$2:$R$21,14,FALSE),"")</f>
        <v>1.0345389928276891</v>
      </c>
      <c r="J562" s="37">
        <f>IFERROR(VLOOKUP(C562,Fixture_Engine!$D$2:$R$21,15,FALSE),"")</f>
        <v>0.35539018058786065</v>
      </c>
      <c r="K562" s="13">
        <v>4.1142361271531161E-2</v>
      </c>
      <c r="L562" s="13">
        <v>4.0513079897554365E-2</v>
      </c>
      <c r="M562" s="13">
        <v>1</v>
      </c>
      <c r="N562" s="38">
        <f t="shared" si="16"/>
        <v>6.2914525996306869E-2</v>
      </c>
      <c r="O562" s="38">
        <f t="shared" si="17"/>
        <v>6.1952234622198253E-2</v>
      </c>
      <c r="P562" s="26"/>
      <c r="Q562" s="45"/>
      <c r="R562" s="38"/>
      <c r="S562" s="38"/>
      <c r="T562" s="38"/>
      <c r="V562" s="1" t="b">
        <v>1</v>
      </c>
      <c r="W562" s="31" t="s">
        <v>1885</v>
      </c>
    </row>
    <row r="563" spans="1:23" ht="30">
      <c r="A563" s="7">
        <v>562</v>
      </c>
      <c r="B563" s="7" t="s">
        <v>1014</v>
      </c>
      <c r="C563" s="7" t="s">
        <v>50</v>
      </c>
      <c r="D563" s="7" t="s">
        <v>112</v>
      </c>
      <c r="E563" s="11">
        <v>5.5</v>
      </c>
      <c r="F563" s="7" t="s">
        <v>58</v>
      </c>
      <c r="G563" s="7" t="s">
        <v>1743</v>
      </c>
      <c r="H563" s="37">
        <f>IFERROR(VLOOKUP(C563,Fixture_Engine!$D$2:$R$21,13,FALSE),"")</f>
        <v>1.1088256638526099</v>
      </c>
      <c r="I563" s="37">
        <f>IFERROR(VLOOKUP(C563,Fixture_Engine!$D$2:$R$21,14,FALSE),"")</f>
        <v>1.1347601803060365</v>
      </c>
      <c r="J563" s="37">
        <f>IFERROR(VLOOKUP(C563,Fixture_Engine!$D$2:$R$21,15,FALSE),"")</f>
        <v>0.32149921393295505</v>
      </c>
      <c r="K563" s="13">
        <v>0.10751786102217777</v>
      </c>
      <c r="L563" s="13">
        <v>9.0240671969462088E-2</v>
      </c>
      <c r="M563" s="13">
        <v>1</v>
      </c>
      <c r="N563" s="38">
        <f t="shared" si="16"/>
        <v>0.11921856362392892</v>
      </c>
      <c r="O563" s="38">
        <f t="shared" si="17"/>
        <v>0.10006117300304442</v>
      </c>
      <c r="P563" s="26"/>
      <c r="Q563" s="45"/>
      <c r="R563" s="38"/>
      <c r="S563" s="38"/>
      <c r="T563" s="38"/>
      <c r="U563" s="1" t="b">
        <v>0</v>
      </c>
      <c r="V563" s="1" t="b">
        <v>1</v>
      </c>
      <c r="W563" s="31" t="s">
        <v>1885</v>
      </c>
    </row>
    <row r="564" spans="1:23" ht="30">
      <c r="A564" s="7">
        <v>563</v>
      </c>
      <c r="B564" s="7" t="s">
        <v>939</v>
      </c>
      <c r="C564" s="7" t="s">
        <v>49</v>
      </c>
      <c r="D564" s="7" t="s">
        <v>112</v>
      </c>
      <c r="E564" s="11">
        <v>5</v>
      </c>
      <c r="F564" s="7" t="s">
        <v>54</v>
      </c>
      <c r="G564" s="7" t="s">
        <v>1743</v>
      </c>
      <c r="H564" s="37">
        <f>IFERROR(VLOOKUP(C564,Fixture_Engine!$D$2:$R$21,13,FALSE),"")</f>
        <v>0.60545882999044243</v>
      </c>
      <c r="I564" s="37">
        <f>IFERROR(VLOOKUP(C564,Fixture_Engine!$D$2:$R$21,14,FALSE),"")</f>
        <v>1.9843123696263989</v>
      </c>
      <c r="J564" s="37">
        <f>IFERROR(VLOOKUP(C564,Fixture_Engine!$D$2:$R$21,15,FALSE),"")</f>
        <v>0.13747511368662868</v>
      </c>
      <c r="K564" s="13">
        <v>0.10751786102217777</v>
      </c>
      <c r="L564" s="13">
        <v>9.0240671969462088E-2</v>
      </c>
      <c r="M564" s="13">
        <v>1</v>
      </c>
      <c r="N564" s="38">
        <f t="shared" si="16"/>
        <v>6.5097638337562741E-2</v>
      </c>
      <c r="O564" s="38">
        <f t="shared" si="17"/>
        <v>5.4637011668181829E-2</v>
      </c>
      <c r="P564" s="26"/>
      <c r="Q564" s="45"/>
      <c r="R564" s="38"/>
      <c r="S564" s="38"/>
      <c r="T564" s="38"/>
      <c r="V564" s="1" t="b">
        <v>1</v>
      </c>
      <c r="W564" s="31" t="s">
        <v>1885</v>
      </c>
    </row>
    <row r="565" spans="1:23" ht="30">
      <c r="A565" s="7">
        <v>564</v>
      </c>
      <c r="B565" s="7" t="s">
        <v>1017</v>
      </c>
      <c r="C565" s="7" t="s">
        <v>50</v>
      </c>
      <c r="D565" s="7" t="s">
        <v>85</v>
      </c>
      <c r="E565" s="11">
        <v>4.5</v>
      </c>
      <c r="F565" s="7" t="s">
        <v>58</v>
      </c>
      <c r="G565" s="7" t="s">
        <v>1743</v>
      </c>
      <c r="H565" s="37">
        <f>IFERROR(VLOOKUP(C565,Fixture_Engine!$D$2:$R$21,13,FALSE),"")</f>
        <v>1.1088256638526099</v>
      </c>
      <c r="I565" s="37">
        <f>IFERROR(VLOOKUP(C565,Fixture_Engine!$D$2:$R$21,14,FALSE),"")</f>
        <v>1.1347601803060365</v>
      </c>
      <c r="J565" s="37">
        <f>IFERROR(VLOOKUP(C565,Fixture_Engine!$D$2:$R$21,15,FALSE),"")</f>
        <v>0.32149921393295505</v>
      </c>
      <c r="K565" s="13">
        <v>1.6719534964712218E-4</v>
      </c>
      <c r="L565" s="13">
        <v>1.379361634588758E-3</v>
      </c>
      <c r="M565" s="13">
        <v>1</v>
      </c>
      <c r="N565" s="38">
        <f t="shared" si="16"/>
        <v>1.8539049456553949E-4</v>
      </c>
      <c r="O565" s="38">
        <f t="shared" si="17"/>
        <v>1.5294715801657008E-3</v>
      </c>
      <c r="P565" s="26"/>
      <c r="Q565" s="45"/>
      <c r="R565" s="38"/>
      <c r="S565" s="38"/>
      <c r="T565" s="38"/>
      <c r="U565" s="1" t="b">
        <v>0</v>
      </c>
      <c r="V565" s="1" t="b">
        <v>1</v>
      </c>
      <c r="W565" s="31" t="s">
        <v>1885</v>
      </c>
    </row>
    <row r="566" spans="1:23" ht="30">
      <c r="A566" s="7">
        <v>565</v>
      </c>
      <c r="B566" s="7" t="s">
        <v>418</v>
      </c>
      <c r="C566" s="7" t="s">
        <v>42</v>
      </c>
      <c r="D566" s="7" t="s">
        <v>112</v>
      </c>
      <c r="E566" s="11">
        <v>5.5</v>
      </c>
      <c r="F566" s="7" t="s">
        <v>57</v>
      </c>
      <c r="G566" s="7" t="s">
        <v>1743</v>
      </c>
      <c r="H566" s="37">
        <f>IFERROR(VLOOKUP(C566,Fixture_Engine!$D$2:$R$21,13,FALSE),"")</f>
        <v>1.3720338233100562</v>
      </c>
      <c r="I566" s="37">
        <f>IFERROR(VLOOKUP(C566,Fixture_Engine!$D$2:$R$21,14,FALSE),"")</f>
        <v>1.2818599603231151</v>
      </c>
      <c r="J566" s="37">
        <f>IFERROR(VLOOKUP(C566,Fixture_Engine!$D$2:$R$21,15,FALSE),"")</f>
        <v>0.27752064273637816</v>
      </c>
      <c r="K566" s="13">
        <v>0.10751786102217777</v>
      </c>
      <c r="L566" s="13">
        <v>9.0240671969462088E-2</v>
      </c>
      <c r="M566" s="13">
        <v>1</v>
      </c>
      <c r="N566" s="38">
        <f t="shared" si="16"/>
        <v>0.14751814193237783</v>
      </c>
      <c r="O566" s="38">
        <f t="shared" si="17"/>
        <v>0.12381325418032969</v>
      </c>
      <c r="P566" s="26"/>
      <c r="Q566" s="45"/>
      <c r="R566" s="38"/>
      <c r="S566" s="38"/>
      <c r="T566" s="38"/>
      <c r="U566" s="1" t="b">
        <v>0</v>
      </c>
      <c r="V566" s="1" t="b">
        <v>1</v>
      </c>
      <c r="W566" s="31" t="s">
        <v>1885</v>
      </c>
    </row>
    <row r="567" spans="1:23" ht="30">
      <c r="A567" s="7">
        <v>566</v>
      </c>
      <c r="B567" s="7" t="s">
        <v>338</v>
      </c>
      <c r="C567" s="7" t="s">
        <v>41</v>
      </c>
      <c r="D567" s="7" t="s">
        <v>99</v>
      </c>
      <c r="E567" s="11">
        <v>5</v>
      </c>
      <c r="F567" s="7" t="s">
        <v>53</v>
      </c>
      <c r="G567" s="7" t="s">
        <v>1742</v>
      </c>
      <c r="H567" s="37">
        <f>IFERROR(VLOOKUP(C567,Fixture_Engine!$D$2:$R$21,13,FALSE),"")</f>
        <v>0.9191782076853533</v>
      </c>
      <c r="I567" s="37">
        <f>IFERROR(VLOOKUP(C567,Fixture_Engine!$D$2:$R$21,14,FALSE),"")</f>
        <v>2.1387927682342065</v>
      </c>
      <c r="J567" s="37">
        <f>IFERROR(VLOOKUP(C567,Fixture_Engine!$D$2:$R$21,15,FALSE),"")</f>
        <v>0.11779696545577215</v>
      </c>
      <c r="K567" s="13">
        <v>4.1142361271531161E-2</v>
      </c>
      <c r="L567" s="13">
        <v>4.0513079897554365E-2</v>
      </c>
      <c r="M567" s="13">
        <v>1</v>
      </c>
      <c r="N567" s="38">
        <f t="shared" si="16"/>
        <v>3.7817161893509303E-2</v>
      </c>
      <c r="O567" s="38">
        <f t="shared" si="17"/>
        <v>3.7238740168047541E-2</v>
      </c>
      <c r="P567" s="26"/>
      <c r="Q567" s="45"/>
      <c r="R567" s="38"/>
      <c r="S567" s="38"/>
      <c r="T567" s="38"/>
      <c r="U567" s="1" t="b">
        <v>0</v>
      </c>
      <c r="V567" s="1" t="b">
        <v>1</v>
      </c>
      <c r="W567" s="31" t="s">
        <v>1885</v>
      </c>
    </row>
    <row r="568" spans="1:23" ht="30">
      <c r="A568" s="7">
        <v>567</v>
      </c>
      <c r="B568" s="7" t="s">
        <v>1400</v>
      </c>
      <c r="C568" s="7" t="s">
        <v>55</v>
      </c>
      <c r="D568" s="7" t="s">
        <v>85</v>
      </c>
      <c r="E568" s="11">
        <v>5</v>
      </c>
      <c r="F568" s="7" t="s">
        <v>52</v>
      </c>
      <c r="G568" s="7" t="s">
        <v>1743</v>
      </c>
      <c r="H568" s="37">
        <f>IFERROR(VLOOKUP(C568,Fixture_Engine!$D$2:$R$21,13,FALSE),"")</f>
        <v>1.1006915106715305</v>
      </c>
      <c r="I568" s="37">
        <f>IFERROR(VLOOKUP(C568,Fixture_Engine!$D$2:$R$21,14,FALSE),"")</f>
        <v>1.5903534900875227</v>
      </c>
      <c r="J568" s="37">
        <f>IFERROR(VLOOKUP(C568,Fixture_Engine!$D$2:$R$21,15,FALSE),"")</f>
        <v>0.20385353879115936</v>
      </c>
      <c r="K568" s="13">
        <v>1.6719534964712218E-4</v>
      </c>
      <c r="L568" s="13">
        <v>1.379361634588758E-3</v>
      </c>
      <c r="M568" s="13">
        <v>1</v>
      </c>
      <c r="N568" s="38">
        <f t="shared" si="16"/>
        <v>1.8403050198034565E-4</v>
      </c>
      <c r="O568" s="38">
        <f t="shared" si="17"/>
        <v>1.5182516413378517E-3</v>
      </c>
      <c r="P568" s="26"/>
      <c r="Q568" s="45"/>
      <c r="R568" s="38"/>
      <c r="S568" s="38"/>
      <c r="T568" s="38"/>
      <c r="V568" s="1" t="b">
        <v>1</v>
      </c>
      <c r="W568" s="31" t="s">
        <v>1885</v>
      </c>
    </row>
  </sheetData>
  <conditionalFormatting sqref="M2:M5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Players</vt:lpstr>
      <vt:lpstr>Attack_Priors</vt:lpstr>
      <vt:lpstr>Team_Attack</vt:lpstr>
      <vt:lpstr>Priors</vt:lpstr>
      <vt:lpstr>Fixtures</vt:lpstr>
      <vt:lpstr>Projections</vt:lpstr>
      <vt:lpstr>Squad</vt:lpstr>
      <vt:lpstr>Lists</vt:lpstr>
      <vt:lpstr>Team_Defence</vt:lpstr>
      <vt:lpstr>Def_Priors</vt:lpstr>
      <vt:lpstr>Team_26_27</vt:lpstr>
      <vt:lpstr>Market_Odds</vt:lpstr>
      <vt:lpstr>Fixture_Engine</vt:lpstr>
      <vt:lpstr>GW1_Player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Ditchburn</cp:lastModifiedBy>
  <dcterms:created xsi:type="dcterms:W3CDTF">2026-08-19T01:13:08Z</dcterms:created>
  <dcterms:modified xsi:type="dcterms:W3CDTF">2026-08-19T01:13:08Z</dcterms:modified>
</cp:coreProperties>
</file>